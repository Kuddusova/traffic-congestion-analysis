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odik\Desktop\Nihola\masterarbeit\my work\collected_data\"/>
    </mc:Choice>
  </mc:AlternateContent>
  <bookViews>
    <workbookView xWindow="0" yWindow="0" windowWidth="24000" windowHeight="9300"/>
  </bookViews>
  <sheets>
    <sheet name="Monday" sheetId="1" r:id="rId1"/>
    <sheet name="Tuesday" sheetId="2" r:id="rId2"/>
    <sheet name="Wednesday" sheetId="3" r:id="rId3"/>
    <sheet name="Thursday" sheetId="4" r:id="rId4"/>
    <sheet name="Friday" sheetId="5" r:id="rId5"/>
    <sheet name="Saturday" sheetId="6" r:id="rId6"/>
    <sheet name="Sunday" sheetId="7" r:id="rId7"/>
    <sheet name="TT" sheetId="12" r:id="rId8"/>
    <sheet name="TT_by_time_interval" sheetId="15" r:id="rId9"/>
    <sheet name="average_speed_per_time" sheetId="8" r:id="rId10"/>
    <sheet name="average_speed_per_route" sheetId="9" r:id="rId11"/>
    <sheet name="TT_TTI_Delay" sheetId="10" r:id="rId12"/>
    <sheet name="Plotter_charts" sheetId="13" r:id="rId13"/>
    <sheet name="Description of selected routes" sheetId="11" r:id="rId1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8" l="1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6" i="8"/>
  <c r="E27" i="8"/>
  <c r="E2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H2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E28" i="8" l="1"/>
  <c r="BA4" i="12"/>
  <c r="BA14" i="12"/>
  <c r="BA15" i="12"/>
  <c r="BA16" i="12"/>
  <c r="BA17" i="12"/>
  <c r="BA18" i="12"/>
  <c r="BA19" i="12"/>
  <c r="BA20" i="12"/>
  <c r="BA21" i="12"/>
  <c r="BA22" i="12"/>
  <c r="BA23" i="12"/>
  <c r="BA24" i="12"/>
  <c r="BA25" i="12"/>
  <c r="BA26" i="12"/>
  <c r="BA27" i="12"/>
  <c r="BA28" i="12"/>
  <c r="BA29" i="12"/>
  <c r="BA30" i="12"/>
  <c r="BA31" i="12"/>
  <c r="BA32" i="12"/>
  <c r="BA33" i="12"/>
  <c r="BA34" i="12"/>
  <c r="BA35" i="12"/>
  <c r="BA36" i="12"/>
  <c r="BA37" i="12"/>
  <c r="BA38" i="12"/>
  <c r="BA39" i="12"/>
  <c r="BA40" i="12"/>
  <c r="BA41" i="12"/>
  <c r="BA42" i="12"/>
  <c r="BA43" i="12"/>
  <c r="BA44" i="12"/>
  <c r="BA45" i="12"/>
  <c r="BA46" i="12"/>
  <c r="BA47" i="12"/>
  <c r="BA48" i="12"/>
  <c r="BA49" i="12"/>
  <c r="BA50" i="12"/>
  <c r="BA51" i="12"/>
  <c r="BA52" i="12"/>
  <c r="BA53" i="12"/>
  <c r="BA54" i="12"/>
  <c r="BA55" i="12"/>
  <c r="BA56" i="12"/>
  <c r="BA57" i="12"/>
  <c r="BA58" i="12"/>
  <c r="BA59" i="12"/>
  <c r="BA60" i="12"/>
  <c r="BA61" i="12"/>
  <c r="BA5" i="12"/>
  <c r="BA6" i="12"/>
  <c r="BA7" i="12"/>
  <c r="BA8" i="12"/>
  <c r="BA9" i="12"/>
  <c r="BA10" i="12"/>
  <c r="BA11" i="12"/>
  <c r="BA12" i="12"/>
  <c r="BA13" i="12"/>
  <c r="AZ15" i="12"/>
  <c r="AZ16" i="12"/>
  <c r="AZ17" i="12"/>
  <c r="AZ18" i="12"/>
  <c r="AZ19" i="12"/>
  <c r="AZ20" i="12"/>
  <c r="AZ21" i="12"/>
  <c r="AZ22" i="12"/>
  <c r="AZ23" i="12"/>
  <c r="AZ24" i="12"/>
  <c r="AZ25" i="12"/>
  <c r="AZ26" i="12"/>
  <c r="AZ27" i="12"/>
  <c r="AZ28" i="12"/>
  <c r="AZ29" i="12"/>
  <c r="AZ30" i="12"/>
  <c r="AZ31" i="12"/>
  <c r="AZ32" i="12"/>
  <c r="AZ33" i="12"/>
  <c r="AZ34" i="12"/>
  <c r="AZ35" i="12"/>
  <c r="AZ36" i="12"/>
  <c r="AZ37" i="12"/>
  <c r="AZ38" i="12"/>
  <c r="AZ39" i="12"/>
  <c r="AZ40" i="12"/>
  <c r="AZ41" i="12"/>
  <c r="AZ42" i="12"/>
  <c r="AZ43" i="12"/>
  <c r="AZ44" i="12"/>
  <c r="AZ45" i="12"/>
  <c r="AZ46" i="12"/>
  <c r="AZ47" i="12"/>
  <c r="AZ48" i="12"/>
  <c r="AZ49" i="12"/>
  <c r="AZ50" i="12"/>
  <c r="AZ51" i="12"/>
  <c r="AZ52" i="12"/>
  <c r="AZ53" i="12"/>
  <c r="AZ54" i="12"/>
  <c r="AZ55" i="12"/>
  <c r="AZ56" i="12"/>
  <c r="AZ57" i="12"/>
  <c r="AZ58" i="12"/>
  <c r="AZ59" i="12"/>
  <c r="AZ60" i="12"/>
  <c r="AZ61" i="12"/>
  <c r="AZ5" i="12"/>
  <c r="AZ6" i="12"/>
  <c r="AZ7" i="12"/>
  <c r="AZ8" i="12"/>
  <c r="AZ9" i="12"/>
  <c r="AZ10" i="12"/>
  <c r="AZ11" i="12"/>
  <c r="AZ12" i="12"/>
  <c r="AZ13" i="12"/>
  <c r="AZ14" i="12"/>
  <c r="AZ4" i="12"/>
  <c r="AY15" i="12"/>
  <c r="AY16" i="12"/>
  <c r="AY17" i="12"/>
  <c r="AY18" i="12"/>
  <c r="AY19" i="12"/>
  <c r="AY20" i="12"/>
  <c r="AY21" i="12"/>
  <c r="AY22" i="12"/>
  <c r="AY23" i="12"/>
  <c r="AY24" i="12"/>
  <c r="AY25" i="12"/>
  <c r="AY26" i="12"/>
  <c r="AY27" i="12"/>
  <c r="AY28" i="12"/>
  <c r="AY29" i="12"/>
  <c r="AY30" i="12"/>
  <c r="AY31" i="12"/>
  <c r="AY32" i="12"/>
  <c r="AY33" i="12"/>
  <c r="AY34" i="12"/>
  <c r="AY35" i="12"/>
  <c r="AY36" i="12"/>
  <c r="AY37" i="12"/>
  <c r="AY38" i="12"/>
  <c r="AY39" i="12"/>
  <c r="AY40" i="12"/>
  <c r="AY41" i="12"/>
  <c r="AY42" i="12"/>
  <c r="AY43" i="12"/>
  <c r="AY44" i="12"/>
  <c r="AY45" i="12"/>
  <c r="AY46" i="12"/>
  <c r="AY47" i="12"/>
  <c r="AY48" i="12"/>
  <c r="AY49" i="12"/>
  <c r="AY50" i="12"/>
  <c r="AY51" i="12"/>
  <c r="AY52" i="12"/>
  <c r="AY53" i="12"/>
  <c r="AY54" i="12"/>
  <c r="AY55" i="12"/>
  <c r="AY56" i="12"/>
  <c r="AY57" i="12"/>
  <c r="AY58" i="12"/>
  <c r="AY59" i="12"/>
  <c r="AY60" i="12"/>
  <c r="AY61" i="12"/>
  <c r="AY5" i="12"/>
  <c r="AY6" i="12"/>
  <c r="AY7" i="12"/>
  <c r="AY8" i="12"/>
  <c r="AY9" i="12"/>
  <c r="AY10" i="12"/>
  <c r="AY11" i="12"/>
  <c r="AY12" i="12"/>
  <c r="AY13" i="12"/>
  <c r="AY14" i="12"/>
  <c r="AY4" i="12"/>
  <c r="AX13" i="12"/>
  <c r="AX14" i="12"/>
  <c r="AX15" i="12"/>
  <c r="AX16" i="12"/>
  <c r="AX17" i="12"/>
  <c r="AX18" i="12"/>
  <c r="AX19" i="12"/>
  <c r="AX20" i="12"/>
  <c r="AX21" i="12"/>
  <c r="AX22" i="12"/>
  <c r="AX23" i="12"/>
  <c r="AX24" i="12"/>
  <c r="AX25" i="12"/>
  <c r="AX26" i="12"/>
  <c r="AX27" i="12"/>
  <c r="AX28" i="12"/>
  <c r="AX29" i="12"/>
  <c r="AX30" i="12"/>
  <c r="AX31" i="12"/>
  <c r="AX32" i="12"/>
  <c r="AX33" i="12"/>
  <c r="AX34" i="12"/>
  <c r="AX35" i="12"/>
  <c r="AX36" i="12"/>
  <c r="AX37" i="12"/>
  <c r="AX38" i="12"/>
  <c r="AX39" i="12"/>
  <c r="AX40" i="12"/>
  <c r="AX41" i="12"/>
  <c r="AX42" i="12"/>
  <c r="AX43" i="12"/>
  <c r="AX44" i="12"/>
  <c r="AX45" i="12"/>
  <c r="AX46" i="12"/>
  <c r="AX47" i="12"/>
  <c r="AX48" i="12"/>
  <c r="AX49" i="12"/>
  <c r="AX50" i="12"/>
  <c r="AX51" i="12"/>
  <c r="AX52" i="12"/>
  <c r="AX53" i="12"/>
  <c r="AX54" i="12"/>
  <c r="AX55" i="12"/>
  <c r="AX56" i="12"/>
  <c r="AX57" i="12"/>
  <c r="AX58" i="12"/>
  <c r="AX59" i="12"/>
  <c r="AX60" i="12"/>
  <c r="AX61" i="12"/>
  <c r="AX5" i="12"/>
  <c r="AX6" i="12"/>
  <c r="AX7" i="12"/>
  <c r="AX8" i="12"/>
  <c r="AX9" i="12"/>
  <c r="AX10" i="12"/>
  <c r="AX11" i="12"/>
  <c r="AX12" i="12"/>
  <c r="AX4" i="12"/>
  <c r="AW19" i="12"/>
  <c r="AW20" i="12"/>
  <c r="AW21" i="12"/>
  <c r="AW22" i="12"/>
  <c r="AW23" i="12"/>
  <c r="AW24" i="12"/>
  <c r="AW25" i="12"/>
  <c r="AW26" i="12"/>
  <c r="AW27" i="12"/>
  <c r="AW28" i="12"/>
  <c r="AW29" i="12"/>
  <c r="AW30" i="12"/>
  <c r="AW31" i="12"/>
  <c r="AW32" i="12"/>
  <c r="AW33" i="12"/>
  <c r="AW34" i="12"/>
  <c r="AW35" i="12"/>
  <c r="AW36" i="12"/>
  <c r="AW37" i="12"/>
  <c r="AW38" i="12"/>
  <c r="AW39" i="12"/>
  <c r="AW40" i="12"/>
  <c r="AW41" i="12"/>
  <c r="AW42" i="12"/>
  <c r="AW43" i="12"/>
  <c r="AW44" i="12"/>
  <c r="AW45" i="12"/>
  <c r="AW46" i="12"/>
  <c r="AW47" i="12"/>
  <c r="AW48" i="12"/>
  <c r="AW49" i="12"/>
  <c r="AW50" i="12"/>
  <c r="AW51" i="12"/>
  <c r="AW52" i="12"/>
  <c r="AW53" i="12"/>
  <c r="AW54" i="12"/>
  <c r="AW55" i="12"/>
  <c r="AW56" i="12"/>
  <c r="AW57" i="12"/>
  <c r="AW58" i="12"/>
  <c r="AW59" i="12"/>
  <c r="AW60" i="12"/>
  <c r="AW61" i="12"/>
  <c r="AW5" i="12"/>
  <c r="AW6" i="12"/>
  <c r="AW7" i="12"/>
  <c r="AW8" i="12"/>
  <c r="AW9" i="12"/>
  <c r="AW10" i="12"/>
  <c r="AW11" i="12"/>
  <c r="AW12" i="12"/>
  <c r="AW13" i="12"/>
  <c r="AW14" i="12"/>
  <c r="AW15" i="12"/>
  <c r="AW16" i="12"/>
  <c r="AW17" i="12"/>
  <c r="AW18" i="12"/>
  <c r="AW4" i="12"/>
  <c r="AV23" i="12"/>
  <c r="AV24" i="12"/>
  <c r="AV25" i="12"/>
  <c r="AV26" i="12"/>
  <c r="AV27" i="12"/>
  <c r="AV28" i="12"/>
  <c r="AV29" i="12"/>
  <c r="AV30" i="12"/>
  <c r="AV31" i="12"/>
  <c r="AV32" i="12"/>
  <c r="AV33" i="12"/>
  <c r="AV34" i="12"/>
  <c r="AV35" i="12"/>
  <c r="AV36" i="12"/>
  <c r="AV37" i="12"/>
  <c r="AV38" i="12"/>
  <c r="AV39" i="12"/>
  <c r="AV40" i="12"/>
  <c r="AV41" i="12"/>
  <c r="AV42" i="12"/>
  <c r="AV43" i="12"/>
  <c r="AV44" i="12"/>
  <c r="AV45" i="12"/>
  <c r="AV46" i="12"/>
  <c r="AV47" i="12"/>
  <c r="AV48" i="12"/>
  <c r="AV49" i="12"/>
  <c r="AV50" i="12"/>
  <c r="AV51" i="12"/>
  <c r="AV52" i="12"/>
  <c r="AV53" i="12"/>
  <c r="AV54" i="12"/>
  <c r="AV55" i="12"/>
  <c r="AV56" i="12"/>
  <c r="AV57" i="12"/>
  <c r="AV58" i="12"/>
  <c r="AV59" i="12"/>
  <c r="AV60" i="12"/>
  <c r="AV61" i="12"/>
  <c r="AV5" i="12"/>
  <c r="AV6" i="12"/>
  <c r="AV7" i="12"/>
  <c r="AV8" i="12"/>
  <c r="AV9" i="12"/>
  <c r="AV10" i="12"/>
  <c r="AV11" i="12"/>
  <c r="AV12" i="12"/>
  <c r="AV13" i="12"/>
  <c r="AV14" i="12"/>
  <c r="AV15" i="12"/>
  <c r="AV16" i="12"/>
  <c r="AV17" i="12"/>
  <c r="AV18" i="12"/>
  <c r="AV19" i="12"/>
  <c r="AV20" i="12"/>
  <c r="AV21" i="12"/>
  <c r="AV22" i="12"/>
  <c r="AV4" i="12"/>
  <c r="AU17" i="12"/>
  <c r="AU18" i="12"/>
  <c r="AU19" i="12"/>
  <c r="AU20" i="12"/>
  <c r="AU21" i="12"/>
  <c r="AU22" i="12"/>
  <c r="AU23" i="12"/>
  <c r="AU24" i="12"/>
  <c r="AU25" i="12"/>
  <c r="AU26" i="12"/>
  <c r="AU27" i="12"/>
  <c r="AU28" i="12"/>
  <c r="AU29" i="12"/>
  <c r="AU30" i="12"/>
  <c r="AU31" i="12"/>
  <c r="AU32" i="12"/>
  <c r="AU33" i="12"/>
  <c r="AU34" i="12"/>
  <c r="AU35" i="12"/>
  <c r="AU36" i="12"/>
  <c r="AU37" i="12"/>
  <c r="AU38" i="12"/>
  <c r="AU39" i="12"/>
  <c r="AU40" i="12"/>
  <c r="AU41" i="12"/>
  <c r="AU42" i="12"/>
  <c r="AU43" i="12"/>
  <c r="AU44" i="12"/>
  <c r="AU45" i="12"/>
  <c r="AU46" i="12"/>
  <c r="AU47" i="12"/>
  <c r="AU48" i="12"/>
  <c r="AU49" i="12"/>
  <c r="AU50" i="12"/>
  <c r="AU51" i="12"/>
  <c r="AU52" i="12"/>
  <c r="AU53" i="12"/>
  <c r="AU54" i="12"/>
  <c r="AU55" i="12"/>
  <c r="AU56" i="12"/>
  <c r="AU57" i="12"/>
  <c r="AU58" i="12"/>
  <c r="AU59" i="12"/>
  <c r="AU60" i="12"/>
  <c r="AU61" i="12"/>
  <c r="AU5" i="12"/>
  <c r="AU6" i="12"/>
  <c r="AU7" i="12"/>
  <c r="AU8" i="12"/>
  <c r="AU9" i="12"/>
  <c r="AU10" i="12"/>
  <c r="AU11" i="12"/>
  <c r="AU12" i="12"/>
  <c r="AU13" i="12"/>
  <c r="AU14" i="12"/>
  <c r="AU15" i="12"/>
  <c r="AU16" i="12"/>
  <c r="AU4" i="12"/>
  <c r="AT21" i="12"/>
  <c r="AT22" i="12"/>
  <c r="AT23" i="12"/>
  <c r="AT24" i="12"/>
  <c r="AT25" i="12"/>
  <c r="AT26" i="12"/>
  <c r="AT27" i="12"/>
  <c r="AT28" i="12"/>
  <c r="AT29" i="12"/>
  <c r="AT30" i="12"/>
  <c r="AT31" i="12"/>
  <c r="AT32" i="12"/>
  <c r="AT33" i="12"/>
  <c r="AT34" i="12"/>
  <c r="AT35" i="12"/>
  <c r="AT36" i="12"/>
  <c r="AT37" i="12"/>
  <c r="AT38" i="12"/>
  <c r="AT39" i="12"/>
  <c r="AT40" i="12"/>
  <c r="AT41" i="12"/>
  <c r="AT42" i="12"/>
  <c r="AT43" i="12"/>
  <c r="AT44" i="12"/>
  <c r="AT45" i="12"/>
  <c r="AT46" i="12"/>
  <c r="AT47" i="12"/>
  <c r="AT48" i="12"/>
  <c r="AT49" i="12"/>
  <c r="AT50" i="12"/>
  <c r="AT51" i="12"/>
  <c r="AT52" i="12"/>
  <c r="AT53" i="12"/>
  <c r="AT54" i="12"/>
  <c r="AT55" i="12"/>
  <c r="AT56" i="12"/>
  <c r="AT57" i="12"/>
  <c r="AT58" i="12"/>
  <c r="AT59" i="12"/>
  <c r="AT60" i="12"/>
  <c r="AT61" i="12"/>
  <c r="AT13" i="12"/>
  <c r="AT14" i="12"/>
  <c r="AT15" i="12"/>
  <c r="AT16" i="12"/>
  <c r="AT17" i="12"/>
  <c r="AT18" i="12"/>
  <c r="AT19" i="12"/>
  <c r="AT20" i="12"/>
  <c r="AT5" i="12"/>
  <c r="AT6" i="12"/>
  <c r="AT7" i="12"/>
  <c r="AT8" i="12"/>
  <c r="AT9" i="12"/>
  <c r="AT10" i="12"/>
  <c r="AT11" i="12"/>
  <c r="AT12" i="12"/>
  <c r="AT4" i="12"/>
  <c r="AS15" i="12"/>
  <c r="AS16" i="12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33" i="12"/>
  <c r="AS34" i="12"/>
  <c r="AS35" i="12"/>
  <c r="AS36" i="12"/>
  <c r="AS37" i="12"/>
  <c r="AS38" i="12"/>
  <c r="AS39" i="12"/>
  <c r="AS40" i="12"/>
  <c r="AS41" i="12"/>
  <c r="AS42" i="12"/>
  <c r="AS43" i="12"/>
  <c r="AS44" i="12"/>
  <c r="AS45" i="12"/>
  <c r="AS46" i="12"/>
  <c r="AS47" i="12"/>
  <c r="AS48" i="12"/>
  <c r="AS49" i="12"/>
  <c r="AS50" i="12"/>
  <c r="AS51" i="12"/>
  <c r="AS52" i="12"/>
  <c r="AS53" i="12"/>
  <c r="AS54" i="12"/>
  <c r="AS55" i="12"/>
  <c r="AS56" i="12"/>
  <c r="AS57" i="12"/>
  <c r="AS58" i="12"/>
  <c r="AS59" i="12"/>
  <c r="AS60" i="12"/>
  <c r="AS61" i="12"/>
  <c r="AS5" i="12"/>
  <c r="AS6" i="12"/>
  <c r="AS7" i="12"/>
  <c r="AS8" i="12"/>
  <c r="AS9" i="12"/>
  <c r="AS10" i="12"/>
  <c r="AS11" i="12"/>
  <c r="AS12" i="12"/>
  <c r="AS13" i="12"/>
  <c r="AS14" i="12"/>
  <c r="AS4" i="12"/>
  <c r="AR15" i="12"/>
  <c r="AR16" i="12"/>
  <c r="AR17" i="12"/>
  <c r="AR18" i="12"/>
  <c r="AR19" i="12"/>
  <c r="AR20" i="12"/>
  <c r="AR21" i="12"/>
  <c r="AR22" i="12"/>
  <c r="AR23" i="12"/>
  <c r="AR24" i="12"/>
  <c r="AR25" i="12"/>
  <c r="AR26" i="12"/>
  <c r="AR27" i="12"/>
  <c r="AR28" i="12"/>
  <c r="AR29" i="12"/>
  <c r="AR30" i="12"/>
  <c r="AR31" i="12"/>
  <c r="AR32" i="12"/>
  <c r="AR33" i="12"/>
  <c r="AR34" i="12"/>
  <c r="AR35" i="12"/>
  <c r="AR36" i="12"/>
  <c r="AR37" i="12"/>
  <c r="AR38" i="12"/>
  <c r="AR39" i="12"/>
  <c r="AR40" i="12"/>
  <c r="AR41" i="12"/>
  <c r="AR42" i="12"/>
  <c r="AR43" i="12"/>
  <c r="AR44" i="12"/>
  <c r="AR45" i="12"/>
  <c r="AR46" i="12"/>
  <c r="AR47" i="12"/>
  <c r="AR48" i="12"/>
  <c r="AR49" i="12"/>
  <c r="AR50" i="12"/>
  <c r="AR51" i="12"/>
  <c r="AR52" i="12"/>
  <c r="AR53" i="12"/>
  <c r="AR54" i="12"/>
  <c r="AR55" i="12"/>
  <c r="AR56" i="12"/>
  <c r="AR57" i="12"/>
  <c r="AR58" i="12"/>
  <c r="AR59" i="12"/>
  <c r="AR60" i="12"/>
  <c r="AR61" i="12"/>
  <c r="AR5" i="12"/>
  <c r="AR6" i="12"/>
  <c r="AR7" i="12"/>
  <c r="AR8" i="12"/>
  <c r="AR9" i="12"/>
  <c r="AR10" i="12"/>
  <c r="AR11" i="12"/>
  <c r="AR12" i="12"/>
  <c r="AR13" i="12"/>
  <c r="AR14" i="12"/>
  <c r="AR4" i="12"/>
  <c r="AQ12" i="12"/>
  <c r="AQ13" i="12"/>
  <c r="AQ14" i="12"/>
  <c r="AQ15" i="12"/>
  <c r="AQ16" i="12"/>
  <c r="AQ17" i="12"/>
  <c r="AQ18" i="12"/>
  <c r="AQ19" i="12"/>
  <c r="AQ20" i="12"/>
  <c r="AQ21" i="12"/>
  <c r="AQ22" i="12"/>
  <c r="AQ23" i="12"/>
  <c r="AQ24" i="12"/>
  <c r="AQ25" i="12"/>
  <c r="AQ26" i="12"/>
  <c r="AQ27" i="12"/>
  <c r="AQ28" i="12"/>
  <c r="AQ29" i="12"/>
  <c r="AQ30" i="12"/>
  <c r="AQ31" i="12"/>
  <c r="AQ32" i="12"/>
  <c r="AQ33" i="12"/>
  <c r="AQ34" i="12"/>
  <c r="AQ35" i="12"/>
  <c r="AQ36" i="12"/>
  <c r="AQ37" i="12"/>
  <c r="AQ38" i="12"/>
  <c r="AQ39" i="12"/>
  <c r="AQ40" i="12"/>
  <c r="AQ41" i="12"/>
  <c r="AQ42" i="12"/>
  <c r="AQ43" i="12"/>
  <c r="AQ44" i="12"/>
  <c r="AQ45" i="12"/>
  <c r="AQ46" i="12"/>
  <c r="AQ47" i="12"/>
  <c r="AQ48" i="12"/>
  <c r="AQ49" i="12"/>
  <c r="AQ50" i="12"/>
  <c r="AQ51" i="12"/>
  <c r="AQ52" i="12"/>
  <c r="AQ53" i="12"/>
  <c r="AQ54" i="12"/>
  <c r="AQ55" i="12"/>
  <c r="AQ56" i="12"/>
  <c r="AQ57" i="12"/>
  <c r="AQ58" i="12"/>
  <c r="AQ59" i="12"/>
  <c r="AQ60" i="12"/>
  <c r="AQ61" i="12"/>
  <c r="AQ5" i="12"/>
  <c r="AQ6" i="12"/>
  <c r="AQ7" i="12"/>
  <c r="AQ8" i="12"/>
  <c r="AQ9" i="12"/>
  <c r="AQ10" i="12"/>
  <c r="AQ11" i="12"/>
  <c r="AQ4" i="12"/>
  <c r="AP22" i="12"/>
  <c r="AP23" i="12"/>
  <c r="AP24" i="12"/>
  <c r="AP25" i="12"/>
  <c r="AP26" i="12"/>
  <c r="AP27" i="12"/>
  <c r="AP28" i="12"/>
  <c r="AP29" i="12"/>
  <c r="AP30" i="12"/>
  <c r="AP31" i="12"/>
  <c r="AP32" i="12"/>
  <c r="AP33" i="12"/>
  <c r="AP34" i="12"/>
  <c r="AP35" i="12"/>
  <c r="AP36" i="12"/>
  <c r="AP37" i="12"/>
  <c r="AP38" i="12"/>
  <c r="AP39" i="12"/>
  <c r="AP40" i="12"/>
  <c r="AP41" i="12"/>
  <c r="AP42" i="12"/>
  <c r="AP43" i="12"/>
  <c r="AP44" i="12"/>
  <c r="AP45" i="12"/>
  <c r="AP46" i="12"/>
  <c r="AP47" i="12"/>
  <c r="AP48" i="12"/>
  <c r="AP49" i="12"/>
  <c r="AP50" i="12"/>
  <c r="AP51" i="12"/>
  <c r="AP52" i="12"/>
  <c r="AP53" i="12"/>
  <c r="AP54" i="12"/>
  <c r="AP55" i="12"/>
  <c r="AP56" i="12"/>
  <c r="AP57" i="12"/>
  <c r="AP58" i="12"/>
  <c r="AP59" i="12"/>
  <c r="AP60" i="12"/>
  <c r="AP61" i="12"/>
  <c r="AP13" i="12"/>
  <c r="AP14" i="12"/>
  <c r="AP15" i="12"/>
  <c r="AP16" i="12"/>
  <c r="AP17" i="12"/>
  <c r="AP18" i="12"/>
  <c r="AP19" i="12"/>
  <c r="AP20" i="12"/>
  <c r="AP21" i="12"/>
  <c r="AP5" i="12"/>
  <c r="AP6" i="12"/>
  <c r="AP7" i="12"/>
  <c r="AP8" i="12"/>
  <c r="AP9" i="12"/>
  <c r="AP10" i="12"/>
  <c r="AP11" i="12"/>
  <c r="AP12" i="12"/>
  <c r="AP4" i="12"/>
  <c r="AO12" i="12"/>
  <c r="AO13" i="12"/>
  <c r="AO14" i="12"/>
  <c r="AO15" i="12"/>
  <c r="AO16" i="12"/>
  <c r="AO17" i="12"/>
  <c r="AO18" i="12"/>
  <c r="AO19" i="12"/>
  <c r="AO20" i="12"/>
  <c r="AO21" i="12"/>
  <c r="AO22" i="12"/>
  <c r="AO23" i="12"/>
  <c r="AO24" i="12"/>
  <c r="AO25" i="12"/>
  <c r="AO26" i="12"/>
  <c r="AO27" i="12"/>
  <c r="AO28" i="12"/>
  <c r="AO29" i="12"/>
  <c r="AO30" i="12"/>
  <c r="AO31" i="12"/>
  <c r="AO32" i="12"/>
  <c r="AO33" i="12"/>
  <c r="AO34" i="12"/>
  <c r="AO35" i="12"/>
  <c r="AO36" i="12"/>
  <c r="AO37" i="12"/>
  <c r="AO38" i="12"/>
  <c r="AO39" i="12"/>
  <c r="AO40" i="12"/>
  <c r="AO41" i="12"/>
  <c r="AO42" i="12"/>
  <c r="AO43" i="12"/>
  <c r="AO44" i="12"/>
  <c r="AO45" i="12"/>
  <c r="AO46" i="12"/>
  <c r="AO47" i="12"/>
  <c r="AO48" i="12"/>
  <c r="AO49" i="12"/>
  <c r="AO50" i="12"/>
  <c r="AO51" i="12"/>
  <c r="AO52" i="12"/>
  <c r="AO53" i="12"/>
  <c r="AO54" i="12"/>
  <c r="AO55" i="12"/>
  <c r="AO56" i="12"/>
  <c r="AO57" i="12"/>
  <c r="AO58" i="12"/>
  <c r="AO59" i="12"/>
  <c r="AO60" i="12"/>
  <c r="AO61" i="12"/>
  <c r="AO5" i="12"/>
  <c r="AO6" i="12"/>
  <c r="AO7" i="12"/>
  <c r="AO8" i="12"/>
  <c r="AO9" i="12"/>
  <c r="AO10" i="12"/>
  <c r="AO11" i="12"/>
  <c r="AO4" i="12"/>
  <c r="AN14" i="12"/>
  <c r="AN15" i="12"/>
  <c r="AN16" i="12"/>
  <c r="AN17" i="12"/>
  <c r="AN18" i="12"/>
  <c r="AN19" i="12"/>
  <c r="AN20" i="12"/>
  <c r="AN21" i="12"/>
  <c r="AN22" i="12"/>
  <c r="AN23" i="12"/>
  <c r="AN24" i="12"/>
  <c r="AN25" i="12"/>
  <c r="AN26" i="12"/>
  <c r="AN27" i="12"/>
  <c r="AN28" i="12"/>
  <c r="AN29" i="12"/>
  <c r="AN30" i="12"/>
  <c r="AN31" i="12"/>
  <c r="AN32" i="12"/>
  <c r="AN33" i="12"/>
  <c r="AN34" i="12"/>
  <c r="AN35" i="12"/>
  <c r="AN36" i="12"/>
  <c r="AN37" i="12"/>
  <c r="AN38" i="12"/>
  <c r="AN39" i="12"/>
  <c r="AN40" i="12"/>
  <c r="AN41" i="12"/>
  <c r="AN42" i="12"/>
  <c r="AN43" i="12"/>
  <c r="AN44" i="12"/>
  <c r="AN45" i="12"/>
  <c r="AN46" i="12"/>
  <c r="AN47" i="12"/>
  <c r="AN48" i="12"/>
  <c r="AN49" i="12"/>
  <c r="AN50" i="12"/>
  <c r="AN51" i="12"/>
  <c r="AN52" i="12"/>
  <c r="AN53" i="12"/>
  <c r="AN54" i="12"/>
  <c r="AN55" i="12"/>
  <c r="AN56" i="12"/>
  <c r="AN57" i="12"/>
  <c r="AN58" i="12"/>
  <c r="AN59" i="12"/>
  <c r="AN60" i="12"/>
  <c r="AN61" i="12"/>
  <c r="AN5" i="12"/>
  <c r="AN6" i="12"/>
  <c r="AN7" i="12"/>
  <c r="AN8" i="12"/>
  <c r="AN9" i="12"/>
  <c r="AN10" i="12"/>
  <c r="AN11" i="12"/>
  <c r="AN12" i="12"/>
  <c r="AN13" i="12"/>
  <c r="AN4" i="12"/>
  <c r="AM16" i="12"/>
  <c r="AM17" i="12"/>
  <c r="AM18" i="12"/>
  <c r="AM19" i="12"/>
  <c r="AM20" i="12"/>
  <c r="AM21" i="12"/>
  <c r="AM22" i="12"/>
  <c r="AM23" i="12"/>
  <c r="AM24" i="12"/>
  <c r="AM25" i="12"/>
  <c r="AM26" i="12"/>
  <c r="AM27" i="12"/>
  <c r="AM28" i="12"/>
  <c r="AM29" i="12"/>
  <c r="AM30" i="12"/>
  <c r="AM31" i="12"/>
  <c r="AM32" i="12"/>
  <c r="AM33" i="12"/>
  <c r="AM34" i="12"/>
  <c r="AM35" i="12"/>
  <c r="AM36" i="12"/>
  <c r="AM37" i="12"/>
  <c r="AM38" i="12"/>
  <c r="AM39" i="12"/>
  <c r="AM40" i="12"/>
  <c r="AM41" i="12"/>
  <c r="AM42" i="12"/>
  <c r="AM43" i="12"/>
  <c r="AM44" i="12"/>
  <c r="AM45" i="12"/>
  <c r="AM46" i="12"/>
  <c r="AM47" i="12"/>
  <c r="AM48" i="12"/>
  <c r="AM49" i="12"/>
  <c r="AM50" i="12"/>
  <c r="AM51" i="12"/>
  <c r="AM52" i="12"/>
  <c r="AM53" i="12"/>
  <c r="AM54" i="12"/>
  <c r="AM55" i="12"/>
  <c r="AM56" i="12"/>
  <c r="AM57" i="12"/>
  <c r="AM58" i="12"/>
  <c r="AM59" i="12"/>
  <c r="AM60" i="12"/>
  <c r="AM61" i="12"/>
  <c r="AM5" i="12"/>
  <c r="AM6" i="12"/>
  <c r="AM7" i="12"/>
  <c r="AM8" i="12"/>
  <c r="AM9" i="12"/>
  <c r="AM10" i="12"/>
  <c r="AM11" i="12"/>
  <c r="AM12" i="12"/>
  <c r="AM13" i="12"/>
  <c r="AM14" i="12"/>
  <c r="AM15" i="12"/>
  <c r="AM4" i="12"/>
  <c r="AL14" i="12"/>
  <c r="AL15" i="12"/>
  <c r="AL16" i="12"/>
  <c r="AL17" i="12"/>
  <c r="AL18" i="12"/>
  <c r="AL19" i="12"/>
  <c r="AL20" i="12"/>
  <c r="AL21" i="12"/>
  <c r="AL22" i="12"/>
  <c r="AL23" i="12"/>
  <c r="AL24" i="12"/>
  <c r="AL25" i="12"/>
  <c r="AL26" i="12"/>
  <c r="AL27" i="12"/>
  <c r="AL28" i="12"/>
  <c r="AL29" i="12"/>
  <c r="AL30" i="12"/>
  <c r="AL31" i="12"/>
  <c r="AL32" i="12"/>
  <c r="AL33" i="12"/>
  <c r="AL34" i="12"/>
  <c r="AL35" i="12"/>
  <c r="AL36" i="12"/>
  <c r="AL37" i="12"/>
  <c r="AL38" i="12"/>
  <c r="AL39" i="12"/>
  <c r="AL40" i="12"/>
  <c r="AL41" i="12"/>
  <c r="AL42" i="12"/>
  <c r="AL43" i="12"/>
  <c r="AL44" i="12"/>
  <c r="AL45" i="12"/>
  <c r="AL46" i="12"/>
  <c r="AL47" i="12"/>
  <c r="AL48" i="12"/>
  <c r="AL49" i="12"/>
  <c r="AL50" i="12"/>
  <c r="AL51" i="12"/>
  <c r="AL52" i="12"/>
  <c r="AL53" i="12"/>
  <c r="AL54" i="12"/>
  <c r="AL55" i="12"/>
  <c r="AL56" i="12"/>
  <c r="AL57" i="12"/>
  <c r="AL58" i="12"/>
  <c r="AL59" i="12"/>
  <c r="AL60" i="12"/>
  <c r="AL61" i="12"/>
  <c r="AL5" i="12"/>
  <c r="AL6" i="12"/>
  <c r="AL7" i="12"/>
  <c r="AL8" i="12"/>
  <c r="AL9" i="12"/>
  <c r="AL10" i="12"/>
  <c r="AL11" i="12"/>
  <c r="AL12" i="12"/>
  <c r="AL13" i="12"/>
  <c r="AL4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33" i="12"/>
  <c r="AK34" i="12"/>
  <c r="AK35" i="12"/>
  <c r="AK36" i="12"/>
  <c r="AK37" i="12"/>
  <c r="AK38" i="12"/>
  <c r="AK39" i="12"/>
  <c r="AK40" i="12"/>
  <c r="AK41" i="12"/>
  <c r="AK42" i="12"/>
  <c r="AK43" i="12"/>
  <c r="AK44" i="12"/>
  <c r="AK45" i="12"/>
  <c r="AK46" i="12"/>
  <c r="AK47" i="12"/>
  <c r="AK48" i="12"/>
  <c r="AK49" i="12"/>
  <c r="AK50" i="12"/>
  <c r="AK51" i="12"/>
  <c r="AK52" i="12"/>
  <c r="AK53" i="12"/>
  <c r="AK54" i="12"/>
  <c r="AK55" i="12"/>
  <c r="AK56" i="12"/>
  <c r="AK57" i="12"/>
  <c r="AK58" i="12"/>
  <c r="AK59" i="12"/>
  <c r="AK60" i="12"/>
  <c r="AK61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4" i="12"/>
  <c r="AJ22" i="12"/>
  <c r="AJ23" i="12"/>
  <c r="AJ24" i="12"/>
  <c r="AJ25" i="12"/>
  <c r="AJ26" i="12"/>
  <c r="AJ27" i="12"/>
  <c r="AJ28" i="12"/>
  <c r="AJ29" i="12"/>
  <c r="AJ30" i="12"/>
  <c r="AJ31" i="12"/>
  <c r="AJ32" i="12"/>
  <c r="AJ33" i="12"/>
  <c r="AJ34" i="12"/>
  <c r="AJ35" i="12"/>
  <c r="AJ36" i="12"/>
  <c r="AJ37" i="12"/>
  <c r="AJ38" i="12"/>
  <c r="AJ39" i="12"/>
  <c r="AJ40" i="12"/>
  <c r="AJ41" i="12"/>
  <c r="AJ42" i="12"/>
  <c r="AJ43" i="12"/>
  <c r="AJ44" i="12"/>
  <c r="AJ45" i="12"/>
  <c r="AJ46" i="12"/>
  <c r="AJ47" i="12"/>
  <c r="AJ48" i="12"/>
  <c r="AJ49" i="12"/>
  <c r="AJ50" i="12"/>
  <c r="AJ51" i="12"/>
  <c r="AJ52" i="12"/>
  <c r="AJ53" i="12"/>
  <c r="AJ54" i="12"/>
  <c r="AJ55" i="12"/>
  <c r="AJ56" i="12"/>
  <c r="AJ57" i="12"/>
  <c r="AJ58" i="12"/>
  <c r="AJ59" i="12"/>
  <c r="AJ60" i="12"/>
  <c r="AJ61" i="12"/>
  <c r="AJ14" i="12"/>
  <c r="AJ15" i="12"/>
  <c r="AJ16" i="12"/>
  <c r="AJ17" i="12"/>
  <c r="AJ18" i="12"/>
  <c r="AJ19" i="12"/>
  <c r="AJ20" i="12"/>
  <c r="AJ21" i="12"/>
  <c r="AJ5" i="12"/>
  <c r="AJ6" i="12"/>
  <c r="AJ7" i="12"/>
  <c r="AJ8" i="12"/>
  <c r="AJ9" i="12"/>
  <c r="AJ10" i="12"/>
  <c r="AJ11" i="12"/>
  <c r="AJ12" i="12"/>
  <c r="AJ13" i="12"/>
  <c r="AJ4" i="12"/>
  <c r="AI13" i="12"/>
  <c r="AI14" i="12"/>
  <c r="AI15" i="12"/>
  <c r="AI16" i="12"/>
  <c r="AI17" i="12"/>
  <c r="AI18" i="12"/>
  <c r="AI19" i="12"/>
  <c r="AI20" i="12"/>
  <c r="AI21" i="12"/>
  <c r="AI22" i="12"/>
  <c r="AI23" i="12"/>
  <c r="AI24" i="12"/>
  <c r="AI25" i="12"/>
  <c r="AI26" i="12"/>
  <c r="AI27" i="12"/>
  <c r="AI28" i="12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I41" i="12"/>
  <c r="AI42" i="12"/>
  <c r="AI43" i="12"/>
  <c r="AI44" i="12"/>
  <c r="AI45" i="12"/>
  <c r="AI46" i="12"/>
  <c r="AI47" i="12"/>
  <c r="AI48" i="12"/>
  <c r="AI49" i="12"/>
  <c r="AI50" i="12"/>
  <c r="AI51" i="12"/>
  <c r="AI52" i="12"/>
  <c r="AI53" i="12"/>
  <c r="AI54" i="12"/>
  <c r="AI55" i="12"/>
  <c r="AI56" i="12"/>
  <c r="AI57" i="12"/>
  <c r="AI58" i="12"/>
  <c r="AI59" i="12"/>
  <c r="AI60" i="12"/>
  <c r="AI61" i="12"/>
  <c r="AI5" i="12"/>
  <c r="AI6" i="12"/>
  <c r="AI7" i="12"/>
  <c r="AI8" i="12"/>
  <c r="AI9" i="12"/>
  <c r="AI10" i="12"/>
  <c r="AI11" i="12"/>
  <c r="AI12" i="12"/>
  <c r="AI4" i="12"/>
  <c r="AH5" i="12"/>
  <c r="AH6" i="12"/>
  <c r="AH7" i="12"/>
  <c r="AH8" i="12"/>
  <c r="AH9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28" i="12"/>
  <c r="AG29" i="12"/>
  <c r="AG30" i="12"/>
  <c r="AG31" i="12"/>
  <c r="AG32" i="12"/>
  <c r="AG33" i="12"/>
  <c r="AG34" i="12"/>
  <c r="AG35" i="12"/>
  <c r="AG36" i="12"/>
  <c r="AG37" i="12"/>
  <c r="AG38" i="12"/>
  <c r="AG39" i="12"/>
  <c r="AG40" i="12"/>
  <c r="AG41" i="12"/>
  <c r="AG42" i="12"/>
  <c r="AG43" i="12"/>
  <c r="AG44" i="12"/>
  <c r="AG45" i="12"/>
  <c r="AG46" i="12"/>
  <c r="AG47" i="12"/>
  <c r="AG48" i="12"/>
  <c r="AG49" i="12"/>
  <c r="AG50" i="12"/>
  <c r="AG51" i="12"/>
  <c r="AG52" i="12"/>
  <c r="AG53" i="12"/>
  <c r="AG54" i="12"/>
  <c r="AG55" i="12"/>
  <c r="AG56" i="12"/>
  <c r="AG57" i="12"/>
  <c r="AG58" i="12"/>
  <c r="AG59" i="12"/>
  <c r="AG60" i="12"/>
  <c r="AG61" i="12"/>
  <c r="AG5" i="12"/>
  <c r="AG6" i="12"/>
  <c r="AG7" i="12"/>
  <c r="AG8" i="12"/>
  <c r="AG9" i="12"/>
  <c r="AG10" i="12"/>
  <c r="AG11" i="12"/>
  <c r="AG12" i="12"/>
  <c r="AG13" i="12"/>
  <c r="AG14" i="12"/>
  <c r="AG4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F27" i="12"/>
  <c r="AF28" i="12"/>
  <c r="AF29" i="12"/>
  <c r="AF30" i="12"/>
  <c r="AF31" i="12"/>
  <c r="AF32" i="12"/>
  <c r="AF33" i="12"/>
  <c r="AF34" i="12"/>
  <c r="AF35" i="12"/>
  <c r="AF36" i="12"/>
  <c r="AF37" i="12"/>
  <c r="AF38" i="12"/>
  <c r="AF39" i="12"/>
  <c r="AF40" i="12"/>
  <c r="AF41" i="12"/>
  <c r="AF42" i="12"/>
  <c r="AF43" i="12"/>
  <c r="AF44" i="12"/>
  <c r="AF45" i="12"/>
  <c r="AF46" i="12"/>
  <c r="AF47" i="12"/>
  <c r="AF48" i="12"/>
  <c r="AF49" i="12"/>
  <c r="AF50" i="12"/>
  <c r="AF51" i="12"/>
  <c r="AF52" i="12"/>
  <c r="AF53" i="12"/>
  <c r="AF54" i="12"/>
  <c r="AF55" i="12"/>
  <c r="AF56" i="12"/>
  <c r="AF57" i="12"/>
  <c r="AF58" i="12"/>
  <c r="AF59" i="12"/>
  <c r="AF60" i="12"/>
  <c r="AF61" i="12"/>
  <c r="AF5" i="12"/>
  <c r="AF6" i="12"/>
  <c r="AF7" i="12"/>
  <c r="AF8" i="12"/>
  <c r="AF9" i="12"/>
  <c r="AF10" i="12"/>
  <c r="AF11" i="12"/>
  <c r="AF12" i="12"/>
  <c r="AF13" i="12"/>
  <c r="AF4" i="12"/>
  <c r="AE5" i="12"/>
  <c r="AE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8" i="12"/>
  <c r="AE39" i="12"/>
  <c r="AE40" i="12"/>
  <c r="AE41" i="12"/>
  <c r="AE42" i="12"/>
  <c r="AE43" i="12"/>
  <c r="AE44" i="12"/>
  <c r="AE45" i="12"/>
  <c r="AE46" i="12"/>
  <c r="AE47" i="12"/>
  <c r="AE48" i="12"/>
  <c r="AE49" i="12"/>
  <c r="AE50" i="12"/>
  <c r="AE51" i="12"/>
  <c r="AE52" i="12"/>
  <c r="AE53" i="12"/>
  <c r="AE54" i="12"/>
  <c r="AE55" i="12"/>
  <c r="AE56" i="12"/>
  <c r="AE57" i="12"/>
  <c r="AE58" i="12"/>
  <c r="AE59" i="12"/>
  <c r="AE60" i="12"/>
  <c r="AE61" i="12"/>
  <c r="AE4" i="12"/>
  <c r="AD4" i="12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33" i="12"/>
  <c r="AD34" i="12"/>
  <c r="AD35" i="12"/>
  <c r="AD36" i="12"/>
  <c r="AD37" i="12"/>
  <c r="AD38" i="12"/>
  <c r="AD39" i="12"/>
  <c r="AD40" i="12"/>
  <c r="AD41" i="12"/>
  <c r="AD42" i="12"/>
  <c r="AD43" i="12"/>
  <c r="AD44" i="12"/>
  <c r="AD45" i="12"/>
  <c r="AD46" i="12"/>
  <c r="AD47" i="12"/>
  <c r="AD48" i="12"/>
  <c r="AD49" i="12"/>
  <c r="AD50" i="12"/>
  <c r="AD51" i="12"/>
  <c r="AD52" i="12"/>
  <c r="AD53" i="12"/>
  <c r="AD54" i="12"/>
  <c r="AD55" i="12"/>
  <c r="AD56" i="12"/>
  <c r="AD57" i="12"/>
  <c r="AD58" i="12"/>
  <c r="AD59" i="12"/>
  <c r="AD60" i="12"/>
  <c r="AD61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4" i="12"/>
  <c r="AB4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5" i="12"/>
  <c r="AB6" i="12"/>
  <c r="AB7" i="12"/>
  <c r="AB8" i="12"/>
  <c r="AB9" i="12"/>
  <c r="AB10" i="12"/>
  <c r="AB11" i="12"/>
  <c r="AB12" i="12"/>
  <c r="AB13" i="12"/>
  <c r="AB14" i="12"/>
  <c r="AB15" i="12"/>
  <c r="AB16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5" i="12"/>
  <c r="AA6" i="12"/>
  <c r="AA7" i="12"/>
  <c r="AA8" i="12"/>
  <c r="AA9" i="12"/>
  <c r="AA10" i="12"/>
  <c r="AA11" i="12"/>
  <c r="AA4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5" i="12"/>
  <c r="Z6" i="12"/>
  <c r="Z7" i="12"/>
  <c r="Z8" i="12"/>
  <c r="Z9" i="12"/>
  <c r="Z10" i="12"/>
  <c r="Z11" i="12"/>
  <c r="Z4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Y51" i="12"/>
  <c r="Y52" i="12"/>
  <c r="Y53" i="12"/>
  <c r="Y54" i="12"/>
  <c r="Y55" i="12"/>
  <c r="Y56" i="12"/>
  <c r="Y57" i="12"/>
  <c r="Y58" i="12"/>
  <c r="Y59" i="12"/>
  <c r="Y60" i="12"/>
  <c r="Y61" i="12"/>
  <c r="Y5" i="12"/>
  <c r="Y6" i="12"/>
  <c r="Y7" i="12"/>
  <c r="Y8" i="12"/>
  <c r="Y9" i="12"/>
  <c r="Y10" i="12"/>
  <c r="Y11" i="12"/>
  <c r="Y12" i="12"/>
  <c r="Y13" i="12"/>
  <c r="Y14" i="12"/>
  <c r="Y15" i="12"/>
  <c r="Y16" i="12"/>
  <c r="Y17" i="12"/>
  <c r="Y4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8" i="12"/>
  <c r="X39" i="12"/>
  <c r="X40" i="12"/>
  <c r="X41" i="12"/>
  <c r="X42" i="12"/>
  <c r="X43" i="12"/>
  <c r="X44" i="12"/>
  <c r="X45" i="12"/>
  <c r="X46" i="12"/>
  <c r="X47" i="12"/>
  <c r="X48" i="12"/>
  <c r="X49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14" i="12"/>
  <c r="X15" i="12"/>
  <c r="X16" i="12"/>
  <c r="X17" i="12"/>
  <c r="X18" i="12"/>
  <c r="X19" i="12"/>
  <c r="X20" i="12"/>
  <c r="X21" i="12"/>
  <c r="X22" i="12"/>
  <c r="X5" i="12"/>
  <c r="X6" i="12"/>
  <c r="X7" i="12"/>
  <c r="X8" i="12"/>
  <c r="X9" i="12"/>
  <c r="X10" i="12"/>
  <c r="X11" i="12"/>
  <c r="X12" i="12"/>
  <c r="X13" i="12"/>
  <c r="X4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5" i="12"/>
  <c r="W6" i="12"/>
  <c r="W7" i="12"/>
  <c r="W8" i="12"/>
  <c r="W9" i="12"/>
  <c r="W10" i="12"/>
  <c r="W11" i="12"/>
  <c r="W12" i="12"/>
  <c r="W13" i="12"/>
  <c r="W14" i="12"/>
  <c r="W15" i="12"/>
  <c r="W4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4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5" i="12"/>
  <c r="U6" i="12"/>
  <c r="U7" i="12"/>
  <c r="U8" i="12"/>
  <c r="U9" i="12"/>
  <c r="U10" i="12"/>
  <c r="U11" i="12"/>
  <c r="U12" i="12"/>
  <c r="U13" i="12"/>
  <c r="U14" i="12"/>
  <c r="U15" i="12"/>
  <c r="U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4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5" i="12"/>
  <c r="S6" i="12"/>
  <c r="S7" i="12"/>
  <c r="S8" i="12"/>
  <c r="S9" i="12"/>
  <c r="S10" i="12"/>
  <c r="S11" i="12"/>
  <c r="S12" i="12"/>
  <c r="S13" i="12"/>
  <c r="S14" i="12"/>
  <c r="S15" i="12"/>
  <c r="S16" i="12"/>
  <c r="S4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5" i="12"/>
  <c r="R6" i="12"/>
  <c r="R7" i="12"/>
  <c r="R8" i="12"/>
  <c r="R9" i="12"/>
  <c r="R10" i="12"/>
  <c r="R4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4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10" i="12"/>
  <c r="P11" i="12"/>
  <c r="P12" i="12"/>
  <c r="P13" i="12"/>
  <c r="P14" i="12"/>
  <c r="P15" i="12"/>
  <c r="P16" i="12"/>
  <c r="P17" i="12"/>
  <c r="P5" i="12"/>
  <c r="P6" i="12"/>
  <c r="P7" i="12"/>
  <c r="P8" i="12"/>
  <c r="P9" i="12"/>
  <c r="P4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5" i="12"/>
  <c r="O6" i="12"/>
  <c r="O7" i="12"/>
  <c r="O4" i="12"/>
  <c r="N4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5" i="12"/>
  <c r="N6" i="12"/>
  <c r="N7" i="12"/>
  <c r="N8" i="12"/>
  <c r="N9" i="12"/>
  <c r="N10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5" i="12"/>
  <c r="M6" i="12"/>
  <c r="M7" i="12"/>
  <c r="M8" i="12"/>
  <c r="M9" i="12"/>
  <c r="M10" i="12"/>
  <c r="M11" i="12"/>
  <c r="M12" i="12"/>
  <c r="M13" i="12"/>
  <c r="M14" i="12"/>
  <c r="M15" i="12"/>
  <c r="M16" i="12"/>
  <c r="M4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5" i="12"/>
  <c r="L6" i="12"/>
  <c r="L7" i="12"/>
  <c r="L8" i="12"/>
  <c r="L9" i="12"/>
  <c r="L10" i="12"/>
  <c r="L11" i="12"/>
  <c r="L12" i="12"/>
  <c r="L4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8" i="12"/>
  <c r="K9" i="12"/>
  <c r="K10" i="12"/>
  <c r="K11" i="12"/>
  <c r="K5" i="12"/>
  <c r="K6" i="12"/>
  <c r="K7" i="12"/>
  <c r="K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5" i="12"/>
  <c r="I6" i="12"/>
  <c r="I7" i="12"/>
  <c r="I8" i="12"/>
  <c r="I9" i="12"/>
  <c r="I10" i="12"/>
  <c r="I11" i="12"/>
  <c r="I12" i="12"/>
  <c r="I13" i="12"/>
  <c r="I14" i="12"/>
  <c r="I4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5" i="12"/>
  <c r="H6" i="12"/>
  <c r="H7" i="12"/>
  <c r="H8" i="12"/>
  <c r="H9" i="12"/>
  <c r="H10" i="12"/>
  <c r="H11" i="12"/>
  <c r="H12" i="12"/>
  <c r="H13" i="12"/>
  <c r="H4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5" i="12"/>
  <c r="G6" i="12"/>
  <c r="G7" i="12"/>
  <c r="G4" i="12"/>
  <c r="F4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5" i="12"/>
  <c r="F6" i="12"/>
  <c r="F7" i="12"/>
  <c r="F8" i="12"/>
  <c r="F9" i="12"/>
  <c r="F10" i="12"/>
  <c r="E4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8" i="12"/>
  <c r="E9" i="12"/>
  <c r="E10" i="12"/>
  <c r="E11" i="12"/>
  <c r="E12" i="12"/>
  <c r="E13" i="12"/>
  <c r="E14" i="12"/>
  <c r="E15" i="12"/>
  <c r="E16" i="12"/>
  <c r="E5" i="12"/>
  <c r="E6" i="12"/>
  <c r="E7" i="12"/>
  <c r="D4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5" i="12"/>
  <c r="D6" i="12"/>
  <c r="D7" i="12"/>
  <c r="D8" i="12"/>
  <c r="D9" i="12"/>
  <c r="D10" i="12"/>
  <c r="D11" i="12"/>
  <c r="D12" i="12"/>
  <c r="D13" i="12"/>
  <c r="C4" i="12"/>
  <c r="BD4" i="12" s="1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11" i="12"/>
  <c r="C12" i="12"/>
  <c r="C13" i="12"/>
  <c r="C14" i="12"/>
  <c r="C15" i="12"/>
  <c r="C16" i="12"/>
  <c r="C5" i="12"/>
  <c r="C6" i="12"/>
  <c r="C7" i="12"/>
  <c r="C8" i="12"/>
  <c r="C9" i="12"/>
  <c r="C10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4" i="12"/>
  <c r="AB4" i="10"/>
  <c r="J62" i="12" l="1"/>
  <c r="L62" i="12"/>
  <c r="T62" i="12"/>
  <c r="V62" i="12"/>
  <c r="X62" i="12"/>
  <c r="AF62" i="12"/>
  <c r="AJ62" i="12"/>
  <c r="AL62" i="12"/>
  <c r="AN62" i="12"/>
  <c r="AR62" i="12"/>
  <c r="AV62" i="12"/>
  <c r="AX62" i="12"/>
  <c r="AZ62" i="12"/>
  <c r="D62" i="12"/>
  <c r="F62" i="12"/>
  <c r="H62" i="12"/>
  <c r="M63" i="12"/>
  <c r="N62" i="12"/>
  <c r="P62" i="12"/>
  <c r="R62" i="12"/>
  <c r="U63" i="12"/>
  <c r="Z62" i="12"/>
  <c r="AB62" i="12"/>
  <c r="AC63" i="12"/>
  <c r="AD62" i="12"/>
  <c r="AH62" i="12"/>
  <c r="AK63" i="12"/>
  <c r="AP62" i="12"/>
  <c r="AS63" i="12"/>
  <c r="AT62" i="12"/>
  <c r="BA63" i="12"/>
  <c r="G63" i="12"/>
  <c r="I63" i="12"/>
  <c r="K63" i="12"/>
  <c r="O63" i="12"/>
  <c r="Q63" i="12"/>
  <c r="S63" i="12"/>
  <c r="W63" i="12"/>
  <c r="Y63" i="12"/>
  <c r="AA63" i="12"/>
  <c r="AE63" i="12"/>
  <c r="AG63" i="12"/>
  <c r="AI63" i="12"/>
  <c r="AM63" i="12"/>
  <c r="AO63" i="12"/>
  <c r="AQ63" i="12"/>
  <c r="AU63" i="12"/>
  <c r="AW63" i="12"/>
  <c r="AY63" i="12"/>
  <c r="E63" i="12"/>
  <c r="C63" i="12"/>
  <c r="BC4" i="12"/>
  <c r="BC18" i="12"/>
  <c r="BC14" i="12"/>
  <c r="BC10" i="12"/>
  <c r="BC6" i="12"/>
  <c r="BC59" i="12"/>
  <c r="BC55" i="12"/>
  <c r="BC51" i="12"/>
  <c r="BC47" i="12"/>
  <c r="BC43" i="12"/>
  <c r="BC39" i="12"/>
  <c r="BC35" i="12"/>
  <c r="BC31" i="12"/>
  <c r="BC27" i="12"/>
  <c r="BC23" i="12"/>
  <c r="BD8" i="12"/>
  <c r="BD16" i="12"/>
  <c r="BD12" i="12"/>
  <c r="BD59" i="12"/>
  <c r="BD55" i="12"/>
  <c r="BD51" i="12"/>
  <c r="BD47" i="12"/>
  <c r="BD43" i="12"/>
  <c r="BD39" i="12"/>
  <c r="BD35" i="12"/>
  <c r="BD31" i="12"/>
  <c r="BD27" i="12"/>
  <c r="BD23" i="12"/>
  <c r="BD19" i="12"/>
  <c r="B62" i="12"/>
  <c r="BC21" i="12"/>
  <c r="BC17" i="12"/>
  <c r="BC13" i="12"/>
  <c r="BC9" i="12"/>
  <c r="BC5" i="12"/>
  <c r="BC58" i="12"/>
  <c r="BC54" i="12"/>
  <c r="BC50" i="12"/>
  <c r="BC46" i="12"/>
  <c r="BC42" i="12"/>
  <c r="BC38" i="12"/>
  <c r="BC34" i="12"/>
  <c r="BC30" i="12"/>
  <c r="BC26" i="12"/>
  <c r="BC22" i="12"/>
  <c r="BD7" i="12"/>
  <c r="BD15" i="12"/>
  <c r="BD11" i="12"/>
  <c r="BD58" i="12"/>
  <c r="BD54" i="12"/>
  <c r="BD50" i="12"/>
  <c r="BD46" i="12"/>
  <c r="BD42" i="12"/>
  <c r="BD38" i="12"/>
  <c r="BD34" i="12"/>
  <c r="BD30" i="12"/>
  <c r="BD26" i="12"/>
  <c r="BD22" i="12"/>
  <c r="BD18" i="12"/>
  <c r="BC20" i="12"/>
  <c r="BC16" i="12"/>
  <c r="BC12" i="12"/>
  <c r="BC8" i="12"/>
  <c r="BC61" i="12"/>
  <c r="BC57" i="12"/>
  <c r="BC53" i="12"/>
  <c r="BC49" i="12"/>
  <c r="BC45" i="12"/>
  <c r="BC41" i="12"/>
  <c r="BC37" i="12"/>
  <c r="BC33" i="12"/>
  <c r="BC29" i="12"/>
  <c r="BC25" i="12"/>
  <c r="BD10" i="12"/>
  <c r="BD6" i="12"/>
  <c r="BD14" i="12"/>
  <c r="BD61" i="12"/>
  <c r="BD57" i="12"/>
  <c r="BD53" i="12"/>
  <c r="BD49" i="12"/>
  <c r="BD45" i="12"/>
  <c r="BD41" i="12"/>
  <c r="BD37" i="12"/>
  <c r="BD33" i="12"/>
  <c r="BD29" i="12"/>
  <c r="BD25" i="12"/>
  <c r="BD21" i="12"/>
  <c r="BD17" i="12"/>
  <c r="BC19" i="12"/>
  <c r="BC15" i="12"/>
  <c r="BC11" i="12"/>
  <c r="BC7" i="12"/>
  <c r="BC60" i="12"/>
  <c r="BC56" i="12"/>
  <c r="BC52" i="12"/>
  <c r="BC48" i="12"/>
  <c r="BC44" i="12"/>
  <c r="BC40" i="12"/>
  <c r="BC36" i="12"/>
  <c r="BC32" i="12"/>
  <c r="BC28" i="12"/>
  <c r="BC24" i="12"/>
  <c r="BD9" i="12"/>
  <c r="BD5" i="12"/>
  <c r="BD13" i="12"/>
  <c r="BD60" i="12"/>
  <c r="BD56" i="12"/>
  <c r="BD52" i="12"/>
  <c r="BD48" i="12"/>
  <c r="BD44" i="12"/>
  <c r="BD40" i="12"/>
  <c r="BD36" i="12"/>
  <c r="BD32" i="12"/>
  <c r="BD28" i="12"/>
  <c r="BD24" i="12"/>
  <c r="BD20" i="12"/>
  <c r="B63" i="10"/>
  <c r="Z65" i="9"/>
  <c r="Z61" i="9"/>
  <c r="C62" i="10" l="1"/>
  <c r="L60" i="9" l="1"/>
  <c r="J60" i="9"/>
  <c r="H60" i="9"/>
  <c r="F60" i="9"/>
  <c r="D60" i="9"/>
  <c r="P60" i="9"/>
  <c r="C3" i="9"/>
  <c r="I15" i="8" l="1"/>
  <c r="I16" i="8"/>
  <c r="I17" i="8"/>
  <c r="I18" i="8"/>
  <c r="I19" i="8"/>
  <c r="I20" i="8"/>
  <c r="I21" i="8"/>
  <c r="I22" i="8"/>
  <c r="I23" i="8"/>
  <c r="I24" i="8"/>
  <c r="I25" i="8"/>
  <c r="I26" i="8"/>
  <c r="I27" i="8"/>
  <c r="I3" i="8"/>
  <c r="I4" i="8"/>
  <c r="I5" i="8"/>
  <c r="I6" i="8"/>
  <c r="I7" i="8"/>
  <c r="I8" i="8"/>
  <c r="I9" i="8"/>
  <c r="I10" i="8"/>
  <c r="I11" i="8"/>
  <c r="I12" i="8"/>
  <c r="I13" i="8"/>
  <c r="I14" i="8"/>
  <c r="I2" i="8"/>
  <c r="P40" i="9" l="1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4" i="9"/>
  <c r="P5" i="9"/>
  <c r="P6" i="9"/>
  <c r="P3" i="9"/>
  <c r="O53" i="9"/>
  <c r="O54" i="9"/>
  <c r="O55" i="9"/>
  <c r="O56" i="9"/>
  <c r="O57" i="9"/>
  <c r="O58" i="9"/>
  <c r="O59" i="9"/>
  <c r="O60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4" i="9"/>
  <c r="O5" i="9"/>
  <c r="O6" i="9"/>
  <c r="O7" i="9"/>
  <c r="O8" i="9"/>
  <c r="O9" i="9"/>
  <c r="O10" i="9"/>
  <c r="O11" i="9"/>
  <c r="O12" i="9"/>
  <c r="O13" i="9"/>
  <c r="O14" i="9"/>
  <c r="O3" i="9"/>
  <c r="L51" i="9"/>
  <c r="L52" i="9"/>
  <c r="L53" i="9"/>
  <c r="L54" i="9"/>
  <c r="L55" i="9"/>
  <c r="L56" i="9"/>
  <c r="L57" i="9"/>
  <c r="L58" i="9"/>
  <c r="L59" i="9"/>
  <c r="L40" i="9"/>
  <c r="L41" i="9"/>
  <c r="L42" i="9"/>
  <c r="L43" i="9"/>
  <c r="L44" i="9"/>
  <c r="L45" i="9"/>
  <c r="L46" i="9"/>
  <c r="L47" i="9"/>
  <c r="L48" i="9"/>
  <c r="L49" i="9"/>
  <c r="L50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3" i="9"/>
  <c r="K55" i="9"/>
  <c r="K56" i="9"/>
  <c r="K57" i="9"/>
  <c r="K58" i="9"/>
  <c r="K59" i="9"/>
  <c r="K60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3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22" i="9"/>
  <c r="I23" i="9"/>
  <c r="I24" i="9"/>
  <c r="I25" i="9"/>
  <c r="I26" i="9"/>
  <c r="I27" i="9"/>
  <c r="I28" i="9"/>
  <c r="I29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3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3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4" i="9"/>
  <c r="F5" i="9"/>
  <c r="F6" i="9"/>
  <c r="F7" i="9"/>
  <c r="F8" i="9"/>
  <c r="F9" i="9"/>
  <c r="F10" i="9"/>
  <c r="F11" i="9"/>
  <c r="F12" i="9"/>
  <c r="F13" i="9"/>
  <c r="F14" i="9"/>
  <c r="F15" i="9"/>
  <c r="F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3" i="9"/>
  <c r="Q3" i="9" s="1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4" i="9"/>
  <c r="D5" i="9"/>
  <c r="D3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4" i="9"/>
  <c r="C5" i="9"/>
  <c r="C6" i="9"/>
  <c r="C7" i="9"/>
  <c r="C8" i="9"/>
  <c r="C9" i="9"/>
  <c r="C10" i="9"/>
  <c r="C11" i="9"/>
  <c r="C12" i="9"/>
  <c r="C13" i="9"/>
  <c r="C14" i="9"/>
  <c r="S3" i="9" l="1"/>
  <c r="S4" i="9"/>
  <c r="R3" i="9"/>
  <c r="Q60" i="9"/>
  <c r="R60" i="9" s="1"/>
  <c r="Q56" i="9"/>
  <c r="R56" i="9" s="1"/>
  <c r="Q52" i="9"/>
  <c r="R52" i="9" s="1"/>
  <c r="Q48" i="9"/>
  <c r="R48" i="9" s="1"/>
  <c r="Q44" i="9"/>
  <c r="R44" i="9" s="1"/>
  <c r="Q40" i="9"/>
  <c r="R40" i="9" s="1"/>
  <c r="Q36" i="9"/>
  <c r="R36" i="9" s="1"/>
  <c r="Q32" i="9"/>
  <c r="R32" i="9" s="1"/>
  <c r="Q28" i="9"/>
  <c r="R28" i="9" s="1"/>
  <c r="Q24" i="9"/>
  <c r="R24" i="9" s="1"/>
  <c r="Q20" i="9"/>
  <c r="R20" i="9" s="1"/>
  <c r="Q16" i="9"/>
  <c r="R16" i="9" s="1"/>
  <c r="I61" i="9"/>
  <c r="T3" i="9"/>
  <c r="D61" i="9"/>
  <c r="G61" i="9"/>
  <c r="L61" i="9"/>
  <c r="O61" i="9"/>
  <c r="F61" i="9"/>
  <c r="C61" i="9"/>
  <c r="E61" i="9"/>
  <c r="J61" i="9"/>
  <c r="T4" i="9"/>
  <c r="H61" i="9"/>
  <c r="K61" i="9"/>
  <c r="P61" i="9"/>
  <c r="D4" i="10"/>
  <c r="D61" i="10"/>
  <c r="M61" i="10" s="1"/>
  <c r="D53" i="10"/>
  <c r="M53" i="10" s="1"/>
  <c r="D45" i="10"/>
  <c r="M45" i="10" s="1"/>
  <c r="D17" i="10"/>
  <c r="M17" i="10" s="1"/>
  <c r="S12" i="9"/>
  <c r="T12" i="9" s="1"/>
  <c r="S8" i="9"/>
  <c r="T8" i="9" s="1"/>
  <c r="Q59" i="9"/>
  <c r="R59" i="9" s="1"/>
  <c r="Q55" i="9"/>
  <c r="R55" i="9" s="1"/>
  <c r="Q51" i="9"/>
  <c r="R51" i="9" s="1"/>
  <c r="Q47" i="9"/>
  <c r="R47" i="9" s="1"/>
  <c r="Q27" i="9"/>
  <c r="R27" i="9" s="1"/>
  <c r="Q23" i="9"/>
  <c r="R23" i="9" s="1"/>
  <c r="Q12" i="9"/>
  <c r="R12" i="9" s="1"/>
  <c r="Q8" i="9"/>
  <c r="R8" i="9" s="1"/>
  <c r="Q4" i="9"/>
  <c r="R4" i="9" s="1"/>
  <c r="S5" i="9"/>
  <c r="T5" i="9" s="1"/>
  <c r="S17" i="9"/>
  <c r="T17" i="9" s="1"/>
  <c r="S13" i="9"/>
  <c r="T13" i="9" s="1"/>
  <c r="S9" i="9"/>
  <c r="T9" i="9" s="1"/>
  <c r="S60" i="9"/>
  <c r="T60" i="9" s="1"/>
  <c r="S56" i="9"/>
  <c r="T56" i="9" s="1"/>
  <c r="S52" i="9"/>
  <c r="T52" i="9" s="1"/>
  <c r="S48" i="9"/>
  <c r="T48" i="9" s="1"/>
  <c r="S44" i="9"/>
  <c r="T44" i="9" s="1"/>
  <c r="S40" i="9"/>
  <c r="T40" i="9" s="1"/>
  <c r="Q11" i="9"/>
  <c r="R11" i="9" s="1"/>
  <c r="S20" i="9"/>
  <c r="T20" i="9" s="1"/>
  <c r="S16" i="9"/>
  <c r="T16" i="9" s="1"/>
  <c r="S59" i="9"/>
  <c r="T59" i="9" s="1"/>
  <c r="S55" i="9"/>
  <c r="T55" i="9" s="1"/>
  <c r="S51" i="9"/>
  <c r="T51" i="9" s="1"/>
  <c r="S47" i="9"/>
  <c r="T47" i="9" s="1"/>
  <c r="S43" i="9"/>
  <c r="T43" i="9" s="1"/>
  <c r="S39" i="9"/>
  <c r="T39" i="9" s="1"/>
  <c r="S35" i="9"/>
  <c r="T35" i="9" s="1"/>
  <c r="S31" i="9"/>
  <c r="T31" i="9" s="1"/>
  <c r="S27" i="9"/>
  <c r="T27" i="9" s="1"/>
  <c r="Q7" i="9"/>
  <c r="R7" i="9" s="1"/>
  <c r="Q43" i="9"/>
  <c r="R43" i="9" s="1"/>
  <c r="Q39" i="9"/>
  <c r="R39" i="9" s="1"/>
  <c r="Q35" i="9"/>
  <c r="R35" i="9" s="1"/>
  <c r="Q31" i="9"/>
  <c r="R31" i="9" s="1"/>
  <c r="Q19" i="9"/>
  <c r="R19" i="9" s="1"/>
  <c r="Q15" i="9"/>
  <c r="R15" i="9" s="1"/>
  <c r="S15" i="9"/>
  <c r="T15" i="9" s="1"/>
  <c r="S11" i="9"/>
  <c r="T11" i="9" s="1"/>
  <c r="S7" i="9"/>
  <c r="T7" i="9" s="1"/>
  <c r="Q58" i="9"/>
  <c r="R58" i="9" s="1"/>
  <c r="Q54" i="9"/>
  <c r="R54" i="9" s="1"/>
  <c r="Q50" i="9"/>
  <c r="R50" i="9" s="1"/>
  <c r="Q46" i="9"/>
  <c r="R46" i="9" s="1"/>
  <c r="Q26" i="9"/>
  <c r="R26" i="9" s="1"/>
  <c r="Q22" i="9"/>
  <c r="R22" i="9" s="1"/>
  <c r="Q14" i="9"/>
  <c r="R14" i="9" s="1"/>
  <c r="Q10" i="9"/>
  <c r="R10" i="9" s="1"/>
  <c r="Q6" i="9"/>
  <c r="R6" i="9" s="1"/>
  <c r="S23" i="9"/>
  <c r="T23" i="9" s="1"/>
  <c r="S19" i="9"/>
  <c r="T19" i="9" s="1"/>
  <c r="S58" i="9"/>
  <c r="T58" i="9" s="1"/>
  <c r="S54" i="9"/>
  <c r="T54" i="9" s="1"/>
  <c r="S50" i="9"/>
  <c r="T50" i="9" s="1"/>
  <c r="S46" i="9"/>
  <c r="T46" i="9" s="1"/>
  <c r="S42" i="9"/>
  <c r="T42" i="9" s="1"/>
  <c r="S38" i="9"/>
  <c r="T38" i="9" s="1"/>
  <c r="S34" i="9"/>
  <c r="T34" i="9" s="1"/>
  <c r="S30" i="9"/>
  <c r="T30" i="9" s="1"/>
  <c r="S26" i="9"/>
  <c r="T26" i="9" s="1"/>
  <c r="Q9" i="9"/>
  <c r="R9" i="9" s="1"/>
  <c r="Q5" i="9"/>
  <c r="R5" i="9" s="1"/>
  <c r="Q38" i="9"/>
  <c r="R38" i="9" s="1"/>
  <c r="Q30" i="9"/>
  <c r="R30" i="9" s="1"/>
  <c r="S22" i="9"/>
  <c r="T22" i="9" s="1"/>
  <c r="S14" i="9"/>
  <c r="T14" i="9" s="1"/>
  <c r="S6" i="9"/>
  <c r="T6" i="9" s="1"/>
  <c r="S53" i="9"/>
  <c r="T53" i="9" s="1"/>
  <c r="S45" i="9"/>
  <c r="T45" i="9" s="1"/>
  <c r="S37" i="9"/>
  <c r="T37" i="9" s="1"/>
  <c r="S29" i="9"/>
  <c r="T29" i="9" s="1"/>
  <c r="Q13" i="9"/>
  <c r="R13" i="9" s="1"/>
  <c r="Q42" i="9"/>
  <c r="R42" i="9" s="1"/>
  <c r="Q34" i="9"/>
  <c r="R34" i="9" s="1"/>
  <c r="Q18" i="9"/>
  <c r="R18" i="9" s="1"/>
  <c r="S18" i="9"/>
  <c r="T18" i="9" s="1"/>
  <c r="S10" i="9"/>
  <c r="T10" i="9" s="1"/>
  <c r="S57" i="9"/>
  <c r="T57" i="9" s="1"/>
  <c r="S49" i="9"/>
  <c r="T49" i="9" s="1"/>
  <c r="S41" i="9"/>
  <c r="T41" i="9" s="1"/>
  <c r="S33" i="9"/>
  <c r="T33" i="9" s="1"/>
  <c r="S25" i="9"/>
  <c r="T25" i="9" s="1"/>
  <c r="Q57" i="9"/>
  <c r="R57" i="9" s="1"/>
  <c r="Q53" i="9"/>
  <c r="R53" i="9" s="1"/>
  <c r="Q49" i="9"/>
  <c r="R49" i="9" s="1"/>
  <c r="Q45" i="9"/>
  <c r="R45" i="9" s="1"/>
  <c r="Q41" i="9"/>
  <c r="R41" i="9" s="1"/>
  <c r="Q37" i="9"/>
  <c r="R37" i="9" s="1"/>
  <c r="Q33" i="9"/>
  <c r="R33" i="9" s="1"/>
  <c r="Q29" i="9"/>
  <c r="R29" i="9" s="1"/>
  <c r="Q25" i="9"/>
  <c r="R25" i="9" s="1"/>
  <c r="Q21" i="9"/>
  <c r="R21" i="9" s="1"/>
  <c r="Q17" i="9"/>
  <c r="R17" i="9" s="1"/>
  <c r="S21" i="9"/>
  <c r="T21" i="9" s="1"/>
  <c r="S36" i="9"/>
  <c r="T36" i="9" s="1"/>
  <c r="S32" i="9"/>
  <c r="T32" i="9" s="1"/>
  <c r="S28" i="9"/>
  <c r="T28" i="9" s="1"/>
  <c r="S24" i="9"/>
  <c r="T24" i="9" s="1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2" i="7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2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2" i="5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2" i="2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8" i="1"/>
  <c r="G2" i="1"/>
  <c r="G3" i="1"/>
  <c r="G4" i="1"/>
  <c r="G5" i="1"/>
  <c r="G6" i="1"/>
  <c r="G7" i="1"/>
  <c r="M56" i="9" l="1"/>
  <c r="U56" i="9" s="1"/>
  <c r="V56" i="9" s="1"/>
  <c r="G25" i="8"/>
  <c r="K25" i="8" s="1"/>
  <c r="G23" i="8"/>
  <c r="G19" i="8"/>
  <c r="N58" i="9"/>
  <c r="W58" i="9" s="1"/>
  <c r="X58" i="9" s="1"/>
  <c r="N54" i="9"/>
  <c r="W54" i="9" s="1"/>
  <c r="X54" i="9" s="1"/>
  <c r="G17" i="8"/>
  <c r="K17" i="8" s="1"/>
  <c r="G13" i="8"/>
  <c r="K13" i="8" s="1"/>
  <c r="G11" i="8"/>
  <c r="G3" i="8"/>
  <c r="K3" i="8" s="1"/>
  <c r="G27" i="8"/>
  <c r="N51" i="9"/>
  <c r="W51" i="9" s="1"/>
  <c r="X51" i="9" s="1"/>
  <c r="M53" i="9"/>
  <c r="U53" i="9" s="1"/>
  <c r="M45" i="9"/>
  <c r="U45" i="9" s="1"/>
  <c r="Y45" i="9" s="1"/>
  <c r="M37" i="9"/>
  <c r="U37" i="9" s="1"/>
  <c r="M29" i="9"/>
  <c r="U29" i="9" s="1"/>
  <c r="G30" i="10" s="1"/>
  <c r="M21" i="9"/>
  <c r="U21" i="9" s="1"/>
  <c r="M13" i="9"/>
  <c r="U13" i="9" s="1"/>
  <c r="G21" i="8"/>
  <c r="K21" i="8" s="1"/>
  <c r="N59" i="9"/>
  <c r="W59" i="9" s="1"/>
  <c r="X59" i="9" s="1"/>
  <c r="N47" i="9"/>
  <c r="W47" i="9" s="1"/>
  <c r="X47" i="9" s="1"/>
  <c r="N39" i="9"/>
  <c r="W39" i="9" s="1"/>
  <c r="X39" i="9" s="1"/>
  <c r="N31" i="9"/>
  <c r="W31" i="9" s="1"/>
  <c r="N23" i="9"/>
  <c r="W23" i="9" s="1"/>
  <c r="X23" i="9" s="1"/>
  <c r="N19" i="9"/>
  <c r="W19" i="9" s="1"/>
  <c r="X19" i="9" s="1"/>
  <c r="N15" i="9"/>
  <c r="W15" i="9" s="1"/>
  <c r="X15" i="9" s="1"/>
  <c r="N11" i="9"/>
  <c r="W11" i="9" s="1"/>
  <c r="X11" i="9" s="1"/>
  <c r="N7" i="9"/>
  <c r="W7" i="9" s="1"/>
  <c r="X7" i="9" s="1"/>
  <c r="G15" i="8"/>
  <c r="N3" i="9"/>
  <c r="M5" i="9"/>
  <c r="U5" i="9" s="1"/>
  <c r="N55" i="9"/>
  <c r="W55" i="9" s="1"/>
  <c r="X55" i="9" s="1"/>
  <c r="N43" i="9"/>
  <c r="W43" i="9" s="1"/>
  <c r="X43" i="9" s="1"/>
  <c r="N35" i="9"/>
  <c r="W35" i="9" s="1"/>
  <c r="N27" i="9"/>
  <c r="W27" i="9" s="1"/>
  <c r="G9" i="8"/>
  <c r="K9" i="8" s="1"/>
  <c r="G7" i="8"/>
  <c r="G5" i="8"/>
  <c r="K5" i="8" s="1"/>
  <c r="M57" i="9"/>
  <c r="U57" i="9" s="1"/>
  <c r="M49" i="9"/>
  <c r="U49" i="9" s="1"/>
  <c r="G50" i="10" s="1"/>
  <c r="M41" i="9"/>
  <c r="U41" i="9" s="1"/>
  <c r="M33" i="9"/>
  <c r="U33" i="9" s="1"/>
  <c r="G34" i="10" s="1"/>
  <c r="M25" i="9"/>
  <c r="U25" i="9" s="1"/>
  <c r="M17" i="9"/>
  <c r="U17" i="9" s="1"/>
  <c r="M9" i="9"/>
  <c r="U9" i="9" s="1"/>
  <c r="G10" i="10" s="1"/>
  <c r="N50" i="9"/>
  <c r="W50" i="9" s="1"/>
  <c r="X50" i="9" s="1"/>
  <c r="N38" i="9"/>
  <c r="W38" i="9" s="1"/>
  <c r="N26" i="9"/>
  <c r="W26" i="9" s="1"/>
  <c r="N18" i="9"/>
  <c r="W18" i="9" s="1"/>
  <c r="X18" i="9" s="1"/>
  <c r="N10" i="9"/>
  <c r="W10" i="9" s="1"/>
  <c r="X10" i="9" s="1"/>
  <c r="M60" i="9"/>
  <c r="U60" i="9" s="1"/>
  <c r="M52" i="9"/>
  <c r="U52" i="9" s="1"/>
  <c r="M48" i="9"/>
  <c r="U48" i="9" s="1"/>
  <c r="G49" i="10" s="1"/>
  <c r="M44" i="9"/>
  <c r="U44" i="9" s="1"/>
  <c r="M40" i="9"/>
  <c r="U40" i="9" s="1"/>
  <c r="M36" i="9"/>
  <c r="U36" i="9" s="1"/>
  <c r="Y36" i="9" s="1"/>
  <c r="M32" i="9"/>
  <c r="U32" i="9" s="1"/>
  <c r="M28" i="9"/>
  <c r="U28" i="9" s="1"/>
  <c r="G29" i="10" s="1"/>
  <c r="Q29" i="10" s="1"/>
  <c r="M24" i="9"/>
  <c r="U24" i="9" s="1"/>
  <c r="M20" i="9"/>
  <c r="U20" i="9" s="1"/>
  <c r="G21" i="10" s="1"/>
  <c r="Q21" i="10" s="1"/>
  <c r="M16" i="9"/>
  <c r="U16" i="9" s="1"/>
  <c r="M12" i="9"/>
  <c r="U12" i="9" s="1"/>
  <c r="G13" i="10" s="1"/>
  <c r="M8" i="9"/>
  <c r="U8" i="9" s="1"/>
  <c r="M4" i="9"/>
  <c r="U4" i="9" s="1"/>
  <c r="Y4" i="9" s="1"/>
  <c r="H59" i="10"/>
  <c r="R59" i="10" s="1"/>
  <c r="N46" i="9"/>
  <c r="W46" i="9" s="1"/>
  <c r="X46" i="9" s="1"/>
  <c r="N30" i="9"/>
  <c r="W30" i="9" s="1"/>
  <c r="G2" i="8"/>
  <c r="M3" i="9"/>
  <c r="G24" i="8"/>
  <c r="G20" i="8"/>
  <c r="G16" i="8"/>
  <c r="K16" i="8" s="1"/>
  <c r="N53" i="9"/>
  <c r="W53" i="9" s="1"/>
  <c r="X53" i="9" s="1"/>
  <c r="N45" i="9"/>
  <c r="W45" i="9" s="1"/>
  <c r="X45" i="9" s="1"/>
  <c r="N37" i="9"/>
  <c r="W37" i="9" s="1"/>
  <c r="X37" i="9" s="1"/>
  <c r="G14" i="8"/>
  <c r="K14" i="8" s="1"/>
  <c r="G12" i="8"/>
  <c r="K12" i="8" s="1"/>
  <c r="G10" i="8"/>
  <c r="K10" i="8" s="1"/>
  <c r="G8" i="8"/>
  <c r="K8" i="8" s="1"/>
  <c r="G6" i="8"/>
  <c r="K6" i="8" s="1"/>
  <c r="G4" i="8"/>
  <c r="M59" i="9"/>
  <c r="U59" i="9" s="1"/>
  <c r="Y59" i="9" s="1"/>
  <c r="M55" i="9"/>
  <c r="U55" i="9" s="1"/>
  <c r="G56" i="10" s="1"/>
  <c r="Q56" i="10" s="1"/>
  <c r="M51" i="9"/>
  <c r="U51" i="9" s="1"/>
  <c r="Y51" i="9" s="1"/>
  <c r="M47" i="9"/>
  <c r="U47" i="9" s="1"/>
  <c r="Y47" i="9" s="1"/>
  <c r="M43" i="9"/>
  <c r="U43" i="9" s="1"/>
  <c r="M39" i="9"/>
  <c r="U39" i="9" s="1"/>
  <c r="M35" i="9"/>
  <c r="U35" i="9" s="1"/>
  <c r="M31" i="9"/>
  <c r="U31" i="9" s="1"/>
  <c r="Y31" i="9" s="1"/>
  <c r="M27" i="9"/>
  <c r="U27" i="9" s="1"/>
  <c r="M23" i="9"/>
  <c r="U23" i="9" s="1"/>
  <c r="Y23" i="9" s="1"/>
  <c r="M19" i="9"/>
  <c r="U19" i="9" s="1"/>
  <c r="G20" i="10" s="1"/>
  <c r="Q20" i="10" s="1"/>
  <c r="M15" i="9"/>
  <c r="U15" i="9" s="1"/>
  <c r="G16" i="10" s="1"/>
  <c r="M11" i="9"/>
  <c r="U11" i="9" s="1"/>
  <c r="M7" i="9"/>
  <c r="U7" i="9" s="1"/>
  <c r="G8" i="10" s="1"/>
  <c r="Q8" i="10" s="1"/>
  <c r="N42" i="9"/>
  <c r="W42" i="9" s="1"/>
  <c r="X42" i="9" s="1"/>
  <c r="N34" i="9"/>
  <c r="W34" i="9" s="1"/>
  <c r="AA34" i="9" s="1"/>
  <c r="N22" i="9"/>
  <c r="W22" i="9" s="1"/>
  <c r="X22" i="9" s="1"/>
  <c r="N14" i="9"/>
  <c r="W14" i="9" s="1"/>
  <c r="X14" i="9" s="1"/>
  <c r="N6" i="9"/>
  <c r="W6" i="9" s="1"/>
  <c r="X6" i="9" s="1"/>
  <c r="G26" i="8"/>
  <c r="G22" i="8"/>
  <c r="G18" i="8"/>
  <c r="N57" i="9"/>
  <c r="W57" i="9" s="1"/>
  <c r="X57" i="9" s="1"/>
  <c r="N49" i="9"/>
  <c r="W49" i="9" s="1"/>
  <c r="X49" i="9" s="1"/>
  <c r="N41" i="9"/>
  <c r="W41" i="9" s="1"/>
  <c r="N33" i="9"/>
  <c r="W33" i="9" s="1"/>
  <c r="X33" i="9" s="1"/>
  <c r="N29" i="9"/>
  <c r="W29" i="9" s="1"/>
  <c r="X29" i="9" s="1"/>
  <c r="N25" i="9"/>
  <c r="W25" i="9" s="1"/>
  <c r="AA25" i="9" s="1"/>
  <c r="N21" i="9"/>
  <c r="W21" i="9" s="1"/>
  <c r="N17" i="9"/>
  <c r="W17" i="9" s="1"/>
  <c r="AA17" i="9" s="1"/>
  <c r="N13" i="9"/>
  <c r="W13" i="9" s="1"/>
  <c r="AA13" i="9" s="1"/>
  <c r="N9" i="9"/>
  <c r="W9" i="9" s="1"/>
  <c r="AA9" i="9" s="1"/>
  <c r="N5" i="9"/>
  <c r="W5" i="9" s="1"/>
  <c r="X5" i="9" s="1"/>
  <c r="N60" i="9"/>
  <c r="W60" i="9" s="1"/>
  <c r="X60" i="9" s="1"/>
  <c r="N56" i="9"/>
  <c r="W56" i="9" s="1"/>
  <c r="X56" i="9" s="1"/>
  <c r="N52" i="9"/>
  <c r="W52" i="9" s="1"/>
  <c r="X52" i="9" s="1"/>
  <c r="N48" i="9"/>
  <c r="W48" i="9" s="1"/>
  <c r="X48" i="9" s="1"/>
  <c r="N44" i="9"/>
  <c r="W44" i="9" s="1"/>
  <c r="AA44" i="9" s="1"/>
  <c r="N40" i="9"/>
  <c r="W40" i="9" s="1"/>
  <c r="X40" i="9" s="1"/>
  <c r="N36" i="9"/>
  <c r="W36" i="9" s="1"/>
  <c r="X36" i="9" s="1"/>
  <c r="N32" i="9"/>
  <c r="W32" i="9" s="1"/>
  <c r="N28" i="9"/>
  <c r="W28" i="9" s="1"/>
  <c r="AA28" i="9" s="1"/>
  <c r="N24" i="9"/>
  <c r="W24" i="9" s="1"/>
  <c r="X24" i="9" s="1"/>
  <c r="N20" i="9"/>
  <c r="W20" i="9" s="1"/>
  <c r="X20" i="9" s="1"/>
  <c r="N16" i="9"/>
  <c r="W16" i="9" s="1"/>
  <c r="X16" i="9" s="1"/>
  <c r="N12" i="9"/>
  <c r="W12" i="9" s="1"/>
  <c r="X12" i="9" s="1"/>
  <c r="N8" i="9"/>
  <c r="W8" i="9" s="1"/>
  <c r="X8" i="9" s="1"/>
  <c r="N4" i="9"/>
  <c r="W4" i="9" s="1"/>
  <c r="AA4" i="9" s="1"/>
  <c r="M58" i="9"/>
  <c r="U58" i="9" s="1"/>
  <c r="Y58" i="9" s="1"/>
  <c r="M54" i="9"/>
  <c r="U54" i="9" s="1"/>
  <c r="Y54" i="9" s="1"/>
  <c r="M50" i="9"/>
  <c r="U50" i="9" s="1"/>
  <c r="Y50" i="9" s="1"/>
  <c r="M46" i="9"/>
  <c r="U46" i="9" s="1"/>
  <c r="G47" i="10" s="1"/>
  <c r="Q47" i="10" s="1"/>
  <c r="M42" i="9"/>
  <c r="U42" i="9" s="1"/>
  <c r="Y42" i="9" s="1"/>
  <c r="M38" i="9"/>
  <c r="U38" i="9" s="1"/>
  <c r="G39" i="10" s="1"/>
  <c r="M34" i="9"/>
  <c r="U34" i="9" s="1"/>
  <c r="G35" i="10" s="1"/>
  <c r="Q35" i="10" s="1"/>
  <c r="M30" i="9"/>
  <c r="U30" i="9" s="1"/>
  <c r="Y30" i="9" s="1"/>
  <c r="M26" i="9"/>
  <c r="U26" i="9" s="1"/>
  <c r="M22" i="9"/>
  <c r="U22" i="9" s="1"/>
  <c r="Y22" i="9" s="1"/>
  <c r="M18" i="9"/>
  <c r="U18" i="9" s="1"/>
  <c r="Y18" i="9" s="1"/>
  <c r="M14" i="9"/>
  <c r="U14" i="9" s="1"/>
  <c r="Y14" i="9" s="1"/>
  <c r="M10" i="9"/>
  <c r="U10" i="9" s="1"/>
  <c r="M6" i="9"/>
  <c r="U6" i="9" s="1"/>
  <c r="G57" i="10"/>
  <c r="AC57" i="10" s="1"/>
  <c r="K4" i="8"/>
  <c r="K20" i="8"/>
  <c r="K24" i="8"/>
  <c r="J27" i="8"/>
  <c r="J19" i="8"/>
  <c r="J23" i="8"/>
  <c r="D28" i="8"/>
  <c r="B28" i="8"/>
  <c r="J17" i="8"/>
  <c r="J21" i="8"/>
  <c r="J25" i="8"/>
  <c r="K7" i="8"/>
  <c r="K11" i="8"/>
  <c r="K15" i="8"/>
  <c r="K19" i="8"/>
  <c r="K23" i="8"/>
  <c r="K27" i="8"/>
  <c r="F28" i="8"/>
  <c r="H28" i="8"/>
  <c r="M4" i="10"/>
  <c r="AA4" i="10"/>
  <c r="Y56" i="9"/>
  <c r="AA45" i="10"/>
  <c r="AA17" i="10"/>
  <c r="AA53" i="10"/>
  <c r="AA61" i="10"/>
  <c r="D33" i="10"/>
  <c r="M33" i="10" s="1"/>
  <c r="G41" i="10"/>
  <c r="Q41" i="10" s="1"/>
  <c r="D49" i="10"/>
  <c r="M49" i="10" s="1"/>
  <c r="H49" i="10"/>
  <c r="H34" i="10"/>
  <c r="G42" i="10"/>
  <c r="Q42" i="10" s="1"/>
  <c r="Y48" i="9"/>
  <c r="Y40" i="9"/>
  <c r="D37" i="10"/>
  <c r="M37" i="10" s="1"/>
  <c r="E4" i="10"/>
  <c r="N4" i="10" s="1"/>
  <c r="Y17" i="9"/>
  <c r="Y26" i="9"/>
  <c r="Y39" i="9"/>
  <c r="D25" i="10"/>
  <c r="M25" i="10" s="1"/>
  <c r="Y21" i="9"/>
  <c r="Y53" i="9"/>
  <c r="Y43" i="9"/>
  <c r="D29" i="10"/>
  <c r="M29" i="10" s="1"/>
  <c r="D41" i="10"/>
  <c r="M41" i="10" s="1"/>
  <c r="D57" i="10"/>
  <c r="M57" i="10" s="1"/>
  <c r="Y41" i="9"/>
  <c r="Y57" i="9"/>
  <c r="D21" i="10"/>
  <c r="M21" i="10" s="1"/>
  <c r="E29" i="10"/>
  <c r="N29" i="10" s="1"/>
  <c r="E34" i="10"/>
  <c r="N34" i="10" s="1"/>
  <c r="E11" i="10"/>
  <c r="N11" i="10" s="1"/>
  <c r="E46" i="10"/>
  <c r="N46" i="10" s="1"/>
  <c r="E23" i="10"/>
  <c r="N23" i="10" s="1"/>
  <c r="E39" i="10"/>
  <c r="N39" i="10" s="1"/>
  <c r="E55" i="10"/>
  <c r="N55" i="10" s="1"/>
  <c r="E32" i="10"/>
  <c r="N32" i="10" s="1"/>
  <c r="E48" i="10"/>
  <c r="N48" i="10" s="1"/>
  <c r="E17" i="10"/>
  <c r="N17" i="10" s="1"/>
  <c r="E45" i="10"/>
  <c r="N45" i="10" s="1"/>
  <c r="E61" i="10"/>
  <c r="N61" i="10" s="1"/>
  <c r="E6" i="10"/>
  <c r="N6" i="10" s="1"/>
  <c r="E33" i="10"/>
  <c r="E42" i="10"/>
  <c r="N42" i="10" s="1"/>
  <c r="E19" i="10"/>
  <c r="N19" i="10" s="1"/>
  <c r="E54" i="10"/>
  <c r="N54" i="10" s="1"/>
  <c r="E27" i="10"/>
  <c r="N27" i="10" s="1"/>
  <c r="E43" i="10"/>
  <c r="N43" i="10" s="1"/>
  <c r="E59" i="10"/>
  <c r="N59" i="10" s="1"/>
  <c r="W59" i="10" s="1"/>
  <c r="E8" i="10"/>
  <c r="N8" i="10" s="1"/>
  <c r="E36" i="10"/>
  <c r="N36" i="10" s="1"/>
  <c r="E52" i="10"/>
  <c r="N52" i="10" s="1"/>
  <c r="E21" i="10"/>
  <c r="N21" i="10" s="1"/>
  <c r="E49" i="10"/>
  <c r="N49" i="10" s="1"/>
  <c r="E10" i="10"/>
  <c r="N10" i="10" s="1"/>
  <c r="E9" i="10"/>
  <c r="N9" i="10" s="1"/>
  <c r="E5" i="10"/>
  <c r="N5" i="10" s="1"/>
  <c r="E37" i="10"/>
  <c r="N37" i="10" s="1"/>
  <c r="E50" i="10"/>
  <c r="N50" i="10" s="1"/>
  <c r="E30" i="10"/>
  <c r="N30" i="10" s="1"/>
  <c r="E7" i="10"/>
  <c r="N7" i="10" s="1"/>
  <c r="E31" i="10"/>
  <c r="N31" i="10" s="1"/>
  <c r="E47" i="10"/>
  <c r="N47" i="10" s="1"/>
  <c r="E20" i="10"/>
  <c r="N20" i="10" s="1"/>
  <c r="E12" i="10"/>
  <c r="N12" i="10" s="1"/>
  <c r="E40" i="10"/>
  <c r="N40" i="10" s="1"/>
  <c r="E56" i="10"/>
  <c r="N56" i="10" s="1"/>
  <c r="E53" i="10"/>
  <c r="N53" i="10" s="1"/>
  <c r="E14" i="10"/>
  <c r="N14" i="10" s="1"/>
  <c r="E13" i="10"/>
  <c r="N13" i="10" s="1"/>
  <c r="E25" i="10"/>
  <c r="N25" i="10" s="1"/>
  <c r="E22" i="10"/>
  <c r="N22" i="10" s="1"/>
  <c r="E26" i="10"/>
  <c r="N26" i="10" s="1"/>
  <c r="E58" i="10"/>
  <c r="N58" i="10" s="1"/>
  <c r="E38" i="10"/>
  <c r="N38" i="10" s="1"/>
  <c r="E15" i="10"/>
  <c r="N15" i="10" s="1"/>
  <c r="E35" i="10"/>
  <c r="N35" i="10" s="1"/>
  <c r="E51" i="10"/>
  <c r="N51" i="10" s="1"/>
  <c r="E24" i="10"/>
  <c r="N24" i="10" s="1"/>
  <c r="E16" i="10"/>
  <c r="N16" i="10" s="1"/>
  <c r="E28" i="10"/>
  <c r="N28" i="10" s="1"/>
  <c r="E44" i="10"/>
  <c r="N44" i="10" s="1"/>
  <c r="E60" i="10"/>
  <c r="N60" i="10" s="1"/>
  <c r="E41" i="10"/>
  <c r="N41" i="10" s="1"/>
  <c r="E57" i="10"/>
  <c r="N57" i="10" s="1"/>
  <c r="E18" i="10"/>
  <c r="N18" i="10" s="1"/>
  <c r="AA5" i="9"/>
  <c r="Q61" i="9"/>
  <c r="R61" i="9" s="1"/>
  <c r="AA15" i="9"/>
  <c r="AA7" i="9"/>
  <c r="AA45" i="9"/>
  <c r="AA31" i="9"/>
  <c r="S61" i="9"/>
  <c r="T61" i="9" s="1"/>
  <c r="AA19" i="9"/>
  <c r="AA11" i="9"/>
  <c r="AA32" i="9"/>
  <c r="AA58" i="9"/>
  <c r="AA33" i="9"/>
  <c r="AA43" i="9"/>
  <c r="AA23" i="9"/>
  <c r="AA41" i="9"/>
  <c r="AA26" i="9"/>
  <c r="AA38" i="9"/>
  <c r="AA30" i="9"/>
  <c r="AA47" i="9"/>
  <c r="AA27" i="9"/>
  <c r="G55" i="10"/>
  <c r="G32" i="10"/>
  <c r="Y33" i="9"/>
  <c r="G25" i="10"/>
  <c r="Y24" i="9"/>
  <c r="AA52" i="9"/>
  <c r="Y9" i="9"/>
  <c r="AA16" i="9"/>
  <c r="G59" i="10"/>
  <c r="G17" i="10"/>
  <c r="Y16" i="9"/>
  <c r="G26" i="10"/>
  <c r="Y25" i="9"/>
  <c r="G14" i="10"/>
  <c r="Q14" i="10" s="1"/>
  <c r="G24" i="10"/>
  <c r="G12" i="10"/>
  <c r="Y55" i="9"/>
  <c r="Y29" i="9"/>
  <c r="G28" i="10"/>
  <c r="G33" i="10"/>
  <c r="Y32" i="9"/>
  <c r="G38" i="10"/>
  <c r="Q38" i="10" s="1"/>
  <c r="Y37" i="9"/>
  <c r="G60" i="10"/>
  <c r="Q60" i="10" s="1"/>
  <c r="G9" i="10"/>
  <c r="Q9" i="10" s="1"/>
  <c r="Y8" i="9"/>
  <c r="G6" i="10"/>
  <c r="Q6" i="10" s="1"/>
  <c r="Y5" i="9"/>
  <c r="H61" i="10"/>
  <c r="D30" i="10"/>
  <c r="M30" i="10" s="1"/>
  <c r="D46" i="10"/>
  <c r="M46" i="10" s="1"/>
  <c r="D35" i="10"/>
  <c r="M35" i="10" s="1"/>
  <c r="D6" i="10"/>
  <c r="M6" i="10" s="1"/>
  <c r="D23" i="10"/>
  <c r="M23" i="10" s="1"/>
  <c r="D55" i="10"/>
  <c r="M55" i="10" s="1"/>
  <c r="D36" i="10"/>
  <c r="M36" i="10" s="1"/>
  <c r="D13" i="10"/>
  <c r="M13" i="10" s="1"/>
  <c r="D24" i="10"/>
  <c r="M24" i="10" s="1"/>
  <c r="D56" i="10"/>
  <c r="M56" i="10" s="1"/>
  <c r="D18" i="10"/>
  <c r="M18" i="10" s="1"/>
  <c r="D34" i="10"/>
  <c r="M34" i="10" s="1"/>
  <c r="D50" i="10"/>
  <c r="M50" i="10" s="1"/>
  <c r="D43" i="10"/>
  <c r="M43" i="10" s="1"/>
  <c r="D10" i="10"/>
  <c r="M10" i="10" s="1"/>
  <c r="D7" i="10"/>
  <c r="M7" i="10" s="1"/>
  <c r="D27" i="10"/>
  <c r="M27" i="10" s="1"/>
  <c r="D59" i="10"/>
  <c r="M59" i="10" s="1"/>
  <c r="D16" i="10"/>
  <c r="M16" i="10" s="1"/>
  <c r="D40" i="10"/>
  <c r="M40" i="10" s="1"/>
  <c r="D28" i="10"/>
  <c r="M28" i="10" s="1"/>
  <c r="D60" i="10"/>
  <c r="M60" i="10" s="1"/>
  <c r="D22" i="10"/>
  <c r="M22" i="10" s="1"/>
  <c r="D38" i="10"/>
  <c r="M38" i="10" s="1"/>
  <c r="D54" i="10"/>
  <c r="M54" i="10" s="1"/>
  <c r="D14" i="10"/>
  <c r="M14" i="10" s="1"/>
  <c r="D31" i="10"/>
  <c r="M31" i="10" s="1"/>
  <c r="D11" i="10"/>
  <c r="M11" i="10" s="1"/>
  <c r="D47" i="10"/>
  <c r="M47" i="10" s="1"/>
  <c r="D20" i="10"/>
  <c r="M20" i="10" s="1"/>
  <c r="D44" i="10"/>
  <c r="M44" i="10" s="1"/>
  <c r="D5" i="10"/>
  <c r="M5" i="10" s="1"/>
  <c r="D48" i="10"/>
  <c r="M48" i="10" s="1"/>
  <c r="D26" i="10"/>
  <c r="M26" i="10" s="1"/>
  <c r="D42" i="10"/>
  <c r="M42" i="10" s="1"/>
  <c r="D58" i="10"/>
  <c r="M58" i="10" s="1"/>
  <c r="D19" i="10"/>
  <c r="M19" i="10" s="1"/>
  <c r="D39" i="10"/>
  <c r="M39" i="10" s="1"/>
  <c r="D15" i="10"/>
  <c r="M15" i="10" s="1"/>
  <c r="D51" i="10"/>
  <c r="M51" i="10" s="1"/>
  <c r="D32" i="10"/>
  <c r="M32" i="10" s="1"/>
  <c r="D8" i="10"/>
  <c r="M8" i="10" s="1"/>
  <c r="D12" i="10"/>
  <c r="M12" i="10" s="1"/>
  <c r="D9" i="10"/>
  <c r="M9" i="10" s="1"/>
  <c r="D52" i="10"/>
  <c r="M52" i="10" s="1"/>
  <c r="AD59" i="10"/>
  <c r="K18" i="8"/>
  <c r="K22" i="8"/>
  <c r="K26" i="8"/>
  <c r="H44" i="10"/>
  <c r="H15" i="10"/>
  <c r="AD15" i="10" s="1"/>
  <c r="H48" i="10"/>
  <c r="H19" i="10"/>
  <c r="AD19" i="10" s="1"/>
  <c r="H23" i="10"/>
  <c r="H55" i="10"/>
  <c r="R55" i="10" s="1"/>
  <c r="H20" i="10"/>
  <c r="R20" i="10" s="1"/>
  <c r="H12" i="10"/>
  <c r="J4" i="8"/>
  <c r="J8" i="8"/>
  <c r="J12" i="8"/>
  <c r="J16" i="8"/>
  <c r="J20" i="8"/>
  <c r="J24" i="8"/>
  <c r="J9" i="8"/>
  <c r="J5" i="8"/>
  <c r="J13" i="8"/>
  <c r="J2" i="8"/>
  <c r="J6" i="8"/>
  <c r="J10" i="8"/>
  <c r="J14" i="8"/>
  <c r="J18" i="8"/>
  <c r="J22" i="8"/>
  <c r="J26" i="8"/>
  <c r="J3" i="8"/>
  <c r="J7" i="8"/>
  <c r="J11" i="8"/>
  <c r="J15" i="8"/>
  <c r="Y46" i="9" l="1"/>
  <c r="H41" i="10"/>
  <c r="H21" i="10"/>
  <c r="AA49" i="9"/>
  <c r="H54" i="10"/>
  <c r="H50" i="10"/>
  <c r="R50" i="10" s="1"/>
  <c r="H53" i="10"/>
  <c r="AA20" i="9"/>
  <c r="H51" i="10"/>
  <c r="R51" i="10" s="1"/>
  <c r="Y15" i="9"/>
  <c r="Y19" i="9"/>
  <c r="AA36" i="9"/>
  <c r="AA53" i="9"/>
  <c r="H11" i="10"/>
  <c r="AD11" i="10" s="1"/>
  <c r="H37" i="10"/>
  <c r="R37" i="10" s="1"/>
  <c r="AA18" i="9"/>
  <c r="AA54" i="9"/>
  <c r="H52" i="10"/>
  <c r="AA37" i="9"/>
  <c r="Y38" i="9"/>
  <c r="AA60" i="9"/>
  <c r="AA14" i="9"/>
  <c r="AA59" i="9"/>
  <c r="H38" i="10"/>
  <c r="AD38" i="10" s="1"/>
  <c r="H60" i="10"/>
  <c r="R60" i="10" s="1"/>
  <c r="Y60" i="10" s="1"/>
  <c r="Y7" i="9"/>
  <c r="AA51" i="9"/>
  <c r="H13" i="10"/>
  <c r="AD13" i="10" s="1"/>
  <c r="H9" i="10"/>
  <c r="AD9" i="10" s="1"/>
  <c r="Q57" i="10"/>
  <c r="H8" i="10"/>
  <c r="H56" i="10"/>
  <c r="R56" i="10" s="1"/>
  <c r="Y56" i="10" s="1"/>
  <c r="H24" i="10"/>
  <c r="R24" i="10" s="1"/>
  <c r="W24" i="10" s="1"/>
  <c r="G5" i="10"/>
  <c r="AA55" i="9"/>
  <c r="Y49" i="9"/>
  <c r="G28" i="8"/>
  <c r="V13" i="9"/>
  <c r="AB13" i="9"/>
  <c r="AC13" i="9" s="1"/>
  <c r="H40" i="10"/>
  <c r="AD40" i="10" s="1"/>
  <c r="H16" i="10"/>
  <c r="K16" i="10" s="1"/>
  <c r="H47" i="10"/>
  <c r="R47" i="10" s="1"/>
  <c r="H6" i="10"/>
  <c r="K2" i="8"/>
  <c r="K28" i="8" s="1"/>
  <c r="H17" i="10"/>
  <c r="R17" i="10" s="1"/>
  <c r="W17" i="10" s="1"/>
  <c r="X17" i="10" s="1"/>
  <c r="Y28" i="9"/>
  <c r="AA57" i="9"/>
  <c r="AA46" i="9"/>
  <c r="AA48" i="9"/>
  <c r="AA22" i="9"/>
  <c r="AA8" i="9"/>
  <c r="H30" i="10"/>
  <c r="R30" i="10" s="1"/>
  <c r="W30" i="10" s="1"/>
  <c r="X30" i="10" s="1"/>
  <c r="V6" i="9"/>
  <c r="AB6" i="9"/>
  <c r="AC6" i="9" s="1"/>
  <c r="G7" i="10"/>
  <c r="V22" i="9"/>
  <c r="AB22" i="9"/>
  <c r="AC22" i="9" s="1"/>
  <c r="G23" i="10"/>
  <c r="V38" i="9"/>
  <c r="AB38" i="9"/>
  <c r="AC38" i="9" s="1"/>
  <c r="V54" i="9"/>
  <c r="AB54" i="9"/>
  <c r="AC54" i="9" s="1"/>
  <c r="X28" i="9"/>
  <c r="H29" i="10"/>
  <c r="I29" i="10" s="1"/>
  <c r="X44" i="9"/>
  <c r="H45" i="10"/>
  <c r="X17" i="9"/>
  <c r="H18" i="10"/>
  <c r="K18" i="10" s="1"/>
  <c r="V7" i="9"/>
  <c r="AB7" i="9"/>
  <c r="AC7" i="9" s="1"/>
  <c r="V23" i="9"/>
  <c r="AB23" i="9"/>
  <c r="AC23" i="9" s="1"/>
  <c r="V39" i="9"/>
  <c r="AB39" i="9"/>
  <c r="AC39" i="9" s="1"/>
  <c r="G40" i="10"/>
  <c r="V55" i="9"/>
  <c r="AB55" i="9"/>
  <c r="AC55" i="9" s="1"/>
  <c r="AB56" i="9"/>
  <c r="AC56" i="9" s="1"/>
  <c r="V16" i="9"/>
  <c r="AB16" i="9"/>
  <c r="AC16" i="9" s="1"/>
  <c r="V32" i="9"/>
  <c r="AB32" i="9"/>
  <c r="AC32" i="9" s="1"/>
  <c r="V48" i="9"/>
  <c r="AB48" i="9"/>
  <c r="AC48" i="9" s="1"/>
  <c r="V9" i="9"/>
  <c r="AB9" i="9"/>
  <c r="AC9" i="9" s="1"/>
  <c r="V41" i="9"/>
  <c r="AB41" i="9"/>
  <c r="AC41" i="9" s="1"/>
  <c r="V21" i="9"/>
  <c r="AB21" i="9"/>
  <c r="AC21" i="9" s="1"/>
  <c r="G22" i="10"/>
  <c r="V53" i="9"/>
  <c r="AB53" i="9"/>
  <c r="AC53" i="9" s="1"/>
  <c r="G54" i="10"/>
  <c r="AA39" i="9"/>
  <c r="V19" i="9"/>
  <c r="AB19" i="9"/>
  <c r="AC19" i="9" s="1"/>
  <c r="V51" i="9"/>
  <c r="AB51" i="9"/>
  <c r="AC51" i="9" s="1"/>
  <c r="G52" i="10"/>
  <c r="V12" i="9"/>
  <c r="AB12" i="9"/>
  <c r="AC12" i="9" s="1"/>
  <c r="V44" i="9"/>
  <c r="AB44" i="9"/>
  <c r="AC44" i="9" s="1"/>
  <c r="Y44" i="9"/>
  <c r="V33" i="9"/>
  <c r="AB33" i="9"/>
  <c r="AC33" i="9" s="1"/>
  <c r="X35" i="9"/>
  <c r="H36" i="10"/>
  <c r="AA40" i="9"/>
  <c r="G45" i="10"/>
  <c r="J45" i="10" s="1"/>
  <c r="H25" i="10"/>
  <c r="AD25" i="10" s="1"/>
  <c r="H57" i="10"/>
  <c r="R57" i="10" s="1"/>
  <c r="W57" i="10" s="1"/>
  <c r="X57" i="10" s="1"/>
  <c r="V10" i="9"/>
  <c r="AB10" i="9"/>
  <c r="AC10" i="9" s="1"/>
  <c r="G11" i="10"/>
  <c r="L11" i="10" s="1"/>
  <c r="V58" i="9"/>
  <c r="AB58" i="9"/>
  <c r="AC58" i="9" s="1"/>
  <c r="X32" i="9"/>
  <c r="H33" i="10"/>
  <c r="I33" i="10" s="1"/>
  <c r="V11" i="9"/>
  <c r="AB11" i="9"/>
  <c r="AC11" i="9" s="1"/>
  <c r="V43" i="9"/>
  <c r="AB43" i="9"/>
  <c r="AC43" i="9" s="1"/>
  <c r="G44" i="10"/>
  <c r="J44" i="10" s="1"/>
  <c r="V4" i="9"/>
  <c r="AB4" i="9"/>
  <c r="AC4" i="9" s="1"/>
  <c r="V36" i="9"/>
  <c r="AB36" i="9"/>
  <c r="AC36" i="9" s="1"/>
  <c r="V17" i="9"/>
  <c r="AB17" i="9"/>
  <c r="AC17" i="9" s="1"/>
  <c r="G18" i="10"/>
  <c r="J18" i="10" s="1"/>
  <c r="V49" i="9"/>
  <c r="AB49" i="9"/>
  <c r="AC49" i="9" s="1"/>
  <c r="V29" i="9"/>
  <c r="AB29" i="9"/>
  <c r="AC29" i="9" s="1"/>
  <c r="V18" i="9"/>
  <c r="AB18" i="9"/>
  <c r="AC18" i="9" s="1"/>
  <c r="G19" i="10"/>
  <c r="V34" i="9"/>
  <c r="AB34" i="9"/>
  <c r="AC34" i="9" s="1"/>
  <c r="V50" i="9"/>
  <c r="AB50" i="9"/>
  <c r="AC50" i="9" s="1"/>
  <c r="X13" i="9"/>
  <c r="H14" i="10"/>
  <c r="I14" i="10" s="1"/>
  <c r="V35" i="9"/>
  <c r="AB35" i="9"/>
  <c r="AC35" i="9" s="1"/>
  <c r="G36" i="10"/>
  <c r="J36" i="10" s="1"/>
  <c r="V28" i="9"/>
  <c r="AB28" i="9"/>
  <c r="AC28" i="9" s="1"/>
  <c r="W3" i="9"/>
  <c r="N61" i="9"/>
  <c r="V45" i="9"/>
  <c r="AB45" i="9"/>
  <c r="AC45" i="9" s="1"/>
  <c r="G46" i="10"/>
  <c r="H43" i="10"/>
  <c r="R43" i="10" s="1"/>
  <c r="H7" i="10"/>
  <c r="AD7" i="10" s="1"/>
  <c r="H58" i="10"/>
  <c r="R58" i="10" s="1"/>
  <c r="W58" i="10" s="1"/>
  <c r="AA56" i="9"/>
  <c r="V26" i="9"/>
  <c r="AB26" i="9"/>
  <c r="AC26" i="9" s="1"/>
  <c r="G27" i="10"/>
  <c r="V42" i="9"/>
  <c r="AB42" i="9"/>
  <c r="AC42" i="9" s="1"/>
  <c r="G43" i="10"/>
  <c r="X21" i="9"/>
  <c r="H22" i="10"/>
  <c r="X41" i="9"/>
  <c r="H42" i="10"/>
  <c r="I42" i="10" s="1"/>
  <c r="V27" i="9"/>
  <c r="AB27" i="9"/>
  <c r="AC27" i="9" s="1"/>
  <c r="V59" i="9"/>
  <c r="AB59" i="9"/>
  <c r="AC59" i="9" s="1"/>
  <c r="V20" i="9"/>
  <c r="AB20" i="9"/>
  <c r="AC20" i="9" s="1"/>
  <c r="V52" i="9"/>
  <c r="AB52" i="9"/>
  <c r="AC52" i="9" s="1"/>
  <c r="G53" i="10"/>
  <c r="X26" i="9"/>
  <c r="H27" i="10"/>
  <c r="K27" i="10" s="1"/>
  <c r="Y34" i="9"/>
  <c r="Y27" i="9"/>
  <c r="Y20" i="9"/>
  <c r="Y11" i="9"/>
  <c r="Y13" i="9"/>
  <c r="Y12" i="9"/>
  <c r="G37" i="10"/>
  <c r="AA24" i="9"/>
  <c r="AA21" i="9"/>
  <c r="AA35" i="9"/>
  <c r="AA6" i="9"/>
  <c r="AA42" i="9"/>
  <c r="AA10" i="9"/>
  <c r="AA29" i="9"/>
  <c r="AA50" i="9"/>
  <c r="H46" i="10"/>
  <c r="L46" i="10" s="1"/>
  <c r="AA12" i="9"/>
  <c r="G51" i="10"/>
  <c r="Y35" i="9"/>
  <c r="Y10" i="9"/>
  <c r="Y6" i="9"/>
  <c r="Y52" i="9"/>
  <c r="V14" i="9"/>
  <c r="AB14" i="9"/>
  <c r="AC14" i="9" s="1"/>
  <c r="G15" i="10"/>
  <c r="V30" i="9"/>
  <c r="AB30" i="9"/>
  <c r="AC30" i="9" s="1"/>
  <c r="G31" i="10"/>
  <c r="J31" i="10" s="1"/>
  <c r="V46" i="9"/>
  <c r="AB46" i="9"/>
  <c r="AC46" i="9" s="1"/>
  <c r="X4" i="9"/>
  <c r="H5" i="10"/>
  <c r="L5" i="10" s="1"/>
  <c r="X9" i="9"/>
  <c r="H10" i="10"/>
  <c r="X25" i="9"/>
  <c r="H26" i="10"/>
  <c r="K26" i="10" s="1"/>
  <c r="X34" i="9"/>
  <c r="H35" i="10"/>
  <c r="V15" i="9"/>
  <c r="AB15" i="9"/>
  <c r="AC15" i="9" s="1"/>
  <c r="V31" i="9"/>
  <c r="AB31" i="9"/>
  <c r="AC31" i="9" s="1"/>
  <c r="V47" i="9"/>
  <c r="AB47" i="9"/>
  <c r="AC47" i="9" s="1"/>
  <c r="G48" i="10"/>
  <c r="U3" i="9"/>
  <c r="M61" i="9"/>
  <c r="X30" i="9"/>
  <c r="H31" i="10"/>
  <c r="K31" i="10" s="1"/>
  <c r="V8" i="9"/>
  <c r="AB8" i="9"/>
  <c r="AC8" i="9" s="1"/>
  <c r="V24" i="9"/>
  <c r="AB24" i="9"/>
  <c r="AC24" i="9" s="1"/>
  <c r="V40" i="9"/>
  <c r="AB40" i="9"/>
  <c r="AC40" i="9" s="1"/>
  <c r="V60" i="9"/>
  <c r="AB60" i="9"/>
  <c r="AC60" i="9" s="1"/>
  <c r="Y60" i="9"/>
  <c r="G61" i="10"/>
  <c r="X38" i="9"/>
  <c r="H39" i="10"/>
  <c r="V25" i="9"/>
  <c r="AB25" i="9"/>
  <c r="AC25" i="9" s="1"/>
  <c r="V57" i="9"/>
  <c r="AB57" i="9"/>
  <c r="AC57" i="9" s="1"/>
  <c r="G58" i="10"/>
  <c r="X27" i="9"/>
  <c r="H28" i="10"/>
  <c r="L28" i="10" s="1"/>
  <c r="V5" i="9"/>
  <c r="AB5" i="9"/>
  <c r="AC5" i="9" s="1"/>
  <c r="X31" i="9"/>
  <c r="H32" i="10"/>
  <c r="I32" i="10" s="1"/>
  <c r="V37" i="9"/>
  <c r="AB37" i="9"/>
  <c r="AC37" i="9" s="1"/>
  <c r="J28" i="8"/>
  <c r="R13" i="10"/>
  <c r="W13" i="10" s="1"/>
  <c r="X13" i="10" s="1"/>
  <c r="R12" i="10"/>
  <c r="AD12" i="10"/>
  <c r="R6" i="10"/>
  <c r="Y6" i="10" s="1"/>
  <c r="AD6" i="10"/>
  <c r="R8" i="10"/>
  <c r="Y8" i="10" s="1"/>
  <c r="AD8" i="10"/>
  <c r="R9" i="10"/>
  <c r="W9" i="10" s="1"/>
  <c r="X9" i="10" s="1"/>
  <c r="AB46" i="10"/>
  <c r="W12" i="10"/>
  <c r="O4" i="10"/>
  <c r="P4" i="10" s="1"/>
  <c r="I19" i="10"/>
  <c r="R19" i="10"/>
  <c r="W19" i="10" s="1"/>
  <c r="X19" i="10" s="1"/>
  <c r="AD21" i="10"/>
  <c r="R21" i="10"/>
  <c r="W21" i="10" s="1"/>
  <c r="AC32" i="10"/>
  <c r="Q32" i="10"/>
  <c r="U29" i="10"/>
  <c r="AD34" i="10"/>
  <c r="R34" i="10"/>
  <c r="W34" i="10" s="1"/>
  <c r="R11" i="10"/>
  <c r="R48" i="10"/>
  <c r="W48" i="10" s="1"/>
  <c r="R44" i="10"/>
  <c r="U60" i="10"/>
  <c r="U35" i="10"/>
  <c r="I54" i="10"/>
  <c r="R54" i="10"/>
  <c r="Q33" i="10"/>
  <c r="Q28" i="10"/>
  <c r="U28" i="10" s="1"/>
  <c r="AC12" i="10"/>
  <c r="Q12" i="10"/>
  <c r="U12" i="10" s="1"/>
  <c r="J17" i="10"/>
  <c r="Q17" i="10"/>
  <c r="U17" i="10" s="1"/>
  <c r="I53" i="10"/>
  <c r="R53" i="10"/>
  <c r="W53" i="10" s="1"/>
  <c r="Q13" i="10"/>
  <c r="U13" i="10" s="1"/>
  <c r="AD41" i="10"/>
  <c r="R41" i="10"/>
  <c r="W41" i="10" s="1"/>
  <c r="AC49" i="10"/>
  <c r="Q49" i="10"/>
  <c r="U49" i="10" s="1"/>
  <c r="W20" i="10"/>
  <c r="W55" i="10"/>
  <c r="AC45" i="10"/>
  <c r="Q45" i="10"/>
  <c r="U45" i="10" s="1"/>
  <c r="R25" i="10"/>
  <c r="W25" i="10" s="1"/>
  <c r="I57" i="10"/>
  <c r="AD49" i="10"/>
  <c r="R49" i="10"/>
  <c r="W49" i="10" s="1"/>
  <c r="R15" i="10"/>
  <c r="U42" i="10"/>
  <c r="U21" i="10"/>
  <c r="AD30" i="10"/>
  <c r="U9" i="10"/>
  <c r="U8" i="10"/>
  <c r="V8" i="10" s="1"/>
  <c r="U20" i="10"/>
  <c r="V20" i="10" s="1"/>
  <c r="Y20" i="10"/>
  <c r="U14" i="10"/>
  <c r="U38" i="10"/>
  <c r="U56" i="10"/>
  <c r="Q39" i="10"/>
  <c r="AC34" i="10"/>
  <c r="Q34" i="10"/>
  <c r="AC55" i="10"/>
  <c r="Q55" i="10"/>
  <c r="U55" i="10" s="1"/>
  <c r="AC51" i="10"/>
  <c r="Q51" i="10"/>
  <c r="U51" i="10" s="1"/>
  <c r="W47" i="10"/>
  <c r="W50" i="10"/>
  <c r="X50" i="10" s="1"/>
  <c r="N33" i="10"/>
  <c r="U57" i="10"/>
  <c r="R52" i="10"/>
  <c r="U47" i="10"/>
  <c r="V47" i="10" s="1"/>
  <c r="Y47" i="10"/>
  <c r="AC37" i="10"/>
  <c r="Q37" i="10"/>
  <c r="U37" i="10" s="1"/>
  <c r="I23" i="10"/>
  <c r="R23" i="10"/>
  <c r="AB7" i="10"/>
  <c r="U6" i="10"/>
  <c r="I61" i="10"/>
  <c r="R61" i="10"/>
  <c r="AC16" i="10"/>
  <c r="Q16" i="10"/>
  <c r="Q30" i="10"/>
  <c r="Q5" i="10"/>
  <c r="AC24" i="10"/>
  <c r="Q24" i="10"/>
  <c r="U24" i="10" s="1"/>
  <c r="Q26" i="10"/>
  <c r="U26" i="10" s="1"/>
  <c r="I59" i="10"/>
  <c r="Q59" i="10"/>
  <c r="S59" i="10" s="1"/>
  <c r="T59" i="10" s="1"/>
  <c r="AC10" i="10"/>
  <c r="Q10" i="10"/>
  <c r="U10" i="10" s="1"/>
  <c r="I58" i="10"/>
  <c r="AC25" i="10"/>
  <c r="Q25" i="10"/>
  <c r="U25" i="10" s="1"/>
  <c r="W51" i="10"/>
  <c r="W37" i="10"/>
  <c r="W8" i="10"/>
  <c r="W6" i="10"/>
  <c r="U41" i="10"/>
  <c r="AC50" i="10"/>
  <c r="Q50" i="10"/>
  <c r="Y50" i="10" s="1"/>
  <c r="M62" i="10"/>
  <c r="AC42" i="10"/>
  <c r="J8" i="10"/>
  <c r="AA58" i="10"/>
  <c r="J58" i="10"/>
  <c r="J20" i="10"/>
  <c r="AA14" i="10"/>
  <c r="J14" i="10"/>
  <c r="AA59" i="10"/>
  <c r="J59" i="10"/>
  <c r="AA56" i="10"/>
  <c r="J56" i="10"/>
  <c r="K51" i="10"/>
  <c r="AB58" i="10"/>
  <c r="AB40" i="10"/>
  <c r="AB31" i="10"/>
  <c r="AB37" i="10"/>
  <c r="K37" i="10"/>
  <c r="AB49" i="10"/>
  <c r="K49" i="10"/>
  <c r="O8" i="10"/>
  <c r="P8" i="10" s="1"/>
  <c r="K8" i="10"/>
  <c r="AB54" i="10"/>
  <c r="K54" i="10"/>
  <c r="O6" i="10"/>
  <c r="P6" i="10" s="1"/>
  <c r="K6" i="10"/>
  <c r="AB48" i="10"/>
  <c r="K48" i="10"/>
  <c r="K23" i="10"/>
  <c r="K29" i="10"/>
  <c r="AA41" i="10"/>
  <c r="J41" i="10"/>
  <c r="J28" i="10"/>
  <c r="AA13" i="10"/>
  <c r="J13" i="10"/>
  <c r="AA55" i="10"/>
  <c r="J55" i="10"/>
  <c r="J6" i="10"/>
  <c r="J46" i="10"/>
  <c r="AB28" i="10"/>
  <c r="AB35" i="10"/>
  <c r="K35" i="10"/>
  <c r="AB26" i="10"/>
  <c r="AB14" i="10"/>
  <c r="K14" i="10"/>
  <c r="AB12" i="10"/>
  <c r="K12" i="10"/>
  <c r="AB21" i="10"/>
  <c r="K21" i="10"/>
  <c r="AB59" i="10"/>
  <c r="K59" i="10"/>
  <c r="AB19" i="10"/>
  <c r="K19" i="10"/>
  <c r="F61" i="10"/>
  <c r="K61" i="10"/>
  <c r="AB32" i="10"/>
  <c r="AA21" i="10"/>
  <c r="J21" i="10"/>
  <c r="AA29" i="10"/>
  <c r="J29" i="10"/>
  <c r="AA49" i="10"/>
  <c r="J49" i="10"/>
  <c r="AA9" i="10"/>
  <c r="J9" i="10"/>
  <c r="AA39" i="10"/>
  <c r="J39" i="10"/>
  <c r="AA5" i="10"/>
  <c r="J5" i="10"/>
  <c r="AA38" i="10"/>
  <c r="J38" i="10"/>
  <c r="AA43" i="10"/>
  <c r="AB23" i="10"/>
  <c r="AB51" i="10"/>
  <c r="AA52" i="10"/>
  <c r="AA12" i="10"/>
  <c r="J12" i="10"/>
  <c r="AA32" i="10"/>
  <c r="J32" i="10"/>
  <c r="AA15" i="10"/>
  <c r="AA19" i="10"/>
  <c r="J19" i="10"/>
  <c r="AA42" i="10"/>
  <c r="J42" i="10"/>
  <c r="AA48" i="10"/>
  <c r="J47" i="10"/>
  <c r="J54" i="10"/>
  <c r="AA22" i="10"/>
  <c r="AA16" i="10"/>
  <c r="J16" i="10"/>
  <c r="AA27" i="10"/>
  <c r="J27" i="10"/>
  <c r="AA10" i="10"/>
  <c r="J10" i="10"/>
  <c r="AA50" i="10"/>
  <c r="J50" i="10"/>
  <c r="AA18" i="10"/>
  <c r="AA24" i="10"/>
  <c r="J24" i="10"/>
  <c r="AB41" i="10"/>
  <c r="K41" i="10"/>
  <c r="AB16" i="10"/>
  <c r="AB15" i="10"/>
  <c r="K15" i="10"/>
  <c r="AB22" i="10"/>
  <c r="K22" i="10"/>
  <c r="F53" i="10"/>
  <c r="K53" i="10"/>
  <c r="AB20" i="10"/>
  <c r="K20" i="10"/>
  <c r="AB30" i="10"/>
  <c r="AB9" i="10"/>
  <c r="K52" i="10"/>
  <c r="O45" i="10"/>
  <c r="P45" i="10" s="1"/>
  <c r="K45" i="10"/>
  <c r="K55" i="10"/>
  <c r="AB11" i="10"/>
  <c r="K11" i="10"/>
  <c r="O51" i="10"/>
  <c r="P51" i="10" s="1"/>
  <c r="J51" i="10"/>
  <c r="AA26" i="10"/>
  <c r="J26" i="10"/>
  <c r="AA11" i="10"/>
  <c r="J11" i="10"/>
  <c r="AA40" i="10"/>
  <c r="AA7" i="10"/>
  <c r="J7" i="10"/>
  <c r="AA34" i="10"/>
  <c r="J34" i="10"/>
  <c r="AB44" i="10"/>
  <c r="K44" i="10"/>
  <c r="AB13" i="10"/>
  <c r="AA33" i="10"/>
  <c r="J33" i="10"/>
  <c r="O60" i="10"/>
  <c r="P60" i="10" s="1"/>
  <c r="J60" i="10"/>
  <c r="AA36" i="10"/>
  <c r="J23" i="10"/>
  <c r="AA35" i="10"/>
  <c r="J35" i="10"/>
  <c r="AA30" i="10"/>
  <c r="J30" i="10"/>
  <c r="K60" i="10"/>
  <c r="AB24" i="10"/>
  <c r="AB38" i="10"/>
  <c r="AB25" i="10"/>
  <c r="AB47" i="10"/>
  <c r="K47" i="10"/>
  <c r="K50" i="10"/>
  <c r="AB10" i="10"/>
  <c r="K10" i="10"/>
  <c r="AB36" i="10"/>
  <c r="AB27" i="10"/>
  <c r="AB39" i="10"/>
  <c r="AB34" i="10"/>
  <c r="K34" i="10"/>
  <c r="AA57" i="10"/>
  <c r="J57" i="10"/>
  <c r="AA25" i="10"/>
  <c r="J25" i="10"/>
  <c r="AA37" i="10"/>
  <c r="J37" i="10"/>
  <c r="AB6" i="10"/>
  <c r="AB8" i="10"/>
  <c r="AB29" i="10"/>
  <c r="AB18" i="10"/>
  <c r="F4" i="10"/>
  <c r="F29" i="10"/>
  <c r="AC33" i="10"/>
  <c r="F33" i="10"/>
  <c r="O17" i="10"/>
  <c r="P17" i="10" s="1"/>
  <c r="O49" i="10"/>
  <c r="P49" i="10" s="1"/>
  <c r="AB17" i="10"/>
  <c r="AB45" i="10"/>
  <c r="AB50" i="10"/>
  <c r="F37" i="10"/>
  <c r="AB56" i="10"/>
  <c r="F17" i="10"/>
  <c r="AB60" i="10"/>
  <c r="AB42" i="10"/>
  <c r="O53" i="10"/>
  <c r="P53" i="10" s="1"/>
  <c r="AB43" i="10"/>
  <c r="F41" i="10"/>
  <c r="AC20" i="10"/>
  <c r="AA51" i="10"/>
  <c r="AC38" i="10"/>
  <c r="AB52" i="10"/>
  <c r="AB55" i="10"/>
  <c r="AB53" i="10"/>
  <c r="L41" i="10"/>
  <c r="I50" i="10"/>
  <c r="F45" i="10"/>
  <c r="I49" i="10"/>
  <c r="L49" i="10"/>
  <c r="I9" i="10"/>
  <c r="I51" i="10"/>
  <c r="AB33" i="10"/>
  <c r="I45" i="10"/>
  <c r="I47" i="10"/>
  <c r="AC47" i="10"/>
  <c r="AC28" i="10"/>
  <c r="AA60" i="10"/>
  <c r="F49" i="10"/>
  <c r="F57" i="10"/>
  <c r="AA8" i="10"/>
  <c r="AD61" i="10"/>
  <c r="AA54" i="10"/>
  <c r="F25" i="10"/>
  <c r="L45" i="10"/>
  <c r="I41" i="10"/>
  <c r="AC41" i="10"/>
  <c r="AA31" i="10"/>
  <c r="AD57" i="10"/>
  <c r="F21" i="10"/>
  <c r="E62" i="10"/>
  <c r="AA47" i="10"/>
  <c r="O61" i="10"/>
  <c r="P61" i="10" s="1"/>
  <c r="AA6" i="10"/>
  <c r="AA44" i="10"/>
  <c r="AB61" i="10"/>
  <c r="AB57" i="10"/>
  <c r="AA46" i="10"/>
  <c r="L29" i="10"/>
  <c r="O29" i="10"/>
  <c r="P29" i="10" s="1"/>
  <c r="AB5" i="10"/>
  <c r="X59" i="10"/>
  <c r="O59" i="10"/>
  <c r="P59" i="10" s="1"/>
  <c r="O7" i="10"/>
  <c r="P7" i="10" s="1"/>
  <c r="I35" i="10"/>
  <c r="D62" i="10"/>
  <c r="I8" i="10"/>
  <c r="AC8" i="10"/>
  <c r="O42" i="10"/>
  <c r="P42" i="10" s="1"/>
  <c r="I12" i="10"/>
  <c r="O9" i="10"/>
  <c r="P9" i="10" s="1"/>
  <c r="AA23" i="10"/>
  <c r="I10" i="10"/>
  <c r="I34" i="10"/>
  <c r="O50" i="10"/>
  <c r="P50" i="10" s="1"/>
  <c r="L61" i="10"/>
  <c r="AA28" i="10"/>
  <c r="I21" i="10"/>
  <c r="I6" i="10"/>
  <c r="AA20" i="10"/>
  <c r="O32" i="10"/>
  <c r="P32" i="10" s="1"/>
  <c r="O19" i="10"/>
  <c r="P19" i="10" s="1"/>
  <c r="O56" i="10"/>
  <c r="P56" i="10" s="1"/>
  <c r="AC59" i="10"/>
  <c r="L53" i="10"/>
  <c r="I20" i="10"/>
  <c r="I55" i="10"/>
  <c r="L37" i="10"/>
  <c r="AD54" i="10"/>
  <c r="AD50" i="10"/>
  <c r="AD53" i="10"/>
  <c r="AC14" i="10"/>
  <c r="AC17" i="10"/>
  <c r="AC6" i="10"/>
  <c r="AC60" i="10"/>
  <c r="AC21" i="10"/>
  <c r="AC56" i="10"/>
  <c r="AC39" i="10"/>
  <c r="AC13" i="10"/>
  <c r="AC26" i="10"/>
  <c r="AC29" i="10"/>
  <c r="L21" i="10"/>
  <c r="AC35" i="10"/>
  <c r="AC9" i="10"/>
  <c r="AC30" i="10"/>
  <c r="AC5" i="10"/>
  <c r="O14" i="10"/>
  <c r="P14" i="10" s="1"/>
  <c r="O38" i="10"/>
  <c r="P38" i="10" s="1"/>
  <c r="I37" i="10"/>
  <c r="L8" i="10"/>
  <c r="F8" i="10"/>
  <c r="L51" i="10"/>
  <c r="F51" i="10"/>
  <c r="F39" i="10"/>
  <c r="F58" i="10"/>
  <c r="F26" i="10"/>
  <c r="F44" i="10"/>
  <c r="L47" i="10"/>
  <c r="F47" i="10"/>
  <c r="F31" i="10"/>
  <c r="F54" i="10"/>
  <c r="L54" i="10"/>
  <c r="L22" i="10"/>
  <c r="F22" i="10"/>
  <c r="F16" i="10"/>
  <c r="F27" i="10"/>
  <c r="L10" i="10"/>
  <c r="F10" i="10"/>
  <c r="F50" i="10"/>
  <c r="L50" i="10"/>
  <c r="F18" i="10"/>
  <c r="L18" i="10"/>
  <c r="L24" i="10"/>
  <c r="F24" i="10"/>
  <c r="F13" i="10"/>
  <c r="L13" i="10"/>
  <c r="F5" i="10"/>
  <c r="F28" i="10"/>
  <c r="L55" i="10"/>
  <c r="F55" i="10"/>
  <c r="L6" i="10"/>
  <c r="F6" i="10"/>
  <c r="F46" i="10"/>
  <c r="F9" i="10"/>
  <c r="L12" i="10"/>
  <c r="F12" i="10"/>
  <c r="F32" i="10"/>
  <c r="F15" i="10"/>
  <c r="F19" i="10"/>
  <c r="L19" i="10"/>
  <c r="F42" i="10"/>
  <c r="L20" i="10"/>
  <c r="F20" i="10"/>
  <c r="F11" i="10"/>
  <c r="L14" i="10"/>
  <c r="F14" i="10"/>
  <c r="F38" i="10"/>
  <c r="F40" i="10"/>
  <c r="L59" i="10"/>
  <c r="F59" i="10"/>
  <c r="F7" i="10"/>
  <c r="F43" i="10"/>
  <c r="L34" i="10"/>
  <c r="F34" i="10"/>
  <c r="F56" i="10"/>
  <c r="F52" i="10"/>
  <c r="F48" i="10"/>
  <c r="L60" i="10"/>
  <c r="F60" i="10"/>
  <c r="F36" i="10"/>
  <c r="F23" i="10"/>
  <c r="L23" i="10"/>
  <c r="L35" i="10"/>
  <c r="F35" i="10"/>
  <c r="L30" i="10"/>
  <c r="F30" i="10"/>
  <c r="S8" i="10"/>
  <c r="T8" i="10" s="1"/>
  <c r="AD51" i="10"/>
  <c r="AD24" i="10"/>
  <c r="AD20" i="10"/>
  <c r="S20" i="10"/>
  <c r="T20" i="10" s="1"/>
  <c r="AD55" i="10"/>
  <c r="AD23" i="10"/>
  <c r="AD37" i="10"/>
  <c r="AD48" i="10"/>
  <c r="AD44" i="10"/>
  <c r="AD52" i="10"/>
  <c r="AD47" i="10"/>
  <c r="S47" i="10"/>
  <c r="T47" i="10" s="1"/>
  <c r="AD56" i="10" l="1"/>
  <c r="L43" i="10"/>
  <c r="K38" i="10"/>
  <c r="W56" i="10"/>
  <c r="X56" i="10" s="1"/>
  <c r="R40" i="10"/>
  <c r="L38" i="10"/>
  <c r="L26" i="10"/>
  <c r="K30" i="10"/>
  <c r="K5" i="10"/>
  <c r="I5" i="10"/>
  <c r="I13" i="10"/>
  <c r="I11" i="10"/>
  <c r="R46" i="10"/>
  <c r="W46" i="10" s="1"/>
  <c r="AD43" i="10"/>
  <c r="L27" i="10"/>
  <c r="I25" i="10"/>
  <c r="K56" i="10"/>
  <c r="K13" i="10"/>
  <c r="K43" i="10"/>
  <c r="K40" i="10"/>
  <c r="Y30" i="10"/>
  <c r="AD46" i="10"/>
  <c r="I28" i="10"/>
  <c r="I43" i="10"/>
  <c r="L36" i="10"/>
  <c r="AD16" i="10"/>
  <c r="L32" i="10"/>
  <c r="L44" i="10"/>
  <c r="S9" i="10"/>
  <c r="T9" i="10" s="1"/>
  <c r="L33" i="10"/>
  <c r="I24" i="10"/>
  <c r="I56" i="10"/>
  <c r="L25" i="10"/>
  <c r="L57" i="10"/>
  <c r="I46" i="10"/>
  <c r="K36" i="10"/>
  <c r="K25" i="10"/>
  <c r="K24" i="10"/>
  <c r="K9" i="10"/>
  <c r="K46" i="10"/>
  <c r="R7" i="10"/>
  <c r="W7" i="10" s="1"/>
  <c r="X7" i="10" s="1"/>
  <c r="I30" i="10"/>
  <c r="R38" i="10"/>
  <c r="Y38" i="10" s="1"/>
  <c r="K33" i="10"/>
  <c r="I7" i="10"/>
  <c r="L9" i="10"/>
  <c r="L17" i="10"/>
  <c r="K7" i="10"/>
  <c r="AD60" i="10"/>
  <c r="AE60" i="10" s="1"/>
  <c r="AF60" i="10" s="1"/>
  <c r="L56" i="10"/>
  <c r="L31" i="10"/>
  <c r="I60" i="10"/>
  <c r="I38" i="10"/>
  <c r="K57" i="10"/>
  <c r="W60" i="10"/>
  <c r="X60" i="10" s="1"/>
  <c r="Y9" i="10"/>
  <c r="Z9" i="10" s="1"/>
  <c r="R39" i="10"/>
  <c r="W39" i="10" s="1"/>
  <c r="X39" i="10" s="1"/>
  <c r="AD39" i="10"/>
  <c r="Q48" i="10"/>
  <c r="U48" i="10" s="1"/>
  <c r="AC48" i="10"/>
  <c r="AE48" i="10" s="1"/>
  <c r="AF48" i="10" s="1"/>
  <c r="R42" i="10"/>
  <c r="AD42" i="10"/>
  <c r="Q52" i="10"/>
  <c r="U52" i="10" s="1"/>
  <c r="AC52" i="10"/>
  <c r="AE52" i="10" s="1"/>
  <c r="AF52" i="10" s="1"/>
  <c r="I22" i="10"/>
  <c r="Q22" i="10"/>
  <c r="AC22" i="10"/>
  <c r="L52" i="10"/>
  <c r="J48" i="10"/>
  <c r="J52" i="10"/>
  <c r="I39" i="10"/>
  <c r="I48" i="10"/>
  <c r="R16" i="10"/>
  <c r="W16" i="10" s="1"/>
  <c r="R32" i="10"/>
  <c r="W32" i="10" s="1"/>
  <c r="X32" i="10" s="1"/>
  <c r="AD32" i="10"/>
  <c r="R28" i="10"/>
  <c r="W28" i="10" s="1"/>
  <c r="AD28" i="10"/>
  <c r="R26" i="10"/>
  <c r="W26" i="10" s="1"/>
  <c r="X26" i="10" s="1"/>
  <c r="AD26" i="10"/>
  <c r="R5" i="10"/>
  <c r="W5" i="10" s="1"/>
  <c r="X5" i="10" s="1"/>
  <c r="AD5" i="10"/>
  <c r="Q31" i="10"/>
  <c r="AC31" i="10"/>
  <c r="I31" i="10"/>
  <c r="R27" i="10"/>
  <c r="W27" i="10" s="1"/>
  <c r="X27" i="10" s="1"/>
  <c r="AD27" i="10"/>
  <c r="R14" i="10"/>
  <c r="AD14" i="10"/>
  <c r="AE14" i="10" s="1"/>
  <c r="AF14" i="10" s="1"/>
  <c r="Q44" i="10"/>
  <c r="U44" i="10" s="1"/>
  <c r="V44" i="10" s="1"/>
  <c r="AC44" i="10"/>
  <c r="Q54" i="10"/>
  <c r="U54" i="10" s="1"/>
  <c r="V54" i="10" s="1"/>
  <c r="AC54" i="10"/>
  <c r="AE54" i="10" s="1"/>
  <c r="AF54" i="10" s="1"/>
  <c r="R45" i="10"/>
  <c r="W45" i="10" s="1"/>
  <c r="X45" i="10" s="1"/>
  <c r="AD45" i="10"/>
  <c r="Q23" i="10"/>
  <c r="U23" i="10" s="1"/>
  <c r="AC23" i="10"/>
  <c r="AE23" i="10" s="1"/>
  <c r="AF23" i="10" s="1"/>
  <c r="AC40" i="10"/>
  <c r="Q40" i="10"/>
  <c r="U40" i="10" s="1"/>
  <c r="L7" i="10"/>
  <c r="I17" i="10"/>
  <c r="AD58" i="10"/>
  <c r="L48" i="10"/>
  <c r="L16" i="10"/>
  <c r="L39" i="10"/>
  <c r="J40" i="10"/>
  <c r="K32" i="10"/>
  <c r="K28" i="10"/>
  <c r="K58" i="10"/>
  <c r="I26" i="10"/>
  <c r="Y52" i="10"/>
  <c r="Y40" i="10"/>
  <c r="S32" i="10"/>
  <c r="T32" i="10" s="1"/>
  <c r="AD17" i="10"/>
  <c r="AC61" i="10"/>
  <c r="AE61" i="10" s="1"/>
  <c r="AF61" i="10" s="1"/>
  <c r="Q61" i="10"/>
  <c r="U61" i="10" s="1"/>
  <c r="V61" i="10" s="1"/>
  <c r="J61" i="10"/>
  <c r="R22" i="10"/>
  <c r="W22" i="10" s="1"/>
  <c r="X22" i="10" s="1"/>
  <c r="AD22" i="10"/>
  <c r="AE22" i="10" s="1"/>
  <c r="AF22" i="10" s="1"/>
  <c r="AC36" i="10"/>
  <c r="Q36" i="10"/>
  <c r="I36" i="10"/>
  <c r="AC18" i="10"/>
  <c r="I18" i="10"/>
  <c r="Q18" i="10"/>
  <c r="R33" i="10"/>
  <c r="S33" i="10" s="1"/>
  <c r="T33" i="10" s="1"/>
  <c r="AD33" i="10"/>
  <c r="AE33" i="10" s="1"/>
  <c r="AF33" i="10" s="1"/>
  <c r="AC11" i="10"/>
  <c r="AE11" i="10" s="1"/>
  <c r="AF11" i="10" s="1"/>
  <c r="Q11" i="10"/>
  <c r="U11" i="10" s="1"/>
  <c r="V11" i="10" s="1"/>
  <c r="R31" i="10"/>
  <c r="W31" i="10" s="1"/>
  <c r="X31" i="10" s="1"/>
  <c r="AD31" i="10"/>
  <c r="Q15" i="10"/>
  <c r="U15" i="10" s="1"/>
  <c r="V15" i="10" s="1"/>
  <c r="AC15" i="10"/>
  <c r="AE15" i="10" s="1"/>
  <c r="AF15" i="10" s="1"/>
  <c r="Q43" i="10"/>
  <c r="U43" i="10" s="1"/>
  <c r="AC43" i="10"/>
  <c r="AE43" i="10" s="1"/>
  <c r="AF43" i="10" s="1"/>
  <c r="AC7" i="10"/>
  <c r="AE7" i="10" s="1"/>
  <c r="AF7" i="10" s="1"/>
  <c r="Q7" i="10"/>
  <c r="U7" i="10" s="1"/>
  <c r="V7" i="10" s="1"/>
  <c r="L40" i="10"/>
  <c r="K17" i="10"/>
  <c r="J43" i="10"/>
  <c r="L42" i="10"/>
  <c r="L15" i="10"/>
  <c r="L58" i="10"/>
  <c r="I16" i="10"/>
  <c r="K39" i="10"/>
  <c r="K42" i="10"/>
  <c r="J22" i="10"/>
  <c r="J15" i="10"/>
  <c r="Y23" i="10"/>
  <c r="Z23" i="10" s="1"/>
  <c r="I52" i="10"/>
  <c r="I40" i="10"/>
  <c r="I15" i="10"/>
  <c r="I44" i="10"/>
  <c r="AC58" i="10"/>
  <c r="Q58" i="10"/>
  <c r="U58" i="10" s="1"/>
  <c r="G4" i="10"/>
  <c r="AB3" i="9"/>
  <c r="AC3" i="9" s="1"/>
  <c r="Y3" i="9"/>
  <c r="Y61" i="9" s="1"/>
  <c r="V3" i="9"/>
  <c r="U61" i="9"/>
  <c r="R35" i="10"/>
  <c r="AD35" i="10"/>
  <c r="AD10" i="10"/>
  <c r="R10" i="10"/>
  <c r="W10" i="10" s="1"/>
  <c r="X10" i="10" s="1"/>
  <c r="J53" i="10"/>
  <c r="Q53" i="10"/>
  <c r="U53" i="10" s="1"/>
  <c r="V53" i="10" s="1"/>
  <c r="AC53" i="10"/>
  <c r="AC27" i="10"/>
  <c r="AE27" i="10" s="1"/>
  <c r="AF27" i="10" s="1"/>
  <c r="Q27" i="10"/>
  <c r="I27" i="10"/>
  <c r="Q46" i="10"/>
  <c r="AC46" i="10"/>
  <c r="X3" i="9"/>
  <c r="AA3" i="9"/>
  <c r="AA61" i="9" s="1"/>
  <c r="W61" i="9"/>
  <c r="X61" i="9" s="1"/>
  <c r="H4" i="10"/>
  <c r="Q19" i="10"/>
  <c r="U19" i="10" s="1"/>
  <c r="V19" i="10" s="1"/>
  <c r="AC19" i="10"/>
  <c r="R36" i="10"/>
  <c r="W36" i="10" s="1"/>
  <c r="X36" i="10" s="1"/>
  <c r="AD36" i="10"/>
  <c r="AD18" i="10"/>
  <c r="R18" i="10"/>
  <c r="W18" i="10" s="1"/>
  <c r="X18" i="10" s="1"/>
  <c r="R29" i="10"/>
  <c r="AD29" i="10"/>
  <c r="AE29" i="10" s="1"/>
  <c r="AF29" i="10" s="1"/>
  <c r="S38" i="10"/>
  <c r="T38" i="10" s="1"/>
  <c r="Y55" i="10"/>
  <c r="Y32" i="10"/>
  <c r="Z32" i="10" s="1"/>
  <c r="AE45" i="10"/>
  <c r="AF45" i="10" s="1"/>
  <c r="U32" i="10"/>
  <c r="W11" i="10"/>
  <c r="X11" i="10" s="1"/>
  <c r="S26" i="10"/>
  <c r="T26" i="10" s="1"/>
  <c r="S7" i="10"/>
  <c r="T7" i="10" s="1"/>
  <c r="Y49" i="10"/>
  <c r="Z49" i="10" s="1"/>
  <c r="Y34" i="10"/>
  <c r="S30" i="10"/>
  <c r="T30" i="10" s="1"/>
  <c r="S21" i="10"/>
  <c r="T21" i="10" s="1"/>
  <c r="U34" i="10"/>
  <c r="V34" i="10" s="1"/>
  <c r="AE49" i="10"/>
  <c r="AF49" i="10" s="1"/>
  <c r="Y57" i="10"/>
  <c r="S57" i="10"/>
  <c r="T57" i="10" s="1"/>
  <c r="S52" i="10"/>
  <c r="T52" i="10" s="1"/>
  <c r="AA62" i="10"/>
  <c r="W23" i="10"/>
  <c r="X23" i="10" s="1"/>
  <c r="Y21" i="10"/>
  <c r="Z21" i="10" s="1"/>
  <c r="S58" i="10"/>
  <c r="T58" i="10" s="1"/>
  <c r="AE10" i="10"/>
  <c r="AF10" i="10" s="1"/>
  <c r="AB62" i="10"/>
  <c r="W44" i="10"/>
  <c r="X44" i="10" s="1"/>
  <c r="AE38" i="10"/>
  <c r="AF38" i="10" s="1"/>
  <c r="W43" i="10"/>
  <c r="X43" i="10" s="1"/>
  <c r="Y53" i="10"/>
  <c r="Z53" i="10" s="1"/>
  <c r="Y41" i="10"/>
  <c r="Y26" i="10"/>
  <c r="W61" i="10"/>
  <c r="X61" i="10" s="1"/>
  <c r="U33" i="10"/>
  <c r="V33" i="10" s="1"/>
  <c r="AE42" i="10"/>
  <c r="AF42" i="10" s="1"/>
  <c r="U39" i="10"/>
  <c r="V39" i="10" s="1"/>
  <c r="Y37" i="10"/>
  <c r="Y33" i="10"/>
  <c r="AE46" i="10"/>
  <c r="AF46" i="10" s="1"/>
  <c r="S54" i="10"/>
  <c r="T54" i="10" s="1"/>
  <c r="W54" i="10"/>
  <c r="X54" i="10" s="1"/>
  <c r="W40" i="10"/>
  <c r="X40" i="10" s="1"/>
  <c r="U16" i="10"/>
  <c r="V16" i="10" s="1"/>
  <c r="Y59" i="10"/>
  <c r="Z59" i="10" s="1"/>
  <c r="U5" i="10"/>
  <c r="V5" i="10" s="1"/>
  <c r="Y51" i="10"/>
  <c r="Z51" i="10" s="1"/>
  <c r="W52" i="10"/>
  <c r="X52" i="10" s="1"/>
  <c r="W15" i="10"/>
  <c r="U50" i="10"/>
  <c r="Y48" i="10"/>
  <c r="Z48" i="10" s="1"/>
  <c r="Y12" i="10"/>
  <c r="Z12" i="10" s="1"/>
  <c r="AE59" i="10"/>
  <c r="AF59" i="10" s="1"/>
  <c r="Y13" i="10"/>
  <c r="Y24" i="10"/>
  <c r="Y25" i="10"/>
  <c r="W38" i="10"/>
  <c r="X38" i="10" s="1"/>
  <c r="U59" i="10"/>
  <c r="V59" i="10" s="1"/>
  <c r="Y58" i="10"/>
  <c r="Z58" i="10" s="1"/>
  <c r="U30" i="10"/>
  <c r="V30" i="10" s="1"/>
  <c r="S48" i="10"/>
  <c r="T48" i="10" s="1"/>
  <c r="AE30" i="10"/>
  <c r="AF30" i="10" s="1"/>
  <c r="S13" i="10"/>
  <c r="T13" i="10" s="1"/>
  <c r="AE25" i="10"/>
  <c r="AF25" i="10" s="1"/>
  <c r="Y17" i="10"/>
  <c r="Z17" i="10" s="1"/>
  <c r="O48" i="10"/>
  <c r="P48" i="10" s="1"/>
  <c r="O23" i="10"/>
  <c r="P23" i="10" s="1"/>
  <c r="X51" i="10"/>
  <c r="O22" i="10"/>
  <c r="P22" i="10" s="1"/>
  <c r="O41" i="10"/>
  <c r="P41" i="10" s="1"/>
  <c r="AE18" i="10"/>
  <c r="AF18" i="10" s="1"/>
  <c r="AE58" i="10"/>
  <c r="AF58" i="10" s="1"/>
  <c r="O36" i="10"/>
  <c r="P36" i="10" s="1"/>
  <c r="V23" i="10"/>
  <c r="O28" i="10"/>
  <c r="P28" i="10" s="1"/>
  <c r="AE51" i="10"/>
  <c r="AF51" i="10" s="1"/>
  <c r="O52" i="10"/>
  <c r="P52" i="10" s="1"/>
  <c r="O11" i="10"/>
  <c r="P11" i="10" s="1"/>
  <c r="AE26" i="10"/>
  <c r="AF26" i="10" s="1"/>
  <c r="AE39" i="10"/>
  <c r="AF39" i="10" s="1"/>
  <c r="S25" i="10"/>
  <c r="T25" i="10" s="1"/>
  <c r="AE41" i="10"/>
  <c r="AF41" i="10" s="1"/>
  <c r="AE34" i="10"/>
  <c r="AF34" i="10" s="1"/>
  <c r="O44" i="10"/>
  <c r="AE32" i="10"/>
  <c r="AF32" i="10" s="1"/>
  <c r="AE37" i="10"/>
  <c r="AF37" i="10" s="1"/>
  <c r="AE24" i="10"/>
  <c r="AF24" i="10" s="1"/>
  <c r="O5" i="10"/>
  <c r="O55" i="10"/>
  <c r="P55" i="10" s="1"/>
  <c r="O47" i="10"/>
  <c r="P47" i="10" s="1"/>
  <c r="X49" i="10"/>
  <c r="AE35" i="10"/>
  <c r="AF35" i="10" s="1"/>
  <c r="AE21" i="10"/>
  <c r="AF21" i="10" s="1"/>
  <c r="O58" i="10"/>
  <c r="P58" i="10" s="1"/>
  <c r="O13" i="10"/>
  <c r="O46" i="10"/>
  <c r="P46" i="10" s="1"/>
  <c r="O39" i="10"/>
  <c r="P39" i="10" s="1"/>
  <c r="O43" i="10"/>
  <c r="P43" i="10" s="1"/>
  <c r="AE19" i="10"/>
  <c r="AF19" i="10" s="1"/>
  <c r="AE16" i="10"/>
  <c r="AF16" i="10" s="1"/>
  <c r="AE40" i="10"/>
  <c r="AF40" i="10" s="1"/>
  <c r="AE12" i="10"/>
  <c r="AF12" i="10" s="1"/>
  <c r="AE13" i="10"/>
  <c r="AF13" i="10" s="1"/>
  <c r="O27" i="10"/>
  <c r="O40" i="10"/>
  <c r="P40" i="10" s="1"/>
  <c r="O12" i="10"/>
  <c r="P12" i="10" s="1"/>
  <c r="O16" i="10"/>
  <c r="P16" i="10" s="1"/>
  <c r="O25" i="10"/>
  <c r="O34" i="10"/>
  <c r="S50" i="10"/>
  <c r="T50" i="10" s="1"/>
  <c r="O10" i="10"/>
  <c r="S34" i="10"/>
  <c r="T34" i="10" s="1"/>
  <c r="O33" i="10"/>
  <c r="AE50" i="10"/>
  <c r="AF50" i="10" s="1"/>
  <c r="O30" i="10"/>
  <c r="O37" i="10"/>
  <c r="V45" i="10"/>
  <c r="V6" i="10"/>
  <c r="S6" i="10"/>
  <c r="T6" i="10" s="1"/>
  <c r="V28" i="10"/>
  <c r="S37" i="10"/>
  <c r="T37" i="10" s="1"/>
  <c r="V41" i="10"/>
  <c r="S41" i="10"/>
  <c r="T41" i="10" s="1"/>
  <c r="V51" i="10"/>
  <c r="S51" i="10"/>
  <c r="T51" i="10" s="1"/>
  <c r="S46" i="10"/>
  <c r="T46" i="10" s="1"/>
  <c r="V49" i="10"/>
  <c r="S49" i="10"/>
  <c r="T49" i="10" s="1"/>
  <c r="S23" i="10"/>
  <c r="T23" i="10" s="1"/>
  <c r="V17" i="10"/>
  <c r="S17" i="10"/>
  <c r="T17" i="10" s="1"/>
  <c r="S56" i="10"/>
  <c r="T56" i="10" s="1"/>
  <c r="V60" i="10"/>
  <c r="S60" i="10"/>
  <c r="T60" i="10" s="1"/>
  <c r="V24" i="10"/>
  <c r="S24" i="10"/>
  <c r="T24" i="10" s="1"/>
  <c r="S12" i="10"/>
  <c r="T12" i="10" s="1"/>
  <c r="S55" i="10"/>
  <c r="T55" i="10" s="1"/>
  <c r="O35" i="10"/>
  <c r="O26" i="10"/>
  <c r="O18" i="10"/>
  <c r="O21" i="10"/>
  <c r="P21" i="10" s="1"/>
  <c r="O57" i="10"/>
  <c r="O54" i="10"/>
  <c r="O24" i="10"/>
  <c r="O31" i="10"/>
  <c r="O20" i="10"/>
  <c r="O15" i="10"/>
  <c r="AE53" i="10"/>
  <c r="AF53" i="10" s="1"/>
  <c r="X46" i="10"/>
  <c r="AE5" i="10"/>
  <c r="AF5" i="10" s="1"/>
  <c r="AE9" i="10"/>
  <c r="AF9" i="10" s="1"/>
  <c r="X34" i="10"/>
  <c r="X58" i="10"/>
  <c r="Z41" i="10"/>
  <c r="V50" i="10"/>
  <c r="Z50" i="10"/>
  <c r="V42" i="10"/>
  <c r="V52" i="10"/>
  <c r="Z52" i="10"/>
  <c r="V48" i="10"/>
  <c r="N62" i="10"/>
  <c r="Z60" i="10"/>
  <c r="V40" i="10"/>
  <c r="Z40" i="10"/>
  <c r="AE55" i="10"/>
  <c r="AF55" i="10" s="1"/>
  <c r="Z38" i="10"/>
  <c r="V25" i="10"/>
  <c r="X41" i="10"/>
  <c r="V55" i="10"/>
  <c r="Z55" i="10"/>
  <c r="Z56" i="10"/>
  <c r="V58" i="10"/>
  <c r="V37" i="10"/>
  <c r="V43" i="10"/>
  <c r="V57" i="10"/>
  <c r="Z47" i="10"/>
  <c r="Z6" i="10"/>
  <c r="Z8" i="10"/>
  <c r="X12" i="10"/>
  <c r="X21" i="10"/>
  <c r="AE57" i="10"/>
  <c r="AF57" i="10" s="1"/>
  <c r="V21" i="10"/>
  <c r="X28" i="10"/>
  <c r="AE44" i="10"/>
  <c r="AF44" i="10" s="1"/>
  <c r="X25" i="10"/>
  <c r="AE47" i="10"/>
  <c r="AF47" i="10" s="1"/>
  <c r="V12" i="10"/>
  <c r="AE28" i="10"/>
  <c r="AF28" i="10" s="1"/>
  <c r="V14" i="10"/>
  <c r="F62" i="10"/>
  <c r="V26" i="10"/>
  <c r="X55" i="10"/>
  <c r="X47" i="10"/>
  <c r="V29" i="10"/>
  <c r="X24" i="10"/>
  <c r="X37" i="10"/>
  <c r="V35" i="10"/>
  <c r="X8" i="10"/>
  <c r="V56" i="10"/>
  <c r="V32" i="10"/>
  <c r="V13" i="10"/>
  <c r="X16" i="10"/>
  <c r="X20" i="10"/>
  <c r="X48" i="10"/>
  <c r="V38" i="10"/>
  <c r="X15" i="10"/>
  <c r="X6" i="10"/>
  <c r="V9" i="10"/>
  <c r="V10" i="10"/>
  <c r="X53" i="10"/>
  <c r="AE8" i="10"/>
  <c r="AF8" i="10" s="1"/>
  <c r="AE20" i="10"/>
  <c r="AF20" i="10" s="1"/>
  <c r="AE17" i="10"/>
  <c r="AF17" i="10" s="1"/>
  <c r="AE6" i="10"/>
  <c r="AF6" i="10" s="1"/>
  <c r="AE56" i="10"/>
  <c r="AF56" i="10" s="1"/>
  <c r="S53" i="10" l="1"/>
  <c r="T53" i="10" s="1"/>
  <c r="S43" i="10"/>
  <c r="T43" i="10" s="1"/>
  <c r="AE31" i="10"/>
  <c r="AF31" i="10" s="1"/>
  <c r="S28" i="10"/>
  <c r="T28" i="10" s="1"/>
  <c r="Y19" i="10"/>
  <c r="Z19" i="10" s="1"/>
  <c r="AE36" i="10"/>
  <c r="AF36" i="10" s="1"/>
  <c r="Y28" i="10"/>
  <c r="Z28" i="10" s="1"/>
  <c r="S19" i="10"/>
  <c r="T19" i="10" s="1"/>
  <c r="S5" i="10"/>
  <c r="T5" i="10" s="1"/>
  <c r="S61" i="10"/>
  <c r="T61" i="10" s="1"/>
  <c r="Y5" i="10"/>
  <c r="Z5" i="10" s="1"/>
  <c r="Y39" i="10"/>
  <c r="Z39" i="10" s="1"/>
  <c r="Y61" i="10"/>
  <c r="Z61" i="10" s="1"/>
  <c r="S39" i="10"/>
  <c r="T39" i="10" s="1"/>
  <c r="S40" i="10"/>
  <c r="T40" i="10" s="1"/>
  <c r="Y54" i="10"/>
  <c r="Z54" i="10" s="1"/>
  <c r="R4" i="10"/>
  <c r="H62" i="10"/>
  <c r="K4" i="10"/>
  <c r="K62" i="10" s="1"/>
  <c r="AD4" i="10"/>
  <c r="AD62" i="10" s="1"/>
  <c r="V61" i="9"/>
  <c r="AB61" i="9"/>
  <c r="AC61" i="9" s="1"/>
  <c r="Y18" i="10"/>
  <c r="Z18" i="10" s="1"/>
  <c r="S18" i="10"/>
  <c r="T18" i="10" s="1"/>
  <c r="U18" i="10"/>
  <c r="V18" i="10" s="1"/>
  <c r="U36" i="10"/>
  <c r="V36" i="10" s="1"/>
  <c r="S36" i="10"/>
  <c r="T36" i="10" s="1"/>
  <c r="Y36" i="10"/>
  <c r="Z36" i="10" s="1"/>
  <c r="Y15" i="10"/>
  <c r="S45" i="10"/>
  <c r="T45" i="10" s="1"/>
  <c r="Y45" i="10"/>
  <c r="Z45" i="10" s="1"/>
  <c r="S15" i="10"/>
  <c r="T15" i="10" s="1"/>
  <c r="Y29" i="10"/>
  <c r="Z29" i="10" s="1"/>
  <c r="S29" i="10"/>
  <c r="T29" i="10" s="1"/>
  <c r="W29" i="10"/>
  <c r="X29" i="10" s="1"/>
  <c r="U46" i="10"/>
  <c r="V46" i="10" s="1"/>
  <c r="Y46" i="10"/>
  <c r="Z46" i="10" s="1"/>
  <c r="Y11" i="10"/>
  <c r="Z11" i="10" s="1"/>
  <c r="Y7" i="10"/>
  <c r="Z7" i="10" s="1"/>
  <c r="Q4" i="10"/>
  <c r="J4" i="10"/>
  <c r="J62" i="10" s="1"/>
  <c r="AC4" i="10"/>
  <c r="L4" i="10"/>
  <c r="L62" i="10" s="1"/>
  <c r="G62" i="10"/>
  <c r="I4" i="10"/>
  <c r="I62" i="10" s="1"/>
  <c r="S16" i="10"/>
  <c r="T16" i="10" s="1"/>
  <c r="W33" i="10"/>
  <c r="X33" i="10" s="1"/>
  <c r="Y16" i="10"/>
  <c r="Z16" i="10" s="1"/>
  <c r="Y44" i="10"/>
  <c r="W14" i="10"/>
  <c r="X14" i="10" s="1"/>
  <c r="S14" i="10"/>
  <c r="T14" i="10" s="1"/>
  <c r="Y14" i="10"/>
  <c r="Z14" i="10" s="1"/>
  <c r="Y22" i="10"/>
  <c r="Z22" i="10" s="1"/>
  <c r="U22" i="10"/>
  <c r="V22" i="10" s="1"/>
  <c r="S22" i="10"/>
  <c r="T22" i="10" s="1"/>
  <c r="Y10" i="10"/>
  <c r="Z10" i="10" s="1"/>
  <c r="S10" i="10"/>
  <c r="T10" i="10" s="1"/>
  <c r="S44" i="10"/>
  <c r="T44" i="10" s="1"/>
  <c r="S11" i="10"/>
  <c r="T11" i="10" s="1"/>
  <c r="Y27" i="10"/>
  <c r="Z27" i="10" s="1"/>
  <c r="U27" i="10"/>
  <c r="V27" i="10" s="1"/>
  <c r="S27" i="10"/>
  <c r="T27" i="10" s="1"/>
  <c r="W35" i="10"/>
  <c r="X35" i="10" s="1"/>
  <c r="Y35" i="10"/>
  <c r="S35" i="10"/>
  <c r="T35" i="10" s="1"/>
  <c r="S31" i="10"/>
  <c r="T31" i="10" s="1"/>
  <c r="Y31" i="10"/>
  <c r="Z31" i="10" s="1"/>
  <c r="U31" i="10"/>
  <c r="V31" i="10" s="1"/>
  <c r="Y43" i="10"/>
  <c r="Z43" i="10" s="1"/>
  <c r="S42" i="10"/>
  <c r="T42" i="10" s="1"/>
  <c r="W42" i="10"/>
  <c r="X42" i="10" s="1"/>
  <c r="Y42" i="10"/>
  <c r="Z42" i="10" s="1"/>
  <c r="P54" i="10"/>
  <c r="P27" i="10"/>
  <c r="Z20" i="10"/>
  <c r="P20" i="10"/>
  <c r="Z57" i="10"/>
  <c r="P57" i="10"/>
  <c r="Z35" i="10"/>
  <c r="P35" i="10"/>
  <c r="Z37" i="10"/>
  <c r="P37" i="10"/>
  <c r="Z34" i="10"/>
  <c r="P34" i="10"/>
  <c r="Z13" i="10"/>
  <c r="P13" i="10"/>
  <c r="Z26" i="10"/>
  <c r="P26" i="10"/>
  <c r="Z33" i="10"/>
  <c r="P33" i="10"/>
  <c r="P5" i="10"/>
  <c r="Z44" i="10"/>
  <c r="P44" i="10"/>
  <c r="P31" i="10"/>
  <c r="Z30" i="10"/>
  <c r="P30" i="10"/>
  <c r="P10" i="10"/>
  <c r="Z25" i="10"/>
  <c r="P25" i="10"/>
  <c r="Z15" i="10"/>
  <c r="P15" i="10"/>
  <c r="Z24" i="10"/>
  <c r="P24" i="10"/>
  <c r="P18" i="10"/>
  <c r="O62" i="10"/>
  <c r="P62" i="10" s="1"/>
  <c r="AC62" i="10" l="1"/>
  <c r="AE4" i="10"/>
  <c r="U4" i="10"/>
  <c r="Y4" i="10"/>
  <c r="Z4" i="10" s="1"/>
  <c r="S4" i="10"/>
  <c r="Q62" i="10"/>
  <c r="W4" i="10"/>
  <c r="R62" i="10"/>
  <c r="X4" i="10" l="1"/>
  <c r="W62" i="10"/>
  <c r="X62" i="10" s="1"/>
  <c r="AF4" i="10"/>
  <c r="AE62" i="10"/>
  <c r="AF62" i="10" s="1"/>
  <c r="U62" i="10"/>
  <c r="V62" i="10" s="1"/>
  <c r="V4" i="10"/>
  <c r="Y62" i="10"/>
  <c r="Z62" i="10" s="1"/>
  <c r="T4" i="10"/>
  <c r="S62" i="10"/>
  <c r="T62" i="10" s="1"/>
</calcChain>
</file>

<file path=xl/sharedStrings.xml><?xml version="1.0" encoding="utf-8"?>
<sst xmlns="http://schemas.openxmlformats.org/spreadsheetml/2006/main" count="21747" uniqueCount="132">
  <si>
    <t>timestamp</t>
  </si>
  <si>
    <t>route_id</t>
  </si>
  <si>
    <t>start</t>
  </si>
  <si>
    <t>end</t>
  </si>
  <si>
    <t>distance_km</t>
  </si>
  <si>
    <t>duration_in_traffic_min</t>
  </si>
  <si>
    <t>41.32516738436008, 69.30379886174566</t>
  </si>
  <si>
    <t>41.327552032716724, 69.28609735456061</t>
  </si>
  <si>
    <t>41.332180445326756, 69.26923046640113</t>
  </si>
  <si>
    <t>41.33927686915818, 69.25398056929649</t>
  </si>
  <si>
    <t>41.341917122525444, 69.23651333737624</t>
  </si>
  <si>
    <t>41.3355661273189, 69.22092813210918</t>
  </si>
  <si>
    <t>41.32435077486925, 69.210996318545</t>
  </si>
  <si>
    <t>41.31115833391201, 69.2074172881025</t>
  </si>
  <si>
    <t>41.29858235062461, 69.21262191402178</t>
  </si>
  <si>
    <t>41.289787898161364, 69.2265988055295</t>
  </si>
  <si>
    <t>41.28106476890745, 69.24026245064472</t>
  </si>
  <si>
    <t>41.28064845978927, 69.25601908163817</t>
  </si>
  <si>
    <t>41.28687171940977, 69.27143808322909</t>
  </si>
  <si>
    <t>41.296028788646595, 69.28496002433292</t>
  </si>
  <si>
    <t>41.30539683785844, 69.29799566393275</t>
  </si>
  <si>
    <t>41.31794801011277, 69.29296141895178</t>
  </si>
  <si>
    <t>41.32262063602687, 69.27669052769443</t>
  </si>
  <si>
    <t>41.32483715760174, 69.25892483310304</t>
  </si>
  <si>
    <t>41.33095059428081, 69.24317962089249</t>
  </si>
  <si>
    <t>41.338661162236555, 69.20731454332349</t>
  </si>
  <si>
    <t>41.33059360684403, 69.22174332442526</t>
  </si>
  <si>
    <t>41.322643564954824, 69.23599183597612</t>
  </si>
  <si>
    <t>41.3209971548449, 69.25388787786494</t>
  </si>
  <si>
    <t>41.31851610438204, 69.27231984005859</t>
  </si>
  <si>
    <t>41.31282278733637, 69.28652213802795</t>
  </si>
  <si>
    <t>41.30183080123107, 69.27741835140704</t>
  </si>
  <si>
    <t>41.29334838748831, 69.2634198634189</t>
  </si>
  <si>
    <t>41.283595241821004, 69.2512121589748</t>
  </si>
  <si>
    <t>41.2732693782438, 69.23969285938728</t>
  </si>
  <si>
    <t>41.26299628417818, 69.22817431535681</t>
  </si>
  <si>
    <t>41.34713305660874, 69.22799929457726</t>
  </si>
  <si>
    <t>41.33382022832588, 69.23398612527872</t>
  </si>
  <si>
    <t>41.32285727418763, 69.24270421234137</t>
  </si>
  <si>
    <t>41.30966647432268, 69.23933637591968</t>
  </si>
  <si>
    <t>41.29825470763214, 69.22985497022474</t>
  </si>
  <si>
    <t>41.28777801497552, 69.21848218958306</t>
  </si>
  <si>
    <t>41.277603241386075, 69.20671995390518</t>
  </si>
  <si>
    <t>41.29153889218936, 69.28325183906624</t>
  </si>
  <si>
    <t>41.30130053018895, 69.27068384682484</t>
  </si>
  <si>
    <t>41.30799200672354, 69.25559074144186</t>
  </si>
  <si>
    <t>41.311983772770546, 69.24272299006147</t>
  </si>
  <si>
    <t>41.31961941446726, 69.22712193653717</t>
  </si>
  <si>
    <t>41.32238526291207, 69.20952809689116</t>
  </si>
  <si>
    <t>41.31872784612449, 69.19433154632418</t>
  </si>
  <si>
    <t>41.33367566078708, 69.27809709709854</t>
  </si>
  <si>
    <t>41.32059992474406, 69.2720071794746</t>
  </si>
  <si>
    <t>41.30731633763117, 69.26613767417517</t>
  </si>
  <si>
    <t>41.294523399563865, 69.2694007729718</t>
  </si>
  <si>
    <t>41.296627094626515, 69.28631295279521</t>
  </si>
  <si>
    <t>41.307125367043874, 69.2757703716439</t>
  </si>
  <si>
    <t>41.311275309960116, 69.25895431297313</t>
  </si>
  <si>
    <t>41.32095915262182, 69.25470097706777</t>
  </si>
  <si>
    <t>41.27333096118998, 69.25927769781966</t>
  </si>
  <si>
    <t>41.28630063193464, 69.25346002402489</t>
  </si>
  <si>
    <t>41.29930511101131, 69.24954853129903</t>
  </si>
  <si>
    <t>41.31152413630801, 69.24321663005203</t>
  </si>
  <si>
    <t>41.28649833766281, 69.18635638834863</t>
  </si>
  <si>
    <t>41.29421304947406, 69.19916358044118</t>
  </si>
  <si>
    <t>41.302909880569466, 69.2129467150449</t>
  </si>
  <si>
    <t>41.312698493420264, 69.22505922421017</t>
  </si>
  <si>
    <t>41.32213683124142, 69.2367397389079</t>
  </si>
  <si>
    <t>41.34597869459986, 69.25915809126336</t>
  </si>
  <si>
    <t>41.33416965564326, 69.25310924247279</t>
  </si>
  <si>
    <t>41.323058637044596, 69.24294483972467</t>
  </si>
  <si>
    <t>41.30770412462676, 69.29951103568249</t>
  </si>
  <si>
    <t>41.31057929195396, 69.28251630227123</t>
  </si>
  <si>
    <t>41.32310314706941, 69.28241762019745</t>
  </si>
  <si>
    <t>41.33644779653366, 69.28519116101587</t>
  </si>
  <si>
    <t>speed_km/h</t>
  </si>
  <si>
    <t>time</t>
  </si>
  <si>
    <t>Thursday</t>
  </si>
  <si>
    <t>Tuesday</t>
  </si>
  <si>
    <t>Monday</t>
  </si>
  <si>
    <t>Wednesday</t>
  </si>
  <si>
    <t>Friday</t>
  </si>
  <si>
    <t>Saturday</t>
  </si>
  <si>
    <t>Sunday</t>
  </si>
  <si>
    <t>Average speed during the week</t>
  </si>
  <si>
    <t>Average speed on the weekend</t>
  </si>
  <si>
    <t>average speed week</t>
  </si>
  <si>
    <t>average speed weekend</t>
  </si>
  <si>
    <t>morning</t>
  </si>
  <si>
    <t>evening</t>
  </si>
  <si>
    <t>Weekday AM</t>
  </si>
  <si>
    <t>Weekday PM</t>
  </si>
  <si>
    <t>Weekend AM</t>
  </si>
  <si>
    <t>Weekend PM</t>
  </si>
  <si>
    <t>average overall</t>
  </si>
  <si>
    <t>Average free flow speed</t>
  </si>
  <si>
    <t>TTI</t>
  </si>
  <si>
    <t>FFTT</t>
  </si>
  <si>
    <t>TT</t>
  </si>
  <si>
    <t>Average weekend</t>
  </si>
  <si>
    <t>Average week</t>
  </si>
  <si>
    <t>Morning</t>
  </si>
  <si>
    <t>Evening</t>
  </si>
  <si>
    <t>End point coordinates</t>
  </si>
  <si>
    <t>Start point coordinates</t>
  </si>
  <si>
    <t>Distance, km</t>
  </si>
  <si>
    <t>Route ID</t>
  </si>
  <si>
    <t>FFTT, min</t>
  </si>
  <si>
    <t>TTI per route</t>
  </si>
  <si>
    <t>Average delay per route</t>
  </si>
  <si>
    <t>Average values by time</t>
  </si>
  <si>
    <t>average by route</t>
  </si>
  <si>
    <t>Week</t>
  </si>
  <si>
    <t>Weekend</t>
  </si>
  <si>
    <t>Average</t>
  </si>
  <si>
    <t>Average morning</t>
  </si>
  <si>
    <t>Average evening</t>
  </si>
  <si>
    <t>Average by route</t>
  </si>
  <si>
    <t>Delay, min/km</t>
  </si>
  <si>
    <t>Free flow</t>
  </si>
  <si>
    <t>Nearing capacity</t>
  </si>
  <si>
    <t>Stable flow</t>
  </si>
  <si>
    <t>Average speed week AM</t>
  </si>
  <si>
    <t>Average speed week PM</t>
  </si>
  <si>
    <t>Average speed weekend AM</t>
  </si>
  <si>
    <t>Average speed weekend PM</t>
  </si>
  <si>
    <t>average</t>
  </si>
  <si>
    <t>route_id/Time interval</t>
  </si>
  <si>
    <t>median</t>
  </si>
  <si>
    <t>Median</t>
  </si>
  <si>
    <t>Time interval</t>
  </si>
  <si>
    <t>TT averge</t>
  </si>
  <si>
    <t>TT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</si>
</sst>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164" fontId="2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2" fillId="0" borderId="1" xfId="0" applyFont="1" applyBorder="1" applyAlignment="1">
      <alignment horizontal="center" vertical="top"/>
    </xf>
    <xf numFmtId="164" fontId="0" fillId="0" borderId="0" xfId="0" applyNumberFormat="1" applyFont="1"/>
    <xf numFmtId="0" fontId="0" fillId="0" borderId="0" xfId="0" applyFont="1"/>
    <xf numFmtId="164" fontId="0" fillId="2" borderId="0" xfId="0" applyNumberFormat="1" applyFont="1" applyFill="1"/>
    <xf numFmtId="0" fontId="0" fillId="2" borderId="0" xfId="0" applyFont="1" applyFill="1"/>
    <xf numFmtId="0" fontId="2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164" fontId="0" fillId="3" borderId="0" xfId="0" applyNumberFormat="1" applyFill="1"/>
    <xf numFmtId="0" fontId="0" fillId="3" borderId="0" xfId="0" applyFill="1"/>
    <xf numFmtId="1" fontId="0" fillId="3" borderId="0" xfId="0" applyNumberFormat="1" applyFill="1"/>
    <xf numFmtId="1" fontId="3" fillId="0" borderId="0" xfId="0" applyNumberFormat="1" applyFont="1" applyAlignment="1">
      <alignment horizontal="center" vertical="top"/>
    </xf>
    <xf numFmtId="1" fontId="0" fillId="5" borderId="0" xfId="0" applyNumberFormat="1" applyFill="1"/>
    <xf numFmtId="0" fontId="0" fillId="5" borderId="0" xfId="0" applyFill="1"/>
    <xf numFmtId="0" fontId="0" fillId="6" borderId="0" xfId="0" applyFill="1"/>
    <xf numFmtId="0" fontId="3" fillId="4" borderId="1" xfId="0" applyFont="1" applyFill="1" applyBorder="1"/>
    <xf numFmtId="1" fontId="0" fillId="4" borderId="0" xfId="0" applyNumberFormat="1" applyFill="1"/>
    <xf numFmtId="0" fontId="3" fillId="0" borderId="1" xfId="0" applyFont="1" applyFill="1" applyBorder="1"/>
    <xf numFmtId="1" fontId="3" fillId="0" borderId="1" xfId="0" applyNumberFormat="1" applyFont="1" applyFill="1" applyBorder="1" applyAlignment="1">
      <alignment horizontal="center" vertical="top"/>
    </xf>
    <xf numFmtId="0" fontId="0" fillId="0" borderId="0" xfId="0" applyFill="1"/>
    <xf numFmtId="1" fontId="0" fillId="0" borderId="0" xfId="0" applyNumberFormat="1" applyFill="1"/>
    <xf numFmtId="1" fontId="2" fillId="0" borderId="4" xfId="0" applyNumberFormat="1" applyFont="1" applyFill="1" applyBorder="1" applyAlignment="1">
      <alignment horizontal="center" vertical="top"/>
    </xf>
    <xf numFmtId="0" fontId="0" fillId="0" borderId="0" xfId="0" applyFill="1" applyBorder="1"/>
    <xf numFmtId="49" fontId="0" fillId="7" borderId="1" xfId="0" applyNumberFormat="1" applyFill="1" applyBorder="1"/>
    <xf numFmtId="0" fontId="3" fillId="8" borderId="1" xfId="0" applyFont="1" applyFill="1" applyBorder="1"/>
    <xf numFmtId="1" fontId="0" fillId="8" borderId="0" xfId="0" applyNumberFormat="1" applyFill="1"/>
    <xf numFmtId="0" fontId="0" fillId="8" borderId="0" xfId="0" applyFill="1"/>
    <xf numFmtId="2" fontId="0" fillId="0" borderId="0" xfId="0" applyNumberFormat="1"/>
    <xf numFmtId="2" fontId="0" fillId="0" borderId="0" xfId="0" applyNumberFormat="1" applyFill="1" applyBorder="1"/>
    <xf numFmtId="2" fontId="1" fillId="0" borderId="1" xfId="0" applyNumberFormat="1" applyFont="1" applyBorder="1" applyAlignment="1">
      <alignment vertical="top"/>
    </xf>
    <xf numFmtId="2" fontId="2" fillId="0" borderId="1" xfId="0" applyNumberFormat="1" applyFont="1" applyBorder="1" applyAlignment="1">
      <alignment vertical="top"/>
    </xf>
    <xf numFmtId="49" fontId="0" fillId="5" borderId="1" xfId="0" applyNumberFormat="1" applyFill="1" applyBorder="1"/>
    <xf numFmtId="49" fontId="0" fillId="7" borderId="7" xfId="0" applyNumberFormat="1" applyFill="1" applyBorder="1"/>
    <xf numFmtId="0" fontId="0" fillId="5" borderId="1" xfId="0" applyFill="1" applyBorder="1"/>
    <xf numFmtId="0" fontId="0" fillId="0" borderId="1" xfId="0" applyBorder="1"/>
    <xf numFmtId="0" fontId="0" fillId="0" borderId="1" xfId="0" applyFill="1" applyBorder="1"/>
    <xf numFmtId="2" fontId="0" fillId="0" borderId="1" xfId="0" applyNumberFormat="1" applyBorder="1"/>
    <xf numFmtId="2" fontId="0" fillId="5" borderId="1" xfId="0" applyNumberFormat="1" applyFill="1" applyBorder="1"/>
    <xf numFmtId="2" fontId="0" fillId="9" borderId="1" xfId="0" applyNumberFormat="1" applyFill="1" applyBorder="1"/>
    <xf numFmtId="0" fontId="0" fillId="9" borderId="0" xfId="0" applyFill="1"/>
    <xf numFmtId="0" fontId="4" fillId="0" borderId="0" xfId="0" applyFont="1" applyFill="1" applyBorder="1"/>
    <xf numFmtId="49" fontId="5" fillId="10" borderId="1" xfId="0" applyNumberFormat="1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Fill="1" applyBorder="1" applyAlignment="1">
      <alignment vertical="top"/>
    </xf>
    <xf numFmtId="49" fontId="6" fillId="10" borderId="1" xfId="0" applyNumberFormat="1" applyFont="1" applyFill="1" applyBorder="1"/>
    <xf numFmtId="0" fontId="6" fillId="0" borderId="1" xfId="0" applyFont="1" applyBorder="1"/>
    <xf numFmtId="0" fontId="6" fillId="0" borderId="1" xfId="0" applyFont="1" applyFill="1" applyBorder="1"/>
    <xf numFmtId="0" fontId="8" fillId="0" borderId="0" xfId="0" applyFont="1" applyBorder="1"/>
    <xf numFmtId="0" fontId="4" fillId="0" borderId="0" xfId="0" applyFont="1" applyBorder="1"/>
    <xf numFmtId="49" fontId="4" fillId="10" borderId="0" xfId="0" applyNumberFormat="1" applyFont="1" applyFill="1" applyBorder="1"/>
    <xf numFmtId="1" fontId="4" fillId="0" borderId="0" xfId="0" applyNumberFormat="1" applyFont="1" applyFill="1" applyBorder="1"/>
    <xf numFmtId="0" fontId="7" fillId="0" borderId="1" xfId="0" applyFont="1" applyBorder="1"/>
    <xf numFmtId="2" fontId="0" fillId="2" borderId="1" xfId="0" applyNumberFormat="1" applyFill="1" applyBorder="1"/>
    <xf numFmtId="2" fontId="0" fillId="8" borderId="1" xfId="0" applyNumberFormat="1" applyFill="1" applyBorder="1"/>
    <xf numFmtId="2" fontId="0" fillId="5" borderId="0" xfId="0" applyNumberFormat="1" applyFill="1" applyBorder="1"/>
    <xf numFmtId="2" fontId="0" fillId="5" borderId="0" xfId="0" applyNumberFormat="1" applyFill="1"/>
    <xf numFmtId="2" fontId="0" fillId="10" borderId="1" xfId="0" applyNumberFormat="1" applyFill="1" applyBorder="1"/>
    <xf numFmtId="2" fontId="1" fillId="5" borderId="1" xfId="0" applyNumberFormat="1" applyFont="1" applyFill="1" applyBorder="1" applyAlignment="1">
      <alignment vertical="top"/>
    </xf>
    <xf numFmtId="2" fontId="1" fillId="10" borderId="1" xfId="0" applyNumberFormat="1" applyFont="1" applyFill="1" applyBorder="1" applyAlignment="1">
      <alignment vertical="top"/>
    </xf>
    <xf numFmtId="2" fontId="0" fillId="10" borderId="0" xfId="0" applyNumberFormat="1" applyFill="1" applyBorder="1"/>
    <xf numFmtId="2" fontId="0" fillId="10" borderId="0" xfId="0" applyNumberFormat="1" applyFill="1"/>
    <xf numFmtId="0" fontId="0" fillId="2" borderId="1" xfId="0" applyFill="1" applyBorder="1"/>
    <xf numFmtId="49" fontId="2" fillId="7" borderId="1" xfId="0" applyNumberFormat="1" applyFont="1" applyFill="1" applyBorder="1" applyAlignment="1">
      <alignment vertical="top"/>
    </xf>
    <xf numFmtId="9" fontId="0" fillId="0" borderId="0" xfId="1" applyFont="1"/>
    <xf numFmtId="2" fontId="0" fillId="0" borderId="2" xfId="0" applyNumberFormat="1" applyFill="1" applyBorder="1"/>
    <xf numFmtId="164" fontId="0" fillId="0" borderId="0" xfId="0" applyNumberFormat="1" applyAlignment="1">
      <alignment horizontal="center"/>
    </xf>
    <xf numFmtId="0" fontId="0" fillId="6" borderId="1" xfId="0" applyFill="1" applyBorder="1"/>
    <xf numFmtId="164" fontId="0" fillId="0" borderId="1" xfId="0" applyNumberFormat="1" applyBorder="1" applyAlignment="1"/>
    <xf numFmtId="164" fontId="0" fillId="3" borderId="1" xfId="0" applyNumberFormat="1" applyFill="1" applyBorder="1" applyAlignment="1"/>
    <xf numFmtId="0" fontId="0" fillId="0" borderId="0" xfId="0" applyAlignment="1"/>
    <xf numFmtId="165" fontId="0" fillId="0" borderId="1" xfId="0" applyNumberFormat="1" applyBorder="1"/>
    <xf numFmtId="165" fontId="0" fillId="7" borderId="1" xfId="0" applyNumberFormat="1" applyFill="1" applyBorder="1"/>
    <xf numFmtId="165" fontId="0" fillId="5" borderId="1" xfId="0" applyNumberFormat="1" applyFill="1" applyBorder="1"/>
    <xf numFmtId="165" fontId="0" fillId="6" borderId="1" xfId="0" applyNumberFormat="1" applyFill="1" applyBorder="1"/>
    <xf numFmtId="2" fontId="0" fillId="0" borderId="1" xfId="0" applyNumberFormat="1" applyBorder="1" applyAlignment="1"/>
    <xf numFmtId="164" fontId="0" fillId="9" borderId="0" xfId="0" applyNumberFormat="1" applyFill="1"/>
    <xf numFmtId="164" fontId="2" fillId="10" borderId="1" xfId="0" applyNumberFormat="1" applyFont="1" applyFill="1" applyBorder="1" applyAlignment="1">
      <alignment horizontal="center" vertical="top"/>
    </xf>
    <xf numFmtId="164" fontId="0" fillId="10" borderId="0" xfId="0" applyNumberFormat="1" applyFill="1"/>
    <xf numFmtId="164" fontId="0" fillId="4" borderId="0" xfId="0" applyNumberFormat="1" applyFill="1"/>
    <xf numFmtId="16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49" fontId="2" fillId="7" borderId="1" xfId="0" applyNumberFormat="1" applyFont="1" applyFill="1" applyBorder="1" applyAlignment="1">
      <alignment horizontal="center" vertical="top" wrapText="1"/>
    </xf>
    <xf numFmtId="16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2" fillId="7" borderId="6" xfId="0" applyNumberFormat="1" applyFont="1" applyFill="1" applyBorder="1" applyAlignment="1">
      <alignment horizontal="center" vertical="top" wrapText="1"/>
    </xf>
    <xf numFmtId="49" fontId="2" fillId="7" borderId="7" xfId="0" applyNumberFormat="1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49" fontId="2" fillId="7" borderId="6" xfId="0" applyNumberFormat="1" applyFont="1" applyFill="1" applyBorder="1" applyAlignment="1">
      <alignment horizontal="center" vertical="top"/>
    </xf>
    <xf numFmtId="49" fontId="2" fillId="7" borderId="7" xfId="0" applyNumberFormat="1" applyFont="1" applyFill="1" applyBorder="1" applyAlignment="1">
      <alignment horizontal="center" vertical="top"/>
    </xf>
    <xf numFmtId="0" fontId="3" fillId="0" borderId="5" xfId="0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/>
    </xf>
    <xf numFmtId="49" fontId="0" fillId="7" borderId="8" xfId="0" applyNumberFormat="1" applyFill="1" applyBorder="1" applyAlignment="1">
      <alignment horizontal="center"/>
    </xf>
    <xf numFmtId="49" fontId="0" fillId="7" borderId="0" xfId="0" applyNumberForma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1" fillId="10" borderId="3" xfId="0" applyNumberFormat="1" applyFont="1" applyFill="1" applyBorder="1" applyAlignment="1">
      <alignment horizontal="center" vertical="top"/>
    </xf>
    <xf numFmtId="2" fontId="1" fillId="10" borderId="5" xfId="0" applyNumberFormat="1" applyFont="1" applyFill="1" applyBorder="1" applyAlignment="1">
      <alignment horizontal="center" vertical="top"/>
    </xf>
    <xf numFmtId="2" fontId="1" fillId="10" borderId="4" xfId="0" applyNumberFormat="1" applyFont="1" applyFill="1" applyBorder="1" applyAlignment="1">
      <alignment horizontal="center" vertical="top"/>
    </xf>
    <xf numFmtId="49" fontId="2" fillId="7" borderId="1" xfId="0" applyNumberFormat="1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2" fontId="3" fillId="5" borderId="1" xfId="0" applyNumberFormat="1" applyFont="1" applyFill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2" fontId="2" fillId="0" borderId="1" xfId="0" applyNumberFormat="1" applyFont="1" applyFill="1" applyBorder="1" applyAlignment="1">
      <alignment horizontal="center" vertical="top"/>
    </xf>
    <xf numFmtId="2" fontId="0" fillId="2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2" fillId="10" borderId="3" xfId="0" applyNumberFormat="1" applyFont="1" applyFill="1" applyBorder="1" applyAlignment="1">
      <alignment horizontal="center" vertical="top"/>
    </xf>
    <xf numFmtId="2" fontId="2" fillId="10" borderId="4" xfId="0" applyNumberFormat="1" applyFont="1" applyFill="1" applyBorder="1" applyAlignment="1">
      <alignment horizontal="center" vertical="top"/>
    </xf>
    <xf numFmtId="2" fontId="3" fillId="0" borderId="5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TT!$BC$2:$BC$3</c:f>
              <c:strCache>
                <c:ptCount val="2"/>
                <c:pt idx="0">
                  <c:v>TT</c:v>
                </c:pt>
                <c:pt idx="1">
                  <c:v>Average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TT!$BB$4:$BB$61</c:f>
              <c:numCache>
                <c:formatCode>0.0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TT!$BC$4:$BC$61</c:f>
              <c:numCache>
                <c:formatCode>0.0</c:formatCode>
                <c:ptCount val="58"/>
                <c:pt idx="0">
                  <c:v>3.2489230769230764</c:v>
                </c:pt>
                <c:pt idx="1">
                  <c:v>5.5241538461538466</c:v>
                </c:pt>
                <c:pt idx="2">
                  <c:v>3.2812307692307692</c:v>
                </c:pt>
                <c:pt idx="3">
                  <c:v>2.9440000000000004</c:v>
                </c:pt>
                <c:pt idx="4">
                  <c:v>3.6666923076923075</c:v>
                </c:pt>
                <c:pt idx="5">
                  <c:v>2.7164615384615378</c:v>
                </c:pt>
                <c:pt idx="6">
                  <c:v>2.6816923076923067</c:v>
                </c:pt>
                <c:pt idx="7">
                  <c:v>3.2839999999999994</c:v>
                </c:pt>
                <c:pt idx="8">
                  <c:v>4.1331538461538457</c:v>
                </c:pt>
                <c:pt idx="9">
                  <c:v>4.2166153846153849</c:v>
                </c:pt>
                <c:pt idx="10">
                  <c:v>3.533461538461538</c:v>
                </c:pt>
                <c:pt idx="11">
                  <c:v>4.5566923076923072</c:v>
                </c:pt>
                <c:pt idx="12">
                  <c:v>4.775153846153847</c:v>
                </c:pt>
                <c:pt idx="13">
                  <c:v>4.0695384615384622</c:v>
                </c:pt>
                <c:pt idx="14">
                  <c:v>2.8379230769230768</c:v>
                </c:pt>
                <c:pt idx="15">
                  <c:v>2.2664615384615385</c:v>
                </c:pt>
                <c:pt idx="16">
                  <c:v>3.4361538461538457</c:v>
                </c:pt>
                <c:pt idx="17">
                  <c:v>3.5161538461538453</c:v>
                </c:pt>
                <c:pt idx="18">
                  <c:v>3.9335384615384621</c:v>
                </c:pt>
                <c:pt idx="19">
                  <c:v>3.7981538461538453</c:v>
                </c:pt>
                <c:pt idx="20">
                  <c:v>3.7983846153846157</c:v>
                </c:pt>
                <c:pt idx="21">
                  <c:v>4.2246923076923091</c:v>
                </c:pt>
                <c:pt idx="22">
                  <c:v>4.6152307692307692</c:v>
                </c:pt>
                <c:pt idx="23">
                  <c:v>3.9708461538461535</c:v>
                </c:pt>
                <c:pt idx="24">
                  <c:v>3.5779999999999998</c:v>
                </c:pt>
                <c:pt idx="25">
                  <c:v>5.2106153846153855</c:v>
                </c:pt>
                <c:pt idx="26">
                  <c:v>4.3426923076923076</c:v>
                </c:pt>
                <c:pt idx="27">
                  <c:v>4.3721538461538465</c:v>
                </c:pt>
                <c:pt idx="28">
                  <c:v>4.3786923076923063</c:v>
                </c:pt>
                <c:pt idx="29">
                  <c:v>5.0157692307692292</c:v>
                </c:pt>
                <c:pt idx="30">
                  <c:v>3.2513076923076918</c:v>
                </c:pt>
                <c:pt idx="31">
                  <c:v>2.0115384615384615</c:v>
                </c:pt>
                <c:pt idx="32">
                  <c:v>2.0506153846153845</c:v>
                </c:pt>
                <c:pt idx="33">
                  <c:v>2.0938461538461537</c:v>
                </c:pt>
                <c:pt idx="34">
                  <c:v>4.1143846153846155</c:v>
                </c:pt>
                <c:pt idx="35">
                  <c:v>3.366769230769231</c:v>
                </c:pt>
                <c:pt idx="36">
                  <c:v>4.6075384615384616</c:v>
                </c:pt>
                <c:pt idx="37">
                  <c:v>4.2394615384615397</c:v>
                </c:pt>
                <c:pt idx="38">
                  <c:v>3.5295384615384608</c:v>
                </c:pt>
                <c:pt idx="39">
                  <c:v>3.0191538461538459</c:v>
                </c:pt>
                <c:pt idx="40">
                  <c:v>4.770076923076922</c:v>
                </c:pt>
                <c:pt idx="41">
                  <c:v>4.4774615384615384</c:v>
                </c:pt>
                <c:pt idx="42">
                  <c:v>3.7536153846153848</c:v>
                </c:pt>
                <c:pt idx="43">
                  <c:v>4.6216153846153851</c:v>
                </c:pt>
                <c:pt idx="44">
                  <c:v>3.9922307692307695</c:v>
                </c:pt>
                <c:pt idx="45">
                  <c:v>4.1943846153846156</c:v>
                </c:pt>
                <c:pt idx="46">
                  <c:v>5.405153846153846</c:v>
                </c:pt>
                <c:pt idx="47">
                  <c:v>4.0949230769230773</c:v>
                </c:pt>
                <c:pt idx="48">
                  <c:v>4.6821538461538461</c:v>
                </c:pt>
                <c:pt idx="49">
                  <c:v>3.2395384615384617</c:v>
                </c:pt>
                <c:pt idx="50">
                  <c:v>5.873384615384615</c:v>
                </c:pt>
                <c:pt idx="51">
                  <c:v>2.8890769230769231</c:v>
                </c:pt>
                <c:pt idx="52">
                  <c:v>3.8237692307692308</c:v>
                </c:pt>
                <c:pt idx="53">
                  <c:v>3.9490000000000007</c:v>
                </c:pt>
                <c:pt idx="54">
                  <c:v>2.6865384615384618</c:v>
                </c:pt>
                <c:pt idx="55">
                  <c:v>5.2331538461538454</c:v>
                </c:pt>
                <c:pt idx="56">
                  <c:v>4.6413846153846148</c:v>
                </c:pt>
                <c:pt idx="57">
                  <c:v>4.1963076923076921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TT!$BD$2:$BD$3</c:f>
              <c:strCache>
                <c:ptCount val="2"/>
                <c:pt idx="0">
                  <c:v>TT</c:v>
                </c:pt>
                <c:pt idx="1">
                  <c:v>Median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TT!$BB$4:$BB$61</c:f>
              <c:numCache>
                <c:formatCode>0.0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TT!$BD$4:$BD$61</c:f>
              <c:numCache>
                <c:formatCode>0.0</c:formatCode>
                <c:ptCount val="58"/>
                <c:pt idx="0">
                  <c:v>3.2199999999999998</c:v>
                </c:pt>
                <c:pt idx="1">
                  <c:v>5.59</c:v>
                </c:pt>
                <c:pt idx="2">
                  <c:v>3.16</c:v>
                </c:pt>
                <c:pt idx="3">
                  <c:v>2.9000000000000004</c:v>
                </c:pt>
                <c:pt idx="4">
                  <c:v>3.49</c:v>
                </c:pt>
                <c:pt idx="5">
                  <c:v>2.73</c:v>
                </c:pt>
                <c:pt idx="6">
                  <c:v>2.7</c:v>
                </c:pt>
                <c:pt idx="7">
                  <c:v>3.33</c:v>
                </c:pt>
                <c:pt idx="8">
                  <c:v>3.9249999999999998</c:v>
                </c:pt>
                <c:pt idx="9">
                  <c:v>4.25</c:v>
                </c:pt>
                <c:pt idx="10">
                  <c:v>3.29</c:v>
                </c:pt>
                <c:pt idx="11">
                  <c:v>4.51</c:v>
                </c:pt>
                <c:pt idx="12">
                  <c:v>4.5500000000000007</c:v>
                </c:pt>
                <c:pt idx="13">
                  <c:v>4.1849999999999996</c:v>
                </c:pt>
                <c:pt idx="14">
                  <c:v>2.8250000000000002</c:v>
                </c:pt>
                <c:pt idx="15">
                  <c:v>1.9249999999999998</c:v>
                </c:pt>
                <c:pt idx="16">
                  <c:v>3.3650000000000002</c:v>
                </c:pt>
                <c:pt idx="17">
                  <c:v>3.4350000000000001</c:v>
                </c:pt>
                <c:pt idx="18">
                  <c:v>3.9550000000000001</c:v>
                </c:pt>
                <c:pt idx="19">
                  <c:v>3.7450000000000001</c:v>
                </c:pt>
                <c:pt idx="20">
                  <c:v>3.6799999999999997</c:v>
                </c:pt>
                <c:pt idx="21">
                  <c:v>3.9</c:v>
                </c:pt>
                <c:pt idx="22">
                  <c:v>4.4800000000000004</c:v>
                </c:pt>
                <c:pt idx="23">
                  <c:v>3.915</c:v>
                </c:pt>
                <c:pt idx="24">
                  <c:v>3.55</c:v>
                </c:pt>
                <c:pt idx="25">
                  <c:v>4.8499999999999996</c:v>
                </c:pt>
                <c:pt idx="26">
                  <c:v>4.01</c:v>
                </c:pt>
                <c:pt idx="27">
                  <c:v>4.4499999999999993</c:v>
                </c:pt>
                <c:pt idx="28">
                  <c:v>4.3599999999999994</c:v>
                </c:pt>
                <c:pt idx="29">
                  <c:v>4.7</c:v>
                </c:pt>
                <c:pt idx="30">
                  <c:v>2.96</c:v>
                </c:pt>
                <c:pt idx="31">
                  <c:v>1.85</c:v>
                </c:pt>
                <c:pt idx="32">
                  <c:v>1.88</c:v>
                </c:pt>
                <c:pt idx="33">
                  <c:v>2</c:v>
                </c:pt>
                <c:pt idx="34">
                  <c:v>3.96</c:v>
                </c:pt>
                <c:pt idx="35">
                  <c:v>3.2850000000000001</c:v>
                </c:pt>
                <c:pt idx="36">
                  <c:v>4.375</c:v>
                </c:pt>
                <c:pt idx="37">
                  <c:v>4.125</c:v>
                </c:pt>
                <c:pt idx="38">
                  <c:v>3.5</c:v>
                </c:pt>
                <c:pt idx="39">
                  <c:v>2.9649999999999999</c:v>
                </c:pt>
                <c:pt idx="40">
                  <c:v>4.7</c:v>
                </c:pt>
                <c:pt idx="41">
                  <c:v>4.51</c:v>
                </c:pt>
                <c:pt idx="42">
                  <c:v>3.66</c:v>
                </c:pt>
                <c:pt idx="43">
                  <c:v>4.6500000000000004</c:v>
                </c:pt>
                <c:pt idx="44">
                  <c:v>3.79</c:v>
                </c:pt>
                <c:pt idx="45">
                  <c:v>4.0250000000000004</c:v>
                </c:pt>
                <c:pt idx="46">
                  <c:v>5.335</c:v>
                </c:pt>
                <c:pt idx="47">
                  <c:v>4.09</c:v>
                </c:pt>
                <c:pt idx="48">
                  <c:v>4.51</c:v>
                </c:pt>
                <c:pt idx="49">
                  <c:v>3.2</c:v>
                </c:pt>
                <c:pt idx="50">
                  <c:v>5.88</c:v>
                </c:pt>
                <c:pt idx="51">
                  <c:v>2.9</c:v>
                </c:pt>
                <c:pt idx="52">
                  <c:v>3.8600000000000003</c:v>
                </c:pt>
                <c:pt idx="53">
                  <c:v>3.375</c:v>
                </c:pt>
                <c:pt idx="54">
                  <c:v>2.2749999999999999</c:v>
                </c:pt>
                <c:pt idx="55">
                  <c:v>5.01</c:v>
                </c:pt>
                <c:pt idx="56">
                  <c:v>4.3599999999999994</c:v>
                </c:pt>
                <c:pt idx="57">
                  <c:v>4.13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503984"/>
        <c:axId val="331207704"/>
      </c:scatterChart>
      <c:valAx>
        <c:axId val="371503984"/>
        <c:scaling>
          <c:orientation val="minMax"/>
          <c:max val="5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Routes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1207704"/>
        <c:crosses val="autoZero"/>
        <c:crossBetween val="midCat"/>
        <c:majorUnit val="2"/>
      </c:valAx>
      <c:valAx>
        <c:axId val="33120770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TT, min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150398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TT!$BC$2:$BC$3</c:f>
              <c:strCache>
                <c:ptCount val="2"/>
                <c:pt idx="0">
                  <c:v>TT</c:v>
                </c:pt>
                <c:pt idx="1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TT!$BC$4:$BC$61</c:f>
              <c:numCache>
                <c:formatCode>0.0</c:formatCode>
                <c:ptCount val="58"/>
                <c:pt idx="0">
                  <c:v>3.2489230769230764</c:v>
                </c:pt>
                <c:pt idx="1">
                  <c:v>5.5241538461538466</c:v>
                </c:pt>
                <c:pt idx="2">
                  <c:v>3.2812307692307692</c:v>
                </c:pt>
                <c:pt idx="3">
                  <c:v>2.9440000000000004</c:v>
                </c:pt>
                <c:pt idx="4">
                  <c:v>3.6666923076923075</c:v>
                </c:pt>
                <c:pt idx="5">
                  <c:v>2.7164615384615378</c:v>
                </c:pt>
                <c:pt idx="6">
                  <c:v>2.6816923076923067</c:v>
                </c:pt>
                <c:pt idx="7">
                  <c:v>3.2839999999999994</c:v>
                </c:pt>
                <c:pt idx="8">
                  <c:v>4.1331538461538457</c:v>
                </c:pt>
                <c:pt idx="9">
                  <c:v>4.2166153846153849</c:v>
                </c:pt>
                <c:pt idx="10">
                  <c:v>3.533461538461538</c:v>
                </c:pt>
                <c:pt idx="11">
                  <c:v>4.5566923076923072</c:v>
                </c:pt>
                <c:pt idx="12">
                  <c:v>4.775153846153847</c:v>
                </c:pt>
                <c:pt idx="13">
                  <c:v>4.0695384615384622</c:v>
                </c:pt>
                <c:pt idx="14">
                  <c:v>2.8379230769230768</c:v>
                </c:pt>
                <c:pt idx="15">
                  <c:v>2.2664615384615385</c:v>
                </c:pt>
                <c:pt idx="16">
                  <c:v>3.4361538461538457</c:v>
                </c:pt>
                <c:pt idx="17">
                  <c:v>3.5161538461538453</c:v>
                </c:pt>
                <c:pt idx="18">
                  <c:v>3.9335384615384621</c:v>
                </c:pt>
                <c:pt idx="19">
                  <c:v>3.7981538461538453</c:v>
                </c:pt>
                <c:pt idx="20">
                  <c:v>3.7983846153846157</c:v>
                </c:pt>
                <c:pt idx="21">
                  <c:v>4.2246923076923091</c:v>
                </c:pt>
                <c:pt idx="22">
                  <c:v>4.6152307692307692</c:v>
                </c:pt>
                <c:pt idx="23">
                  <c:v>3.9708461538461535</c:v>
                </c:pt>
                <c:pt idx="24">
                  <c:v>3.5779999999999998</c:v>
                </c:pt>
                <c:pt idx="25">
                  <c:v>5.2106153846153855</c:v>
                </c:pt>
                <c:pt idx="26">
                  <c:v>4.3426923076923076</c:v>
                </c:pt>
                <c:pt idx="27">
                  <c:v>4.3721538461538465</c:v>
                </c:pt>
                <c:pt idx="28">
                  <c:v>4.3786923076923063</c:v>
                </c:pt>
                <c:pt idx="29">
                  <c:v>5.0157692307692292</c:v>
                </c:pt>
                <c:pt idx="30">
                  <c:v>3.2513076923076918</c:v>
                </c:pt>
                <c:pt idx="31">
                  <c:v>2.0115384615384615</c:v>
                </c:pt>
                <c:pt idx="32">
                  <c:v>2.0506153846153845</c:v>
                </c:pt>
                <c:pt idx="33">
                  <c:v>2.0938461538461537</c:v>
                </c:pt>
                <c:pt idx="34">
                  <c:v>4.1143846153846155</c:v>
                </c:pt>
                <c:pt idx="35">
                  <c:v>3.366769230769231</c:v>
                </c:pt>
                <c:pt idx="36">
                  <c:v>4.6075384615384616</c:v>
                </c:pt>
                <c:pt idx="37">
                  <c:v>4.2394615384615397</c:v>
                </c:pt>
                <c:pt idx="38">
                  <c:v>3.5295384615384608</c:v>
                </c:pt>
                <c:pt idx="39">
                  <c:v>3.0191538461538459</c:v>
                </c:pt>
                <c:pt idx="40">
                  <c:v>4.770076923076922</c:v>
                </c:pt>
                <c:pt idx="41">
                  <c:v>4.4774615384615384</c:v>
                </c:pt>
                <c:pt idx="42">
                  <c:v>3.7536153846153848</c:v>
                </c:pt>
                <c:pt idx="43">
                  <c:v>4.6216153846153851</c:v>
                </c:pt>
                <c:pt idx="44">
                  <c:v>3.9922307692307695</c:v>
                </c:pt>
                <c:pt idx="45">
                  <c:v>4.1943846153846156</c:v>
                </c:pt>
                <c:pt idx="46">
                  <c:v>5.405153846153846</c:v>
                </c:pt>
                <c:pt idx="47">
                  <c:v>4.0949230769230773</c:v>
                </c:pt>
                <c:pt idx="48">
                  <c:v>4.6821538461538461</c:v>
                </c:pt>
                <c:pt idx="49">
                  <c:v>3.2395384615384617</c:v>
                </c:pt>
                <c:pt idx="50">
                  <c:v>5.873384615384615</c:v>
                </c:pt>
                <c:pt idx="51">
                  <c:v>2.8890769230769231</c:v>
                </c:pt>
                <c:pt idx="52">
                  <c:v>3.8237692307692308</c:v>
                </c:pt>
                <c:pt idx="53">
                  <c:v>3.9490000000000007</c:v>
                </c:pt>
                <c:pt idx="54">
                  <c:v>2.6865384615384618</c:v>
                </c:pt>
                <c:pt idx="55">
                  <c:v>5.2331538461538454</c:v>
                </c:pt>
                <c:pt idx="56">
                  <c:v>4.6413846153846148</c:v>
                </c:pt>
                <c:pt idx="57">
                  <c:v>4.1963076923076921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TT!$BD$2:$BD$3</c:f>
              <c:strCache>
                <c:ptCount val="2"/>
                <c:pt idx="0">
                  <c:v>TT</c:v>
                </c:pt>
                <c:pt idx="1">
                  <c:v>Median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TT!$BD$4:$BD$61</c:f>
              <c:numCache>
                <c:formatCode>0.0</c:formatCode>
                <c:ptCount val="58"/>
                <c:pt idx="0">
                  <c:v>3.2199999999999998</c:v>
                </c:pt>
                <c:pt idx="1">
                  <c:v>5.59</c:v>
                </c:pt>
                <c:pt idx="2">
                  <c:v>3.16</c:v>
                </c:pt>
                <c:pt idx="3">
                  <c:v>2.9000000000000004</c:v>
                </c:pt>
                <c:pt idx="4">
                  <c:v>3.49</c:v>
                </c:pt>
                <c:pt idx="5">
                  <c:v>2.73</c:v>
                </c:pt>
                <c:pt idx="6">
                  <c:v>2.7</c:v>
                </c:pt>
                <c:pt idx="7">
                  <c:v>3.33</c:v>
                </c:pt>
                <c:pt idx="8">
                  <c:v>3.9249999999999998</c:v>
                </c:pt>
                <c:pt idx="9">
                  <c:v>4.25</c:v>
                </c:pt>
                <c:pt idx="10">
                  <c:v>3.29</c:v>
                </c:pt>
                <c:pt idx="11">
                  <c:v>4.51</c:v>
                </c:pt>
                <c:pt idx="12">
                  <c:v>4.5500000000000007</c:v>
                </c:pt>
                <c:pt idx="13">
                  <c:v>4.1849999999999996</c:v>
                </c:pt>
                <c:pt idx="14">
                  <c:v>2.8250000000000002</c:v>
                </c:pt>
                <c:pt idx="15">
                  <c:v>1.9249999999999998</c:v>
                </c:pt>
                <c:pt idx="16">
                  <c:v>3.3650000000000002</c:v>
                </c:pt>
                <c:pt idx="17">
                  <c:v>3.4350000000000001</c:v>
                </c:pt>
                <c:pt idx="18">
                  <c:v>3.9550000000000001</c:v>
                </c:pt>
                <c:pt idx="19">
                  <c:v>3.7450000000000001</c:v>
                </c:pt>
                <c:pt idx="20">
                  <c:v>3.6799999999999997</c:v>
                </c:pt>
                <c:pt idx="21">
                  <c:v>3.9</c:v>
                </c:pt>
                <c:pt idx="22">
                  <c:v>4.4800000000000004</c:v>
                </c:pt>
                <c:pt idx="23">
                  <c:v>3.915</c:v>
                </c:pt>
                <c:pt idx="24">
                  <c:v>3.55</c:v>
                </c:pt>
                <c:pt idx="25">
                  <c:v>4.8499999999999996</c:v>
                </c:pt>
                <c:pt idx="26">
                  <c:v>4.01</c:v>
                </c:pt>
                <c:pt idx="27">
                  <c:v>4.4499999999999993</c:v>
                </c:pt>
                <c:pt idx="28">
                  <c:v>4.3599999999999994</c:v>
                </c:pt>
                <c:pt idx="29">
                  <c:v>4.7</c:v>
                </c:pt>
                <c:pt idx="30">
                  <c:v>2.96</c:v>
                </c:pt>
                <c:pt idx="31">
                  <c:v>1.85</c:v>
                </c:pt>
                <c:pt idx="32">
                  <c:v>1.88</c:v>
                </c:pt>
                <c:pt idx="33">
                  <c:v>2</c:v>
                </c:pt>
                <c:pt idx="34">
                  <c:v>3.96</c:v>
                </c:pt>
                <c:pt idx="35">
                  <c:v>3.2850000000000001</c:v>
                </c:pt>
                <c:pt idx="36">
                  <c:v>4.375</c:v>
                </c:pt>
                <c:pt idx="37">
                  <c:v>4.125</c:v>
                </c:pt>
                <c:pt idx="38">
                  <c:v>3.5</c:v>
                </c:pt>
                <c:pt idx="39">
                  <c:v>2.9649999999999999</c:v>
                </c:pt>
                <c:pt idx="40">
                  <c:v>4.7</c:v>
                </c:pt>
                <c:pt idx="41">
                  <c:v>4.51</c:v>
                </c:pt>
                <c:pt idx="42">
                  <c:v>3.66</c:v>
                </c:pt>
                <c:pt idx="43">
                  <c:v>4.6500000000000004</c:v>
                </c:pt>
                <c:pt idx="44">
                  <c:v>3.79</c:v>
                </c:pt>
                <c:pt idx="45">
                  <c:v>4.0250000000000004</c:v>
                </c:pt>
                <c:pt idx="46">
                  <c:v>5.335</c:v>
                </c:pt>
                <c:pt idx="47">
                  <c:v>4.09</c:v>
                </c:pt>
                <c:pt idx="48">
                  <c:v>4.51</c:v>
                </c:pt>
                <c:pt idx="49">
                  <c:v>3.2</c:v>
                </c:pt>
                <c:pt idx="50">
                  <c:v>5.88</c:v>
                </c:pt>
                <c:pt idx="51">
                  <c:v>2.9</c:v>
                </c:pt>
                <c:pt idx="52">
                  <c:v>3.8600000000000003</c:v>
                </c:pt>
                <c:pt idx="53">
                  <c:v>3.375</c:v>
                </c:pt>
                <c:pt idx="54">
                  <c:v>2.2749999999999999</c:v>
                </c:pt>
                <c:pt idx="55">
                  <c:v>5.01</c:v>
                </c:pt>
                <c:pt idx="56">
                  <c:v>4.3599999999999994</c:v>
                </c:pt>
                <c:pt idx="57">
                  <c:v>4.13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007416"/>
        <c:axId val="373007800"/>
      </c:lineChart>
      <c:catAx>
        <c:axId val="373007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Routes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3007800"/>
        <c:crosses val="autoZero"/>
        <c:auto val="1"/>
        <c:lblAlgn val="ctr"/>
        <c:lblOffset val="100"/>
        <c:noMultiLvlLbl val="0"/>
      </c:catAx>
      <c:valAx>
        <c:axId val="373007800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TT, min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3007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TT_by_time_interval!$A$6</c:f>
              <c:strCache>
                <c:ptCount val="1"/>
                <c:pt idx="0">
                  <c:v>TT averge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TT_by_time_interval!$B$5:$AA$5</c:f>
              <c:numCache>
                <c:formatCode>[$-F400]h:mm:ss\ AM/PM</c:formatCode>
                <c:ptCount val="26"/>
                <c:pt idx="0">
                  <c:v>0.29166666666666669</c:v>
                </c:pt>
                <c:pt idx="1">
                  <c:v>0.30208333333333331</c:v>
                </c:pt>
                <c:pt idx="2">
                  <c:v>0.3125</c:v>
                </c:pt>
                <c:pt idx="3">
                  <c:v>0.32291666666666669</c:v>
                </c:pt>
                <c:pt idx="4">
                  <c:v>0.33333333333333331</c:v>
                </c:pt>
                <c:pt idx="5">
                  <c:v>0.34375</c:v>
                </c:pt>
                <c:pt idx="6">
                  <c:v>0.35416666666666669</c:v>
                </c:pt>
                <c:pt idx="7">
                  <c:v>0.36458333333333331</c:v>
                </c:pt>
                <c:pt idx="8">
                  <c:v>0.375</c:v>
                </c:pt>
                <c:pt idx="9">
                  <c:v>0.38541666666666669</c:v>
                </c:pt>
                <c:pt idx="10">
                  <c:v>0.39583333333333331</c:v>
                </c:pt>
                <c:pt idx="11">
                  <c:v>0.40625</c:v>
                </c:pt>
                <c:pt idx="12">
                  <c:v>0.41666666666666669</c:v>
                </c:pt>
                <c:pt idx="13">
                  <c:v>0.66666666666666663</c:v>
                </c:pt>
                <c:pt idx="14">
                  <c:v>0.67708333333333337</c:v>
                </c:pt>
                <c:pt idx="15">
                  <c:v>0.6875</c:v>
                </c:pt>
                <c:pt idx="16">
                  <c:v>0.69791666666666663</c:v>
                </c:pt>
                <c:pt idx="17">
                  <c:v>0.70833333333333337</c:v>
                </c:pt>
                <c:pt idx="18">
                  <c:v>0.71875</c:v>
                </c:pt>
                <c:pt idx="19">
                  <c:v>0.72916666666666663</c:v>
                </c:pt>
                <c:pt idx="20">
                  <c:v>0.73958333333333337</c:v>
                </c:pt>
                <c:pt idx="21">
                  <c:v>0.75</c:v>
                </c:pt>
                <c:pt idx="22">
                  <c:v>0.76041666666666663</c:v>
                </c:pt>
                <c:pt idx="23">
                  <c:v>0.77083333333333337</c:v>
                </c:pt>
                <c:pt idx="24">
                  <c:v>0.78125</c:v>
                </c:pt>
                <c:pt idx="25">
                  <c:v>0.79166666666666663</c:v>
                </c:pt>
              </c:numCache>
            </c:numRef>
          </c:cat>
          <c:val>
            <c:numRef>
              <c:f>TT_by_time_interval!$B$6:$AA$6</c:f>
              <c:numCache>
                <c:formatCode>0.00</c:formatCode>
                <c:ptCount val="26"/>
                <c:pt idx="0">
                  <c:v>2.8247586206896553</c:v>
                </c:pt>
                <c:pt idx="1">
                  <c:v>2.9526551724137939</c:v>
                </c:pt>
                <c:pt idx="2">
                  <c:v>3.1025172413793087</c:v>
                </c:pt>
                <c:pt idx="3">
                  <c:v>3.250620689655173</c:v>
                </c:pt>
                <c:pt idx="4">
                  <c:v>3.5629310344827578</c:v>
                </c:pt>
                <c:pt idx="5">
                  <c:v>3.920379310344829</c:v>
                </c:pt>
                <c:pt idx="6">
                  <c:v>4.0777241379310345</c:v>
                </c:pt>
                <c:pt idx="7">
                  <c:v>3.9314827586206893</c:v>
                </c:pt>
                <c:pt idx="8">
                  <c:v>3.7650344827586197</c:v>
                </c:pt>
                <c:pt idx="9">
                  <c:v>3.7642068965517241</c:v>
                </c:pt>
                <c:pt idx="10">
                  <c:v>3.8230344827586218</c:v>
                </c:pt>
                <c:pt idx="11">
                  <c:v>3.7963448275862075</c:v>
                </c:pt>
                <c:pt idx="12">
                  <c:v>3.77251724137931</c:v>
                </c:pt>
                <c:pt idx="13">
                  <c:v>3.8256551724137924</c:v>
                </c:pt>
                <c:pt idx="14">
                  <c:v>3.8755517241379303</c:v>
                </c:pt>
                <c:pt idx="15">
                  <c:v>3.9045517241379315</c:v>
                </c:pt>
                <c:pt idx="16">
                  <c:v>3.9687586206896537</c:v>
                </c:pt>
                <c:pt idx="17">
                  <c:v>3.9990000000000001</c:v>
                </c:pt>
                <c:pt idx="18">
                  <c:v>3.9583793103448279</c:v>
                </c:pt>
                <c:pt idx="19">
                  <c:v>3.896586206896552</c:v>
                </c:pt>
                <c:pt idx="20">
                  <c:v>4.2111379310344832</c:v>
                </c:pt>
                <c:pt idx="21">
                  <c:v>4.7535172413793099</c:v>
                </c:pt>
                <c:pt idx="22">
                  <c:v>4.8010000000000002</c:v>
                </c:pt>
                <c:pt idx="23">
                  <c:v>4.5659999999999989</c:v>
                </c:pt>
                <c:pt idx="24">
                  <c:v>4.3037586206896545</c:v>
                </c:pt>
                <c:pt idx="25">
                  <c:v>4.1352413793103437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TT_by_time_interval!$A$7</c:f>
              <c:strCache>
                <c:ptCount val="1"/>
                <c:pt idx="0">
                  <c:v>TT 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TT_by_time_interval!$B$5:$AA$5</c:f>
              <c:numCache>
                <c:formatCode>[$-F400]h:mm:ss\ AM/PM</c:formatCode>
                <c:ptCount val="26"/>
                <c:pt idx="0">
                  <c:v>0.29166666666666669</c:v>
                </c:pt>
                <c:pt idx="1">
                  <c:v>0.30208333333333331</c:v>
                </c:pt>
                <c:pt idx="2">
                  <c:v>0.3125</c:v>
                </c:pt>
                <c:pt idx="3">
                  <c:v>0.32291666666666669</c:v>
                </c:pt>
                <c:pt idx="4">
                  <c:v>0.33333333333333331</c:v>
                </c:pt>
                <c:pt idx="5">
                  <c:v>0.34375</c:v>
                </c:pt>
                <c:pt idx="6">
                  <c:v>0.35416666666666669</c:v>
                </c:pt>
                <c:pt idx="7">
                  <c:v>0.36458333333333331</c:v>
                </c:pt>
                <c:pt idx="8">
                  <c:v>0.375</c:v>
                </c:pt>
                <c:pt idx="9">
                  <c:v>0.38541666666666669</c:v>
                </c:pt>
                <c:pt idx="10">
                  <c:v>0.39583333333333331</c:v>
                </c:pt>
                <c:pt idx="11">
                  <c:v>0.40625</c:v>
                </c:pt>
                <c:pt idx="12">
                  <c:v>0.41666666666666669</c:v>
                </c:pt>
                <c:pt idx="13">
                  <c:v>0.66666666666666663</c:v>
                </c:pt>
                <c:pt idx="14">
                  <c:v>0.67708333333333337</c:v>
                </c:pt>
                <c:pt idx="15">
                  <c:v>0.6875</c:v>
                </c:pt>
                <c:pt idx="16">
                  <c:v>0.69791666666666663</c:v>
                </c:pt>
                <c:pt idx="17">
                  <c:v>0.70833333333333337</c:v>
                </c:pt>
                <c:pt idx="18">
                  <c:v>0.71875</c:v>
                </c:pt>
                <c:pt idx="19">
                  <c:v>0.72916666666666663</c:v>
                </c:pt>
                <c:pt idx="20">
                  <c:v>0.73958333333333337</c:v>
                </c:pt>
                <c:pt idx="21">
                  <c:v>0.75</c:v>
                </c:pt>
                <c:pt idx="22">
                  <c:v>0.76041666666666663</c:v>
                </c:pt>
                <c:pt idx="23">
                  <c:v>0.77083333333333337</c:v>
                </c:pt>
                <c:pt idx="24">
                  <c:v>0.78125</c:v>
                </c:pt>
                <c:pt idx="25">
                  <c:v>0.79166666666666663</c:v>
                </c:pt>
              </c:numCache>
            </c:numRef>
          </c:cat>
          <c:val>
            <c:numRef>
              <c:f>TT_by_time_interval!$B$7:$AA$7</c:f>
              <c:numCache>
                <c:formatCode>0.00</c:formatCode>
                <c:ptCount val="26"/>
                <c:pt idx="0">
                  <c:v>2.8899999999999997</c:v>
                </c:pt>
                <c:pt idx="1">
                  <c:v>3</c:v>
                </c:pt>
                <c:pt idx="2">
                  <c:v>3.1349999999999998</c:v>
                </c:pt>
                <c:pt idx="3">
                  <c:v>3.2749999999999999</c:v>
                </c:pt>
                <c:pt idx="4">
                  <c:v>3.62</c:v>
                </c:pt>
                <c:pt idx="5">
                  <c:v>3.84</c:v>
                </c:pt>
                <c:pt idx="6">
                  <c:v>4.1500000000000004</c:v>
                </c:pt>
                <c:pt idx="7">
                  <c:v>3.87</c:v>
                </c:pt>
                <c:pt idx="8">
                  <c:v>3.7850000000000001</c:v>
                </c:pt>
                <c:pt idx="9">
                  <c:v>3.79</c:v>
                </c:pt>
                <c:pt idx="10">
                  <c:v>3.75</c:v>
                </c:pt>
                <c:pt idx="11">
                  <c:v>3.8250000000000002</c:v>
                </c:pt>
                <c:pt idx="12">
                  <c:v>3.79</c:v>
                </c:pt>
                <c:pt idx="13">
                  <c:v>3.78</c:v>
                </c:pt>
                <c:pt idx="14">
                  <c:v>3.8600000000000003</c:v>
                </c:pt>
                <c:pt idx="15">
                  <c:v>3.8449999999999998</c:v>
                </c:pt>
                <c:pt idx="16">
                  <c:v>3.96</c:v>
                </c:pt>
                <c:pt idx="17">
                  <c:v>3.98</c:v>
                </c:pt>
                <c:pt idx="18">
                  <c:v>3.84</c:v>
                </c:pt>
                <c:pt idx="19">
                  <c:v>3.7749999999999999</c:v>
                </c:pt>
                <c:pt idx="20">
                  <c:v>4.04</c:v>
                </c:pt>
                <c:pt idx="21">
                  <c:v>4.4849999999999994</c:v>
                </c:pt>
                <c:pt idx="22">
                  <c:v>4.58</c:v>
                </c:pt>
                <c:pt idx="23">
                  <c:v>4.2750000000000004</c:v>
                </c:pt>
                <c:pt idx="24">
                  <c:v>4.1349999999999998</c:v>
                </c:pt>
                <c:pt idx="25">
                  <c:v>3.9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867072"/>
        <c:axId val="372867456"/>
      </c:lineChart>
      <c:catAx>
        <c:axId val="37286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Time</a:t>
                </a:r>
                <a:r>
                  <a:rPr lang="" baseline="0"/>
                  <a:t> intervals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2867456"/>
        <c:crosses val="autoZero"/>
        <c:auto val="1"/>
        <c:lblAlgn val="ctr"/>
        <c:lblOffset val="100"/>
        <c:noMultiLvlLbl val="0"/>
      </c:catAx>
      <c:valAx>
        <c:axId val="372867456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TT, min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286707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042234947288544E-2"/>
          <c:y val="9.4699692593070692E-2"/>
          <c:w val="0.90168273533510901"/>
          <c:h val="0.74980144335890597"/>
        </c:manualLayout>
      </c:layout>
      <c:lineChart>
        <c:grouping val="standard"/>
        <c:varyColors val="0"/>
        <c:ser>
          <c:idx val="7"/>
          <c:order val="0"/>
          <c:tx>
            <c:strRef>
              <c:f>average_speed_per_time!$J$1</c:f>
              <c:strCache>
                <c:ptCount val="1"/>
                <c:pt idx="0">
                  <c:v>Average speed during the week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average_speed_per_time!$A$2:$A$27</c:f>
              <c:numCache>
                <c:formatCode>[$-F400]h:mm:ss\ AM/PM</c:formatCode>
                <c:ptCount val="26"/>
                <c:pt idx="0">
                  <c:v>0.29166666666666669</c:v>
                </c:pt>
                <c:pt idx="1">
                  <c:v>0.30208333333333331</c:v>
                </c:pt>
                <c:pt idx="2">
                  <c:v>0.3125</c:v>
                </c:pt>
                <c:pt idx="3">
                  <c:v>0.32291666666666669</c:v>
                </c:pt>
                <c:pt idx="4">
                  <c:v>0.33333333333333331</c:v>
                </c:pt>
                <c:pt idx="5">
                  <c:v>0.34375</c:v>
                </c:pt>
                <c:pt idx="6">
                  <c:v>0.35416666666666669</c:v>
                </c:pt>
                <c:pt idx="7">
                  <c:v>0.36458333333333331</c:v>
                </c:pt>
                <c:pt idx="8">
                  <c:v>0.375</c:v>
                </c:pt>
                <c:pt idx="9">
                  <c:v>0.38541666666666669</c:v>
                </c:pt>
                <c:pt idx="10">
                  <c:v>0.39583333333333331</c:v>
                </c:pt>
                <c:pt idx="11">
                  <c:v>0.40625</c:v>
                </c:pt>
                <c:pt idx="12">
                  <c:v>0.41666666666666669</c:v>
                </c:pt>
                <c:pt idx="13">
                  <c:v>0.66666666666666663</c:v>
                </c:pt>
                <c:pt idx="14">
                  <c:v>0.67708333333333337</c:v>
                </c:pt>
                <c:pt idx="15">
                  <c:v>0.6875</c:v>
                </c:pt>
                <c:pt idx="16">
                  <c:v>0.69791666666666663</c:v>
                </c:pt>
                <c:pt idx="17">
                  <c:v>0.70833333333333337</c:v>
                </c:pt>
                <c:pt idx="18">
                  <c:v>0.71875</c:v>
                </c:pt>
                <c:pt idx="19">
                  <c:v>0.72916666666666663</c:v>
                </c:pt>
                <c:pt idx="20">
                  <c:v>0.73958333333333337</c:v>
                </c:pt>
                <c:pt idx="21">
                  <c:v>0.75</c:v>
                </c:pt>
                <c:pt idx="22">
                  <c:v>0.76041666666666663</c:v>
                </c:pt>
                <c:pt idx="23">
                  <c:v>0.77083333333333337</c:v>
                </c:pt>
                <c:pt idx="24">
                  <c:v>0.78125</c:v>
                </c:pt>
                <c:pt idx="25">
                  <c:v>0.79166666666666663</c:v>
                </c:pt>
              </c:numCache>
            </c:numRef>
          </c:cat>
          <c:val>
            <c:numRef>
              <c:f>average_speed_per_time!$J$2:$J$27</c:f>
              <c:numCache>
                <c:formatCode>0</c:formatCode>
                <c:ptCount val="26"/>
                <c:pt idx="0">
                  <c:v>33.728792989365004</c:v>
                </c:pt>
                <c:pt idx="1">
                  <c:v>32.408269735211185</c:v>
                </c:pt>
                <c:pt idx="2">
                  <c:v>30.971450062565054</c:v>
                </c:pt>
                <c:pt idx="3">
                  <c:v>29.73708664353801</c:v>
                </c:pt>
                <c:pt idx="4">
                  <c:v>27.631213601232844</c:v>
                </c:pt>
                <c:pt idx="5">
                  <c:v>25.730492805084321</c:v>
                </c:pt>
                <c:pt idx="6">
                  <c:v>24.768259011414372</c:v>
                </c:pt>
                <c:pt idx="7">
                  <c:v>25.521024589915264</c:v>
                </c:pt>
                <c:pt idx="8">
                  <c:v>26.220567997235541</c:v>
                </c:pt>
                <c:pt idx="9">
                  <c:v>26.289874632574044</c:v>
                </c:pt>
                <c:pt idx="10">
                  <c:v>25.903987671974853</c:v>
                </c:pt>
                <c:pt idx="11">
                  <c:v>26.101469669331788</c:v>
                </c:pt>
                <c:pt idx="12">
                  <c:v>26.255860375278154</c:v>
                </c:pt>
                <c:pt idx="13">
                  <c:v>25.463864019345912</c:v>
                </c:pt>
                <c:pt idx="14">
                  <c:v>25.278564946203879</c:v>
                </c:pt>
                <c:pt idx="15">
                  <c:v>25.096283398168406</c:v>
                </c:pt>
                <c:pt idx="16">
                  <c:v>24.645046141643103</c:v>
                </c:pt>
                <c:pt idx="17">
                  <c:v>24.458608734102121</c:v>
                </c:pt>
                <c:pt idx="18">
                  <c:v>24.532828718108355</c:v>
                </c:pt>
                <c:pt idx="19">
                  <c:v>24.963716427226984</c:v>
                </c:pt>
                <c:pt idx="20">
                  <c:v>23.456400287422952</c:v>
                </c:pt>
                <c:pt idx="21">
                  <c:v>21.243540642587767</c:v>
                </c:pt>
                <c:pt idx="22">
                  <c:v>21.067970016443567</c:v>
                </c:pt>
                <c:pt idx="23">
                  <c:v>22.137386140400594</c:v>
                </c:pt>
                <c:pt idx="24">
                  <c:v>23.249627988903846</c:v>
                </c:pt>
                <c:pt idx="25">
                  <c:v>24.113958614381158</c:v>
                </c:pt>
              </c:numCache>
            </c:numRef>
          </c:val>
          <c:smooth val="0"/>
        </c:ser>
        <c:ser>
          <c:idx val="8"/>
          <c:order val="1"/>
          <c:tx>
            <c:strRef>
              <c:f>average_speed_per_time!$K$1</c:f>
              <c:strCache>
                <c:ptCount val="1"/>
                <c:pt idx="0">
                  <c:v>Average speed on the weekend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average_speed_per_time!$A$2:$A$27</c:f>
              <c:numCache>
                <c:formatCode>[$-F400]h:mm:ss\ AM/PM</c:formatCode>
                <c:ptCount val="26"/>
                <c:pt idx="0">
                  <c:v>0.29166666666666669</c:v>
                </c:pt>
                <c:pt idx="1">
                  <c:v>0.30208333333333331</c:v>
                </c:pt>
                <c:pt idx="2">
                  <c:v>0.3125</c:v>
                </c:pt>
                <c:pt idx="3">
                  <c:v>0.32291666666666669</c:v>
                </c:pt>
                <c:pt idx="4">
                  <c:v>0.33333333333333331</c:v>
                </c:pt>
                <c:pt idx="5">
                  <c:v>0.34375</c:v>
                </c:pt>
                <c:pt idx="6">
                  <c:v>0.35416666666666669</c:v>
                </c:pt>
                <c:pt idx="7">
                  <c:v>0.36458333333333331</c:v>
                </c:pt>
                <c:pt idx="8">
                  <c:v>0.375</c:v>
                </c:pt>
                <c:pt idx="9">
                  <c:v>0.38541666666666669</c:v>
                </c:pt>
                <c:pt idx="10">
                  <c:v>0.39583333333333331</c:v>
                </c:pt>
                <c:pt idx="11">
                  <c:v>0.40625</c:v>
                </c:pt>
                <c:pt idx="12">
                  <c:v>0.41666666666666669</c:v>
                </c:pt>
                <c:pt idx="13">
                  <c:v>0.66666666666666663</c:v>
                </c:pt>
                <c:pt idx="14">
                  <c:v>0.67708333333333337</c:v>
                </c:pt>
                <c:pt idx="15">
                  <c:v>0.6875</c:v>
                </c:pt>
                <c:pt idx="16">
                  <c:v>0.69791666666666663</c:v>
                </c:pt>
                <c:pt idx="17">
                  <c:v>0.70833333333333337</c:v>
                </c:pt>
                <c:pt idx="18">
                  <c:v>0.71875</c:v>
                </c:pt>
                <c:pt idx="19">
                  <c:v>0.72916666666666663</c:v>
                </c:pt>
                <c:pt idx="20">
                  <c:v>0.73958333333333337</c:v>
                </c:pt>
                <c:pt idx="21">
                  <c:v>0.75</c:v>
                </c:pt>
                <c:pt idx="22">
                  <c:v>0.76041666666666663</c:v>
                </c:pt>
                <c:pt idx="23">
                  <c:v>0.77083333333333337</c:v>
                </c:pt>
                <c:pt idx="24">
                  <c:v>0.78125</c:v>
                </c:pt>
                <c:pt idx="25">
                  <c:v>0.79166666666666663</c:v>
                </c:pt>
              </c:numCache>
            </c:numRef>
          </c:cat>
          <c:val>
            <c:numRef>
              <c:f>average_speed_per_time!$K$2:$K$27</c:f>
              <c:numCache>
                <c:formatCode>0</c:formatCode>
                <c:ptCount val="26"/>
                <c:pt idx="0">
                  <c:v>34.991587182185995</c:v>
                </c:pt>
                <c:pt idx="1">
                  <c:v>34.883376681999543</c:v>
                </c:pt>
                <c:pt idx="2">
                  <c:v>34.263317745455204</c:v>
                </c:pt>
                <c:pt idx="3">
                  <c:v>33.952686651132431</c:v>
                </c:pt>
                <c:pt idx="4">
                  <c:v>33.619359738623658</c:v>
                </c:pt>
                <c:pt idx="5">
                  <c:v>33.384910041171864</c:v>
                </c:pt>
                <c:pt idx="6">
                  <c:v>33.042757514123913</c:v>
                </c:pt>
                <c:pt idx="7">
                  <c:v>32.663042822212489</c:v>
                </c:pt>
                <c:pt idx="8">
                  <c:v>32.425931286433624</c:v>
                </c:pt>
                <c:pt idx="9">
                  <c:v>32.039005403399472</c:v>
                </c:pt>
                <c:pt idx="10">
                  <c:v>31.47340805452513</c:v>
                </c:pt>
                <c:pt idx="11">
                  <c:v>31.185334587830297</c:v>
                </c:pt>
                <c:pt idx="12">
                  <c:v>31.2114411873821</c:v>
                </c:pt>
                <c:pt idx="13">
                  <c:v>30.01078341042124</c:v>
                </c:pt>
                <c:pt idx="14">
                  <c:v>29.731854210909592</c:v>
                </c:pt>
                <c:pt idx="15">
                  <c:v>29.438977171402549</c:v>
                </c:pt>
                <c:pt idx="16">
                  <c:v>29.528085246099646</c:v>
                </c:pt>
                <c:pt idx="17">
                  <c:v>29.630804119013103</c:v>
                </c:pt>
                <c:pt idx="18">
                  <c:v>29.513505663736794</c:v>
                </c:pt>
                <c:pt idx="19">
                  <c:v>29.449010800445958</c:v>
                </c:pt>
                <c:pt idx="20">
                  <c:v>29.262260791389306</c:v>
                </c:pt>
                <c:pt idx="21">
                  <c:v>28.655164406134737</c:v>
                </c:pt>
                <c:pt idx="22">
                  <c:v>28.422282521245023</c:v>
                </c:pt>
                <c:pt idx="23">
                  <c:v>28.542097046333499</c:v>
                </c:pt>
                <c:pt idx="24">
                  <c:v>28.684578779110101</c:v>
                </c:pt>
                <c:pt idx="25">
                  <c:v>28.655155987141146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average_speed_per_time!$I$1</c:f>
              <c:strCache>
                <c:ptCount val="1"/>
                <c:pt idx="0">
                  <c:v>Average free flow speed</c:v>
                </c:pt>
              </c:strCache>
            </c:strRef>
          </c:tx>
          <c:spPr>
            <a:ln w="22225" cap="rnd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average_speed_per_time!$A$2:$A$27</c:f>
              <c:numCache>
                <c:formatCode>[$-F400]h:mm:ss\ AM/PM</c:formatCode>
                <c:ptCount val="26"/>
                <c:pt idx="0">
                  <c:v>0.29166666666666669</c:v>
                </c:pt>
                <c:pt idx="1">
                  <c:v>0.30208333333333331</c:v>
                </c:pt>
                <c:pt idx="2">
                  <c:v>0.3125</c:v>
                </c:pt>
                <c:pt idx="3">
                  <c:v>0.32291666666666669</c:v>
                </c:pt>
                <c:pt idx="4">
                  <c:v>0.33333333333333331</c:v>
                </c:pt>
                <c:pt idx="5">
                  <c:v>0.34375</c:v>
                </c:pt>
                <c:pt idx="6">
                  <c:v>0.35416666666666669</c:v>
                </c:pt>
                <c:pt idx="7">
                  <c:v>0.36458333333333331</c:v>
                </c:pt>
                <c:pt idx="8">
                  <c:v>0.375</c:v>
                </c:pt>
                <c:pt idx="9">
                  <c:v>0.38541666666666669</c:v>
                </c:pt>
                <c:pt idx="10">
                  <c:v>0.39583333333333331</c:v>
                </c:pt>
                <c:pt idx="11">
                  <c:v>0.40625</c:v>
                </c:pt>
                <c:pt idx="12">
                  <c:v>0.41666666666666669</c:v>
                </c:pt>
                <c:pt idx="13">
                  <c:v>0.66666666666666663</c:v>
                </c:pt>
                <c:pt idx="14">
                  <c:v>0.67708333333333337</c:v>
                </c:pt>
                <c:pt idx="15">
                  <c:v>0.6875</c:v>
                </c:pt>
                <c:pt idx="16">
                  <c:v>0.69791666666666663</c:v>
                </c:pt>
                <c:pt idx="17">
                  <c:v>0.70833333333333337</c:v>
                </c:pt>
                <c:pt idx="18">
                  <c:v>0.71875</c:v>
                </c:pt>
                <c:pt idx="19">
                  <c:v>0.72916666666666663</c:v>
                </c:pt>
                <c:pt idx="20">
                  <c:v>0.73958333333333337</c:v>
                </c:pt>
                <c:pt idx="21">
                  <c:v>0.75</c:v>
                </c:pt>
                <c:pt idx="22">
                  <c:v>0.76041666666666663</c:v>
                </c:pt>
                <c:pt idx="23">
                  <c:v>0.77083333333333337</c:v>
                </c:pt>
                <c:pt idx="24">
                  <c:v>0.78125</c:v>
                </c:pt>
                <c:pt idx="25">
                  <c:v>0.79166666666666663</c:v>
                </c:pt>
              </c:numCache>
            </c:numRef>
          </c:cat>
          <c:val>
            <c:numRef>
              <c:f>average_speed_per_time!$I$2:$I$27</c:f>
              <c:numCache>
                <c:formatCode>0</c:formatCode>
                <c:ptCount val="26"/>
                <c:pt idx="0">
                  <c:v>35.776597889643114</c:v>
                </c:pt>
                <c:pt idx="1">
                  <c:v>35.776597889643114</c:v>
                </c:pt>
                <c:pt idx="2">
                  <c:v>35.776597889643114</c:v>
                </c:pt>
                <c:pt idx="3">
                  <c:v>35.776597889643114</c:v>
                </c:pt>
                <c:pt idx="4">
                  <c:v>35.776597889643114</c:v>
                </c:pt>
                <c:pt idx="5">
                  <c:v>35.776597889643114</c:v>
                </c:pt>
                <c:pt idx="6">
                  <c:v>35.776597889643114</c:v>
                </c:pt>
                <c:pt idx="7">
                  <c:v>35.776597889643114</c:v>
                </c:pt>
                <c:pt idx="8">
                  <c:v>35.776597889643114</c:v>
                </c:pt>
                <c:pt idx="9">
                  <c:v>35.776597889643114</c:v>
                </c:pt>
                <c:pt idx="10">
                  <c:v>35.776597889643114</c:v>
                </c:pt>
                <c:pt idx="11">
                  <c:v>35.776597889643114</c:v>
                </c:pt>
                <c:pt idx="12">
                  <c:v>35.776597889643114</c:v>
                </c:pt>
                <c:pt idx="13">
                  <c:v>35.776597889643114</c:v>
                </c:pt>
                <c:pt idx="14">
                  <c:v>35.776597889643114</c:v>
                </c:pt>
                <c:pt idx="15">
                  <c:v>35.776597889643114</c:v>
                </c:pt>
                <c:pt idx="16">
                  <c:v>35.776597889643114</c:v>
                </c:pt>
                <c:pt idx="17">
                  <c:v>35.776597889643114</c:v>
                </c:pt>
                <c:pt idx="18">
                  <c:v>35.776597889643114</c:v>
                </c:pt>
                <c:pt idx="19">
                  <c:v>35.776597889643114</c:v>
                </c:pt>
                <c:pt idx="20">
                  <c:v>35.776597889643114</c:v>
                </c:pt>
                <c:pt idx="21">
                  <c:v>35.776597889643114</c:v>
                </c:pt>
                <c:pt idx="22">
                  <c:v>35.776597889643114</c:v>
                </c:pt>
                <c:pt idx="23">
                  <c:v>35.776597889643114</c:v>
                </c:pt>
                <c:pt idx="24">
                  <c:v>35.776597889643114</c:v>
                </c:pt>
                <c:pt idx="25">
                  <c:v>35.776597889643114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72970144"/>
        <c:axId val="374274088"/>
      </c:lineChart>
      <c:catAx>
        <c:axId val="372970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Time intervals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4274088"/>
        <c:crosses val="autoZero"/>
        <c:auto val="1"/>
        <c:lblAlgn val="ctr"/>
        <c:lblOffset val="100"/>
        <c:noMultiLvlLbl val="0"/>
      </c:catAx>
      <c:valAx>
        <c:axId val="374274088"/>
        <c:scaling>
          <c:orientation val="minMax"/>
          <c:min val="15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Speed, km/h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29701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146896747968722"/>
          <c:y val="6.0585459604434677E-2"/>
          <c:w val="0.40024394461673257"/>
          <c:h val="0.107498812209106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average_speed_per_route!$Y$2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average_speed_per_route!$Y$3:$Y$60</c:f>
              <c:numCache>
                <c:formatCode>0</c:formatCode>
                <c:ptCount val="58"/>
                <c:pt idx="0">
                  <c:v>31.320695081720274</c:v>
                </c:pt>
                <c:pt idx="1">
                  <c:v>21.7209477320899</c:v>
                </c:pt>
                <c:pt idx="2">
                  <c:v>31.841205695505671</c:v>
                </c:pt>
                <c:pt idx="3">
                  <c:v>34.830807387882629</c:v>
                </c:pt>
                <c:pt idx="4">
                  <c:v>31.349089759077657</c:v>
                </c:pt>
                <c:pt idx="5">
                  <c:v>35.970404466425158</c:v>
                </c:pt>
                <c:pt idx="6">
                  <c:v>35.952394002379691</c:v>
                </c:pt>
                <c:pt idx="7">
                  <c:v>30.43192856742456</c:v>
                </c:pt>
                <c:pt idx="8">
                  <c:v>28.163971812779728</c:v>
                </c:pt>
                <c:pt idx="9">
                  <c:v>27.077893172711772</c:v>
                </c:pt>
                <c:pt idx="10">
                  <c:v>34.6377538449103</c:v>
                </c:pt>
                <c:pt idx="11">
                  <c:v>26.359426863988975</c:v>
                </c:pt>
                <c:pt idx="12">
                  <c:v>26.474320135854512</c:v>
                </c:pt>
                <c:pt idx="13">
                  <c:v>28.504727128371023</c:v>
                </c:pt>
                <c:pt idx="14">
                  <c:v>39.060942389196569</c:v>
                </c:pt>
                <c:pt idx="15">
                  <c:v>50.432667053639051</c:v>
                </c:pt>
                <c:pt idx="16">
                  <c:v>34.451127491485259</c:v>
                </c:pt>
                <c:pt idx="17">
                  <c:v>32.69826508101653</c:v>
                </c:pt>
                <c:pt idx="18">
                  <c:v>25.649097269497368</c:v>
                </c:pt>
                <c:pt idx="19">
                  <c:v>25.480081449157581</c:v>
                </c:pt>
                <c:pt idx="20">
                  <c:v>28.849027102570332</c:v>
                </c:pt>
                <c:pt idx="21">
                  <c:v>28.698523323791996</c:v>
                </c:pt>
                <c:pt idx="22">
                  <c:v>25.840360144167214</c:v>
                </c:pt>
                <c:pt idx="23">
                  <c:v>28.486346846947502</c:v>
                </c:pt>
                <c:pt idx="24">
                  <c:v>29.28487253506265</c:v>
                </c:pt>
                <c:pt idx="25">
                  <c:v>27.137530002373357</c:v>
                </c:pt>
                <c:pt idx="26">
                  <c:v>28.87002455831631</c:v>
                </c:pt>
                <c:pt idx="27">
                  <c:v>24.444191627942502</c:v>
                </c:pt>
                <c:pt idx="28">
                  <c:v>25.867119696936985</c:v>
                </c:pt>
                <c:pt idx="29">
                  <c:v>21.115988823608095</c:v>
                </c:pt>
                <c:pt idx="30">
                  <c:v>34.64348723018621</c:v>
                </c:pt>
                <c:pt idx="31">
                  <c:v>53.018318740758204</c:v>
                </c:pt>
                <c:pt idx="32">
                  <c:v>52.596202388972706</c:v>
                </c:pt>
                <c:pt idx="33">
                  <c:v>51.038409116579722</c:v>
                </c:pt>
                <c:pt idx="34">
                  <c:v>27.029632453312615</c:v>
                </c:pt>
                <c:pt idx="35">
                  <c:v>32.558133532101749</c:v>
                </c:pt>
                <c:pt idx="36">
                  <c:v>23.849824948997217</c:v>
                </c:pt>
                <c:pt idx="37">
                  <c:v>27.303802183918794</c:v>
                </c:pt>
                <c:pt idx="38">
                  <c:v>29.357414538672142</c:v>
                </c:pt>
                <c:pt idx="39">
                  <c:v>30.785432921638012</c:v>
                </c:pt>
                <c:pt idx="40">
                  <c:v>26.263616258409332</c:v>
                </c:pt>
                <c:pt idx="41">
                  <c:v>26.004323843762485</c:v>
                </c:pt>
                <c:pt idx="42">
                  <c:v>28.481523988446511</c:v>
                </c:pt>
                <c:pt idx="43">
                  <c:v>22.330769813236849</c:v>
                </c:pt>
                <c:pt idx="44">
                  <c:v>28.305332207830485</c:v>
                </c:pt>
                <c:pt idx="45">
                  <c:v>25.721085704048033</c:v>
                </c:pt>
                <c:pt idx="46">
                  <c:v>23.834136740184952</c:v>
                </c:pt>
                <c:pt idx="47">
                  <c:v>26.647424997137612</c:v>
                </c:pt>
                <c:pt idx="48">
                  <c:v>25.119134141512198</c:v>
                </c:pt>
                <c:pt idx="49">
                  <c:v>27.904281478459914</c:v>
                </c:pt>
                <c:pt idx="50">
                  <c:v>31.518104801544904</c:v>
                </c:pt>
                <c:pt idx="51">
                  <c:v>32.658333441611958</c:v>
                </c:pt>
                <c:pt idx="52">
                  <c:v>25.133874657554905</c:v>
                </c:pt>
                <c:pt idx="53">
                  <c:v>30.362790166598497</c:v>
                </c:pt>
                <c:pt idx="54">
                  <c:v>44.037955836263507</c:v>
                </c:pt>
                <c:pt idx="55">
                  <c:v>23.531392793628363</c:v>
                </c:pt>
                <c:pt idx="56">
                  <c:v>25.450121964381736</c:v>
                </c:pt>
                <c:pt idx="57">
                  <c:v>26.72346589070305</c:v>
                </c:pt>
              </c:numCache>
            </c:numRef>
          </c:val>
        </c:ser>
        <c:ser>
          <c:idx val="1"/>
          <c:order val="1"/>
          <c:tx>
            <c:strRef>
              <c:f>average_speed_per_route!$AA$2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average_speed_per_route!$AA$3:$AA$60</c:f>
              <c:numCache>
                <c:formatCode>0</c:formatCode>
                <c:ptCount val="58"/>
                <c:pt idx="0">
                  <c:v>28.611234892075892</c:v>
                </c:pt>
                <c:pt idx="1">
                  <c:v>18.090371233630865</c:v>
                </c:pt>
                <c:pt idx="2">
                  <c:v>27.621829789470006</c:v>
                </c:pt>
                <c:pt idx="3">
                  <c:v>29.57174587425046</c:v>
                </c:pt>
                <c:pt idx="4">
                  <c:v>24.390552066364801</c:v>
                </c:pt>
                <c:pt idx="5">
                  <c:v>33.463512635018667</c:v>
                </c:pt>
                <c:pt idx="6">
                  <c:v>33.962052346872056</c:v>
                </c:pt>
                <c:pt idx="7">
                  <c:v>28.849146464717023</c:v>
                </c:pt>
                <c:pt idx="8">
                  <c:v>24.135633850720708</c:v>
                </c:pt>
                <c:pt idx="9">
                  <c:v>22.303639476903026</c:v>
                </c:pt>
                <c:pt idx="10">
                  <c:v>30.879571538856709</c:v>
                </c:pt>
                <c:pt idx="11">
                  <c:v>22.090845780685186</c:v>
                </c:pt>
                <c:pt idx="12">
                  <c:v>22.360081389893878</c:v>
                </c:pt>
                <c:pt idx="13">
                  <c:v>24.029357257898923</c:v>
                </c:pt>
                <c:pt idx="14">
                  <c:v>33.760148662206198</c:v>
                </c:pt>
                <c:pt idx="15">
                  <c:v>44.043076037125971</c:v>
                </c:pt>
                <c:pt idx="16">
                  <c:v>28.276897478365541</c:v>
                </c:pt>
                <c:pt idx="17">
                  <c:v>26.763187480349238</c:v>
                </c:pt>
                <c:pt idx="18">
                  <c:v>24.822319554705118</c:v>
                </c:pt>
                <c:pt idx="19">
                  <c:v>25.673838182300873</c:v>
                </c:pt>
                <c:pt idx="20">
                  <c:v>27.040524520469326</c:v>
                </c:pt>
                <c:pt idx="21">
                  <c:v>25.621013346467535</c:v>
                </c:pt>
                <c:pt idx="22">
                  <c:v>20.540368903147247</c:v>
                </c:pt>
                <c:pt idx="23">
                  <c:v>25.441853367051621</c:v>
                </c:pt>
                <c:pt idx="24">
                  <c:v>26.13598513934409</c:v>
                </c:pt>
                <c:pt idx="25">
                  <c:v>19.522682177163077</c:v>
                </c:pt>
                <c:pt idx="26">
                  <c:v>19.710249156251933</c:v>
                </c:pt>
                <c:pt idx="27">
                  <c:v>21.152759307473602</c:v>
                </c:pt>
                <c:pt idx="28">
                  <c:v>24.801270279803909</c:v>
                </c:pt>
                <c:pt idx="29">
                  <c:v>23.340050919888981</c:v>
                </c:pt>
                <c:pt idx="30">
                  <c:v>30.624422885991706</c:v>
                </c:pt>
                <c:pt idx="31">
                  <c:v>45.355916790262867</c:v>
                </c:pt>
                <c:pt idx="32">
                  <c:v>44.943875271026762</c:v>
                </c:pt>
                <c:pt idx="33">
                  <c:v>43.650061104976373</c:v>
                </c:pt>
                <c:pt idx="34">
                  <c:v>25.139322101241568</c:v>
                </c:pt>
                <c:pt idx="35">
                  <c:v>27.358244473318067</c:v>
                </c:pt>
                <c:pt idx="36">
                  <c:v>18.528327381469502</c:v>
                </c:pt>
                <c:pt idx="37">
                  <c:v>22.047519177692106</c:v>
                </c:pt>
                <c:pt idx="38">
                  <c:v>25.694295660786267</c:v>
                </c:pt>
                <c:pt idx="39">
                  <c:v>26.915333191266619</c:v>
                </c:pt>
                <c:pt idx="40">
                  <c:v>21.618831524169504</c:v>
                </c:pt>
                <c:pt idx="41">
                  <c:v>21.76327913796046</c:v>
                </c:pt>
                <c:pt idx="42">
                  <c:v>24.776947093475258</c:v>
                </c:pt>
                <c:pt idx="43">
                  <c:v>21.101080259148496</c:v>
                </c:pt>
                <c:pt idx="44">
                  <c:v>23.645392490781845</c:v>
                </c:pt>
                <c:pt idx="45">
                  <c:v>22.838187351023091</c:v>
                </c:pt>
                <c:pt idx="46">
                  <c:v>20.474532421366206</c:v>
                </c:pt>
                <c:pt idx="47">
                  <c:v>23.086057683087851</c:v>
                </c:pt>
                <c:pt idx="48">
                  <c:v>20.393311894829417</c:v>
                </c:pt>
                <c:pt idx="49">
                  <c:v>25.575057281763108</c:v>
                </c:pt>
                <c:pt idx="50">
                  <c:v>28.968229178313695</c:v>
                </c:pt>
                <c:pt idx="51">
                  <c:v>31.844741951118465</c:v>
                </c:pt>
                <c:pt idx="52">
                  <c:v>23.224179075260661</c:v>
                </c:pt>
                <c:pt idx="53">
                  <c:v>29.027239791699429</c:v>
                </c:pt>
                <c:pt idx="54">
                  <c:v>39.569849249182994</c:v>
                </c:pt>
                <c:pt idx="55">
                  <c:v>18.82064510868306</c:v>
                </c:pt>
                <c:pt idx="56">
                  <c:v>21.567393715598229</c:v>
                </c:pt>
                <c:pt idx="57">
                  <c:v>21.960260769750796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270952"/>
        <c:axId val="374271736"/>
      </c:barChart>
      <c:catAx>
        <c:axId val="374270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4271736"/>
        <c:crosses val="autoZero"/>
        <c:auto val="1"/>
        <c:lblAlgn val="ctr"/>
        <c:lblOffset val="100"/>
        <c:noMultiLvlLbl val="0"/>
      </c:catAx>
      <c:valAx>
        <c:axId val="37427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</a:t>
                </a:r>
                <a:r>
                  <a:rPr lang=""/>
                  <a:t>e</a:t>
                </a:r>
                <a:r>
                  <a:rPr lang="en-US"/>
                  <a:t>d,</a:t>
                </a:r>
                <a:r>
                  <a:rPr lang="en-US" baseline="0"/>
                  <a:t> km</a:t>
                </a:r>
                <a:r>
                  <a:rPr lang="" baseline="0"/>
                  <a:t>/h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427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TT_TTI_Delay!$M$3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TT_TTI_Delay!$M$4:$M$61</c:f>
              <c:numCache>
                <c:formatCode>0.00</c:formatCode>
                <c:ptCount val="58"/>
                <c:pt idx="0">
                  <c:v>0.28687135761017613</c:v>
                </c:pt>
                <c:pt idx="1">
                  <c:v>0.85321870785860998</c:v>
                </c:pt>
                <c:pt idx="2">
                  <c:v>0.2651517090739996</c:v>
                </c:pt>
                <c:pt idx="3">
                  <c:v>0.30362510912296486</c:v>
                </c:pt>
                <c:pt idx="4">
                  <c:v>0.41851449043538025</c:v>
                </c:pt>
                <c:pt idx="5">
                  <c:v>0.29622402214255911</c:v>
                </c:pt>
                <c:pt idx="6">
                  <c:v>0.15875957380324165</c:v>
                </c:pt>
                <c:pt idx="7">
                  <c:v>0.36906213882600908</c:v>
                </c:pt>
                <c:pt idx="8">
                  <c:v>0.9099185939457235</c:v>
                </c:pt>
                <c:pt idx="9">
                  <c:v>0.85902888804980437</c:v>
                </c:pt>
                <c:pt idx="10">
                  <c:v>0.83797168926780907</c:v>
                </c:pt>
                <c:pt idx="11">
                  <c:v>1.1430841062100683</c:v>
                </c:pt>
                <c:pt idx="12">
                  <c:v>1.1584614670699362</c:v>
                </c:pt>
                <c:pt idx="13">
                  <c:v>0.7181542489771181</c:v>
                </c:pt>
                <c:pt idx="14">
                  <c:v>0.48439352130619689</c:v>
                </c:pt>
                <c:pt idx="15">
                  <c:v>0.12571511570847171</c:v>
                </c:pt>
                <c:pt idx="16">
                  <c:v>0.51193294001809586</c:v>
                </c:pt>
                <c:pt idx="17">
                  <c:v>0.41063723106284816</c:v>
                </c:pt>
                <c:pt idx="18">
                  <c:v>0.78214333593419383</c:v>
                </c:pt>
                <c:pt idx="19">
                  <c:v>0.76029520978935439</c:v>
                </c:pt>
                <c:pt idx="20">
                  <c:v>0.76916338312344246</c:v>
                </c:pt>
                <c:pt idx="21">
                  <c:v>0.78727769122056379</c:v>
                </c:pt>
                <c:pt idx="22">
                  <c:v>0.8391124328364834</c:v>
                </c:pt>
                <c:pt idx="23">
                  <c:v>0.65355034820142011</c:v>
                </c:pt>
                <c:pt idx="24">
                  <c:v>0.24642157116264427</c:v>
                </c:pt>
                <c:pt idx="25">
                  <c:v>0.62784447504874563</c:v>
                </c:pt>
                <c:pt idx="26">
                  <c:v>0.54832819849073255</c:v>
                </c:pt>
                <c:pt idx="27">
                  <c:v>0.63895816528948779</c:v>
                </c:pt>
                <c:pt idx="28">
                  <c:v>1.2310611307413057</c:v>
                </c:pt>
                <c:pt idx="29">
                  <c:v>1.8082249546163227</c:v>
                </c:pt>
                <c:pt idx="30">
                  <c:v>0.35618616152707111</c:v>
                </c:pt>
                <c:pt idx="31">
                  <c:v>7.2802641585089464E-2</c:v>
                </c:pt>
                <c:pt idx="32">
                  <c:v>9.917798303707856E-2</c:v>
                </c:pt>
                <c:pt idx="33">
                  <c:v>0.15056430009802466</c:v>
                </c:pt>
                <c:pt idx="34">
                  <c:v>0.60750816913435712</c:v>
                </c:pt>
                <c:pt idx="35">
                  <c:v>0.53302307018063855</c:v>
                </c:pt>
                <c:pt idx="36">
                  <c:v>0.76687976859983265</c:v>
                </c:pt>
                <c:pt idx="37">
                  <c:v>0.2856039940524232</c:v>
                </c:pt>
                <c:pt idx="38">
                  <c:v>0.26395427259261406</c:v>
                </c:pt>
                <c:pt idx="39">
                  <c:v>0.2061333340976666</c:v>
                </c:pt>
                <c:pt idx="40">
                  <c:v>0.84100578672700266</c:v>
                </c:pt>
                <c:pt idx="41">
                  <c:v>0.68819905018802741</c:v>
                </c:pt>
                <c:pt idx="42">
                  <c:v>0.50387224951273335</c:v>
                </c:pt>
                <c:pt idx="43">
                  <c:v>0.8103085117033435</c:v>
                </c:pt>
                <c:pt idx="44">
                  <c:v>0.51628436818246581</c:v>
                </c:pt>
                <c:pt idx="45">
                  <c:v>0.55833620451707455</c:v>
                </c:pt>
                <c:pt idx="46">
                  <c:v>1.2796679800457076</c:v>
                </c:pt>
                <c:pt idx="47">
                  <c:v>0.57765903871944424</c:v>
                </c:pt>
                <c:pt idx="48">
                  <c:v>0.83283481146421579</c:v>
                </c:pt>
                <c:pt idx="49">
                  <c:v>0.359818426632939</c:v>
                </c:pt>
                <c:pt idx="50">
                  <c:v>0.36670807370215486</c:v>
                </c:pt>
                <c:pt idx="51">
                  <c:v>0.24966544159968121</c:v>
                </c:pt>
                <c:pt idx="52">
                  <c:v>0.50560464102997293</c:v>
                </c:pt>
                <c:pt idx="53">
                  <c:v>1.1652015838320047</c:v>
                </c:pt>
                <c:pt idx="54">
                  <c:v>0.34958846576768315</c:v>
                </c:pt>
                <c:pt idx="55">
                  <c:v>1.1856566035177583</c:v>
                </c:pt>
                <c:pt idx="56">
                  <c:v>0.72703897907633142</c:v>
                </c:pt>
                <c:pt idx="57">
                  <c:v>0.57225519307345751</c:v>
                </c:pt>
              </c:numCache>
            </c:numRef>
          </c:val>
        </c:ser>
        <c:ser>
          <c:idx val="1"/>
          <c:order val="1"/>
          <c:tx>
            <c:strRef>
              <c:f>TT_TTI_Delay!$N$3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TT_TTI_Delay!$N$4:$N$61</c:f>
              <c:numCache>
                <c:formatCode>0.00</c:formatCode>
                <c:ptCount val="58"/>
                <c:pt idx="0">
                  <c:v>0.54548395717655751</c:v>
                </c:pt>
                <c:pt idx="1">
                  <c:v>1.7759930968253428</c:v>
                </c:pt>
                <c:pt idx="2">
                  <c:v>0.68081190749739662</c:v>
                </c:pt>
                <c:pt idx="3">
                  <c:v>0.64740543500035697</c:v>
                </c:pt>
                <c:pt idx="4">
                  <c:v>1.1177401067730939</c:v>
                </c:pt>
                <c:pt idx="5">
                  <c:v>0.41161952157797693</c:v>
                </c:pt>
                <c:pt idx="6">
                  <c:v>0.22666338252905413</c:v>
                </c:pt>
                <c:pt idx="7">
                  <c:v>0.43562993179830029</c:v>
                </c:pt>
                <c:pt idx="8">
                  <c:v>1.0536363639042272</c:v>
                </c:pt>
                <c:pt idx="9">
                  <c:v>1.2490869128825981</c:v>
                </c:pt>
                <c:pt idx="10">
                  <c:v>1.1632014478883805</c:v>
                </c:pt>
                <c:pt idx="11">
                  <c:v>1.5889844162668691</c:v>
                </c:pt>
                <c:pt idx="12">
                  <c:v>1.6197210315244672</c:v>
                </c:pt>
                <c:pt idx="13">
                  <c:v>1.2549768705854503</c:v>
                </c:pt>
                <c:pt idx="14">
                  <c:v>0.76085176479516781</c:v>
                </c:pt>
                <c:pt idx="15">
                  <c:v>0.47079291192909672</c:v>
                </c:pt>
                <c:pt idx="16">
                  <c:v>1.0697552164262314</c:v>
                </c:pt>
                <c:pt idx="17">
                  <c:v>1.0400494436326928</c:v>
                </c:pt>
                <c:pt idx="18">
                  <c:v>0.70587118218973277</c:v>
                </c:pt>
                <c:pt idx="19">
                  <c:v>0.58486600479123929</c:v>
                </c:pt>
                <c:pt idx="20">
                  <c:v>0.78988246893323077</c:v>
                </c:pt>
                <c:pt idx="21">
                  <c:v>1.1364890802334982</c:v>
                </c:pt>
                <c:pt idx="22">
                  <c:v>1.6913661252049053</c:v>
                </c:pt>
                <c:pt idx="23">
                  <c:v>0.98488793437631883</c:v>
                </c:pt>
                <c:pt idx="24">
                  <c:v>0.63272406796064473</c:v>
                </c:pt>
                <c:pt idx="25">
                  <c:v>2.2753830401766399</c:v>
                </c:pt>
                <c:pt idx="26">
                  <c:v>1.4384568207567112</c:v>
                </c:pt>
                <c:pt idx="27">
                  <c:v>1.1496081250767411</c:v>
                </c:pt>
                <c:pt idx="28">
                  <c:v>1.1146907950949712</c:v>
                </c:pt>
                <c:pt idx="29">
                  <c:v>1.0018274543116967</c:v>
                </c:pt>
                <c:pt idx="30">
                  <c:v>0.66994492112605653</c:v>
                </c:pt>
                <c:pt idx="31">
                  <c:v>0.38776042592494164</c:v>
                </c:pt>
                <c:pt idx="32">
                  <c:v>0.44114751582283751</c:v>
                </c:pt>
                <c:pt idx="33">
                  <c:v>0.45639563431764874</c:v>
                </c:pt>
                <c:pt idx="34">
                  <c:v>0.81420227456769034</c:v>
                </c:pt>
                <c:pt idx="35">
                  <c:v>1.0019447977442093</c:v>
                </c:pt>
                <c:pt idx="36">
                  <c:v>1.8427927190897697</c:v>
                </c:pt>
                <c:pt idx="37">
                  <c:v>0.99258488146387747</c:v>
                </c:pt>
                <c:pt idx="38">
                  <c:v>0.60045678185264784</c:v>
                </c:pt>
                <c:pt idx="39">
                  <c:v>0.57637764832581595</c:v>
                </c:pt>
                <c:pt idx="40">
                  <c:v>1.4759384604162191</c:v>
                </c:pt>
                <c:pt idx="41">
                  <c:v>1.1966815067005681</c:v>
                </c:pt>
                <c:pt idx="42">
                  <c:v>0.95871943467490417</c:v>
                </c:pt>
                <c:pt idx="43">
                  <c:v>0.93982635498477785</c:v>
                </c:pt>
                <c:pt idx="44">
                  <c:v>1.1456916844560399</c:v>
                </c:pt>
                <c:pt idx="45">
                  <c:v>1.0297234167091294</c:v>
                </c:pt>
                <c:pt idx="46">
                  <c:v>1.8295723982450609</c:v>
                </c:pt>
                <c:pt idx="47">
                  <c:v>1.0445141435157199</c:v>
                </c:pt>
                <c:pt idx="48">
                  <c:v>1.5151676980433697</c:v>
                </c:pt>
                <c:pt idx="49">
                  <c:v>0.58727892540382798</c:v>
                </c:pt>
                <c:pt idx="50">
                  <c:v>0.51303840519859845</c:v>
                </c:pt>
                <c:pt idx="51">
                  <c:v>0.30231049220594447</c:v>
                </c:pt>
                <c:pt idx="52">
                  <c:v>0.69756255425882607</c:v>
                </c:pt>
                <c:pt idx="53">
                  <c:v>0.89014641950433615</c:v>
                </c:pt>
                <c:pt idx="54">
                  <c:v>0.48367552718781237</c:v>
                </c:pt>
                <c:pt idx="55">
                  <c:v>1.8214375385842907</c:v>
                </c:pt>
                <c:pt idx="56">
                  <c:v>1.3664125596524099</c:v>
                </c:pt>
                <c:pt idx="57">
                  <c:v>1.3249434431328508</c:v>
                </c:pt>
              </c:numCache>
            </c:numRef>
          </c:val>
        </c:ser>
        <c:ser>
          <c:idx val="2"/>
          <c:order val="2"/>
          <c:tx>
            <c:strRef>
              <c:f>TT_TTI_Delay!$Q$3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TT_TTI_Delay!$Q$4:$Q$61</c:f>
              <c:numCache>
                <c:formatCode>0.00</c:formatCode>
                <c:ptCount val="58"/>
                <c:pt idx="0">
                  <c:v>0.15060855218862337</c:v>
                </c:pt>
                <c:pt idx="1">
                  <c:v>0.40224106874080484</c:v>
                </c:pt>
                <c:pt idx="2">
                  <c:v>0.10993195701908576</c:v>
                </c:pt>
                <c:pt idx="3">
                  <c:v>0.18563680412845152</c:v>
                </c:pt>
                <c:pt idx="4">
                  <c:v>0.22203776406011935</c:v>
                </c:pt>
                <c:pt idx="5">
                  <c:v>0.14044370117352548</c:v>
                </c:pt>
                <c:pt idx="6">
                  <c:v>8.9514415719093271E-2</c:v>
                </c:pt>
                <c:pt idx="7">
                  <c:v>0.14526702737489428</c:v>
                </c:pt>
                <c:pt idx="8">
                  <c:v>0.23232323805086358</c:v>
                </c:pt>
                <c:pt idx="9">
                  <c:v>0.25379966024762507</c:v>
                </c:pt>
                <c:pt idx="10">
                  <c:v>0.23003850312343868</c:v>
                </c:pt>
                <c:pt idx="11">
                  <c:v>0.30015609470810878</c:v>
                </c:pt>
                <c:pt idx="12">
                  <c:v>0.22861914221806109</c:v>
                </c:pt>
                <c:pt idx="13">
                  <c:v>0.21356148560325025</c:v>
                </c:pt>
                <c:pt idx="14">
                  <c:v>0.11460613820215783</c:v>
                </c:pt>
                <c:pt idx="15">
                  <c:v>3.0807916590749773E-2</c:v>
                </c:pt>
                <c:pt idx="16">
                  <c:v>0.12607675043021252</c:v>
                </c:pt>
                <c:pt idx="17">
                  <c:v>0.12852422126181887</c:v>
                </c:pt>
                <c:pt idx="18">
                  <c:v>0.26050557948349989</c:v>
                </c:pt>
                <c:pt idx="19">
                  <c:v>0.2812775124541067</c:v>
                </c:pt>
                <c:pt idx="20">
                  <c:v>0.14446674233961579</c:v>
                </c:pt>
                <c:pt idx="21">
                  <c:v>0.29260978801284082</c:v>
                </c:pt>
                <c:pt idx="22">
                  <c:v>0.16609129728769936</c:v>
                </c:pt>
                <c:pt idx="23">
                  <c:v>0.11387562956900349</c:v>
                </c:pt>
                <c:pt idx="24">
                  <c:v>6.9415368329235103E-2</c:v>
                </c:pt>
                <c:pt idx="25">
                  <c:v>0.17545430062169429</c:v>
                </c:pt>
                <c:pt idx="26">
                  <c:v>0.19940976264741994</c:v>
                </c:pt>
                <c:pt idx="27">
                  <c:v>0.31761830779118755</c:v>
                </c:pt>
                <c:pt idx="28">
                  <c:v>0.42355423987697061</c:v>
                </c:pt>
                <c:pt idx="29">
                  <c:v>0.70539014712413439</c:v>
                </c:pt>
                <c:pt idx="30">
                  <c:v>7.7340652736366727E-2</c:v>
                </c:pt>
                <c:pt idx="31">
                  <c:v>3.1325817343531646E-2</c:v>
                </c:pt>
                <c:pt idx="32">
                  <c:v>3.8284281382029432E-2</c:v>
                </c:pt>
                <c:pt idx="33">
                  <c:v>7.0028250077893858E-2</c:v>
                </c:pt>
                <c:pt idx="34">
                  <c:v>0.10711922777547944</c:v>
                </c:pt>
                <c:pt idx="35">
                  <c:v>0.26536169700120943</c:v>
                </c:pt>
                <c:pt idx="36">
                  <c:v>0.35591996268247644</c:v>
                </c:pt>
                <c:pt idx="37">
                  <c:v>0.16252195500671424</c:v>
                </c:pt>
                <c:pt idx="38">
                  <c:v>0.14938832178445419</c:v>
                </c:pt>
                <c:pt idx="39">
                  <c:v>0.13901272839956672</c:v>
                </c:pt>
                <c:pt idx="40">
                  <c:v>0.20070317514817268</c:v>
                </c:pt>
                <c:pt idx="41">
                  <c:v>0.21752551560347205</c:v>
                </c:pt>
                <c:pt idx="42">
                  <c:v>0.26583732133410298</c:v>
                </c:pt>
                <c:pt idx="43">
                  <c:v>0.28347883133889185</c:v>
                </c:pt>
                <c:pt idx="44">
                  <c:v>0.16776665506597618</c:v>
                </c:pt>
                <c:pt idx="45">
                  <c:v>0.26963122274609469</c:v>
                </c:pt>
                <c:pt idx="46">
                  <c:v>0.28618077743569525</c:v>
                </c:pt>
                <c:pt idx="47">
                  <c:v>0.19746349074075642</c:v>
                </c:pt>
                <c:pt idx="48">
                  <c:v>0.4659225562465667</c:v>
                </c:pt>
                <c:pt idx="49">
                  <c:v>0.20689742359528326</c:v>
                </c:pt>
                <c:pt idx="50">
                  <c:v>0.14201417172609457</c:v>
                </c:pt>
                <c:pt idx="51">
                  <c:v>0.1349837903713865</c:v>
                </c:pt>
                <c:pt idx="52">
                  <c:v>0.26702224407337277</c:v>
                </c:pt>
                <c:pt idx="53">
                  <c:v>0.13521275781513142</c:v>
                </c:pt>
                <c:pt idx="54">
                  <c:v>7.0325973812321418E-2</c:v>
                </c:pt>
                <c:pt idx="55">
                  <c:v>0.34143117120936822</c:v>
                </c:pt>
                <c:pt idx="56">
                  <c:v>0.31352943972887914</c:v>
                </c:pt>
                <c:pt idx="57">
                  <c:v>0.2952086815124953</c:v>
                </c:pt>
              </c:numCache>
            </c:numRef>
          </c:val>
        </c:ser>
        <c:ser>
          <c:idx val="3"/>
          <c:order val="3"/>
          <c:tx>
            <c:strRef>
              <c:f>TT_TTI_Delay!$R$3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TT_TTI_Delay!$R$4:$R$61</c:f>
              <c:numCache>
                <c:formatCode>0.00</c:formatCode>
                <c:ptCount val="58"/>
                <c:pt idx="0">
                  <c:v>0.26822846978190251</c:v>
                </c:pt>
                <c:pt idx="1">
                  <c:v>0.71669300755970999</c:v>
                </c:pt>
                <c:pt idx="2">
                  <c:v>0.2971924320812403</c:v>
                </c:pt>
                <c:pt idx="3">
                  <c:v>0.45922952522391797</c:v>
                </c:pt>
                <c:pt idx="4">
                  <c:v>0.64907554786768207</c:v>
                </c:pt>
                <c:pt idx="5">
                  <c:v>0.27305534127309894</c:v>
                </c:pt>
                <c:pt idx="6">
                  <c:v>0.21581619539479527</c:v>
                </c:pt>
                <c:pt idx="7">
                  <c:v>0.28763875105659614</c:v>
                </c:pt>
                <c:pt idx="8">
                  <c:v>0.71723852465793192</c:v>
                </c:pt>
                <c:pt idx="9">
                  <c:v>0.77300319168926779</c:v>
                </c:pt>
                <c:pt idx="10">
                  <c:v>0.37619668946377866</c:v>
                </c:pt>
                <c:pt idx="11">
                  <c:v>0.71883713937378946</c:v>
                </c:pt>
                <c:pt idx="12">
                  <c:v>0.6038849308934402</c:v>
                </c:pt>
                <c:pt idx="13">
                  <c:v>0.50994648483688687</c:v>
                </c:pt>
                <c:pt idx="14">
                  <c:v>0.32846894885769473</c:v>
                </c:pt>
                <c:pt idx="15">
                  <c:v>8.1638633184725709E-2</c:v>
                </c:pt>
                <c:pt idx="16">
                  <c:v>0.3921443889816949</c:v>
                </c:pt>
                <c:pt idx="17">
                  <c:v>0.38511107571832265</c:v>
                </c:pt>
                <c:pt idx="18">
                  <c:v>0.44878722091558981</c:v>
                </c:pt>
                <c:pt idx="19">
                  <c:v>0.38174684459657127</c:v>
                </c:pt>
                <c:pt idx="20">
                  <c:v>0.35279329602552606</c:v>
                </c:pt>
                <c:pt idx="21">
                  <c:v>0.47858925509437666</c:v>
                </c:pt>
                <c:pt idx="22">
                  <c:v>0.61018971391181998</c:v>
                </c:pt>
                <c:pt idx="23">
                  <c:v>0.31255685141136663</c:v>
                </c:pt>
                <c:pt idx="24">
                  <c:v>0.20811130701726541</c:v>
                </c:pt>
                <c:pt idx="25">
                  <c:v>0.62294916141167767</c:v>
                </c:pt>
                <c:pt idx="26">
                  <c:v>1.2196886799682685</c:v>
                </c:pt>
                <c:pt idx="27">
                  <c:v>0.60223280252300837</c:v>
                </c:pt>
                <c:pt idx="28">
                  <c:v>0.64745788128622983</c:v>
                </c:pt>
                <c:pt idx="29">
                  <c:v>0.77384305153732313</c:v>
                </c:pt>
                <c:pt idx="30">
                  <c:v>0.24204723667263112</c:v>
                </c:pt>
                <c:pt idx="31">
                  <c:v>0.12401593047330668</c:v>
                </c:pt>
                <c:pt idx="32">
                  <c:v>0.12100384038266804</c:v>
                </c:pt>
                <c:pt idx="33">
                  <c:v>0.18579116137012072</c:v>
                </c:pt>
                <c:pt idx="34">
                  <c:v>0.24539506565161925</c:v>
                </c:pt>
                <c:pt idx="35">
                  <c:v>0.52821587159445327</c:v>
                </c:pt>
                <c:pt idx="36">
                  <c:v>0.84267111548945794</c:v>
                </c:pt>
                <c:pt idx="37">
                  <c:v>0.53765639948546173</c:v>
                </c:pt>
                <c:pt idx="38">
                  <c:v>0.40092996128618558</c:v>
                </c:pt>
                <c:pt idx="39">
                  <c:v>0.34053197863022461</c:v>
                </c:pt>
                <c:pt idx="40">
                  <c:v>0.59565250787386892</c:v>
                </c:pt>
                <c:pt idx="41">
                  <c:v>0.62037445249248235</c:v>
                </c:pt>
                <c:pt idx="42">
                  <c:v>0.47531604077302231</c:v>
                </c:pt>
                <c:pt idx="43">
                  <c:v>0.45671026510879603</c:v>
                </c:pt>
                <c:pt idx="44">
                  <c:v>0.44134206087960165</c:v>
                </c:pt>
                <c:pt idx="45">
                  <c:v>0.43569199569797062</c:v>
                </c:pt>
                <c:pt idx="46">
                  <c:v>0.61514509097685788</c:v>
                </c:pt>
                <c:pt idx="47">
                  <c:v>0.4586445371086188</c:v>
                </c:pt>
                <c:pt idx="48">
                  <c:v>0.92184958311292775</c:v>
                </c:pt>
                <c:pt idx="49">
                  <c:v>0.37522622220861773</c:v>
                </c:pt>
                <c:pt idx="50">
                  <c:v>0.32602829599560279</c:v>
                </c:pt>
                <c:pt idx="51">
                  <c:v>0.17681401187220983</c:v>
                </c:pt>
                <c:pt idx="52">
                  <c:v>0.46611414914705329</c:v>
                </c:pt>
                <c:pt idx="53">
                  <c:v>0.39765325003887253</c:v>
                </c:pt>
                <c:pt idx="54">
                  <c:v>0.23573979628563801</c:v>
                </c:pt>
                <c:pt idx="55">
                  <c:v>0.9602108935767607</c:v>
                </c:pt>
                <c:pt idx="56">
                  <c:v>0.59262346953794831</c:v>
                </c:pt>
                <c:pt idx="57">
                  <c:v>0.59523753822892156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74273696"/>
        <c:axId val="374272520"/>
      </c:barChart>
      <c:catAx>
        <c:axId val="37427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latin typeface="Arial" panose="020B0604020202020204" pitchFamily="34" charset="0"/>
                    <a:cs typeface="Arial" panose="020B0604020202020204" pitchFamily="34" charset="0"/>
                  </a:rPr>
                  <a:t>Routes</a:t>
                </a:r>
                <a:endParaRPr lang="ru-RU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374272520"/>
        <c:crosses val="autoZero"/>
        <c:auto val="1"/>
        <c:lblAlgn val="ctr"/>
        <c:lblOffset val="100"/>
        <c:noMultiLvlLbl val="0"/>
      </c:catAx>
      <c:valAx>
        <c:axId val="374272520"/>
        <c:scaling>
          <c:orientation val="minMax"/>
          <c:max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latin typeface="Arial" panose="020B0604020202020204" pitchFamily="34" charset="0"/>
                    <a:cs typeface="Arial" panose="020B0604020202020204" pitchFamily="34" charset="0"/>
                  </a:rPr>
                  <a:t>Delay, min</a:t>
                </a:r>
                <a:endParaRPr lang="ru-RU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37427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TT_TTI_Delay!$C$1:$C$3</c:f>
              <c:strCache>
                <c:ptCount val="3"/>
                <c:pt idx="0">
                  <c:v>FFTT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TT_TTI_Delay!$C$4:$C$61</c:f>
              <c:numCache>
                <c:formatCode>General</c:formatCode>
                <c:ptCount val="58"/>
                <c:pt idx="0">
                  <c:v>2.6</c:v>
                </c:pt>
                <c:pt idx="1">
                  <c:v>3.38</c:v>
                </c:pt>
                <c:pt idx="2">
                  <c:v>2.5499999999999998</c:v>
                </c:pt>
                <c:pt idx="3">
                  <c:v>2.2200000000000002</c:v>
                </c:pt>
                <c:pt idx="4">
                  <c:v>2.4300000000000002</c:v>
                </c:pt>
                <c:pt idx="5">
                  <c:v>2.1800000000000002</c:v>
                </c:pt>
                <c:pt idx="6">
                  <c:v>2.38</c:v>
                </c:pt>
                <c:pt idx="7">
                  <c:v>2.65</c:v>
                </c:pt>
                <c:pt idx="8">
                  <c:v>2.4500000000000002</c:v>
                </c:pt>
                <c:pt idx="9">
                  <c:v>2.5499999999999998</c:v>
                </c:pt>
                <c:pt idx="10">
                  <c:v>1.85</c:v>
                </c:pt>
                <c:pt idx="11">
                  <c:v>2.38</c:v>
                </c:pt>
                <c:pt idx="12">
                  <c:v>2.5299999999999998</c:v>
                </c:pt>
                <c:pt idx="13">
                  <c:v>2.52</c:v>
                </c:pt>
                <c:pt idx="14">
                  <c:v>1.85</c:v>
                </c:pt>
                <c:pt idx="15">
                  <c:v>1.67</c:v>
                </c:pt>
                <c:pt idx="16">
                  <c:v>2.1800000000000002</c:v>
                </c:pt>
                <c:pt idx="17">
                  <c:v>2.38</c:v>
                </c:pt>
                <c:pt idx="18">
                  <c:v>2.77</c:v>
                </c:pt>
                <c:pt idx="19">
                  <c:v>2.75</c:v>
                </c:pt>
                <c:pt idx="20">
                  <c:v>2.52</c:v>
                </c:pt>
                <c:pt idx="21">
                  <c:v>2.48</c:v>
                </c:pt>
                <c:pt idx="22">
                  <c:v>2.67</c:v>
                </c:pt>
                <c:pt idx="23">
                  <c:v>2.67</c:v>
                </c:pt>
                <c:pt idx="24">
                  <c:v>2.88</c:v>
                </c:pt>
                <c:pt idx="25">
                  <c:v>2.73</c:v>
                </c:pt>
                <c:pt idx="26">
                  <c:v>2.63</c:v>
                </c:pt>
                <c:pt idx="27">
                  <c:v>3</c:v>
                </c:pt>
                <c:pt idx="28">
                  <c:v>2.4500000000000002</c:v>
                </c:pt>
                <c:pt idx="29">
                  <c:v>2.65</c:v>
                </c:pt>
                <c:pt idx="30">
                  <c:v>2.3199999999999998</c:v>
                </c:pt>
                <c:pt idx="31">
                  <c:v>1.62</c:v>
                </c:pt>
                <c:pt idx="32">
                  <c:v>1.62</c:v>
                </c:pt>
                <c:pt idx="33">
                  <c:v>1.6</c:v>
                </c:pt>
                <c:pt idx="34">
                  <c:v>2.93</c:v>
                </c:pt>
                <c:pt idx="35">
                  <c:v>2.1800000000000002</c:v>
                </c:pt>
                <c:pt idx="36">
                  <c:v>2.72</c:v>
                </c:pt>
                <c:pt idx="37">
                  <c:v>3.18</c:v>
                </c:pt>
                <c:pt idx="38">
                  <c:v>2.85</c:v>
                </c:pt>
                <c:pt idx="39">
                  <c:v>2.4700000000000002</c:v>
                </c:pt>
                <c:pt idx="40">
                  <c:v>2.82</c:v>
                </c:pt>
                <c:pt idx="41">
                  <c:v>2.93</c:v>
                </c:pt>
                <c:pt idx="42">
                  <c:v>2.61</c:v>
                </c:pt>
                <c:pt idx="43">
                  <c:v>3.27</c:v>
                </c:pt>
                <c:pt idx="44">
                  <c:v>2.67</c:v>
                </c:pt>
                <c:pt idx="45">
                  <c:v>2.93</c:v>
                </c:pt>
                <c:pt idx="46">
                  <c:v>2.78</c:v>
                </c:pt>
                <c:pt idx="47">
                  <c:v>2.82</c:v>
                </c:pt>
                <c:pt idx="48">
                  <c:v>2.7</c:v>
                </c:pt>
                <c:pt idx="49">
                  <c:v>2.58</c:v>
                </c:pt>
                <c:pt idx="50">
                  <c:v>4.62</c:v>
                </c:pt>
                <c:pt idx="51">
                  <c:v>2.4700000000000002</c:v>
                </c:pt>
                <c:pt idx="52">
                  <c:v>2.93</c:v>
                </c:pt>
                <c:pt idx="53">
                  <c:v>2.12</c:v>
                </c:pt>
                <c:pt idx="54">
                  <c:v>1.75</c:v>
                </c:pt>
                <c:pt idx="55">
                  <c:v>2.8</c:v>
                </c:pt>
                <c:pt idx="56">
                  <c:v>2.82</c:v>
                </c:pt>
                <c:pt idx="57">
                  <c:v>2.73</c:v>
                </c:pt>
              </c:numCache>
            </c:numRef>
          </c:val>
          <c:smooth val="0"/>
        </c:ser>
        <c:ser>
          <c:idx val="5"/>
          <c:order val="1"/>
          <c:tx>
            <c:strRef>
              <c:f>TT_TTI_Delay!$L$1:$L$2</c:f>
              <c:strCache>
                <c:ptCount val="2"/>
                <c:pt idx="0">
                  <c:v>TT</c:v>
                </c:pt>
                <c:pt idx="1">
                  <c:v>Average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TT_TTI_Delay!$L$4:$L$61</c:f>
              <c:numCache>
                <c:formatCode>0.00</c:formatCode>
                <c:ptCount val="58"/>
                <c:pt idx="0">
                  <c:v>3.078581068809652</c:v>
                </c:pt>
                <c:pt idx="1">
                  <c:v>4.851147258286403</c:v>
                </c:pt>
                <c:pt idx="2">
                  <c:v>3.0574080021268957</c:v>
                </c:pt>
                <c:pt idx="3">
                  <c:v>2.8184613275533845</c:v>
                </c:pt>
                <c:pt idx="4">
                  <c:v>3.3447998054717849</c:v>
                </c:pt>
                <c:pt idx="5">
                  <c:v>2.6005034698126854</c:v>
                </c:pt>
                <c:pt idx="6">
                  <c:v>2.6459401234667808</c:v>
                </c:pt>
                <c:pt idx="7">
                  <c:v>3.1264751718864829</c:v>
                </c:pt>
                <c:pt idx="8">
                  <c:v>3.5569843538123234</c:v>
                </c:pt>
                <c:pt idx="9">
                  <c:v>3.7255944948259856</c:v>
                </c:pt>
                <c:pt idx="10">
                  <c:v>2.8147410820050602</c:v>
                </c:pt>
                <c:pt idx="11">
                  <c:v>3.7491375411439747</c:v>
                </c:pt>
                <c:pt idx="12">
                  <c:v>3.9020608972482438</c:v>
                </c:pt>
                <c:pt idx="13">
                  <c:v>3.5379812564760211</c:v>
                </c:pt>
                <c:pt idx="14">
                  <c:v>2.4704577371367478</c:v>
                </c:pt>
                <c:pt idx="15">
                  <c:v>1.9358579665298916</c:v>
                </c:pt>
                <c:pt idx="16">
                  <c:v>2.9727157591857285</c:v>
                </c:pt>
                <c:pt idx="17">
                  <c:v>3.1215315443075702</c:v>
                </c:pt>
                <c:pt idx="18">
                  <c:v>3.5939902444461311</c:v>
                </c:pt>
                <c:pt idx="19">
                  <c:v>3.4930286615035708</c:v>
                </c:pt>
                <c:pt idx="20">
                  <c:v>3.2962554736342349</c:v>
                </c:pt>
                <c:pt idx="21">
                  <c:v>3.5377740822153023</c:v>
                </c:pt>
                <c:pt idx="22">
                  <c:v>3.852166546003625</c:v>
                </c:pt>
                <c:pt idx="23">
                  <c:v>3.4546508901520814</c:v>
                </c:pt>
                <c:pt idx="24">
                  <c:v>3.3195354794985201</c:v>
                </c:pt>
                <c:pt idx="25">
                  <c:v>4.1088575390288877</c:v>
                </c:pt>
                <c:pt idx="26">
                  <c:v>3.9327504241626481</c:v>
                </c:pt>
                <c:pt idx="27">
                  <c:v>4.0224275687568607</c:v>
                </c:pt>
                <c:pt idx="28">
                  <c:v>3.7910798884472947</c:v>
                </c:pt>
                <c:pt idx="29">
                  <c:v>4.3335446009788701</c:v>
                </c:pt>
                <c:pt idx="30">
                  <c:v>2.8312972093836075</c:v>
                </c:pt>
                <c:pt idx="31">
                  <c:v>1.8509643057475762</c:v>
                </c:pt>
                <c:pt idx="32">
                  <c:v>1.8841041417857918</c:v>
                </c:pt>
                <c:pt idx="33">
                  <c:v>1.923542254698883</c:v>
                </c:pt>
                <c:pt idx="34">
                  <c:v>3.6175120856375438</c:v>
                </c:pt>
                <c:pt idx="35">
                  <c:v>3.0532045386951916</c:v>
                </c:pt>
                <c:pt idx="36">
                  <c:v>4.0338509302222301</c:v>
                </c:pt>
                <c:pt idx="37">
                  <c:v>3.9762928100784123</c:v>
                </c:pt>
                <c:pt idx="38">
                  <c:v>3.3982076182874117</c:v>
                </c:pt>
                <c:pt idx="39">
                  <c:v>2.9085643520850128</c:v>
                </c:pt>
                <c:pt idx="40">
                  <c:v>4.0341869727644522</c:v>
                </c:pt>
                <c:pt idx="41">
                  <c:v>3.991884404743975</c:v>
                </c:pt>
                <c:pt idx="42">
                  <c:v>3.4419137549762726</c:v>
                </c:pt>
                <c:pt idx="43">
                  <c:v>4.2100972960837684</c:v>
                </c:pt>
                <c:pt idx="44">
                  <c:v>3.5159790762975711</c:v>
                </c:pt>
                <c:pt idx="45">
                  <c:v>3.8014854790747021</c:v>
                </c:pt>
                <c:pt idx="46">
                  <c:v>4.3040151737472616</c:v>
                </c:pt>
                <c:pt idx="47">
                  <c:v>3.6743554537817023</c:v>
                </c:pt>
                <c:pt idx="48">
                  <c:v>4.1382732398138256</c:v>
                </c:pt>
                <c:pt idx="49">
                  <c:v>3.1075812442550306</c:v>
                </c:pt>
                <c:pt idx="50">
                  <c:v>5.560082790269159</c:v>
                </c:pt>
                <c:pt idx="51">
                  <c:v>2.7939151510184583</c:v>
                </c:pt>
                <c:pt idx="52">
                  <c:v>3.636750809805867</c:v>
                </c:pt>
                <c:pt idx="53">
                  <c:v>3.064698114084476</c:v>
                </c:pt>
                <c:pt idx="54">
                  <c:v>2.1772486611450454</c:v>
                </c:pt>
                <c:pt idx="55">
                  <c:v>4.4265479181002867</c:v>
                </c:pt>
                <c:pt idx="56">
                  <c:v>3.9598496902383156</c:v>
                </c:pt>
                <c:pt idx="57">
                  <c:v>3.7753668209803966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4272912"/>
        <c:axId val="380441024"/>
      </c:lineChart>
      <c:catAx>
        <c:axId val="37427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441024"/>
        <c:crosses val="autoZero"/>
        <c:auto val="1"/>
        <c:lblAlgn val="ctr"/>
        <c:lblOffset val="100"/>
        <c:noMultiLvlLbl val="0"/>
      </c:catAx>
      <c:valAx>
        <c:axId val="3804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min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427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TT_TTI_Delay!$C$1:$C$3</c:f>
              <c:strCache>
                <c:ptCount val="3"/>
                <c:pt idx="0">
                  <c:v>FFTT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TT_TTI_Delay!$C$4:$C$61</c:f>
              <c:numCache>
                <c:formatCode>General</c:formatCode>
                <c:ptCount val="58"/>
                <c:pt idx="0">
                  <c:v>2.6</c:v>
                </c:pt>
                <c:pt idx="1">
                  <c:v>3.38</c:v>
                </c:pt>
                <c:pt idx="2">
                  <c:v>2.5499999999999998</c:v>
                </c:pt>
                <c:pt idx="3">
                  <c:v>2.2200000000000002</c:v>
                </c:pt>
                <c:pt idx="4">
                  <c:v>2.4300000000000002</c:v>
                </c:pt>
                <c:pt idx="5">
                  <c:v>2.1800000000000002</c:v>
                </c:pt>
                <c:pt idx="6">
                  <c:v>2.38</c:v>
                </c:pt>
                <c:pt idx="7">
                  <c:v>2.65</c:v>
                </c:pt>
                <c:pt idx="8">
                  <c:v>2.4500000000000002</c:v>
                </c:pt>
                <c:pt idx="9">
                  <c:v>2.5499999999999998</c:v>
                </c:pt>
                <c:pt idx="10">
                  <c:v>1.85</c:v>
                </c:pt>
                <c:pt idx="11">
                  <c:v>2.38</c:v>
                </c:pt>
                <c:pt idx="12">
                  <c:v>2.5299999999999998</c:v>
                </c:pt>
                <c:pt idx="13">
                  <c:v>2.52</c:v>
                </c:pt>
                <c:pt idx="14">
                  <c:v>1.85</c:v>
                </c:pt>
                <c:pt idx="15">
                  <c:v>1.67</c:v>
                </c:pt>
                <c:pt idx="16">
                  <c:v>2.1800000000000002</c:v>
                </c:pt>
                <c:pt idx="17">
                  <c:v>2.38</c:v>
                </c:pt>
                <c:pt idx="18">
                  <c:v>2.77</c:v>
                </c:pt>
                <c:pt idx="19">
                  <c:v>2.75</c:v>
                </c:pt>
                <c:pt idx="20">
                  <c:v>2.52</c:v>
                </c:pt>
                <c:pt idx="21">
                  <c:v>2.48</c:v>
                </c:pt>
                <c:pt idx="22">
                  <c:v>2.67</c:v>
                </c:pt>
                <c:pt idx="23">
                  <c:v>2.67</c:v>
                </c:pt>
                <c:pt idx="24">
                  <c:v>2.88</c:v>
                </c:pt>
                <c:pt idx="25">
                  <c:v>2.73</c:v>
                </c:pt>
                <c:pt idx="26">
                  <c:v>2.63</c:v>
                </c:pt>
                <c:pt idx="27">
                  <c:v>3</c:v>
                </c:pt>
                <c:pt idx="28">
                  <c:v>2.4500000000000002</c:v>
                </c:pt>
                <c:pt idx="29">
                  <c:v>2.65</c:v>
                </c:pt>
                <c:pt idx="30">
                  <c:v>2.3199999999999998</c:v>
                </c:pt>
                <c:pt idx="31">
                  <c:v>1.62</c:v>
                </c:pt>
                <c:pt idx="32">
                  <c:v>1.62</c:v>
                </c:pt>
                <c:pt idx="33">
                  <c:v>1.6</c:v>
                </c:pt>
                <c:pt idx="34">
                  <c:v>2.93</c:v>
                </c:pt>
                <c:pt idx="35">
                  <c:v>2.1800000000000002</c:v>
                </c:pt>
                <c:pt idx="36">
                  <c:v>2.72</c:v>
                </c:pt>
                <c:pt idx="37">
                  <c:v>3.18</c:v>
                </c:pt>
                <c:pt idx="38">
                  <c:v>2.85</c:v>
                </c:pt>
                <c:pt idx="39">
                  <c:v>2.4700000000000002</c:v>
                </c:pt>
                <c:pt idx="40">
                  <c:v>2.82</c:v>
                </c:pt>
                <c:pt idx="41">
                  <c:v>2.93</c:v>
                </c:pt>
                <c:pt idx="42">
                  <c:v>2.61</c:v>
                </c:pt>
                <c:pt idx="43">
                  <c:v>3.27</c:v>
                </c:pt>
                <c:pt idx="44">
                  <c:v>2.67</c:v>
                </c:pt>
                <c:pt idx="45">
                  <c:v>2.93</c:v>
                </c:pt>
                <c:pt idx="46">
                  <c:v>2.78</c:v>
                </c:pt>
                <c:pt idx="47">
                  <c:v>2.82</c:v>
                </c:pt>
                <c:pt idx="48">
                  <c:v>2.7</c:v>
                </c:pt>
                <c:pt idx="49">
                  <c:v>2.58</c:v>
                </c:pt>
                <c:pt idx="50">
                  <c:v>4.62</c:v>
                </c:pt>
                <c:pt idx="51">
                  <c:v>2.4700000000000002</c:v>
                </c:pt>
                <c:pt idx="52">
                  <c:v>2.93</c:v>
                </c:pt>
                <c:pt idx="53">
                  <c:v>2.12</c:v>
                </c:pt>
                <c:pt idx="54">
                  <c:v>1.75</c:v>
                </c:pt>
                <c:pt idx="55">
                  <c:v>2.8</c:v>
                </c:pt>
                <c:pt idx="56">
                  <c:v>2.82</c:v>
                </c:pt>
                <c:pt idx="57">
                  <c:v>2.73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TT_TTI_Delay!$F$1:$F$2</c:f>
              <c:strCache>
                <c:ptCount val="2"/>
                <c:pt idx="0">
                  <c:v>TT</c:v>
                </c:pt>
                <c:pt idx="1">
                  <c:v>Week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TT_TTI_Delay!$F$4:$F$61</c:f>
              <c:numCache>
                <c:formatCode>0.00</c:formatCode>
                <c:ptCount val="58"/>
                <c:pt idx="0">
                  <c:v>3.2367518158118513</c:v>
                </c:pt>
                <c:pt idx="1">
                  <c:v>5.4439312666769029</c:v>
                </c:pt>
                <c:pt idx="2">
                  <c:v>3.259472712428547</c:v>
                </c:pt>
                <c:pt idx="3">
                  <c:v>2.9332729080924915</c:v>
                </c:pt>
                <c:pt idx="4">
                  <c:v>3.5975534938784408</c:v>
                </c:pt>
                <c:pt idx="5">
                  <c:v>2.7108826577904024</c:v>
                </c:pt>
                <c:pt idx="6">
                  <c:v>2.6767756763758674</c:v>
                </c:pt>
                <c:pt idx="7">
                  <c:v>3.2696128943807183</c:v>
                </c:pt>
                <c:pt idx="8">
                  <c:v>3.9423017679659624</c:v>
                </c:pt>
                <c:pt idx="9">
                  <c:v>4.1310868506993019</c:v>
                </c:pt>
                <c:pt idx="10">
                  <c:v>3.3308681214955804</c:v>
                </c:pt>
                <c:pt idx="11">
                  <c:v>4.3744100214081643</c:v>
                </c:pt>
                <c:pt idx="12">
                  <c:v>4.6414186989317461</c:v>
                </c:pt>
                <c:pt idx="13">
                  <c:v>4.0097139952697392</c:v>
                </c:pt>
                <c:pt idx="14">
                  <c:v>2.7652552852845034</c:v>
                </c:pt>
                <c:pt idx="15">
                  <c:v>2.1173810207281765</c:v>
                </c:pt>
                <c:pt idx="16">
                  <c:v>3.3741745581154672</c:v>
                </c:pt>
                <c:pt idx="17">
                  <c:v>3.4752684393951334</c:v>
                </c:pt>
                <c:pt idx="18">
                  <c:v>3.8860108885929447</c:v>
                </c:pt>
                <c:pt idx="19">
                  <c:v>3.7454192987896393</c:v>
                </c:pt>
                <c:pt idx="20">
                  <c:v>3.6970796183027881</c:v>
                </c:pt>
                <c:pt idx="21">
                  <c:v>3.9901569155914389</c:v>
                </c:pt>
                <c:pt idx="22">
                  <c:v>4.479292168999593</c:v>
                </c:pt>
                <c:pt idx="23">
                  <c:v>3.9152130947590815</c:v>
                </c:pt>
                <c:pt idx="24">
                  <c:v>3.5481506857336997</c:v>
                </c:pt>
                <c:pt idx="25">
                  <c:v>4.8929044988429125</c:v>
                </c:pt>
                <c:pt idx="26">
                  <c:v>4.1498905397242947</c:v>
                </c:pt>
                <c:pt idx="27">
                  <c:v>4.3503675492265028</c:v>
                </c:pt>
                <c:pt idx="28">
                  <c:v>4.2914152617814771</c:v>
                </c:pt>
                <c:pt idx="29">
                  <c:v>4.8558911410084953</c:v>
                </c:pt>
                <c:pt idx="30">
                  <c:v>3.0998596228163766</c:v>
                </c:pt>
                <c:pt idx="31">
                  <c:v>1.9654223006325235</c:v>
                </c:pt>
                <c:pt idx="32">
                  <c:v>2.027945751639237</c:v>
                </c:pt>
                <c:pt idx="33">
                  <c:v>2.0552199508117552</c:v>
                </c:pt>
                <c:pt idx="34">
                  <c:v>4.0318255938690868</c:v>
                </c:pt>
                <c:pt idx="35">
                  <c:v>3.331225900943636</c:v>
                </c:pt>
                <c:pt idx="36">
                  <c:v>4.5206740165058257</c:v>
                </c:pt>
                <c:pt idx="37">
                  <c:v>4.2089420447906223</c:v>
                </c:pt>
                <c:pt idx="38">
                  <c:v>3.5199185671950781</c:v>
                </c:pt>
                <c:pt idx="39">
                  <c:v>3.0138451327843203</c:v>
                </c:pt>
                <c:pt idx="40">
                  <c:v>4.6272165127717129</c:v>
                </c:pt>
                <c:pt idx="41">
                  <c:v>4.4002068343731047</c:v>
                </c:pt>
                <c:pt idx="42">
                  <c:v>3.7142567215616662</c:v>
                </c:pt>
                <c:pt idx="43">
                  <c:v>4.5913518243495322</c:v>
                </c:pt>
                <c:pt idx="44">
                  <c:v>3.9081721592156864</c:v>
                </c:pt>
                <c:pt idx="45">
                  <c:v>4.1369253121319147</c:v>
                </c:pt>
                <c:pt idx="46">
                  <c:v>5.1430226875009843</c:v>
                </c:pt>
                <c:pt idx="47">
                  <c:v>4.0366298866763728</c:v>
                </c:pt>
                <c:pt idx="48">
                  <c:v>4.5079619323208409</c:v>
                </c:pt>
                <c:pt idx="49">
                  <c:v>3.233497172905369</c:v>
                </c:pt>
                <c:pt idx="50">
                  <c:v>5.8472463380665509</c:v>
                </c:pt>
                <c:pt idx="51">
                  <c:v>2.8839819503542197</c:v>
                </c:pt>
                <c:pt idx="52">
                  <c:v>3.8083120525608232</c:v>
                </c:pt>
                <c:pt idx="53">
                  <c:v>3.6204040424355286</c:v>
                </c:pt>
                <c:pt idx="54">
                  <c:v>2.3749479947166217</c:v>
                </c:pt>
                <c:pt idx="55">
                  <c:v>5.0703560772870464</c:v>
                </c:pt>
                <c:pt idx="56">
                  <c:v>4.4110231694338431</c:v>
                </c:pt>
                <c:pt idx="57">
                  <c:v>4.1528989771547309</c:v>
                </c:pt>
              </c:numCache>
            </c:numRef>
          </c:val>
          <c:smooth val="0"/>
        </c:ser>
        <c:ser>
          <c:idx val="6"/>
          <c:order val="2"/>
          <c:tx>
            <c:strRef>
              <c:f>TT_TTI_Delay!$I$1:$I$2</c:f>
              <c:strCache>
                <c:ptCount val="2"/>
                <c:pt idx="0">
                  <c:v>TT</c:v>
                </c:pt>
                <c:pt idx="1">
                  <c:v>Weekend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TT_TTI_Delay!$I$4:$I$61</c:f>
              <c:numCache>
                <c:formatCode>0.00</c:formatCode>
                <c:ptCount val="58"/>
                <c:pt idx="0">
                  <c:v>2.9204103218074522</c:v>
                </c:pt>
                <c:pt idx="1">
                  <c:v>4.2583632498959041</c:v>
                </c:pt>
                <c:pt idx="2">
                  <c:v>2.8553432918252444</c:v>
                </c:pt>
                <c:pt idx="3">
                  <c:v>2.7036497470142775</c:v>
                </c:pt>
                <c:pt idx="4">
                  <c:v>3.092046117065129</c:v>
                </c:pt>
                <c:pt idx="5">
                  <c:v>2.4901242818349685</c:v>
                </c:pt>
                <c:pt idx="6">
                  <c:v>2.6151045705576941</c:v>
                </c:pt>
                <c:pt idx="7">
                  <c:v>2.9833374493922475</c:v>
                </c:pt>
                <c:pt idx="8">
                  <c:v>3.1716669396586847</c:v>
                </c:pt>
                <c:pt idx="9">
                  <c:v>3.3201021389526693</c:v>
                </c:pt>
                <c:pt idx="10">
                  <c:v>2.2986140425145409</c:v>
                </c:pt>
                <c:pt idx="11">
                  <c:v>3.1238650608797855</c:v>
                </c:pt>
                <c:pt idx="12">
                  <c:v>3.1627030955647406</c:v>
                </c:pt>
                <c:pt idx="13">
                  <c:v>3.0662485176823036</c:v>
                </c:pt>
                <c:pt idx="14">
                  <c:v>2.1756601889889917</c:v>
                </c:pt>
                <c:pt idx="15">
                  <c:v>1.7543349123316065</c:v>
                </c:pt>
                <c:pt idx="16">
                  <c:v>2.5712569602559903</c:v>
                </c:pt>
                <c:pt idx="17">
                  <c:v>2.767794649220007</c:v>
                </c:pt>
                <c:pt idx="18">
                  <c:v>3.3019696002993175</c:v>
                </c:pt>
                <c:pt idx="19">
                  <c:v>3.2406380242175015</c:v>
                </c:pt>
                <c:pt idx="20">
                  <c:v>2.8954313289656821</c:v>
                </c:pt>
                <c:pt idx="21">
                  <c:v>3.0853912488391657</c:v>
                </c:pt>
                <c:pt idx="22">
                  <c:v>3.225040923007656</c:v>
                </c:pt>
                <c:pt idx="23">
                  <c:v>2.9940886855450812</c:v>
                </c:pt>
                <c:pt idx="24">
                  <c:v>3.0909202732633405</c:v>
                </c:pt>
                <c:pt idx="25">
                  <c:v>3.3248105792148621</c:v>
                </c:pt>
                <c:pt idx="26">
                  <c:v>3.7156103086010015</c:v>
                </c:pt>
                <c:pt idx="27">
                  <c:v>3.6944875882872177</c:v>
                </c:pt>
                <c:pt idx="28">
                  <c:v>3.2907445151131123</c:v>
                </c:pt>
                <c:pt idx="29">
                  <c:v>3.811198060949244</c:v>
                </c:pt>
                <c:pt idx="30">
                  <c:v>2.5627347959508384</c:v>
                </c:pt>
                <c:pt idx="31">
                  <c:v>1.7365063108626289</c:v>
                </c:pt>
                <c:pt idx="32">
                  <c:v>1.7402625319323466</c:v>
                </c:pt>
                <c:pt idx="33">
                  <c:v>1.7918645585860111</c:v>
                </c:pt>
                <c:pt idx="34">
                  <c:v>3.2031985774060017</c:v>
                </c:pt>
                <c:pt idx="35">
                  <c:v>2.7751831764467472</c:v>
                </c:pt>
                <c:pt idx="36">
                  <c:v>3.5470278439386349</c:v>
                </c:pt>
                <c:pt idx="37">
                  <c:v>3.7436435753662018</c:v>
                </c:pt>
                <c:pt idx="38">
                  <c:v>3.2764966693797462</c:v>
                </c:pt>
                <c:pt idx="39">
                  <c:v>2.8032835713857054</c:v>
                </c:pt>
                <c:pt idx="40">
                  <c:v>3.4411574327571923</c:v>
                </c:pt>
                <c:pt idx="41">
                  <c:v>3.5835619751148444</c:v>
                </c:pt>
                <c:pt idx="42">
                  <c:v>3.1695707883908795</c:v>
                </c:pt>
                <c:pt idx="43">
                  <c:v>3.8288427678180046</c:v>
                </c:pt>
                <c:pt idx="44">
                  <c:v>3.1237859933794554</c:v>
                </c:pt>
                <c:pt idx="45">
                  <c:v>3.4660456460174895</c:v>
                </c:pt>
                <c:pt idx="46">
                  <c:v>3.4650076599935402</c:v>
                </c:pt>
                <c:pt idx="47">
                  <c:v>3.3120810208870313</c:v>
                </c:pt>
                <c:pt idx="48">
                  <c:v>3.7685845473068111</c:v>
                </c:pt>
                <c:pt idx="49">
                  <c:v>2.9816653156046917</c:v>
                </c:pt>
                <c:pt idx="50">
                  <c:v>5.2729192424717679</c:v>
                </c:pt>
                <c:pt idx="51">
                  <c:v>2.7038483516826974</c:v>
                </c:pt>
                <c:pt idx="52">
                  <c:v>3.4651895670509112</c:v>
                </c:pt>
                <c:pt idx="53">
                  <c:v>2.508992185733423</c:v>
                </c:pt>
                <c:pt idx="54">
                  <c:v>1.9795493275734697</c:v>
                </c:pt>
                <c:pt idx="55">
                  <c:v>3.782739758913527</c:v>
                </c:pt>
                <c:pt idx="56">
                  <c:v>3.5086762110427889</c:v>
                </c:pt>
                <c:pt idx="57">
                  <c:v>3.3978346648060627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447688"/>
        <c:axId val="380443376"/>
      </c:lineChart>
      <c:catAx>
        <c:axId val="380447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Routes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443376"/>
        <c:crosses val="autoZero"/>
        <c:auto val="1"/>
        <c:lblAlgn val="ctr"/>
        <c:lblOffset val="100"/>
        <c:noMultiLvlLbl val="0"/>
      </c:catAx>
      <c:valAx>
        <c:axId val="3804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Time, min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44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TTI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TT_TTI_Delay!$AE$2</c:f>
              <c:strCache>
                <c:ptCount val="1"/>
                <c:pt idx="0">
                  <c:v>TTI per route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TT_TTI_Delay!$AE$4:$AE$61</c:f>
              <c:numCache>
                <c:formatCode>0.00</c:formatCode>
                <c:ptCount val="58"/>
                <c:pt idx="0">
                  <c:v>1.184069641849866</c:v>
                </c:pt>
                <c:pt idx="1">
                  <c:v>1.435250668132072</c:v>
                </c:pt>
                <c:pt idx="2">
                  <c:v>1.1989835302458416</c:v>
                </c:pt>
                <c:pt idx="3">
                  <c:v>1.2695771745735964</c:v>
                </c:pt>
                <c:pt idx="4">
                  <c:v>1.3764608252970305</c:v>
                </c:pt>
                <c:pt idx="5">
                  <c:v>1.1928914999140758</c:v>
                </c:pt>
                <c:pt idx="6">
                  <c:v>1.1117395476751182</c:v>
                </c:pt>
                <c:pt idx="7">
                  <c:v>1.1798019516552767</c:v>
                </c:pt>
                <c:pt idx="8">
                  <c:v>1.4518303484948258</c:v>
                </c:pt>
                <c:pt idx="9">
                  <c:v>1.461017448951367</c:v>
                </c:pt>
                <c:pt idx="10">
                  <c:v>1.5214816659486816</c:v>
                </c:pt>
                <c:pt idx="11">
                  <c:v>1.5752678744302417</c:v>
                </c:pt>
                <c:pt idx="12">
                  <c:v>1.5423165601771716</c:v>
                </c:pt>
                <c:pt idx="13">
                  <c:v>1.4039608160619133</c:v>
                </c:pt>
                <c:pt idx="14">
                  <c:v>1.335382560614458</c:v>
                </c:pt>
                <c:pt idx="15">
                  <c:v>1.1591963871436475</c:v>
                </c:pt>
                <c:pt idx="16">
                  <c:v>1.3636310821952884</c:v>
                </c:pt>
                <c:pt idx="17">
                  <c:v>1.3115678757594833</c:v>
                </c:pt>
                <c:pt idx="18">
                  <c:v>1.2974694023271232</c:v>
                </c:pt>
                <c:pt idx="19">
                  <c:v>1.2701922405467529</c:v>
                </c:pt>
                <c:pt idx="20">
                  <c:v>1.3080378863627917</c:v>
                </c:pt>
                <c:pt idx="21">
                  <c:v>1.42652180734488</c:v>
                </c:pt>
                <c:pt idx="22">
                  <c:v>1.4427590059938669</c:v>
                </c:pt>
                <c:pt idx="23">
                  <c:v>1.2938767378846747</c:v>
                </c:pt>
                <c:pt idx="24">
                  <c:v>1.1526164859369861</c:v>
                </c:pt>
                <c:pt idx="25">
                  <c:v>1.5050760216223029</c:v>
                </c:pt>
                <c:pt idx="26">
                  <c:v>1.4953423666017673</c:v>
                </c:pt>
                <c:pt idx="27">
                  <c:v>1.3408091895856202</c:v>
                </c:pt>
                <c:pt idx="28">
                  <c:v>1.5473795463050184</c:v>
                </c:pt>
                <c:pt idx="29">
                  <c:v>1.6352998494259885</c:v>
                </c:pt>
                <c:pt idx="30">
                  <c:v>1.2203867281825898</c:v>
                </c:pt>
                <c:pt idx="31">
                  <c:v>1.1425705591034421</c:v>
                </c:pt>
                <c:pt idx="32">
                  <c:v>1.1630272480159207</c:v>
                </c:pt>
                <c:pt idx="33">
                  <c:v>1.202213909186802</c:v>
                </c:pt>
                <c:pt idx="34">
                  <c:v>1.2346457630162269</c:v>
                </c:pt>
                <c:pt idx="35">
                  <c:v>1.4005525406858677</c:v>
                </c:pt>
                <c:pt idx="36">
                  <c:v>1.4830334302287611</c:v>
                </c:pt>
                <c:pt idx="37">
                  <c:v>1.2504065440498151</c:v>
                </c:pt>
                <c:pt idx="38">
                  <c:v>1.1923535502762848</c:v>
                </c:pt>
                <c:pt idx="39">
                  <c:v>1.1775564178481832</c:v>
                </c:pt>
                <c:pt idx="40">
                  <c:v>1.4305627562994514</c:v>
                </c:pt>
                <c:pt idx="41">
                  <c:v>1.3624178855781484</c:v>
                </c:pt>
                <c:pt idx="42">
                  <c:v>1.3187409022897598</c:v>
                </c:pt>
                <c:pt idx="43">
                  <c:v>1.2874915278543635</c:v>
                </c:pt>
                <c:pt idx="44">
                  <c:v>1.3168460959915997</c:v>
                </c:pt>
                <c:pt idx="45">
                  <c:v>1.2974353170903421</c:v>
                </c:pt>
                <c:pt idx="46">
                  <c:v>1.5482068970313891</c:v>
                </c:pt>
                <c:pt idx="47">
                  <c:v>1.3029629268729441</c:v>
                </c:pt>
                <c:pt idx="48">
                  <c:v>1.532693792523639</c:v>
                </c:pt>
                <c:pt idx="49">
                  <c:v>1.204488854362415</c:v>
                </c:pt>
                <c:pt idx="50">
                  <c:v>1.203481123434883</c:v>
                </c:pt>
                <c:pt idx="51">
                  <c:v>1.1311397372544365</c:v>
                </c:pt>
                <c:pt idx="52">
                  <c:v>1.2412118804798182</c:v>
                </c:pt>
                <c:pt idx="53">
                  <c:v>1.4456123179643754</c:v>
                </c:pt>
                <c:pt idx="54">
                  <c:v>1.2441420920828832</c:v>
                </c:pt>
                <c:pt idx="55">
                  <c:v>1.5809099707501026</c:v>
                </c:pt>
                <c:pt idx="56">
                  <c:v>1.4042020178150059</c:v>
                </c:pt>
                <c:pt idx="57">
                  <c:v>1.3829182494433689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440240"/>
        <c:axId val="380446512"/>
      </c:barChart>
      <c:catAx>
        <c:axId val="38044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446512"/>
        <c:crosses val="autoZero"/>
        <c:auto val="1"/>
        <c:lblAlgn val="ctr"/>
        <c:lblOffset val="100"/>
        <c:noMultiLvlLbl val="0"/>
      </c:catAx>
      <c:valAx>
        <c:axId val="38044651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TTI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44024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768198039993206E-2"/>
          <c:y val="0.17631434076052227"/>
          <c:w val="0.88568228252044034"/>
          <c:h val="0.618114569612405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TT_TTI_Delay!$Y$3</c:f>
              <c:strCache>
                <c:ptCount val="1"/>
                <c:pt idx="0">
                  <c:v>Average delay per route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TT_TTI_Delay!$Y$4:$Y$61</c:f>
              <c:numCache>
                <c:formatCode>0.00</c:formatCode>
                <c:ptCount val="58"/>
                <c:pt idx="0">
                  <c:v>0.31279808418931487</c:v>
                </c:pt>
                <c:pt idx="1">
                  <c:v>0.93703647024611691</c:v>
                </c:pt>
                <c:pt idx="2">
                  <c:v>0.33827200141793057</c:v>
                </c:pt>
                <c:pt idx="3">
                  <c:v>0.39897421836892283</c:v>
                </c:pt>
                <c:pt idx="4">
                  <c:v>0.60184197728406896</c:v>
                </c:pt>
                <c:pt idx="5">
                  <c:v>0.28033564654179011</c:v>
                </c:pt>
                <c:pt idx="6">
                  <c:v>0.17268839186154608</c:v>
                </c:pt>
                <c:pt idx="7">
                  <c:v>0.30939946226394993</c:v>
                </c:pt>
                <c:pt idx="8">
                  <c:v>0.72827918013968651</c:v>
                </c:pt>
                <c:pt idx="9">
                  <c:v>0.78372966321732374</c:v>
                </c:pt>
                <c:pt idx="10">
                  <c:v>0.6518520824358518</c:v>
                </c:pt>
                <c:pt idx="11">
                  <c:v>0.93776543913970889</c:v>
                </c:pt>
                <c:pt idx="12">
                  <c:v>0.90267164292647606</c:v>
                </c:pt>
                <c:pt idx="13">
                  <c:v>0.67415977250067638</c:v>
                </c:pt>
                <c:pt idx="14">
                  <c:v>0.42208009329030438</c:v>
                </c:pt>
                <c:pt idx="15">
                  <c:v>0.177238644353261</c:v>
                </c:pt>
                <c:pt idx="16">
                  <c:v>0.52497732396405872</c:v>
                </c:pt>
                <c:pt idx="17">
                  <c:v>0.49108049291892064</c:v>
                </c:pt>
                <c:pt idx="18">
                  <c:v>0.54932682963075408</c:v>
                </c:pt>
                <c:pt idx="19">
                  <c:v>0.50204639290781794</c:v>
                </c:pt>
                <c:pt idx="20">
                  <c:v>0.51407647260545375</c:v>
                </c:pt>
                <c:pt idx="21">
                  <c:v>0.6737414536403199</c:v>
                </c:pt>
                <c:pt idx="22">
                  <c:v>0.82668989231022705</c:v>
                </c:pt>
                <c:pt idx="23">
                  <c:v>0.51621769088952729</c:v>
                </c:pt>
                <c:pt idx="24">
                  <c:v>0.28916807861744737</c:v>
                </c:pt>
                <c:pt idx="25">
                  <c:v>0.92540774431468942</c:v>
                </c:pt>
                <c:pt idx="26">
                  <c:v>0.8514708654657831</c:v>
                </c:pt>
                <c:pt idx="27">
                  <c:v>0.67710435017010617</c:v>
                </c:pt>
                <c:pt idx="28">
                  <c:v>0.85419101174986933</c:v>
                </c:pt>
                <c:pt idx="29">
                  <c:v>1.0723214018973692</c:v>
                </c:pt>
                <c:pt idx="30">
                  <c:v>0.33637974301553136</c:v>
                </c:pt>
                <c:pt idx="31">
                  <c:v>0.15397620383171737</c:v>
                </c:pt>
                <c:pt idx="32">
                  <c:v>0.17490340515615338</c:v>
                </c:pt>
                <c:pt idx="33">
                  <c:v>0.215694836465922</c:v>
                </c:pt>
                <c:pt idx="34">
                  <c:v>0.44355618428228655</c:v>
                </c:pt>
                <c:pt idx="35">
                  <c:v>0.58213635913012762</c:v>
                </c:pt>
                <c:pt idx="36">
                  <c:v>0.95206589146538412</c:v>
                </c:pt>
                <c:pt idx="37">
                  <c:v>0.49459180750211917</c:v>
                </c:pt>
                <c:pt idx="38">
                  <c:v>0.35368233437897545</c:v>
                </c:pt>
                <c:pt idx="39">
                  <c:v>0.31551392236331849</c:v>
                </c:pt>
                <c:pt idx="40">
                  <c:v>0.77832498254131588</c:v>
                </c:pt>
                <c:pt idx="41">
                  <c:v>0.68069513124613756</c:v>
                </c:pt>
                <c:pt idx="42">
                  <c:v>0.55093626157369069</c:v>
                </c:pt>
                <c:pt idx="43">
                  <c:v>0.62258099078395224</c:v>
                </c:pt>
                <c:pt idx="44">
                  <c:v>0.5677711921460209</c:v>
                </c:pt>
                <c:pt idx="45">
                  <c:v>0.57334570991756728</c:v>
                </c:pt>
                <c:pt idx="46">
                  <c:v>1.0026415616758304</c:v>
                </c:pt>
                <c:pt idx="47">
                  <c:v>0.56957030252113483</c:v>
                </c:pt>
                <c:pt idx="48">
                  <c:v>0.93394366221676994</c:v>
                </c:pt>
                <c:pt idx="49">
                  <c:v>0.38230524946016697</c:v>
                </c:pt>
                <c:pt idx="50">
                  <c:v>0.33694723665561266</c:v>
                </c:pt>
                <c:pt idx="51">
                  <c:v>0.21594343401230551</c:v>
                </c:pt>
                <c:pt idx="52">
                  <c:v>0.48407589712730625</c:v>
                </c:pt>
                <c:pt idx="53">
                  <c:v>0.64705350279758611</c:v>
                </c:pt>
                <c:pt idx="54">
                  <c:v>0.28483244076336373</c:v>
                </c:pt>
                <c:pt idx="55">
                  <c:v>1.0771840517220443</c:v>
                </c:pt>
                <c:pt idx="56">
                  <c:v>0.7499011119988922</c:v>
                </c:pt>
                <c:pt idx="57">
                  <c:v>0.69691121398693134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442592"/>
        <c:axId val="380445336"/>
      </c:barChart>
      <c:catAx>
        <c:axId val="380442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445336"/>
        <c:crosses val="autoZero"/>
        <c:auto val="1"/>
        <c:lblAlgn val="ctr"/>
        <c:lblOffset val="100"/>
        <c:noMultiLvlLbl val="0"/>
      </c:catAx>
      <c:valAx>
        <c:axId val="380445336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Delay,</a:t>
                </a:r>
                <a:r>
                  <a:rPr lang="en-US" baseline="0"/>
                  <a:t> min</a:t>
                </a:r>
                <a:r>
                  <a:rPr lang="" baseline="0"/>
                  <a:t>/km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44259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60293812194355"/>
          <c:y val="8.287829076717812E-2"/>
          <c:w val="0.18236634332301968"/>
          <c:h val="7.2963645506322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TT_TTI_Delay!$U$3</c:f>
              <c:strCache>
                <c:ptCount val="1"/>
                <c:pt idx="0">
                  <c:v>Average morning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TT_TTI_Delay!$U$4:$U$61</c:f>
              <c:numCache>
                <c:formatCode>0.00</c:formatCode>
                <c:ptCount val="58"/>
                <c:pt idx="0">
                  <c:v>0.21873995489939974</c:v>
                </c:pt>
                <c:pt idx="1">
                  <c:v>0.62772988829970744</c:v>
                </c:pt>
                <c:pt idx="2">
                  <c:v>0.18754183304654268</c:v>
                </c:pt>
                <c:pt idx="3">
                  <c:v>0.24463095662570819</c:v>
                </c:pt>
                <c:pt idx="4">
                  <c:v>0.32027612724774979</c:v>
                </c:pt>
                <c:pt idx="5">
                  <c:v>0.21833386165804231</c:v>
                </c:pt>
                <c:pt idx="6">
                  <c:v>0.12413699476116746</c:v>
                </c:pt>
                <c:pt idx="7">
                  <c:v>0.25716458310045165</c:v>
                </c:pt>
                <c:pt idx="8">
                  <c:v>0.57112091599829351</c:v>
                </c:pt>
                <c:pt idx="9">
                  <c:v>0.55641427414871469</c:v>
                </c:pt>
                <c:pt idx="10">
                  <c:v>0.53400509619562386</c:v>
                </c:pt>
                <c:pt idx="11">
                  <c:v>0.72162010045908853</c:v>
                </c:pt>
                <c:pt idx="12">
                  <c:v>0.69354030464399863</c:v>
                </c:pt>
                <c:pt idx="13">
                  <c:v>0.46585786729018419</c:v>
                </c:pt>
                <c:pt idx="14">
                  <c:v>0.29949982975417738</c:v>
                </c:pt>
                <c:pt idx="15">
                  <c:v>7.8261516149610744E-2</c:v>
                </c:pt>
                <c:pt idx="16">
                  <c:v>0.31900484522415418</c:v>
                </c:pt>
                <c:pt idx="17">
                  <c:v>0.26958072616233353</c:v>
                </c:pt>
                <c:pt idx="18">
                  <c:v>0.52132445770884683</c:v>
                </c:pt>
                <c:pt idx="19">
                  <c:v>0.52078636112173049</c:v>
                </c:pt>
                <c:pt idx="20">
                  <c:v>0.45681506273152911</c:v>
                </c:pt>
                <c:pt idx="21">
                  <c:v>0.53994373961670228</c:v>
                </c:pt>
                <c:pt idx="22">
                  <c:v>0.50260186506209137</c:v>
                </c:pt>
                <c:pt idx="23">
                  <c:v>0.38371298888521177</c:v>
                </c:pt>
                <c:pt idx="24">
                  <c:v>0.15791846974593968</c:v>
                </c:pt>
                <c:pt idx="25">
                  <c:v>0.40164938783521997</c:v>
                </c:pt>
                <c:pt idx="26">
                  <c:v>0.37386898056907625</c:v>
                </c:pt>
                <c:pt idx="27">
                  <c:v>0.4782882365403377</c:v>
                </c:pt>
                <c:pt idx="28">
                  <c:v>0.82730768530913812</c:v>
                </c:pt>
                <c:pt idx="29">
                  <c:v>1.2568075508702286</c:v>
                </c:pt>
                <c:pt idx="30">
                  <c:v>0.21676340713171893</c:v>
                </c:pt>
                <c:pt idx="31">
                  <c:v>5.2064229464310552E-2</c:v>
                </c:pt>
                <c:pt idx="32">
                  <c:v>6.8731132209553999E-2</c:v>
                </c:pt>
                <c:pt idx="33">
                  <c:v>0.11029627508795925</c:v>
                </c:pt>
                <c:pt idx="34">
                  <c:v>0.35731369845491828</c:v>
                </c:pt>
                <c:pt idx="35">
                  <c:v>0.39919238359092402</c:v>
                </c:pt>
                <c:pt idx="36">
                  <c:v>0.56139986564115452</c:v>
                </c:pt>
                <c:pt idx="37">
                  <c:v>0.22406297452956872</c:v>
                </c:pt>
                <c:pt idx="38">
                  <c:v>0.20667129718853411</c:v>
                </c:pt>
                <c:pt idx="39">
                  <c:v>0.17257303124861667</c:v>
                </c:pt>
                <c:pt idx="40">
                  <c:v>0.52085448093758768</c:v>
                </c:pt>
                <c:pt idx="41">
                  <c:v>0.4528622828957497</c:v>
                </c:pt>
                <c:pt idx="42">
                  <c:v>0.38485478542341817</c:v>
                </c:pt>
                <c:pt idx="43">
                  <c:v>0.54689367152111767</c:v>
                </c:pt>
                <c:pt idx="44">
                  <c:v>0.34202551162422101</c:v>
                </c:pt>
                <c:pt idx="45">
                  <c:v>0.41398371363158459</c:v>
                </c:pt>
                <c:pt idx="46">
                  <c:v>0.78292437874070142</c:v>
                </c:pt>
                <c:pt idx="47">
                  <c:v>0.38756126473010033</c:v>
                </c:pt>
                <c:pt idx="48">
                  <c:v>0.64937868385539121</c:v>
                </c:pt>
                <c:pt idx="49">
                  <c:v>0.28335792511411112</c:v>
                </c:pt>
                <c:pt idx="50">
                  <c:v>0.2543611227141247</c:v>
                </c:pt>
                <c:pt idx="51">
                  <c:v>0.19232461598553385</c:v>
                </c:pt>
                <c:pt idx="52">
                  <c:v>0.38631344255167288</c:v>
                </c:pt>
                <c:pt idx="53">
                  <c:v>0.65020717082356805</c:v>
                </c:pt>
                <c:pt idx="54">
                  <c:v>0.20995721979000229</c:v>
                </c:pt>
                <c:pt idx="55">
                  <c:v>0.76354388736356327</c:v>
                </c:pt>
                <c:pt idx="56">
                  <c:v>0.52028420940260522</c:v>
                </c:pt>
                <c:pt idx="57">
                  <c:v>0.43373193729297643</c:v>
                </c:pt>
              </c:numCache>
            </c:numRef>
          </c:val>
        </c:ser>
        <c:ser>
          <c:idx val="1"/>
          <c:order val="1"/>
          <c:tx>
            <c:strRef>
              <c:f>TT_TTI_Delay!$W$3</c:f>
              <c:strCache>
                <c:ptCount val="1"/>
                <c:pt idx="0">
                  <c:v>Average 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TT_TTI_Delay!$W$4:$W$61</c:f>
              <c:numCache>
                <c:formatCode>0.00</c:formatCode>
                <c:ptCount val="58"/>
                <c:pt idx="0">
                  <c:v>0.40685621347923001</c:v>
                </c:pt>
                <c:pt idx="1">
                  <c:v>1.2463430521925263</c:v>
                </c:pt>
                <c:pt idx="2">
                  <c:v>0.48900216978931843</c:v>
                </c:pt>
                <c:pt idx="3">
                  <c:v>0.55331748011213744</c:v>
                </c:pt>
                <c:pt idx="4">
                  <c:v>0.88340782732038803</c:v>
                </c:pt>
                <c:pt idx="5">
                  <c:v>0.34233743142553796</c:v>
                </c:pt>
                <c:pt idx="6">
                  <c:v>0.2212397889619247</c:v>
                </c:pt>
                <c:pt idx="7">
                  <c:v>0.36163434142744821</c:v>
                </c:pt>
                <c:pt idx="8">
                  <c:v>0.88543744428107951</c:v>
                </c:pt>
                <c:pt idx="9">
                  <c:v>1.0110450522859329</c:v>
                </c:pt>
                <c:pt idx="10">
                  <c:v>0.76969906867607962</c:v>
                </c:pt>
                <c:pt idx="11">
                  <c:v>1.1539107778203292</c:v>
                </c:pt>
                <c:pt idx="12">
                  <c:v>1.1118029812089536</c:v>
                </c:pt>
                <c:pt idx="13">
                  <c:v>0.88246167771116857</c:v>
                </c:pt>
                <c:pt idx="14">
                  <c:v>0.54466035682643121</c:v>
                </c:pt>
                <c:pt idx="15">
                  <c:v>0.27621577255691121</c:v>
                </c:pt>
                <c:pt idx="16">
                  <c:v>0.73094980270396315</c:v>
                </c:pt>
                <c:pt idx="17">
                  <c:v>0.71258025967550775</c:v>
                </c:pt>
                <c:pt idx="18">
                  <c:v>0.57732920155266132</c:v>
                </c:pt>
                <c:pt idx="19">
                  <c:v>0.48330642469390528</c:v>
                </c:pt>
                <c:pt idx="20">
                  <c:v>0.57133788247937844</c:v>
                </c:pt>
                <c:pt idx="21">
                  <c:v>0.80753916766393741</c:v>
                </c:pt>
                <c:pt idx="22">
                  <c:v>1.1507779195583625</c:v>
                </c:pt>
                <c:pt idx="23">
                  <c:v>0.6487223928938427</c:v>
                </c:pt>
                <c:pt idx="24">
                  <c:v>0.42041768748895508</c:v>
                </c:pt>
                <c:pt idx="25">
                  <c:v>1.4491661007941588</c:v>
                </c:pt>
                <c:pt idx="26">
                  <c:v>1.32907275036249</c:v>
                </c:pt>
                <c:pt idx="27">
                  <c:v>0.87592046379987476</c:v>
                </c:pt>
                <c:pt idx="28">
                  <c:v>0.88107433819060055</c:v>
                </c:pt>
                <c:pt idx="29">
                  <c:v>0.88783525292450993</c:v>
                </c:pt>
                <c:pt idx="30">
                  <c:v>0.45599607889934379</c:v>
                </c:pt>
                <c:pt idx="31">
                  <c:v>0.25588817819912418</c:v>
                </c:pt>
                <c:pt idx="32">
                  <c:v>0.2810756781027528</c:v>
                </c:pt>
                <c:pt idx="33">
                  <c:v>0.32109339784388474</c:v>
                </c:pt>
                <c:pt idx="34">
                  <c:v>0.52979867010965476</c:v>
                </c:pt>
                <c:pt idx="35">
                  <c:v>0.76508033466933134</c:v>
                </c:pt>
                <c:pt idx="36">
                  <c:v>1.3427319172896137</c:v>
                </c:pt>
                <c:pt idx="37">
                  <c:v>0.76512064047466954</c:v>
                </c:pt>
                <c:pt idx="38">
                  <c:v>0.50069337156941673</c:v>
                </c:pt>
                <c:pt idx="39">
                  <c:v>0.45845481347802031</c:v>
                </c:pt>
                <c:pt idx="40">
                  <c:v>1.0357954841450441</c:v>
                </c:pt>
                <c:pt idx="41">
                  <c:v>0.9085279795965252</c:v>
                </c:pt>
                <c:pt idx="42">
                  <c:v>0.71701773772396327</c:v>
                </c:pt>
                <c:pt idx="43">
                  <c:v>0.69826831004678691</c:v>
                </c:pt>
                <c:pt idx="44">
                  <c:v>0.79351687266782078</c:v>
                </c:pt>
                <c:pt idx="45">
                  <c:v>0.73270770620354997</c:v>
                </c:pt>
                <c:pt idx="46">
                  <c:v>1.2223587446109594</c:v>
                </c:pt>
                <c:pt idx="47">
                  <c:v>0.75157934031216933</c:v>
                </c:pt>
                <c:pt idx="48">
                  <c:v>1.2185086405781487</c:v>
                </c:pt>
                <c:pt idx="49">
                  <c:v>0.48125257380622288</c:v>
                </c:pt>
                <c:pt idx="50">
                  <c:v>0.41953335059710062</c:v>
                </c:pt>
                <c:pt idx="51">
                  <c:v>0.23956225203907716</c:v>
                </c:pt>
                <c:pt idx="52">
                  <c:v>0.58183835170293974</c:v>
                </c:pt>
                <c:pt idx="53">
                  <c:v>0.64389983477160428</c:v>
                </c:pt>
                <c:pt idx="54">
                  <c:v>0.35970766173672519</c:v>
                </c:pt>
                <c:pt idx="55">
                  <c:v>1.3908242160805258</c:v>
                </c:pt>
                <c:pt idx="56">
                  <c:v>0.97951801459517918</c:v>
                </c:pt>
                <c:pt idx="57">
                  <c:v>0.96009049068088625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441416"/>
        <c:axId val="380447296"/>
      </c:barChart>
      <c:catAx>
        <c:axId val="380441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Routes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447296"/>
        <c:crosses val="autoZero"/>
        <c:auto val="1"/>
        <c:lblAlgn val="ctr"/>
        <c:lblOffset val="100"/>
        <c:noMultiLvlLbl val="0"/>
      </c:catAx>
      <c:valAx>
        <c:axId val="3804472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Delay, min/km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441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TT_TTI_Delay!$AB$3</c:f>
              <c:strCache>
                <c:ptCount val="1"/>
                <c:pt idx="0">
                  <c:v>Weekday 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TT_TTI_Delay!$AA$4:$AA$61</c:f>
              <c:numCache>
                <c:formatCode>0.00</c:formatCode>
                <c:ptCount val="58"/>
                <c:pt idx="0">
                  <c:v>1.1688127604398344</c:v>
                </c:pt>
                <c:pt idx="1">
                  <c:v>1.3963175654846207</c:v>
                </c:pt>
                <c:pt idx="2">
                  <c:v>1.1559715935729409</c:v>
                </c:pt>
                <c:pt idx="3">
                  <c:v>1.20515210075876</c:v>
                </c:pt>
                <c:pt idx="4">
                  <c:v>1.2617868417538181</c:v>
                </c:pt>
                <c:pt idx="5">
                  <c:v>1.2038238684467149</c:v>
                </c:pt>
                <c:pt idx="6">
                  <c:v>1.1027267830491563</c:v>
                </c:pt>
                <c:pt idx="7">
                  <c:v>1.2144738467139826</c:v>
                </c:pt>
                <c:pt idx="8">
                  <c:v>1.5645209235908162</c:v>
                </c:pt>
                <c:pt idx="9">
                  <c:v>1.5053111106175321</c:v>
                </c:pt>
                <c:pt idx="10">
                  <c:v>1.6703773514142473</c:v>
                </c:pt>
                <c:pt idx="11">
                  <c:v>1.7012196617927311</c:v>
                </c:pt>
                <c:pt idx="12">
                  <c:v>1.6959926600578275</c:v>
                </c:pt>
                <c:pt idx="13">
                  <c:v>1.4303225856966064</c:v>
                </c:pt>
                <c:pt idx="14">
                  <c:v>1.3848964736865457</c:v>
                </c:pt>
                <c:pt idx="15">
                  <c:v>1.1129177686004237</c:v>
                </c:pt>
                <c:pt idx="16">
                  <c:v>1.3545957520308829</c:v>
                </c:pt>
                <c:pt idx="17">
                  <c:v>1.2605303440776894</c:v>
                </c:pt>
                <c:pt idx="18">
                  <c:v>1.4235433227080472</c:v>
                </c:pt>
                <c:pt idx="19">
                  <c:v>1.4091770583593617</c:v>
                </c:pt>
                <c:pt idx="20">
                  <c:v>1.4608875827446024</c:v>
                </c:pt>
                <c:pt idx="21">
                  <c:v>1.4983975706517279</c:v>
                </c:pt>
                <c:pt idx="22">
                  <c:v>1.449412276762611</c:v>
                </c:pt>
                <c:pt idx="23">
                  <c:v>1.3720586251933178</c:v>
                </c:pt>
                <c:pt idx="24">
                  <c:v>1.1300558292247289</c:v>
                </c:pt>
                <c:pt idx="25">
                  <c:v>1.342669695173125</c:v>
                </c:pt>
                <c:pt idx="26">
                  <c:v>1.3189894082474605</c:v>
                </c:pt>
                <c:pt idx="27">
                  <c:v>1.3216089431957088</c:v>
                </c:pt>
                <c:pt idx="28">
                  <c:v>1.7888840715362653</c:v>
                </c:pt>
                <c:pt idx="29">
                  <c:v>2.0712879919802365</c:v>
                </c:pt>
                <c:pt idx="30">
                  <c:v>1.2333633472073915</c:v>
                </c:pt>
                <c:pt idx="31">
                  <c:v>1.0674098533195273</c:v>
                </c:pt>
                <c:pt idx="32">
                  <c:v>1.0924436755469065</c:v>
                </c:pt>
                <c:pt idx="33">
                  <c:v>1.1411540313418982</c:v>
                </c:pt>
                <c:pt idx="34">
                  <c:v>1.3213780416922367</c:v>
                </c:pt>
                <c:pt idx="35">
                  <c:v>1.3667589932435587</c:v>
                </c:pt>
                <c:pt idx="36">
                  <c:v>1.3890787061278562</c:v>
                </c:pt>
                <c:pt idx="37">
                  <c:v>1.1445982485611326</c:v>
                </c:pt>
                <c:pt idx="38">
                  <c:v>1.1435540780766849</c:v>
                </c:pt>
                <c:pt idx="39">
                  <c:v>1.1160021596743954</c:v>
                </c:pt>
                <c:pt idx="40">
                  <c:v>1.4652372437213206</c:v>
                </c:pt>
                <c:pt idx="41">
                  <c:v>1.3664131461751954</c:v>
                </c:pt>
                <c:pt idx="42">
                  <c:v>1.2915122976108151</c:v>
                </c:pt>
                <c:pt idx="43">
                  <c:v>1.3741791598385471</c:v>
                </c:pt>
                <c:pt idx="44">
                  <c:v>1.2881137485362824</c:v>
                </c:pt>
                <c:pt idx="45">
                  <c:v>1.289648815995206</c:v>
                </c:pt>
                <c:pt idx="46">
                  <c:v>1.6996745790177969</c:v>
                </c:pt>
                <c:pt idx="47">
                  <c:v>1.3072654461273641</c:v>
                </c:pt>
                <c:pt idx="48">
                  <c:v>1.4750242998721823</c:v>
                </c:pt>
                <c:pt idx="49">
                  <c:v>1.1924610188966882</c:v>
                </c:pt>
                <c:pt idx="50">
                  <c:v>1.2214535769759767</c:v>
                </c:pt>
                <c:pt idx="51">
                  <c:v>1.1516186892305755</c:v>
                </c:pt>
                <c:pt idx="52">
                  <c:v>1.2519395139603278</c:v>
                </c:pt>
                <c:pt idx="53">
                  <c:v>1.8024501473560031</c:v>
                </c:pt>
                <c:pt idx="54">
                  <c:v>1.2996472563722998</c:v>
                </c:pt>
                <c:pt idx="55">
                  <c:v>1.6394076683256482</c:v>
                </c:pt>
                <c:pt idx="56">
                  <c:v>1.3918791660269587</c:v>
                </c:pt>
                <c:pt idx="57">
                  <c:v>1.3144259302601415</c:v>
                </c:pt>
              </c:numCache>
            </c:numRef>
          </c:xVal>
          <c:yVal>
            <c:numRef>
              <c:f>TT_TTI_Delay!$AB$4:$AB$61</c:f>
              <c:numCache>
                <c:formatCode>0.00</c:formatCode>
                <c:ptCount val="58"/>
                <c:pt idx="0">
                  <c:v>1.320996328646205</c:v>
                </c:pt>
                <c:pt idx="1">
                  <c:v>1.8249435390579256</c:v>
                </c:pt>
                <c:pt idx="2">
                  <c:v>1.4004775926455275</c:v>
                </c:pt>
                <c:pt idx="3">
                  <c:v>1.4374361047299709</c:v>
                </c:pt>
                <c:pt idx="4">
                  <c:v>1.6991625359239106</c:v>
                </c:pt>
                <c:pt idx="5">
                  <c:v>1.2832244414527363</c:v>
                </c:pt>
                <c:pt idx="6">
                  <c:v>1.1466645416364467</c:v>
                </c:pt>
                <c:pt idx="7">
                  <c:v>1.2531585264035405</c:v>
                </c:pt>
                <c:pt idx="8">
                  <c:v>1.6536846012793571</c:v>
                </c:pt>
                <c:pt idx="9">
                  <c:v>1.734757007577999</c:v>
                </c:pt>
                <c:pt idx="10">
                  <c:v>1.9305611583107045</c:v>
                </c:pt>
                <c:pt idx="11">
                  <c:v>1.9747551461132895</c:v>
                </c:pt>
                <c:pt idx="12">
                  <c:v>1.9731130307973084</c:v>
                </c:pt>
                <c:pt idx="13">
                  <c:v>1.7519901089619165</c:v>
                </c:pt>
                <c:pt idx="14">
                  <c:v>1.6045686995939983</c:v>
                </c:pt>
                <c:pt idx="15">
                  <c:v>1.4228678849662546</c:v>
                </c:pt>
                <c:pt idx="16">
                  <c:v>1.7409772370658758</c:v>
                </c:pt>
                <c:pt idx="17">
                  <c:v>1.6598633024728431</c:v>
                </c:pt>
                <c:pt idx="18">
                  <c:v>1.3822407123771117</c:v>
                </c:pt>
                <c:pt idx="19">
                  <c:v>1.314764249851285</c:v>
                </c:pt>
                <c:pt idx="20">
                  <c:v>1.4733025905115786</c:v>
                </c:pt>
                <c:pt idx="21">
                  <c:v>1.7194709096639484</c:v>
                </c:pt>
                <c:pt idx="22">
                  <c:v>1.9058627561958856</c:v>
                </c:pt>
                <c:pt idx="23">
                  <c:v>1.5606852660119868</c:v>
                </c:pt>
                <c:pt idx="24">
                  <c:v>1.3339377025347847</c:v>
                </c:pt>
                <c:pt idx="25">
                  <c:v>2.2418757252246131</c:v>
                </c:pt>
                <c:pt idx="26">
                  <c:v>1.8368208881208246</c:v>
                </c:pt>
                <c:pt idx="27">
                  <c:v>1.5786360896219598</c:v>
                </c:pt>
                <c:pt idx="28">
                  <c:v>1.7143120605302469</c:v>
                </c:pt>
                <c:pt idx="29">
                  <c:v>1.5935355106676845</c:v>
                </c:pt>
                <c:pt idx="30">
                  <c:v>1.4389294310825889</c:v>
                </c:pt>
                <c:pt idx="31">
                  <c:v>1.3590374314119831</c:v>
                </c:pt>
                <c:pt idx="32">
                  <c:v>1.4111930548719041</c:v>
                </c:pt>
                <c:pt idx="33">
                  <c:v>1.4278709071727957</c:v>
                </c:pt>
                <c:pt idx="34">
                  <c:v>1.4307213397883687</c:v>
                </c:pt>
                <c:pt idx="35">
                  <c:v>1.689411558080878</c:v>
                </c:pt>
                <c:pt idx="36">
                  <c:v>1.9349463060087801</c:v>
                </c:pt>
                <c:pt idx="37">
                  <c:v>1.5025351129424034</c:v>
                </c:pt>
                <c:pt idx="38">
                  <c:v>1.3265642146917909</c:v>
                </c:pt>
                <c:pt idx="39">
                  <c:v>1.3243582717299125</c:v>
                </c:pt>
                <c:pt idx="40">
                  <c:v>1.8164765951238659</c:v>
                </c:pt>
                <c:pt idx="41">
                  <c:v>1.6371410069805072</c:v>
                </c:pt>
                <c:pt idx="42">
                  <c:v>1.5546614353866304</c:v>
                </c:pt>
                <c:pt idx="43">
                  <c:v>1.4339870935862431</c:v>
                </c:pt>
                <c:pt idx="44">
                  <c:v>1.6393560336477526</c:v>
                </c:pt>
                <c:pt idx="45">
                  <c:v>1.5341909875078077</c:v>
                </c:pt>
                <c:pt idx="46">
                  <c:v>2.0003417429253569</c:v>
                </c:pt>
                <c:pt idx="47">
                  <c:v>1.5555926295296383</c:v>
                </c:pt>
                <c:pt idx="48">
                  <c:v>1.8642067611062183</c:v>
                </c:pt>
                <c:pt idx="49">
                  <c:v>1.314125936843908</c:v>
                </c:pt>
                <c:pt idx="50">
                  <c:v>1.3098218940485042</c:v>
                </c:pt>
                <c:pt idx="51">
                  <c:v>1.1835893677364036</c:v>
                </c:pt>
                <c:pt idx="52">
                  <c:v>1.3475908973439883</c:v>
                </c:pt>
                <c:pt idx="53">
                  <c:v>1.6130253643756276</c:v>
                </c:pt>
                <c:pt idx="54">
                  <c:v>1.4145790233038391</c:v>
                </c:pt>
                <c:pt idx="55">
                  <c:v>1.9822752440222426</c:v>
                </c:pt>
                <c:pt idx="56">
                  <c:v>1.7365060605218665</c:v>
                </c:pt>
                <c:pt idx="57">
                  <c:v>1.7279909028202478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TT_TTI_Delay!$AC$3</c:f>
              <c:strCache>
                <c:ptCount val="1"/>
                <c:pt idx="0">
                  <c:v>Weekend AM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TT_TTI_Delay!$AA$4:$AA$61</c:f>
              <c:numCache>
                <c:formatCode>0.00</c:formatCode>
                <c:ptCount val="58"/>
                <c:pt idx="0">
                  <c:v>1.1688127604398344</c:v>
                </c:pt>
                <c:pt idx="1">
                  <c:v>1.3963175654846207</c:v>
                </c:pt>
                <c:pt idx="2">
                  <c:v>1.1559715935729409</c:v>
                </c:pt>
                <c:pt idx="3">
                  <c:v>1.20515210075876</c:v>
                </c:pt>
                <c:pt idx="4">
                  <c:v>1.2617868417538181</c:v>
                </c:pt>
                <c:pt idx="5">
                  <c:v>1.2038238684467149</c:v>
                </c:pt>
                <c:pt idx="6">
                  <c:v>1.1027267830491563</c:v>
                </c:pt>
                <c:pt idx="7">
                  <c:v>1.2144738467139826</c:v>
                </c:pt>
                <c:pt idx="8">
                  <c:v>1.5645209235908162</c:v>
                </c:pt>
                <c:pt idx="9">
                  <c:v>1.5053111106175321</c:v>
                </c:pt>
                <c:pt idx="10">
                  <c:v>1.6703773514142473</c:v>
                </c:pt>
                <c:pt idx="11">
                  <c:v>1.7012196617927311</c:v>
                </c:pt>
                <c:pt idx="12">
                  <c:v>1.6959926600578275</c:v>
                </c:pt>
                <c:pt idx="13">
                  <c:v>1.4303225856966064</c:v>
                </c:pt>
                <c:pt idx="14">
                  <c:v>1.3848964736865457</c:v>
                </c:pt>
                <c:pt idx="15">
                  <c:v>1.1129177686004237</c:v>
                </c:pt>
                <c:pt idx="16">
                  <c:v>1.3545957520308829</c:v>
                </c:pt>
                <c:pt idx="17">
                  <c:v>1.2605303440776894</c:v>
                </c:pt>
                <c:pt idx="18">
                  <c:v>1.4235433227080472</c:v>
                </c:pt>
                <c:pt idx="19">
                  <c:v>1.4091770583593617</c:v>
                </c:pt>
                <c:pt idx="20">
                  <c:v>1.4608875827446024</c:v>
                </c:pt>
                <c:pt idx="21">
                  <c:v>1.4983975706517279</c:v>
                </c:pt>
                <c:pt idx="22">
                  <c:v>1.449412276762611</c:v>
                </c:pt>
                <c:pt idx="23">
                  <c:v>1.3720586251933178</c:v>
                </c:pt>
                <c:pt idx="24">
                  <c:v>1.1300558292247289</c:v>
                </c:pt>
                <c:pt idx="25">
                  <c:v>1.342669695173125</c:v>
                </c:pt>
                <c:pt idx="26">
                  <c:v>1.3189894082474605</c:v>
                </c:pt>
                <c:pt idx="27">
                  <c:v>1.3216089431957088</c:v>
                </c:pt>
                <c:pt idx="28">
                  <c:v>1.7888840715362653</c:v>
                </c:pt>
                <c:pt idx="29">
                  <c:v>2.0712879919802365</c:v>
                </c:pt>
                <c:pt idx="30">
                  <c:v>1.2333633472073915</c:v>
                </c:pt>
                <c:pt idx="31">
                  <c:v>1.0674098533195273</c:v>
                </c:pt>
                <c:pt idx="32">
                  <c:v>1.0924436755469065</c:v>
                </c:pt>
                <c:pt idx="33">
                  <c:v>1.1411540313418982</c:v>
                </c:pt>
                <c:pt idx="34">
                  <c:v>1.3213780416922367</c:v>
                </c:pt>
                <c:pt idx="35">
                  <c:v>1.3667589932435587</c:v>
                </c:pt>
                <c:pt idx="36">
                  <c:v>1.3890787061278562</c:v>
                </c:pt>
                <c:pt idx="37">
                  <c:v>1.1445982485611326</c:v>
                </c:pt>
                <c:pt idx="38">
                  <c:v>1.1435540780766849</c:v>
                </c:pt>
                <c:pt idx="39">
                  <c:v>1.1160021596743954</c:v>
                </c:pt>
                <c:pt idx="40">
                  <c:v>1.4652372437213206</c:v>
                </c:pt>
                <c:pt idx="41">
                  <c:v>1.3664131461751954</c:v>
                </c:pt>
                <c:pt idx="42">
                  <c:v>1.2915122976108151</c:v>
                </c:pt>
                <c:pt idx="43">
                  <c:v>1.3741791598385471</c:v>
                </c:pt>
                <c:pt idx="44">
                  <c:v>1.2881137485362824</c:v>
                </c:pt>
                <c:pt idx="45">
                  <c:v>1.289648815995206</c:v>
                </c:pt>
                <c:pt idx="46">
                  <c:v>1.6996745790177969</c:v>
                </c:pt>
                <c:pt idx="47">
                  <c:v>1.3072654461273641</c:v>
                </c:pt>
                <c:pt idx="48">
                  <c:v>1.4750242998721823</c:v>
                </c:pt>
                <c:pt idx="49">
                  <c:v>1.1924610188966882</c:v>
                </c:pt>
                <c:pt idx="50">
                  <c:v>1.2214535769759767</c:v>
                </c:pt>
                <c:pt idx="51">
                  <c:v>1.1516186892305755</c:v>
                </c:pt>
                <c:pt idx="52">
                  <c:v>1.2519395139603278</c:v>
                </c:pt>
                <c:pt idx="53">
                  <c:v>1.8024501473560031</c:v>
                </c:pt>
                <c:pt idx="54">
                  <c:v>1.2996472563722998</c:v>
                </c:pt>
                <c:pt idx="55">
                  <c:v>1.6394076683256482</c:v>
                </c:pt>
                <c:pt idx="56">
                  <c:v>1.3918791660269587</c:v>
                </c:pt>
                <c:pt idx="57">
                  <c:v>1.3144259302601415</c:v>
                </c:pt>
              </c:numCache>
            </c:numRef>
          </c:xVal>
          <c:yVal>
            <c:numRef>
              <c:f>TT_TTI_Delay!$AC$4:$AC$61</c:f>
              <c:numCache>
                <c:formatCode>0.00</c:formatCode>
                <c:ptCount val="58"/>
                <c:pt idx="0">
                  <c:v>1.0886273403263822</c:v>
                </c:pt>
                <c:pt idx="1">
                  <c:v>1.1868397863677702</c:v>
                </c:pt>
                <c:pt idx="2">
                  <c:v>1.0646658570700505</c:v>
                </c:pt>
                <c:pt idx="3">
                  <c:v>1.1254302730597645</c:v>
                </c:pt>
                <c:pt idx="4">
                  <c:v>1.1388878194943957</c:v>
                </c:pt>
                <c:pt idx="5">
                  <c:v>1.0966355742019671</c:v>
                </c:pt>
                <c:pt idx="6">
                  <c:v>1.0579210925241191</c:v>
                </c:pt>
                <c:pt idx="7">
                  <c:v>1.0844193291159763</c:v>
                </c:pt>
                <c:pt idx="8">
                  <c:v>1.1441352334029848</c:v>
                </c:pt>
                <c:pt idx="9">
                  <c:v>1.1492939177927206</c:v>
                </c:pt>
                <c:pt idx="10">
                  <c:v>1.1840308024987509</c:v>
                </c:pt>
                <c:pt idx="11">
                  <c:v>1.1841293690226213</c:v>
                </c:pt>
                <c:pt idx="12">
                  <c:v>1.1373522119254755</c:v>
                </c:pt>
                <c:pt idx="13">
                  <c:v>1.1279673981194078</c:v>
                </c:pt>
                <c:pt idx="14">
                  <c:v>1.0910654179227957</c:v>
                </c:pt>
                <c:pt idx="15">
                  <c:v>1.0276717813689369</c:v>
                </c:pt>
                <c:pt idx="16">
                  <c:v>1.0873283913530372</c:v>
                </c:pt>
                <c:pt idx="17">
                  <c:v>1.0815426781955237</c:v>
                </c:pt>
                <c:pt idx="18">
                  <c:v>1.141068003330415</c:v>
                </c:pt>
                <c:pt idx="19">
                  <c:v>1.1513784430662102</c:v>
                </c:pt>
                <c:pt idx="20">
                  <c:v>1.0865653892590554</c:v>
                </c:pt>
                <c:pt idx="21">
                  <c:v>1.1852408738629678</c:v>
                </c:pt>
                <c:pt idx="22">
                  <c:v>1.0889552640904157</c:v>
                </c:pt>
                <c:pt idx="23">
                  <c:v>1.0648280737621294</c:v>
                </c:pt>
                <c:pt idx="24">
                  <c:v>1.0366358888404297</c:v>
                </c:pt>
                <c:pt idx="25">
                  <c:v>1.0957607721341849</c:v>
                </c:pt>
                <c:pt idx="26">
                  <c:v>1.1160064398671303</c:v>
                </c:pt>
                <c:pt idx="27">
                  <c:v>1.1598678815882311</c:v>
                </c:pt>
                <c:pt idx="28">
                  <c:v>1.271420472084426</c:v>
                </c:pt>
                <c:pt idx="29">
                  <c:v>1.4179103890509024</c:v>
                </c:pt>
                <c:pt idx="30">
                  <c:v>1.0506714621376196</c:v>
                </c:pt>
                <c:pt idx="31">
                  <c:v>1.0290053864291959</c:v>
                </c:pt>
                <c:pt idx="32">
                  <c:v>1.0356847314116446</c:v>
                </c:pt>
                <c:pt idx="33">
                  <c:v>1.0656514844480254</c:v>
                </c:pt>
                <c:pt idx="34">
                  <c:v>1.0566671682771307</c:v>
                </c:pt>
                <c:pt idx="35">
                  <c:v>1.1825883236246855</c:v>
                </c:pt>
                <c:pt idx="36">
                  <c:v>1.1805770398903741</c:v>
                </c:pt>
                <c:pt idx="37">
                  <c:v>1.0822831281637768</c:v>
                </c:pt>
                <c:pt idx="38">
                  <c:v>1.0812462802687381</c:v>
                </c:pt>
                <c:pt idx="39">
                  <c:v>1.0782298350102826</c:v>
                </c:pt>
                <c:pt idx="40">
                  <c:v>1.1110272883798402</c:v>
                </c:pt>
                <c:pt idx="41">
                  <c:v>1.1158156328810296</c:v>
                </c:pt>
                <c:pt idx="42">
                  <c:v>1.1537986035304582</c:v>
                </c:pt>
                <c:pt idx="43">
                  <c:v>1.1309030689057269</c:v>
                </c:pt>
                <c:pt idx="44">
                  <c:v>1.0936225902802639</c:v>
                </c:pt>
                <c:pt idx="45">
                  <c:v>1.1398769483187932</c:v>
                </c:pt>
                <c:pt idx="46">
                  <c:v>1.1564729430583658</c:v>
                </c:pt>
                <c:pt idx="47">
                  <c:v>1.1050337716706151</c:v>
                </c:pt>
                <c:pt idx="48">
                  <c:v>1.2657484209702639</c:v>
                </c:pt>
                <c:pt idx="49">
                  <c:v>1.1106660637835235</c:v>
                </c:pt>
                <c:pt idx="50">
                  <c:v>1.0857618050034208</c:v>
                </c:pt>
                <c:pt idx="51">
                  <c:v>1.0819739617639998</c:v>
                </c:pt>
                <c:pt idx="52">
                  <c:v>1.1330554526781995</c:v>
                </c:pt>
                <c:pt idx="53">
                  <c:v>1.0931182200047602</c:v>
                </c:pt>
                <c:pt idx="54">
                  <c:v>1.0602794061248468</c:v>
                </c:pt>
                <c:pt idx="55">
                  <c:v>1.1841289530450521</c:v>
                </c:pt>
                <c:pt idx="56">
                  <c:v>1.1689945916269135</c:v>
                </c:pt>
                <c:pt idx="57">
                  <c:v>1.1622025722596128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TT_TTI_Delay!$AD$3</c:f>
              <c:strCache>
                <c:ptCount val="1"/>
                <c:pt idx="0">
                  <c:v>Weekend 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TT_TTI_Delay!$AA$4:$AA$61</c:f>
              <c:numCache>
                <c:formatCode>0.00</c:formatCode>
                <c:ptCount val="58"/>
                <c:pt idx="0">
                  <c:v>1.1688127604398344</c:v>
                </c:pt>
                <c:pt idx="1">
                  <c:v>1.3963175654846207</c:v>
                </c:pt>
                <c:pt idx="2">
                  <c:v>1.1559715935729409</c:v>
                </c:pt>
                <c:pt idx="3">
                  <c:v>1.20515210075876</c:v>
                </c:pt>
                <c:pt idx="4">
                  <c:v>1.2617868417538181</c:v>
                </c:pt>
                <c:pt idx="5">
                  <c:v>1.2038238684467149</c:v>
                </c:pt>
                <c:pt idx="6">
                  <c:v>1.1027267830491563</c:v>
                </c:pt>
                <c:pt idx="7">
                  <c:v>1.2144738467139826</c:v>
                </c:pt>
                <c:pt idx="8">
                  <c:v>1.5645209235908162</c:v>
                </c:pt>
                <c:pt idx="9">
                  <c:v>1.5053111106175321</c:v>
                </c:pt>
                <c:pt idx="10">
                  <c:v>1.6703773514142473</c:v>
                </c:pt>
                <c:pt idx="11">
                  <c:v>1.7012196617927311</c:v>
                </c:pt>
                <c:pt idx="12">
                  <c:v>1.6959926600578275</c:v>
                </c:pt>
                <c:pt idx="13">
                  <c:v>1.4303225856966064</c:v>
                </c:pt>
                <c:pt idx="14">
                  <c:v>1.3848964736865457</c:v>
                </c:pt>
                <c:pt idx="15">
                  <c:v>1.1129177686004237</c:v>
                </c:pt>
                <c:pt idx="16">
                  <c:v>1.3545957520308829</c:v>
                </c:pt>
                <c:pt idx="17">
                  <c:v>1.2605303440776894</c:v>
                </c:pt>
                <c:pt idx="18">
                  <c:v>1.4235433227080472</c:v>
                </c:pt>
                <c:pt idx="19">
                  <c:v>1.4091770583593617</c:v>
                </c:pt>
                <c:pt idx="20">
                  <c:v>1.4608875827446024</c:v>
                </c:pt>
                <c:pt idx="21">
                  <c:v>1.4983975706517279</c:v>
                </c:pt>
                <c:pt idx="22">
                  <c:v>1.449412276762611</c:v>
                </c:pt>
                <c:pt idx="23">
                  <c:v>1.3720586251933178</c:v>
                </c:pt>
                <c:pt idx="24">
                  <c:v>1.1300558292247289</c:v>
                </c:pt>
                <c:pt idx="25">
                  <c:v>1.342669695173125</c:v>
                </c:pt>
                <c:pt idx="26">
                  <c:v>1.3189894082474605</c:v>
                </c:pt>
                <c:pt idx="27">
                  <c:v>1.3216089431957088</c:v>
                </c:pt>
                <c:pt idx="28">
                  <c:v>1.7888840715362653</c:v>
                </c:pt>
                <c:pt idx="29">
                  <c:v>2.0712879919802365</c:v>
                </c:pt>
                <c:pt idx="30">
                  <c:v>1.2333633472073915</c:v>
                </c:pt>
                <c:pt idx="31">
                  <c:v>1.0674098533195273</c:v>
                </c:pt>
                <c:pt idx="32">
                  <c:v>1.0924436755469065</c:v>
                </c:pt>
                <c:pt idx="33">
                  <c:v>1.1411540313418982</c:v>
                </c:pt>
                <c:pt idx="34">
                  <c:v>1.3213780416922367</c:v>
                </c:pt>
                <c:pt idx="35">
                  <c:v>1.3667589932435587</c:v>
                </c:pt>
                <c:pt idx="36">
                  <c:v>1.3890787061278562</c:v>
                </c:pt>
                <c:pt idx="37">
                  <c:v>1.1445982485611326</c:v>
                </c:pt>
                <c:pt idx="38">
                  <c:v>1.1435540780766849</c:v>
                </c:pt>
                <c:pt idx="39">
                  <c:v>1.1160021596743954</c:v>
                </c:pt>
                <c:pt idx="40">
                  <c:v>1.4652372437213206</c:v>
                </c:pt>
                <c:pt idx="41">
                  <c:v>1.3664131461751954</c:v>
                </c:pt>
                <c:pt idx="42">
                  <c:v>1.2915122976108151</c:v>
                </c:pt>
                <c:pt idx="43">
                  <c:v>1.3741791598385471</c:v>
                </c:pt>
                <c:pt idx="44">
                  <c:v>1.2881137485362824</c:v>
                </c:pt>
                <c:pt idx="45">
                  <c:v>1.289648815995206</c:v>
                </c:pt>
                <c:pt idx="46">
                  <c:v>1.6996745790177969</c:v>
                </c:pt>
                <c:pt idx="47">
                  <c:v>1.3072654461273641</c:v>
                </c:pt>
                <c:pt idx="48">
                  <c:v>1.4750242998721823</c:v>
                </c:pt>
                <c:pt idx="49">
                  <c:v>1.1924610188966882</c:v>
                </c:pt>
                <c:pt idx="50">
                  <c:v>1.2214535769759767</c:v>
                </c:pt>
                <c:pt idx="51">
                  <c:v>1.1516186892305755</c:v>
                </c:pt>
                <c:pt idx="52">
                  <c:v>1.2519395139603278</c:v>
                </c:pt>
                <c:pt idx="53">
                  <c:v>1.8024501473560031</c:v>
                </c:pt>
                <c:pt idx="54">
                  <c:v>1.2996472563722998</c:v>
                </c:pt>
                <c:pt idx="55">
                  <c:v>1.6394076683256482</c:v>
                </c:pt>
                <c:pt idx="56">
                  <c:v>1.3918791660269587</c:v>
                </c:pt>
                <c:pt idx="57">
                  <c:v>1.3144259302601415</c:v>
                </c:pt>
              </c:numCache>
            </c:numRef>
          </c:xVal>
          <c:yVal>
            <c:numRef>
              <c:f>TT_TTI_Delay!$AD$4:$AD$61</c:f>
              <c:numCache>
                <c:formatCode>0.00</c:formatCode>
                <c:ptCount val="58"/>
                <c:pt idx="0">
                  <c:v>1.1578421379870427</c:v>
                </c:pt>
                <c:pt idx="1">
                  <c:v>1.3329017816179718</c:v>
                </c:pt>
                <c:pt idx="2">
                  <c:v>1.1748190776948473</c:v>
                </c:pt>
                <c:pt idx="3">
                  <c:v>1.3102902197458905</c:v>
                </c:pt>
                <c:pt idx="4">
                  <c:v>1.4060061040159986</c:v>
                </c:pt>
                <c:pt idx="5">
                  <c:v>1.1878821155548847</c:v>
                </c:pt>
                <c:pt idx="6">
                  <c:v>1.1396457734907499</c:v>
                </c:pt>
                <c:pt idx="7">
                  <c:v>1.1671561043876069</c:v>
                </c:pt>
                <c:pt idx="8">
                  <c:v>1.4449806357061454</c:v>
                </c:pt>
                <c:pt idx="9">
                  <c:v>1.4547077598172165</c:v>
                </c:pt>
                <c:pt idx="10">
                  <c:v>1.3009573515710229</c:v>
                </c:pt>
                <c:pt idx="11">
                  <c:v>1.4409673207923246</c:v>
                </c:pt>
                <c:pt idx="12">
                  <c:v>1.3628083379280749</c:v>
                </c:pt>
                <c:pt idx="13">
                  <c:v>1.3055631714697218</c:v>
                </c:pt>
                <c:pt idx="14">
                  <c:v>1.2609996512544925</c:v>
                </c:pt>
                <c:pt idx="15">
                  <c:v>1.0733281136389752</c:v>
                </c:pt>
                <c:pt idx="16">
                  <c:v>1.2716229483313575</c:v>
                </c:pt>
                <c:pt idx="17">
                  <c:v>1.244335178291877</c:v>
                </c:pt>
                <c:pt idx="18">
                  <c:v>1.2430255708929188</c:v>
                </c:pt>
                <c:pt idx="19">
                  <c:v>1.2054492109101547</c:v>
                </c:pt>
                <c:pt idx="20">
                  <c:v>1.2113959829359302</c:v>
                </c:pt>
                <c:pt idx="21">
                  <c:v>1.3029778752008756</c:v>
                </c:pt>
                <c:pt idx="22">
                  <c:v>1.3268057269265552</c:v>
                </c:pt>
                <c:pt idx="23">
                  <c:v>1.1779349865712649</c:v>
                </c:pt>
                <c:pt idx="24">
                  <c:v>1.1098365231480012</c:v>
                </c:pt>
                <c:pt idx="25">
                  <c:v>1.3399978939572892</c:v>
                </c:pt>
                <c:pt idx="26">
                  <c:v>1.7095527301716542</c:v>
                </c:pt>
                <c:pt idx="27">
                  <c:v>1.3031238439365809</c:v>
                </c:pt>
                <c:pt idx="28">
                  <c:v>1.414901581069135</c:v>
                </c:pt>
                <c:pt idx="29">
                  <c:v>1.458465506005131</c:v>
                </c:pt>
                <c:pt idx="30">
                  <c:v>1.1585826723027584</c:v>
                </c:pt>
                <c:pt idx="31">
                  <c:v>1.1148295652530618</c:v>
                </c:pt>
                <c:pt idx="32">
                  <c:v>1.1127875302332275</c:v>
                </c:pt>
                <c:pt idx="33">
                  <c:v>1.1741792137844882</c:v>
                </c:pt>
                <c:pt idx="34">
                  <c:v>1.1298165023071707</c:v>
                </c:pt>
                <c:pt idx="35">
                  <c:v>1.3634512877943485</c:v>
                </c:pt>
                <c:pt idx="36">
                  <c:v>1.4275316688880337</c:v>
                </c:pt>
                <c:pt idx="37">
                  <c:v>1.2722096865319477</c:v>
                </c:pt>
                <c:pt idx="38">
                  <c:v>1.2180496280679256</c:v>
                </c:pt>
                <c:pt idx="39">
                  <c:v>1.1916354049781426</c:v>
                </c:pt>
                <c:pt idx="40">
                  <c:v>1.3295098979727786</c:v>
                </c:pt>
                <c:pt idx="41">
                  <c:v>1.330301756275861</c:v>
                </c:pt>
                <c:pt idx="42">
                  <c:v>1.2749912726311354</c:v>
                </c:pt>
                <c:pt idx="43">
                  <c:v>1.2108967890869364</c:v>
                </c:pt>
                <c:pt idx="44">
                  <c:v>1.2462920115020999</c:v>
                </c:pt>
                <c:pt idx="45">
                  <c:v>1.2260245165395616</c:v>
                </c:pt>
                <c:pt idx="46">
                  <c:v>1.3363383231240373</c:v>
                </c:pt>
                <c:pt idx="47">
                  <c:v>1.243959860164159</c:v>
                </c:pt>
                <c:pt idx="48">
                  <c:v>1.5257956881458921</c:v>
                </c:pt>
                <c:pt idx="49">
                  <c:v>1.2007023979255398</c:v>
                </c:pt>
                <c:pt idx="50">
                  <c:v>1.1968872177116303</c:v>
                </c:pt>
                <c:pt idx="51">
                  <c:v>1.1073769302867671</c:v>
                </c:pt>
                <c:pt idx="52">
                  <c:v>1.2322616579367569</c:v>
                </c:pt>
                <c:pt idx="53">
                  <c:v>1.2738555401211102</c:v>
                </c:pt>
                <c:pt idx="54">
                  <c:v>1.2020626825305469</c:v>
                </c:pt>
                <c:pt idx="55">
                  <c:v>1.5178280176074674</c:v>
                </c:pt>
                <c:pt idx="56">
                  <c:v>1.3194282530842842</c:v>
                </c:pt>
                <c:pt idx="57">
                  <c:v>1.3270535924334734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444944"/>
        <c:axId val="380441808"/>
      </c:scatterChart>
      <c:valAx>
        <c:axId val="38044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441808"/>
        <c:crosses val="autoZero"/>
        <c:crossBetween val="midCat"/>
      </c:valAx>
      <c:valAx>
        <c:axId val="3804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444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Plotter_charts!$B$1:$B$3</c:f>
              <c:strCache>
                <c:ptCount val="3"/>
                <c:pt idx="0">
                  <c:v>TTI</c:v>
                </c:pt>
                <c:pt idx="2">
                  <c:v>Weekday AM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Plotter_charts!$A$4:$A$61</c:f>
              <c:numCache>
                <c:formatCode>@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Plotter_charts!$B$4:$B$61</c:f>
              <c:numCache>
                <c:formatCode>0.00</c:formatCode>
                <c:ptCount val="58"/>
                <c:pt idx="0">
                  <c:v>1.1688127604398344</c:v>
                </c:pt>
                <c:pt idx="1">
                  <c:v>1.3963175654846207</c:v>
                </c:pt>
                <c:pt idx="2">
                  <c:v>1.1559715935729409</c:v>
                </c:pt>
                <c:pt idx="3">
                  <c:v>1.20515210075876</c:v>
                </c:pt>
                <c:pt idx="4">
                  <c:v>1.2617868417538181</c:v>
                </c:pt>
                <c:pt idx="5">
                  <c:v>1.2038238684467149</c:v>
                </c:pt>
                <c:pt idx="6">
                  <c:v>1.1027267830491563</c:v>
                </c:pt>
                <c:pt idx="7">
                  <c:v>1.2144738467139826</c:v>
                </c:pt>
                <c:pt idx="8">
                  <c:v>1.5645209235908162</c:v>
                </c:pt>
                <c:pt idx="9">
                  <c:v>1.5053111106175321</c:v>
                </c:pt>
                <c:pt idx="10">
                  <c:v>1.6703773514142473</c:v>
                </c:pt>
                <c:pt idx="11">
                  <c:v>1.7012196617927311</c:v>
                </c:pt>
                <c:pt idx="12">
                  <c:v>1.6959926600578275</c:v>
                </c:pt>
                <c:pt idx="13">
                  <c:v>1.4303225856966064</c:v>
                </c:pt>
                <c:pt idx="14">
                  <c:v>1.3848964736865457</c:v>
                </c:pt>
                <c:pt idx="15">
                  <c:v>1.1129177686004237</c:v>
                </c:pt>
                <c:pt idx="16">
                  <c:v>1.3545957520308829</c:v>
                </c:pt>
                <c:pt idx="17">
                  <c:v>1.2605303440776894</c:v>
                </c:pt>
                <c:pt idx="18">
                  <c:v>1.4235433227080472</c:v>
                </c:pt>
                <c:pt idx="19">
                  <c:v>1.4091770583593617</c:v>
                </c:pt>
                <c:pt idx="20">
                  <c:v>1.4608875827446024</c:v>
                </c:pt>
                <c:pt idx="21">
                  <c:v>1.4983975706517279</c:v>
                </c:pt>
                <c:pt idx="22">
                  <c:v>1.449412276762611</c:v>
                </c:pt>
                <c:pt idx="23">
                  <c:v>1.3720586251933178</c:v>
                </c:pt>
                <c:pt idx="24">
                  <c:v>1.1300558292247289</c:v>
                </c:pt>
                <c:pt idx="25">
                  <c:v>1.342669695173125</c:v>
                </c:pt>
                <c:pt idx="26">
                  <c:v>1.3189894082474605</c:v>
                </c:pt>
                <c:pt idx="27">
                  <c:v>1.3216089431957088</c:v>
                </c:pt>
                <c:pt idx="28">
                  <c:v>1.7888840715362653</c:v>
                </c:pt>
                <c:pt idx="29">
                  <c:v>2.0712879919802365</c:v>
                </c:pt>
                <c:pt idx="30">
                  <c:v>1.2333633472073915</c:v>
                </c:pt>
                <c:pt idx="31">
                  <c:v>1.0674098533195273</c:v>
                </c:pt>
                <c:pt idx="32">
                  <c:v>1.0924436755469065</c:v>
                </c:pt>
                <c:pt idx="33">
                  <c:v>1.1411540313418982</c:v>
                </c:pt>
                <c:pt idx="34">
                  <c:v>1.3213780416922367</c:v>
                </c:pt>
                <c:pt idx="35">
                  <c:v>1.3667589932435587</c:v>
                </c:pt>
                <c:pt idx="36">
                  <c:v>1.3890787061278562</c:v>
                </c:pt>
                <c:pt idx="37">
                  <c:v>1.1445982485611326</c:v>
                </c:pt>
                <c:pt idx="38">
                  <c:v>1.1435540780766849</c:v>
                </c:pt>
                <c:pt idx="39">
                  <c:v>1.1160021596743954</c:v>
                </c:pt>
                <c:pt idx="40">
                  <c:v>1.4652372437213206</c:v>
                </c:pt>
                <c:pt idx="41">
                  <c:v>1.3664131461751954</c:v>
                </c:pt>
                <c:pt idx="42">
                  <c:v>1.2915122976108151</c:v>
                </c:pt>
                <c:pt idx="43">
                  <c:v>1.3741791598385471</c:v>
                </c:pt>
                <c:pt idx="44">
                  <c:v>1.2881137485362824</c:v>
                </c:pt>
                <c:pt idx="45">
                  <c:v>1.289648815995206</c:v>
                </c:pt>
                <c:pt idx="46">
                  <c:v>1.6996745790177969</c:v>
                </c:pt>
                <c:pt idx="47">
                  <c:v>1.3072654461273641</c:v>
                </c:pt>
                <c:pt idx="48">
                  <c:v>1.4750242998721823</c:v>
                </c:pt>
                <c:pt idx="49">
                  <c:v>1.1924610188966882</c:v>
                </c:pt>
                <c:pt idx="50">
                  <c:v>1.2214535769759767</c:v>
                </c:pt>
                <c:pt idx="51">
                  <c:v>1.1516186892305755</c:v>
                </c:pt>
                <c:pt idx="52">
                  <c:v>1.2519395139603278</c:v>
                </c:pt>
                <c:pt idx="53">
                  <c:v>1.8024501473560031</c:v>
                </c:pt>
                <c:pt idx="54">
                  <c:v>1.2996472563722998</c:v>
                </c:pt>
                <c:pt idx="55">
                  <c:v>1.6394076683256482</c:v>
                </c:pt>
                <c:pt idx="56">
                  <c:v>1.3918791660269587</c:v>
                </c:pt>
                <c:pt idx="57">
                  <c:v>1.3144259302601415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Plotter_charts!$C$1:$C$3</c:f>
              <c:strCache>
                <c:ptCount val="3"/>
                <c:pt idx="0">
                  <c:v>TTI</c:v>
                </c:pt>
                <c:pt idx="2">
                  <c:v>Weekday 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Plotter_charts!$A$4:$A$61</c:f>
              <c:numCache>
                <c:formatCode>@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Plotter_charts!$C$4:$C$61</c:f>
              <c:numCache>
                <c:formatCode>0.00</c:formatCode>
                <c:ptCount val="58"/>
                <c:pt idx="0">
                  <c:v>1.320996328646205</c:v>
                </c:pt>
                <c:pt idx="1">
                  <c:v>1.8249435390579256</c:v>
                </c:pt>
                <c:pt idx="2">
                  <c:v>1.4004775926455275</c:v>
                </c:pt>
                <c:pt idx="3">
                  <c:v>1.4374361047299709</c:v>
                </c:pt>
                <c:pt idx="4">
                  <c:v>1.6991625359239106</c:v>
                </c:pt>
                <c:pt idx="5">
                  <c:v>1.2832244414527363</c:v>
                </c:pt>
                <c:pt idx="6">
                  <c:v>1.1466645416364467</c:v>
                </c:pt>
                <c:pt idx="7">
                  <c:v>1.2531585264035405</c:v>
                </c:pt>
                <c:pt idx="8">
                  <c:v>1.6536846012793571</c:v>
                </c:pt>
                <c:pt idx="9">
                  <c:v>1.734757007577999</c:v>
                </c:pt>
                <c:pt idx="10">
                  <c:v>1.9305611583107045</c:v>
                </c:pt>
                <c:pt idx="11">
                  <c:v>1.9747551461132895</c:v>
                </c:pt>
                <c:pt idx="12">
                  <c:v>1.9731130307973084</c:v>
                </c:pt>
                <c:pt idx="13">
                  <c:v>1.7519901089619165</c:v>
                </c:pt>
                <c:pt idx="14">
                  <c:v>1.6045686995939983</c:v>
                </c:pt>
                <c:pt idx="15">
                  <c:v>1.4228678849662546</c:v>
                </c:pt>
                <c:pt idx="16">
                  <c:v>1.7409772370658758</c:v>
                </c:pt>
                <c:pt idx="17">
                  <c:v>1.6598633024728431</c:v>
                </c:pt>
                <c:pt idx="18">
                  <c:v>1.3822407123771117</c:v>
                </c:pt>
                <c:pt idx="19">
                  <c:v>1.314764249851285</c:v>
                </c:pt>
                <c:pt idx="20">
                  <c:v>1.4733025905115786</c:v>
                </c:pt>
                <c:pt idx="21">
                  <c:v>1.7194709096639484</c:v>
                </c:pt>
                <c:pt idx="22">
                  <c:v>1.9058627561958856</c:v>
                </c:pt>
                <c:pt idx="23">
                  <c:v>1.5606852660119868</c:v>
                </c:pt>
                <c:pt idx="24">
                  <c:v>1.3339377025347847</c:v>
                </c:pt>
                <c:pt idx="25">
                  <c:v>2.2418757252246131</c:v>
                </c:pt>
                <c:pt idx="26">
                  <c:v>1.8368208881208246</c:v>
                </c:pt>
                <c:pt idx="27">
                  <c:v>1.5786360896219598</c:v>
                </c:pt>
                <c:pt idx="28">
                  <c:v>1.7143120605302469</c:v>
                </c:pt>
                <c:pt idx="29">
                  <c:v>1.5935355106676845</c:v>
                </c:pt>
                <c:pt idx="30">
                  <c:v>1.4389294310825889</c:v>
                </c:pt>
                <c:pt idx="31">
                  <c:v>1.3590374314119831</c:v>
                </c:pt>
                <c:pt idx="32">
                  <c:v>1.4111930548719041</c:v>
                </c:pt>
                <c:pt idx="33">
                  <c:v>1.4278709071727957</c:v>
                </c:pt>
                <c:pt idx="34">
                  <c:v>1.4307213397883687</c:v>
                </c:pt>
                <c:pt idx="35">
                  <c:v>1.689411558080878</c:v>
                </c:pt>
                <c:pt idx="36">
                  <c:v>1.9349463060087801</c:v>
                </c:pt>
                <c:pt idx="37">
                  <c:v>1.5025351129424034</c:v>
                </c:pt>
                <c:pt idx="38">
                  <c:v>1.3265642146917909</c:v>
                </c:pt>
                <c:pt idx="39">
                  <c:v>1.3243582717299125</c:v>
                </c:pt>
                <c:pt idx="40">
                  <c:v>1.8164765951238659</c:v>
                </c:pt>
                <c:pt idx="41">
                  <c:v>1.6371410069805072</c:v>
                </c:pt>
                <c:pt idx="42">
                  <c:v>1.5546614353866304</c:v>
                </c:pt>
                <c:pt idx="43">
                  <c:v>1.4339870935862431</c:v>
                </c:pt>
                <c:pt idx="44">
                  <c:v>1.6393560336477526</c:v>
                </c:pt>
                <c:pt idx="45">
                  <c:v>1.5341909875078077</c:v>
                </c:pt>
                <c:pt idx="46">
                  <c:v>2.0003417429253569</c:v>
                </c:pt>
                <c:pt idx="47">
                  <c:v>1.5555926295296383</c:v>
                </c:pt>
                <c:pt idx="48">
                  <c:v>1.8642067611062183</c:v>
                </c:pt>
                <c:pt idx="49">
                  <c:v>1.314125936843908</c:v>
                </c:pt>
                <c:pt idx="50">
                  <c:v>1.3098218940485042</c:v>
                </c:pt>
                <c:pt idx="51">
                  <c:v>1.1835893677364036</c:v>
                </c:pt>
                <c:pt idx="52">
                  <c:v>1.3475908973439883</c:v>
                </c:pt>
                <c:pt idx="53">
                  <c:v>1.6130253643756276</c:v>
                </c:pt>
                <c:pt idx="54">
                  <c:v>1.4145790233038391</c:v>
                </c:pt>
                <c:pt idx="55">
                  <c:v>1.9822752440222426</c:v>
                </c:pt>
                <c:pt idx="56">
                  <c:v>1.7365060605218665</c:v>
                </c:pt>
                <c:pt idx="57">
                  <c:v>1.7279909028202478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Plotter_charts!$D$1:$D$3</c:f>
              <c:strCache>
                <c:ptCount val="3"/>
                <c:pt idx="0">
                  <c:v>TTI</c:v>
                </c:pt>
                <c:pt idx="2">
                  <c:v>Weekend AM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Plotter_charts!$A$4:$A$61</c:f>
              <c:numCache>
                <c:formatCode>@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Plotter_charts!$D$4:$D$61</c:f>
              <c:numCache>
                <c:formatCode>0.00</c:formatCode>
                <c:ptCount val="58"/>
                <c:pt idx="0">
                  <c:v>1.0886273403263822</c:v>
                </c:pt>
                <c:pt idx="1">
                  <c:v>1.1868397863677702</c:v>
                </c:pt>
                <c:pt idx="2">
                  <c:v>1.0646658570700505</c:v>
                </c:pt>
                <c:pt idx="3">
                  <c:v>1.1254302730597645</c:v>
                </c:pt>
                <c:pt idx="4">
                  <c:v>1.1388878194943957</c:v>
                </c:pt>
                <c:pt idx="5">
                  <c:v>1.0966355742019671</c:v>
                </c:pt>
                <c:pt idx="6">
                  <c:v>1.0579210925241191</c:v>
                </c:pt>
                <c:pt idx="7">
                  <c:v>1.0844193291159763</c:v>
                </c:pt>
                <c:pt idx="8">
                  <c:v>1.1441352334029848</c:v>
                </c:pt>
                <c:pt idx="9">
                  <c:v>1.1492939177927206</c:v>
                </c:pt>
                <c:pt idx="10">
                  <c:v>1.1840308024987509</c:v>
                </c:pt>
                <c:pt idx="11">
                  <c:v>1.1841293690226213</c:v>
                </c:pt>
                <c:pt idx="12">
                  <c:v>1.1373522119254755</c:v>
                </c:pt>
                <c:pt idx="13">
                  <c:v>1.1279673981194078</c:v>
                </c:pt>
                <c:pt idx="14">
                  <c:v>1.0910654179227957</c:v>
                </c:pt>
                <c:pt idx="15">
                  <c:v>1.0276717813689369</c:v>
                </c:pt>
                <c:pt idx="16">
                  <c:v>1.0873283913530372</c:v>
                </c:pt>
                <c:pt idx="17">
                  <c:v>1.0815426781955237</c:v>
                </c:pt>
                <c:pt idx="18">
                  <c:v>1.141068003330415</c:v>
                </c:pt>
                <c:pt idx="19">
                  <c:v>1.1513784430662102</c:v>
                </c:pt>
                <c:pt idx="20">
                  <c:v>1.0865653892590554</c:v>
                </c:pt>
                <c:pt idx="21">
                  <c:v>1.1852408738629678</c:v>
                </c:pt>
                <c:pt idx="22">
                  <c:v>1.0889552640904157</c:v>
                </c:pt>
                <c:pt idx="23">
                  <c:v>1.0648280737621294</c:v>
                </c:pt>
                <c:pt idx="24">
                  <c:v>1.0366358888404297</c:v>
                </c:pt>
                <c:pt idx="25">
                  <c:v>1.0957607721341849</c:v>
                </c:pt>
                <c:pt idx="26">
                  <c:v>1.1160064398671303</c:v>
                </c:pt>
                <c:pt idx="27">
                  <c:v>1.1598678815882311</c:v>
                </c:pt>
                <c:pt idx="28">
                  <c:v>1.271420472084426</c:v>
                </c:pt>
                <c:pt idx="29">
                  <c:v>1.4179103890509024</c:v>
                </c:pt>
                <c:pt idx="30">
                  <c:v>1.0506714621376196</c:v>
                </c:pt>
                <c:pt idx="31">
                  <c:v>1.0290053864291959</c:v>
                </c:pt>
                <c:pt idx="32">
                  <c:v>1.0356847314116446</c:v>
                </c:pt>
                <c:pt idx="33">
                  <c:v>1.0656514844480254</c:v>
                </c:pt>
                <c:pt idx="34">
                  <c:v>1.0566671682771307</c:v>
                </c:pt>
                <c:pt idx="35">
                  <c:v>1.1825883236246855</c:v>
                </c:pt>
                <c:pt idx="36">
                  <c:v>1.1805770398903741</c:v>
                </c:pt>
                <c:pt idx="37">
                  <c:v>1.0822831281637768</c:v>
                </c:pt>
                <c:pt idx="38">
                  <c:v>1.0812462802687381</c:v>
                </c:pt>
                <c:pt idx="39">
                  <c:v>1.0782298350102826</c:v>
                </c:pt>
                <c:pt idx="40">
                  <c:v>1.1110272883798402</c:v>
                </c:pt>
                <c:pt idx="41">
                  <c:v>1.1158156328810296</c:v>
                </c:pt>
                <c:pt idx="42">
                  <c:v>1.1537986035304582</c:v>
                </c:pt>
                <c:pt idx="43">
                  <c:v>1.1309030689057269</c:v>
                </c:pt>
                <c:pt idx="44">
                  <c:v>1.0936225902802639</c:v>
                </c:pt>
                <c:pt idx="45">
                  <c:v>1.1398769483187932</c:v>
                </c:pt>
                <c:pt idx="46">
                  <c:v>1.1564729430583658</c:v>
                </c:pt>
                <c:pt idx="47">
                  <c:v>1.1050337716706151</c:v>
                </c:pt>
                <c:pt idx="48">
                  <c:v>1.2657484209702639</c:v>
                </c:pt>
                <c:pt idx="49">
                  <c:v>1.1106660637835235</c:v>
                </c:pt>
                <c:pt idx="50">
                  <c:v>1.0857618050034208</c:v>
                </c:pt>
                <c:pt idx="51">
                  <c:v>1.0819739617639998</c:v>
                </c:pt>
                <c:pt idx="52">
                  <c:v>1.1330554526781995</c:v>
                </c:pt>
                <c:pt idx="53">
                  <c:v>1.0931182200047602</c:v>
                </c:pt>
                <c:pt idx="54">
                  <c:v>1.0602794061248468</c:v>
                </c:pt>
                <c:pt idx="55">
                  <c:v>1.1841289530450521</c:v>
                </c:pt>
                <c:pt idx="56">
                  <c:v>1.1689945916269135</c:v>
                </c:pt>
                <c:pt idx="57">
                  <c:v>1.1622025722596128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Plotter_charts!$E$1:$E$3</c:f>
              <c:strCache>
                <c:ptCount val="3"/>
                <c:pt idx="0">
                  <c:v>TTI</c:v>
                </c:pt>
                <c:pt idx="2">
                  <c:v>Weekend 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Plotter_charts!$A$4:$A$61</c:f>
              <c:numCache>
                <c:formatCode>@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Plotter_charts!$E$4:$E$61</c:f>
              <c:numCache>
                <c:formatCode>0.00</c:formatCode>
                <c:ptCount val="58"/>
                <c:pt idx="0">
                  <c:v>1.1578421379870427</c:v>
                </c:pt>
                <c:pt idx="1">
                  <c:v>1.3329017816179718</c:v>
                </c:pt>
                <c:pt idx="2">
                  <c:v>1.1748190776948473</c:v>
                </c:pt>
                <c:pt idx="3">
                  <c:v>1.3102902197458905</c:v>
                </c:pt>
                <c:pt idx="4">
                  <c:v>1.4060061040159986</c:v>
                </c:pt>
                <c:pt idx="5">
                  <c:v>1.1878821155548847</c:v>
                </c:pt>
                <c:pt idx="6">
                  <c:v>1.1396457734907499</c:v>
                </c:pt>
                <c:pt idx="7">
                  <c:v>1.1671561043876069</c:v>
                </c:pt>
                <c:pt idx="8">
                  <c:v>1.4449806357061454</c:v>
                </c:pt>
                <c:pt idx="9">
                  <c:v>1.4547077598172165</c:v>
                </c:pt>
                <c:pt idx="10">
                  <c:v>1.3009573515710229</c:v>
                </c:pt>
                <c:pt idx="11">
                  <c:v>1.4409673207923246</c:v>
                </c:pt>
                <c:pt idx="12">
                  <c:v>1.3628083379280749</c:v>
                </c:pt>
                <c:pt idx="13">
                  <c:v>1.3055631714697218</c:v>
                </c:pt>
                <c:pt idx="14">
                  <c:v>1.2609996512544925</c:v>
                </c:pt>
                <c:pt idx="15">
                  <c:v>1.0733281136389752</c:v>
                </c:pt>
                <c:pt idx="16">
                  <c:v>1.2716229483313575</c:v>
                </c:pt>
                <c:pt idx="17">
                  <c:v>1.244335178291877</c:v>
                </c:pt>
                <c:pt idx="18">
                  <c:v>1.2430255708929188</c:v>
                </c:pt>
                <c:pt idx="19">
                  <c:v>1.2054492109101547</c:v>
                </c:pt>
                <c:pt idx="20">
                  <c:v>1.2113959829359302</c:v>
                </c:pt>
                <c:pt idx="21">
                  <c:v>1.3029778752008756</c:v>
                </c:pt>
                <c:pt idx="22">
                  <c:v>1.3268057269265552</c:v>
                </c:pt>
                <c:pt idx="23">
                  <c:v>1.1779349865712649</c:v>
                </c:pt>
                <c:pt idx="24">
                  <c:v>1.1098365231480012</c:v>
                </c:pt>
                <c:pt idx="25">
                  <c:v>1.3399978939572892</c:v>
                </c:pt>
                <c:pt idx="26">
                  <c:v>1.7095527301716542</c:v>
                </c:pt>
                <c:pt idx="27">
                  <c:v>1.3031238439365809</c:v>
                </c:pt>
                <c:pt idx="28">
                  <c:v>1.414901581069135</c:v>
                </c:pt>
                <c:pt idx="29">
                  <c:v>1.458465506005131</c:v>
                </c:pt>
                <c:pt idx="30">
                  <c:v>1.1585826723027584</c:v>
                </c:pt>
                <c:pt idx="31">
                  <c:v>1.1148295652530618</c:v>
                </c:pt>
                <c:pt idx="32">
                  <c:v>1.1127875302332275</c:v>
                </c:pt>
                <c:pt idx="33">
                  <c:v>1.1741792137844882</c:v>
                </c:pt>
                <c:pt idx="34">
                  <c:v>1.1298165023071707</c:v>
                </c:pt>
                <c:pt idx="35">
                  <c:v>1.3634512877943485</c:v>
                </c:pt>
                <c:pt idx="36">
                  <c:v>1.4275316688880337</c:v>
                </c:pt>
                <c:pt idx="37">
                  <c:v>1.2722096865319477</c:v>
                </c:pt>
                <c:pt idx="38">
                  <c:v>1.2180496280679256</c:v>
                </c:pt>
                <c:pt idx="39">
                  <c:v>1.1916354049781426</c:v>
                </c:pt>
                <c:pt idx="40">
                  <c:v>1.3295098979727786</c:v>
                </c:pt>
                <c:pt idx="41">
                  <c:v>1.330301756275861</c:v>
                </c:pt>
                <c:pt idx="42">
                  <c:v>1.2749912726311354</c:v>
                </c:pt>
                <c:pt idx="43">
                  <c:v>1.2108967890869364</c:v>
                </c:pt>
                <c:pt idx="44">
                  <c:v>1.2462920115020999</c:v>
                </c:pt>
                <c:pt idx="45">
                  <c:v>1.2260245165395616</c:v>
                </c:pt>
                <c:pt idx="46">
                  <c:v>1.3363383231240373</c:v>
                </c:pt>
                <c:pt idx="47">
                  <c:v>1.243959860164159</c:v>
                </c:pt>
                <c:pt idx="48">
                  <c:v>1.5257956881458921</c:v>
                </c:pt>
                <c:pt idx="49">
                  <c:v>1.2007023979255398</c:v>
                </c:pt>
                <c:pt idx="50">
                  <c:v>1.1968872177116303</c:v>
                </c:pt>
                <c:pt idx="51">
                  <c:v>1.1073769302867671</c:v>
                </c:pt>
                <c:pt idx="52">
                  <c:v>1.2322616579367569</c:v>
                </c:pt>
                <c:pt idx="53">
                  <c:v>1.2738555401211102</c:v>
                </c:pt>
                <c:pt idx="54">
                  <c:v>1.2020626825305469</c:v>
                </c:pt>
                <c:pt idx="55">
                  <c:v>1.5178280176074674</c:v>
                </c:pt>
                <c:pt idx="56">
                  <c:v>1.3194282530842842</c:v>
                </c:pt>
                <c:pt idx="57">
                  <c:v>1.3270535924334734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444160"/>
        <c:axId val="380442200"/>
      </c:scatterChart>
      <c:valAx>
        <c:axId val="380444160"/>
        <c:scaling>
          <c:orientation val="minMax"/>
          <c:max val="5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Routes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442200"/>
        <c:crosses val="autoZero"/>
        <c:crossBetween val="midCat"/>
        <c:majorUnit val="2"/>
      </c:valAx>
      <c:valAx>
        <c:axId val="38044220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TTI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44416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8095227543147988E-2"/>
          <c:y val="0.82499887514060743"/>
          <c:w val="0.89872145728791253"/>
          <c:h val="0.155953505811773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Plotter_charts!$I$2:$I$3</c:f>
              <c:strCache>
                <c:ptCount val="2"/>
                <c:pt idx="0">
                  <c:v>Week</c:v>
                </c:pt>
                <c:pt idx="1">
                  <c:v>morning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Plotter_charts!$H$4:$H$61</c:f>
              <c:numCache>
                <c:formatCode>@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Plotter_charts!$I$4:$I$61</c:f>
              <c:numCache>
                <c:formatCode>0.00</c:formatCode>
                <c:ptCount val="58"/>
                <c:pt idx="0">
                  <c:v>0.28687135761017613</c:v>
                </c:pt>
                <c:pt idx="1">
                  <c:v>0.85321870785860998</c:v>
                </c:pt>
                <c:pt idx="2">
                  <c:v>0.2651517090739996</c:v>
                </c:pt>
                <c:pt idx="3">
                  <c:v>0.30362510912296486</c:v>
                </c:pt>
                <c:pt idx="4">
                  <c:v>0.41851449043538025</c:v>
                </c:pt>
                <c:pt idx="5">
                  <c:v>0.29622402214255911</c:v>
                </c:pt>
                <c:pt idx="6">
                  <c:v>0.15875957380324165</c:v>
                </c:pt>
                <c:pt idx="7">
                  <c:v>0.36906213882600908</c:v>
                </c:pt>
                <c:pt idx="8">
                  <c:v>0.9099185939457235</c:v>
                </c:pt>
                <c:pt idx="9">
                  <c:v>0.85902888804980437</c:v>
                </c:pt>
                <c:pt idx="10">
                  <c:v>0.83797168926780907</c:v>
                </c:pt>
                <c:pt idx="11">
                  <c:v>1.1430841062100683</c:v>
                </c:pt>
                <c:pt idx="12">
                  <c:v>1.1584614670699362</c:v>
                </c:pt>
                <c:pt idx="13">
                  <c:v>0.7181542489771181</c:v>
                </c:pt>
                <c:pt idx="14">
                  <c:v>0.48439352130619689</c:v>
                </c:pt>
                <c:pt idx="15">
                  <c:v>0.12571511570847171</c:v>
                </c:pt>
                <c:pt idx="16">
                  <c:v>0.51193294001809586</c:v>
                </c:pt>
                <c:pt idx="17">
                  <c:v>0.41063723106284816</c:v>
                </c:pt>
                <c:pt idx="18">
                  <c:v>0.78214333593419383</c:v>
                </c:pt>
                <c:pt idx="19">
                  <c:v>0.76029520978935439</c:v>
                </c:pt>
                <c:pt idx="20">
                  <c:v>0.76916338312344246</c:v>
                </c:pt>
                <c:pt idx="21">
                  <c:v>0.78727769122056379</c:v>
                </c:pt>
                <c:pt idx="22">
                  <c:v>0.8391124328364834</c:v>
                </c:pt>
                <c:pt idx="23">
                  <c:v>0.65355034820142011</c:v>
                </c:pt>
                <c:pt idx="24">
                  <c:v>0.24642157116264427</c:v>
                </c:pt>
                <c:pt idx="25">
                  <c:v>0.62784447504874563</c:v>
                </c:pt>
                <c:pt idx="26">
                  <c:v>0.54832819849073255</c:v>
                </c:pt>
                <c:pt idx="27">
                  <c:v>0.63895816528948779</c:v>
                </c:pt>
                <c:pt idx="28">
                  <c:v>1.2310611307413057</c:v>
                </c:pt>
                <c:pt idx="29">
                  <c:v>1.8082249546163227</c:v>
                </c:pt>
                <c:pt idx="30">
                  <c:v>0.35618616152707111</c:v>
                </c:pt>
                <c:pt idx="31">
                  <c:v>7.2802641585089464E-2</c:v>
                </c:pt>
                <c:pt idx="32">
                  <c:v>9.917798303707856E-2</c:v>
                </c:pt>
                <c:pt idx="33">
                  <c:v>0.15056430009802466</c:v>
                </c:pt>
                <c:pt idx="34">
                  <c:v>0.60750816913435712</c:v>
                </c:pt>
                <c:pt idx="35">
                  <c:v>0.53302307018063855</c:v>
                </c:pt>
                <c:pt idx="36">
                  <c:v>0.76687976859983265</c:v>
                </c:pt>
                <c:pt idx="37">
                  <c:v>0.2856039940524232</c:v>
                </c:pt>
                <c:pt idx="38">
                  <c:v>0.26395427259261406</c:v>
                </c:pt>
                <c:pt idx="39">
                  <c:v>0.2061333340976666</c:v>
                </c:pt>
                <c:pt idx="40">
                  <c:v>0.84100578672700266</c:v>
                </c:pt>
                <c:pt idx="41">
                  <c:v>0.68819905018802741</c:v>
                </c:pt>
                <c:pt idx="42">
                  <c:v>0.50387224951273335</c:v>
                </c:pt>
                <c:pt idx="43">
                  <c:v>0.8103085117033435</c:v>
                </c:pt>
                <c:pt idx="44">
                  <c:v>0.51628436818246581</c:v>
                </c:pt>
                <c:pt idx="45">
                  <c:v>0.55833620451707455</c:v>
                </c:pt>
                <c:pt idx="46">
                  <c:v>1.2796679800457076</c:v>
                </c:pt>
                <c:pt idx="47">
                  <c:v>0.57765903871944424</c:v>
                </c:pt>
                <c:pt idx="48">
                  <c:v>0.83283481146421579</c:v>
                </c:pt>
                <c:pt idx="49">
                  <c:v>0.359818426632939</c:v>
                </c:pt>
                <c:pt idx="50">
                  <c:v>0.36670807370215486</c:v>
                </c:pt>
                <c:pt idx="51">
                  <c:v>0.24966544159968121</c:v>
                </c:pt>
                <c:pt idx="52">
                  <c:v>0.50560464102997293</c:v>
                </c:pt>
                <c:pt idx="53">
                  <c:v>1.1652015838320047</c:v>
                </c:pt>
                <c:pt idx="54">
                  <c:v>0.34958846576768315</c:v>
                </c:pt>
                <c:pt idx="55">
                  <c:v>1.1856566035177583</c:v>
                </c:pt>
                <c:pt idx="56">
                  <c:v>0.72703897907633142</c:v>
                </c:pt>
                <c:pt idx="57">
                  <c:v>0.57225519307345751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Plotter_charts!$J$2:$J$3</c:f>
              <c:strCache>
                <c:ptCount val="2"/>
                <c:pt idx="0">
                  <c:v>Week</c:v>
                </c:pt>
                <c:pt idx="1">
                  <c:v>evening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Plotter_charts!$H$4:$H$61</c:f>
              <c:numCache>
                <c:formatCode>@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Plotter_charts!$J$4:$J$61</c:f>
              <c:numCache>
                <c:formatCode>0.00</c:formatCode>
                <c:ptCount val="58"/>
                <c:pt idx="0">
                  <c:v>0.54548395717655751</c:v>
                </c:pt>
                <c:pt idx="1">
                  <c:v>1.7759930968253428</c:v>
                </c:pt>
                <c:pt idx="2">
                  <c:v>0.68081190749739662</c:v>
                </c:pt>
                <c:pt idx="3">
                  <c:v>0.64740543500035697</c:v>
                </c:pt>
                <c:pt idx="4">
                  <c:v>1.1177401067730939</c:v>
                </c:pt>
                <c:pt idx="5">
                  <c:v>0.41161952157797693</c:v>
                </c:pt>
                <c:pt idx="6">
                  <c:v>0.22666338252905413</c:v>
                </c:pt>
                <c:pt idx="7">
                  <c:v>0.43562993179830029</c:v>
                </c:pt>
                <c:pt idx="8">
                  <c:v>1.0536363639042272</c:v>
                </c:pt>
                <c:pt idx="9">
                  <c:v>1.2490869128825981</c:v>
                </c:pt>
                <c:pt idx="10">
                  <c:v>1.1632014478883805</c:v>
                </c:pt>
                <c:pt idx="11">
                  <c:v>1.5889844162668691</c:v>
                </c:pt>
                <c:pt idx="12">
                  <c:v>1.6197210315244672</c:v>
                </c:pt>
                <c:pt idx="13">
                  <c:v>1.2549768705854503</c:v>
                </c:pt>
                <c:pt idx="14">
                  <c:v>0.76085176479516781</c:v>
                </c:pt>
                <c:pt idx="15">
                  <c:v>0.47079291192909672</c:v>
                </c:pt>
                <c:pt idx="16">
                  <c:v>1.0697552164262314</c:v>
                </c:pt>
                <c:pt idx="17">
                  <c:v>1.0400494436326928</c:v>
                </c:pt>
                <c:pt idx="18">
                  <c:v>0.70587118218973277</c:v>
                </c:pt>
                <c:pt idx="19">
                  <c:v>0.58486600479123929</c:v>
                </c:pt>
                <c:pt idx="20">
                  <c:v>0.78988246893323077</c:v>
                </c:pt>
                <c:pt idx="21">
                  <c:v>1.1364890802334982</c:v>
                </c:pt>
                <c:pt idx="22">
                  <c:v>1.6913661252049053</c:v>
                </c:pt>
                <c:pt idx="23">
                  <c:v>0.98488793437631883</c:v>
                </c:pt>
                <c:pt idx="24">
                  <c:v>0.63272406796064473</c:v>
                </c:pt>
                <c:pt idx="25">
                  <c:v>2.2753830401766399</c:v>
                </c:pt>
                <c:pt idx="26">
                  <c:v>1.4384568207567112</c:v>
                </c:pt>
                <c:pt idx="27">
                  <c:v>1.1496081250767411</c:v>
                </c:pt>
                <c:pt idx="28">
                  <c:v>1.1146907950949712</c:v>
                </c:pt>
                <c:pt idx="29">
                  <c:v>1.0018274543116967</c:v>
                </c:pt>
                <c:pt idx="30">
                  <c:v>0.66994492112605653</c:v>
                </c:pt>
                <c:pt idx="31">
                  <c:v>0.38776042592494164</c:v>
                </c:pt>
                <c:pt idx="32">
                  <c:v>0.44114751582283751</c:v>
                </c:pt>
                <c:pt idx="33">
                  <c:v>0.45639563431764874</c:v>
                </c:pt>
                <c:pt idx="34">
                  <c:v>0.81420227456769034</c:v>
                </c:pt>
                <c:pt idx="35">
                  <c:v>1.0019447977442093</c:v>
                </c:pt>
                <c:pt idx="36">
                  <c:v>1.8427927190897697</c:v>
                </c:pt>
                <c:pt idx="37">
                  <c:v>0.99258488146387747</c:v>
                </c:pt>
                <c:pt idx="38">
                  <c:v>0.60045678185264784</c:v>
                </c:pt>
                <c:pt idx="39">
                  <c:v>0.57637764832581595</c:v>
                </c:pt>
                <c:pt idx="40">
                  <c:v>1.4759384604162191</c:v>
                </c:pt>
                <c:pt idx="41">
                  <c:v>1.1966815067005681</c:v>
                </c:pt>
                <c:pt idx="42">
                  <c:v>0.95871943467490417</c:v>
                </c:pt>
                <c:pt idx="43">
                  <c:v>0.93982635498477785</c:v>
                </c:pt>
                <c:pt idx="44">
                  <c:v>1.1456916844560399</c:v>
                </c:pt>
                <c:pt idx="45">
                  <c:v>1.0297234167091294</c:v>
                </c:pt>
                <c:pt idx="46">
                  <c:v>1.8295723982450609</c:v>
                </c:pt>
                <c:pt idx="47">
                  <c:v>1.0445141435157199</c:v>
                </c:pt>
                <c:pt idx="48">
                  <c:v>1.5151676980433697</c:v>
                </c:pt>
                <c:pt idx="49">
                  <c:v>0.58727892540382798</c:v>
                </c:pt>
                <c:pt idx="50">
                  <c:v>0.51303840519859845</c:v>
                </c:pt>
                <c:pt idx="51">
                  <c:v>0.30231049220594447</c:v>
                </c:pt>
                <c:pt idx="52">
                  <c:v>0.69756255425882607</c:v>
                </c:pt>
                <c:pt idx="53">
                  <c:v>0.89014641950433615</c:v>
                </c:pt>
                <c:pt idx="54">
                  <c:v>0.48367552718781237</c:v>
                </c:pt>
                <c:pt idx="55">
                  <c:v>1.8214375385842907</c:v>
                </c:pt>
                <c:pt idx="56">
                  <c:v>1.3664125596524099</c:v>
                </c:pt>
                <c:pt idx="57">
                  <c:v>1.3249434431328508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Plotter_charts!$K$2:$K$3</c:f>
              <c:strCache>
                <c:ptCount val="2"/>
                <c:pt idx="0">
                  <c:v>Weekend</c:v>
                </c:pt>
                <c:pt idx="1">
                  <c:v>morning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Plotter_charts!$H$4:$H$61</c:f>
              <c:numCache>
                <c:formatCode>@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Plotter_charts!$K$4:$K$61</c:f>
              <c:numCache>
                <c:formatCode>0.00</c:formatCode>
                <c:ptCount val="58"/>
                <c:pt idx="0">
                  <c:v>0.15060855218862337</c:v>
                </c:pt>
                <c:pt idx="1">
                  <c:v>0.40224106874080484</c:v>
                </c:pt>
                <c:pt idx="2">
                  <c:v>0.10993195701908576</c:v>
                </c:pt>
                <c:pt idx="3">
                  <c:v>0.18563680412845152</c:v>
                </c:pt>
                <c:pt idx="4">
                  <c:v>0.22203776406011935</c:v>
                </c:pt>
                <c:pt idx="5">
                  <c:v>0.14044370117352548</c:v>
                </c:pt>
                <c:pt idx="6">
                  <c:v>8.9514415719093271E-2</c:v>
                </c:pt>
                <c:pt idx="7">
                  <c:v>0.14526702737489428</c:v>
                </c:pt>
                <c:pt idx="8">
                  <c:v>0.23232323805086358</c:v>
                </c:pt>
                <c:pt idx="9">
                  <c:v>0.25379966024762507</c:v>
                </c:pt>
                <c:pt idx="10">
                  <c:v>0.23003850312343868</c:v>
                </c:pt>
                <c:pt idx="11">
                  <c:v>0.30015609470810878</c:v>
                </c:pt>
                <c:pt idx="12">
                  <c:v>0.22861914221806109</c:v>
                </c:pt>
                <c:pt idx="13">
                  <c:v>0.21356148560325025</c:v>
                </c:pt>
                <c:pt idx="14">
                  <c:v>0.11460613820215783</c:v>
                </c:pt>
                <c:pt idx="15">
                  <c:v>3.0807916590749773E-2</c:v>
                </c:pt>
                <c:pt idx="16">
                  <c:v>0.12607675043021252</c:v>
                </c:pt>
                <c:pt idx="17">
                  <c:v>0.12852422126181887</c:v>
                </c:pt>
                <c:pt idx="18">
                  <c:v>0.26050557948349989</c:v>
                </c:pt>
                <c:pt idx="19">
                  <c:v>0.2812775124541067</c:v>
                </c:pt>
                <c:pt idx="20">
                  <c:v>0.14446674233961579</c:v>
                </c:pt>
                <c:pt idx="21">
                  <c:v>0.29260978801284082</c:v>
                </c:pt>
                <c:pt idx="22">
                  <c:v>0.16609129728769936</c:v>
                </c:pt>
                <c:pt idx="23">
                  <c:v>0.11387562956900349</c:v>
                </c:pt>
                <c:pt idx="24">
                  <c:v>6.9415368329235103E-2</c:v>
                </c:pt>
                <c:pt idx="25">
                  <c:v>0.17545430062169429</c:v>
                </c:pt>
                <c:pt idx="26">
                  <c:v>0.19940976264741994</c:v>
                </c:pt>
                <c:pt idx="27">
                  <c:v>0.31761830779118755</c:v>
                </c:pt>
                <c:pt idx="28">
                  <c:v>0.42355423987697061</c:v>
                </c:pt>
                <c:pt idx="29">
                  <c:v>0.70539014712413439</c:v>
                </c:pt>
                <c:pt idx="30">
                  <c:v>7.7340652736366727E-2</c:v>
                </c:pt>
                <c:pt idx="31">
                  <c:v>3.1325817343531646E-2</c:v>
                </c:pt>
                <c:pt idx="32">
                  <c:v>3.8284281382029432E-2</c:v>
                </c:pt>
                <c:pt idx="33">
                  <c:v>7.0028250077893858E-2</c:v>
                </c:pt>
                <c:pt idx="34">
                  <c:v>0.10711922777547944</c:v>
                </c:pt>
                <c:pt idx="35">
                  <c:v>0.26536169700120943</c:v>
                </c:pt>
                <c:pt idx="36">
                  <c:v>0.35591996268247644</c:v>
                </c:pt>
                <c:pt idx="37">
                  <c:v>0.16252195500671424</c:v>
                </c:pt>
                <c:pt idx="38">
                  <c:v>0.14938832178445419</c:v>
                </c:pt>
                <c:pt idx="39">
                  <c:v>0.13901272839956672</c:v>
                </c:pt>
                <c:pt idx="40">
                  <c:v>0.20070317514817268</c:v>
                </c:pt>
                <c:pt idx="41">
                  <c:v>0.21752551560347205</c:v>
                </c:pt>
                <c:pt idx="42">
                  <c:v>0.26583732133410298</c:v>
                </c:pt>
                <c:pt idx="43">
                  <c:v>0.28347883133889185</c:v>
                </c:pt>
                <c:pt idx="44">
                  <c:v>0.16776665506597618</c:v>
                </c:pt>
                <c:pt idx="45">
                  <c:v>0.26963122274609469</c:v>
                </c:pt>
                <c:pt idx="46">
                  <c:v>0.28618077743569525</c:v>
                </c:pt>
                <c:pt idx="47">
                  <c:v>0.19746349074075642</c:v>
                </c:pt>
                <c:pt idx="48">
                  <c:v>0.4659225562465667</c:v>
                </c:pt>
                <c:pt idx="49">
                  <c:v>0.20689742359528326</c:v>
                </c:pt>
                <c:pt idx="50">
                  <c:v>0.14201417172609457</c:v>
                </c:pt>
                <c:pt idx="51">
                  <c:v>0.1349837903713865</c:v>
                </c:pt>
                <c:pt idx="52">
                  <c:v>0.26702224407337277</c:v>
                </c:pt>
                <c:pt idx="53">
                  <c:v>0.13521275781513142</c:v>
                </c:pt>
                <c:pt idx="54">
                  <c:v>7.0325973812321418E-2</c:v>
                </c:pt>
                <c:pt idx="55">
                  <c:v>0.34143117120936822</c:v>
                </c:pt>
                <c:pt idx="56">
                  <c:v>0.31352943972887914</c:v>
                </c:pt>
                <c:pt idx="57">
                  <c:v>0.2952086815124953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Plotter_charts!$L$2:$L$3</c:f>
              <c:strCache>
                <c:ptCount val="2"/>
                <c:pt idx="0">
                  <c:v>Weekend</c:v>
                </c:pt>
                <c:pt idx="1">
                  <c:v>evening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Plotter_charts!$H$4:$H$61</c:f>
              <c:numCache>
                <c:formatCode>@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Plotter_charts!$L$4:$L$61</c:f>
              <c:numCache>
                <c:formatCode>0.00</c:formatCode>
                <c:ptCount val="58"/>
                <c:pt idx="0">
                  <c:v>0.26822846978190251</c:v>
                </c:pt>
                <c:pt idx="1">
                  <c:v>0.71669300755970999</c:v>
                </c:pt>
                <c:pt idx="2">
                  <c:v>0.2971924320812403</c:v>
                </c:pt>
                <c:pt idx="3">
                  <c:v>0.45922952522391797</c:v>
                </c:pt>
                <c:pt idx="4">
                  <c:v>0.64907554786768207</c:v>
                </c:pt>
                <c:pt idx="5">
                  <c:v>0.27305534127309894</c:v>
                </c:pt>
                <c:pt idx="6">
                  <c:v>0.21581619539479527</c:v>
                </c:pt>
                <c:pt idx="7">
                  <c:v>0.28763875105659614</c:v>
                </c:pt>
                <c:pt idx="8">
                  <c:v>0.71723852465793192</c:v>
                </c:pt>
                <c:pt idx="9">
                  <c:v>0.77300319168926779</c:v>
                </c:pt>
                <c:pt idx="10">
                  <c:v>0.37619668946377866</c:v>
                </c:pt>
                <c:pt idx="11">
                  <c:v>0.71883713937378946</c:v>
                </c:pt>
                <c:pt idx="12">
                  <c:v>0.6038849308934402</c:v>
                </c:pt>
                <c:pt idx="13">
                  <c:v>0.50994648483688687</c:v>
                </c:pt>
                <c:pt idx="14">
                  <c:v>0.32846894885769473</c:v>
                </c:pt>
                <c:pt idx="15">
                  <c:v>8.1638633184725709E-2</c:v>
                </c:pt>
                <c:pt idx="16">
                  <c:v>0.3921443889816949</c:v>
                </c:pt>
                <c:pt idx="17">
                  <c:v>0.38511107571832265</c:v>
                </c:pt>
                <c:pt idx="18">
                  <c:v>0.44878722091558981</c:v>
                </c:pt>
                <c:pt idx="19">
                  <c:v>0.38174684459657127</c:v>
                </c:pt>
                <c:pt idx="20">
                  <c:v>0.35279329602552606</c:v>
                </c:pt>
                <c:pt idx="21">
                  <c:v>0.47858925509437666</c:v>
                </c:pt>
                <c:pt idx="22">
                  <c:v>0.61018971391181998</c:v>
                </c:pt>
                <c:pt idx="23">
                  <c:v>0.31255685141136663</c:v>
                </c:pt>
                <c:pt idx="24">
                  <c:v>0.20811130701726541</c:v>
                </c:pt>
                <c:pt idx="25">
                  <c:v>0.62294916141167767</c:v>
                </c:pt>
                <c:pt idx="26">
                  <c:v>1.2196886799682685</c:v>
                </c:pt>
                <c:pt idx="27">
                  <c:v>0.60223280252300837</c:v>
                </c:pt>
                <c:pt idx="28">
                  <c:v>0.64745788128622983</c:v>
                </c:pt>
                <c:pt idx="29">
                  <c:v>0.77384305153732313</c:v>
                </c:pt>
                <c:pt idx="30">
                  <c:v>0.24204723667263112</c:v>
                </c:pt>
                <c:pt idx="31">
                  <c:v>0.12401593047330668</c:v>
                </c:pt>
                <c:pt idx="32">
                  <c:v>0.12100384038266804</c:v>
                </c:pt>
                <c:pt idx="33">
                  <c:v>0.18579116137012072</c:v>
                </c:pt>
                <c:pt idx="34">
                  <c:v>0.24539506565161925</c:v>
                </c:pt>
                <c:pt idx="35">
                  <c:v>0.52821587159445327</c:v>
                </c:pt>
                <c:pt idx="36">
                  <c:v>0.84267111548945794</c:v>
                </c:pt>
                <c:pt idx="37">
                  <c:v>0.53765639948546173</c:v>
                </c:pt>
                <c:pt idx="38">
                  <c:v>0.40092996128618558</c:v>
                </c:pt>
                <c:pt idx="39">
                  <c:v>0.34053197863022461</c:v>
                </c:pt>
                <c:pt idx="40">
                  <c:v>0.59565250787386892</c:v>
                </c:pt>
                <c:pt idx="41">
                  <c:v>0.62037445249248235</c:v>
                </c:pt>
                <c:pt idx="42">
                  <c:v>0.47531604077302231</c:v>
                </c:pt>
                <c:pt idx="43">
                  <c:v>0.45671026510879603</c:v>
                </c:pt>
                <c:pt idx="44">
                  <c:v>0.44134206087960165</c:v>
                </c:pt>
                <c:pt idx="45">
                  <c:v>0.43569199569797062</c:v>
                </c:pt>
                <c:pt idx="46">
                  <c:v>0.61514509097685788</c:v>
                </c:pt>
                <c:pt idx="47">
                  <c:v>0.4586445371086188</c:v>
                </c:pt>
                <c:pt idx="48">
                  <c:v>0.92184958311292775</c:v>
                </c:pt>
                <c:pt idx="49">
                  <c:v>0.37522622220861773</c:v>
                </c:pt>
                <c:pt idx="50">
                  <c:v>0.32602829599560279</c:v>
                </c:pt>
                <c:pt idx="51">
                  <c:v>0.17681401187220983</c:v>
                </c:pt>
                <c:pt idx="52">
                  <c:v>0.46611414914705329</c:v>
                </c:pt>
                <c:pt idx="53">
                  <c:v>0.39765325003887253</c:v>
                </c:pt>
                <c:pt idx="54">
                  <c:v>0.23573979628563801</c:v>
                </c:pt>
                <c:pt idx="55">
                  <c:v>0.9602108935767607</c:v>
                </c:pt>
                <c:pt idx="56">
                  <c:v>0.59262346953794831</c:v>
                </c:pt>
                <c:pt idx="57">
                  <c:v>0.59523753822892156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693424"/>
        <c:axId val="380687544"/>
      </c:scatterChart>
      <c:valAx>
        <c:axId val="380693424"/>
        <c:scaling>
          <c:orientation val="minMax"/>
          <c:max val="5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Routes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687544"/>
        <c:crosses val="autoZero"/>
        <c:crossBetween val="midCat"/>
        <c:majorUnit val="2"/>
      </c:valAx>
      <c:valAx>
        <c:axId val="38068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Delay, min/km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69342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3297895725716"/>
          <c:y val="5.0925925925925923E-2"/>
          <c:w val="0.8389186810836895"/>
          <c:h val="0.61271507728200647"/>
        </c:manualLayout>
      </c:layout>
      <c:scatterChart>
        <c:scatterStyle val="lineMarker"/>
        <c:varyColors val="0"/>
        <c:ser>
          <c:idx val="0"/>
          <c:order val="0"/>
          <c:tx>
            <c:strRef>
              <c:f>Plotter_charts!$Z$1</c:f>
              <c:strCache>
                <c:ptCount val="1"/>
                <c:pt idx="0">
                  <c:v>Average speed week AM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Plotter_charts!$Y$3:$Y$60</c:f>
              <c:numCache>
                <c:formatCode>@</c:formatCode>
                <c:ptCount val="5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</c:numCache>
            </c:numRef>
          </c:xVal>
          <c:yVal>
            <c:numRef>
              <c:f>Plotter_charts!$Z$3:$Z$60</c:f>
              <c:numCache>
                <c:formatCode>0.00</c:formatCode>
                <c:ptCount val="58"/>
                <c:pt idx="0">
                  <c:v>19.959515782166868</c:v>
                </c:pt>
                <c:pt idx="1">
                  <c:v>30.531993903042043</c:v>
                </c:pt>
                <c:pt idx="2">
                  <c:v>33.639355990846582</c:v>
                </c:pt>
                <c:pt idx="3">
                  <c:v>29.744219035732623</c:v>
                </c:pt>
                <c:pt idx="4">
                  <c:v>34.294388699065863</c:v>
                </c:pt>
                <c:pt idx="5">
                  <c:v>35.206843624867382</c:v>
                </c:pt>
                <c:pt idx="6">
                  <c:v>28.710313213120628</c:v>
                </c:pt>
                <c:pt idx="7">
                  <c:v>23.79289994440115</c:v>
                </c:pt>
                <c:pt idx="8">
                  <c:v>23.446394169362058</c:v>
                </c:pt>
                <c:pt idx="9">
                  <c:v>28.736021809299654</c:v>
                </c:pt>
                <c:pt idx="10">
                  <c:v>21.635491004312172</c:v>
                </c:pt>
                <c:pt idx="11">
                  <c:v>21.254473370663312</c:v>
                </c:pt>
                <c:pt idx="12">
                  <c:v>25.135854884701516</c:v>
                </c:pt>
                <c:pt idx="13">
                  <c:v>34.425443765312437</c:v>
                </c:pt>
                <c:pt idx="14">
                  <c:v>48.42425657075789</c:v>
                </c:pt>
                <c:pt idx="15">
                  <c:v>30.680469036769448</c:v>
                </c:pt>
                <c:pt idx="16">
                  <c:v>30.199373676013728</c:v>
                </c:pt>
                <c:pt idx="17">
                  <c:v>22.824015406453078</c:v>
                </c:pt>
                <c:pt idx="18">
                  <c:v>22.914728067247896</c:v>
                </c:pt>
                <c:pt idx="19">
                  <c:v>24.609957245879524</c:v>
                </c:pt>
                <c:pt idx="20">
                  <c:v>25.349661339360591</c:v>
                </c:pt>
                <c:pt idx="21">
                  <c:v>22.170939197817553</c:v>
                </c:pt>
                <c:pt idx="22">
                  <c:v>24.894929956782192</c:v>
                </c:pt>
                <c:pt idx="23">
                  <c:v>28.022214343508569</c:v>
                </c:pt>
                <c:pt idx="24">
                  <c:v>24.389656566301134</c:v>
                </c:pt>
                <c:pt idx="25">
                  <c:v>26.463398983739847</c:v>
                </c:pt>
                <c:pt idx="26">
                  <c:v>22.850934957336975</c:v>
                </c:pt>
                <c:pt idx="27">
                  <c:v>21.493276285263896</c:v>
                </c:pt>
                <c:pt idx="28">
                  <c:v>17.161867373805514</c:v>
                </c:pt>
                <c:pt idx="29">
                  <c:v>31.872476927900898</c:v>
                </c:pt>
                <c:pt idx="30">
                  <c:v>52.047070188441566</c:v>
                </c:pt>
                <c:pt idx="31">
                  <c:v>51.193418185086664</c:v>
                </c:pt>
                <c:pt idx="32">
                  <c:v>49.292206358728698</c:v>
                </c:pt>
                <c:pt idx="33">
                  <c:v>24.020842887491938</c:v>
                </c:pt>
                <c:pt idx="34">
                  <c:v>30.20605964461199</c:v>
                </c:pt>
                <c:pt idx="35">
                  <c:v>21.914652018131438</c:v>
                </c:pt>
                <c:pt idx="36">
                  <c:v>26.539756223420078</c:v>
                </c:pt>
                <c:pt idx="37">
                  <c:v>28.535230272844341</c:v>
                </c:pt>
                <c:pt idx="38">
                  <c:v>30.255481043232152</c:v>
                </c:pt>
                <c:pt idx="39">
                  <c:v>22.652638338215048</c:v>
                </c:pt>
                <c:pt idx="40">
                  <c:v>23.379014305364187</c:v>
                </c:pt>
                <c:pt idx="41">
                  <c:v>26.877516956188707</c:v>
                </c:pt>
                <c:pt idx="42">
                  <c:v>20.162161403760383</c:v>
                </c:pt>
                <c:pt idx="43">
                  <c:v>25.993935788251243</c:v>
                </c:pt>
                <c:pt idx="44">
                  <c:v>24.135469654552015</c:v>
                </c:pt>
                <c:pt idx="45">
                  <c:v>19.301197888504724</c:v>
                </c:pt>
                <c:pt idx="46">
                  <c:v>24.413476017105619</c:v>
                </c:pt>
                <c:pt idx="47">
                  <c:v>23.201124364654696</c:v>
                </c:pt>
                <c:pt idx="48">
                  <c:v>26.913268230359158</c:v>
                </c:pt>
                <c:pt idx="49">
                  <c:v>29.664464468205388</c:v>
                </c:pt>
                <c:pt idx="50">
                  <c:v>31.640027471165268</c:v>
                </c:pt>
                <c:pt idx="51">
                  <c:v>23.88103465711772</c:v>
                </c:pt>
                <c:pt idx="52">
                  <c:v>22.924769807139548</c:v>
                </c:pt>
                <c:pt idx="53">
                  <c:v>39.571176853113045</c:v>
                </c:pt>
                <c:pt idx="54">
                  <c:v>19.737093757887379</c:v>
                </c:pt>
                <c:pt idx="55">
                  <c:v>23.235081263719774</c:v>
                </c:pt>
                <c:pt idx="56">
                  <c:v>25.080936253675681</c:v>
                </c:pt>
                <c:pt idx="57">
                  <c:v>27.789873060363103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Plotter_charts!$AA$1</c:f>
              <c:strCache>
                <c:ptCount val="1"/>
                <c:pt idx="0">
                  <c:v>Average speed week 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Plotter_charts!$Y$3:$Y$60</c:f>
              <c:numCache>
                <c:formatCode>@</c:formatCode>
                <c:ptCount val="5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</c:numCache>
            </c:numRef>
          </c:xVal>
          <c:yVal>
            <c:numRef>
              <c:f>Plotter_charts!$AA$3:$AA$60</c:f>
              <c:numCache>
                <c:formatCode>0.00</c:formatCode>
                <c:ptCount val="58"/>
                <c:pt idx="0">
                  <c:v>15.271608073745719</c:v>
                </c:pt>
                <c:pt idx="1">
                  <c:v>25.201486858770515</c:v>
                </c:pt>
                <c:pt idx="2">
                  <c:v>28.203368766889479</c:v>
                </c:pt>
                <c:pt idx="3">
                  <c:v>22.087859992230616</c:v>
                </c:pt>
                <c:pt idx="4">
                  <c:v>32.172395051162489</c:v>
                </c:pt>
                <c:pt idx="5">
                  <c:v>33.857791884240385</c:v>
                </c:pt>
                <c:pt idx="6">
                  <c:v>27.8240332676584</c:v>
                </c:pt>
                <c:pt idx="7">
                  <c:v>22.510029885456994</c:v>
                </c:pt>
                <c:pt idx="8">
                  <c:v>20.345280343519185</c:v>
                </c:pt>
                <c:pt idx="9">
                  <c:v>24.863237195759886</c:v>
                </c:pt>
                <c:pt idx="10">
                  <c:v>18.638626040052902</c:v>
                </c:pt>
                <c:pt idx="11">
                  <c:v>18.269318719907925</c:v>
                </c:pt>
                <c:pt idx="12">
                  <c:v>20.52088123584404</c:v>
                </c:pt>
                <c:pt idx="13">
                  <c:v>29.712455245910622</c:v>
                </c:pt>
                <c:pt idx="14">
                  <c:v>37.875769168927732</c:v>
                </c:pt>
                <c:pt idx="15">
                  <c:v>23.871439639018313</c:v>
                </c:pt>
                <c:pt idx="16">
                  <c:v>22.93395295506819</c:v>
                </c:pt>
                <c:pt idx="17">
                  <c:v>23.506017756751969</c:v>
                </c:pt>
                <c:pt idx="18">
                  <c:v>24.560227504331337</c:v>
                </c:pt>
                <c:pt idx="19">
                  <c:v>24.402577708016594</c:v>
                </c:pt>
                <c:pt idx="20">
                  <c:v>22.090441166675777</c:v>
                </c:pt>
                <c:pt idx="21">
                  <c:v>16.861041728322288</c:v>
                </c:pt>
                <c:pt idx="22">
                  <c:v>21.886093317244256</c:v>
                </c:pt>
                <c:pt idx="23">
                  <c:v>23.739239551062099</c:v>
                </c:pt>
                <c:pt idx="24">
                  <c:v>14.607077626469152</c:v>
                </c:pt>
                <c:pt idx="25">
                  <c:v>19.002910513223352</c:v>
                </c:pt>
                <c:pt idx="26">
                  <c:v>19.130438103205961</c:v>
                </c:pt>
                <c:pt idx="27">
                  <c:v>22.428226737169567</c:v>
                </c:pt>
                <c:pt idx="28">
                  <c:v>22.307108673359057</c:v>
                </c:pt>
                <c:pt idx="29">
                  <c:v>27.319161022379529</c:v>
                </c:pt>
                <c:pt idx="30">
                  <c:v>40.878605895229576</c:v>
                </c:pt>
                <c:pt idx="31">
                  <c:v>39.63024458832983</c:v>
                </c:pt>
                <c:pt idx="32">
                  <c:v>39.394317593721254</c:v>
                </c:pt>
                <c:pt idx="33">
                  <c:v>22.185042923289338</c:v>
                </c:pt>
                <c:pt idx="34">
                  <c:v>24.437150007794809</c:v>
                </c:pt>
                <c:pt idx="35">
                  <c:v>15.732310698263944</c:v>
                </c:pt>
                <c:pt idx="36">
                  <c:v>20.2174033930417</c:v>
                </c:pt>
                <c:pt idx="37">
                  <c:v>24.598567175242188</c:v>
                </c:pt>
                <c:pt idx="38">
                  <c:v>25.495504431840651</c:v>
                </c:pt>
                <c:pt idx="39">
                  <c:v>18.272456386611907</c:v>
                </c:pt>
                <c:pt idx="40">
                  <c:v>19.512914498664156</c:v>
                </c:pt>
                <c:pt idx="41">
                  <c:v>22.328104941722053</c:v>
                </c:pt>
                <c:pt idx="42">
                  <c:v>19.321249223420782</c:v>
                </c:pt>
                <c:pt idx="43">
                  <c:v>20.424572441967928</c:v>
                </c:pt>
                <c:pt idx="44">
                  <c:v>20.288399630116338</c:v>
                </c:pt>
                <c:pt idx="45">
                  <c:v>16.400075392971292</c:v>
                </c:pt>
                <c:pt idx="46">
                  <c:v>20.51622835643759</c:v>
                </c:pt>
                <c:pt idx="47">
                  <c:v>18.357525000024562</c:v>
                </c:pt>
                <c:pt idx="48">
                  <c:v>24.42157357679941</c:v>
                </c:pt>
                <c:pt idx="49">
                  <c:v>27.663124580832864</c:v>
                </c:pt>
                <c:pt idx="50">
                  <c:v>30.785378744359985</c:v>
                </c:pt>
                <c:pt idx="51">
                  <c:v>22.185969777940691</c:v>
                </c:pt>
                <c:pt idx="52">
                  <c:v>25.616928059265593</c:v>
                </c:pt>
                <c:pt idx="53">
                  <c:v>36.356096464979899</c:v>
                </c:pt>
                <c:pt idx="54">
                  <c:v>16.32323409915913</c:v>
                </c:pt>
                <c:pt idx="55">
                  <c:v>18.623848351093997</c:v>
                </c:pt>
                <c:pt idx="56">
                  <c:v>19.078244516928642</c:v>
                </c:pt>
                <c:pt idx="57">
                  <c:v>23.823676621149126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Plotter_charts!$AB$1</c:f>
              <c:strCache>
                <c:ptCount val="1"/>
                <c:pt idx="0">
                  <c:v>Average speed weekend AM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Plotter_charts!$Y$3:$Y$60</c:f>
              <c:numCache>
                <c:formatCode>@</c:formatCode>
                <c:ptCount val="5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</c:numCache>
            </c:numRef>
          </c:xVal>
          <c:yVal>
            <c:numRef>
              <c:f>Plotter_charts!$AB$3:$AB$60</c:f>
              <c:numCache>
                <c:formatCode>0.00</c:formatCode>
                <c:ptCount val="58"/>
                <c:pt idx="0">
                  <c:v>23.482379682012933</c:v>
                </c:pt>
                <c:pt idx="1">
                  <c:v>33.1504174879693</c:v>
                </c:pt>
                <c:pt idx="2">
                  <c:v>36.022258784918684</c:v>
                </c:pt>
                <c:pt idx="3">
                  <c:v>32.953960482422694</c:v>
                </c:pt>
                <c:pt idx="4">
                  <c:v>37.646420233784454</c:v>
                </c:pt>
                <c:pt idx="5">
                  <c:v>36.697944379892007</c:v>
                </c:pt>
                <c:pt idx="6">
                  <c:v>32.153543921728492</c:v>
                </c:pt>
                <c:pt idx="7">
                  <c:v>32.535043681158307</c:v>
                </c:pt>
                <c:pt idx="8">
                  <c:v>30.709392176061485</c:v>
                </c:pt>
                <c:pt idx="9">
                  <c:v>40.539485880520942</c:v>
                </c:pt>
                <c:pt idx="10">
                  <c:v>31.083362723665779</c:v>
                </c:pt>
                <c:pt idx="11">
                  <c:v>31.694166901045708</c:v>
                </c:pt>
                <c:pt idx="12">
                  <c:v>31.87359937204053</c:v>
                </c:pt>
                <c:pt idx="13">
                  <c:v>43.696441013080694</c:v>
                </c:pt>
                <c:pt idx="14">
                  <c:v>52.441077536520218</c:v>
                </c:pt>
                <c:pt idx="15">
                  <c:v>38.221785946201067</c:v>
                </c:pt>
                <c:pt idx="16">
                  <c:v>35.197156486019338</c:v>
                </c:pt>
                <c:pt idx="17">
                  <c:v>28.474179132541654</c:v>
                </c:pt>
                <c:pt idx="18">
                  <c:v>28.045434831067269</c:v>
                </c:pt>
                <c:pt idx="19">
                  <c:v>33.088096959261136</c:v>
                </c:pt>
                <c:pt idx="20">
                  <c:v>32.047385308223397</c:v>
                </c:pt>
                <c:pt idx="21">
                  <c:v>29.509781090516871</c:v>
                </c:pt>
                <c:pt idx="22">
                  <c:v>32.077763737112811</c:v>
                </c:pt>
                <c:pt idx="23">
                  <c:v>30.547530726616731</c:v>
                </c:pt>
                <c:pt idx="24">
                  <c:v>29.885403438445579</c:v>
                </c:pt>
                <c:pt idx="25">
                  <c:v>31.276650132892772</c:v>
                </c:pt>
                <c:pt idx="26">
                  <c:v>26.037448298548032</c:v>
                </c:pt>
                <c:pt idx="27">
                  <c:v>30.240963108610075</c:v>
                </c:pt>
                <c:pt idx="28">
                  <c:v>25.070110273410677</c:v>
                </c:pt>
                <c:pt idx="29">
                  <c:v>37.414497532471522</c:v>
                </c:pt>
                <c:pt idx="30">
                  <c:v>53.989567293074835</c:v>
                </c:pt>
                <c:pt idx="31">
                  <c:v>53.998986592858749</c:v>
                </c:pt>
                <c:pt idx="32">
                  <c:v>52.784611874430745</c:v>
                </c:pt>
                <c:pt idx="33">
                  <c:v>30.038422019133293</c:v>
                </c:pt>
                <c:pt idx="34">
                  <c:v>34.910207419591501</c:v>
                </c:pt>
                <c:pt idx="35">
                  <c:v>25.784997879862999</c:v>
                </c:pt>
                <c:pt idx="36">
                  <c:v>28.067848144417511</c:v>
                </c:pt>
                <c:pt idx="37">
                  <c:v>30.179598804499943</c:v>
                </c:pt>
                <c:pt idx="38">
                  <c:v>31.315384800043873</c:v>
                </c:pt>
                <c:pt idx="39">
                  <c:v>29.874594178603616</c:v>
                </c:pt>
                <c:pt idx="40">
                  <c:v>28.62963338216078</c:v>
                </c:pt>
                <c:pt idx="41">
                  <c:v>30.085531020704316</c:v>
                </c:pt>
                <c:pt idx="42">
                  <c:v>24.499378222713318</c:v>
                </c:pt>
                <c:pt idx="43">
                  <c:v>30.616728627409728</c:v>
                </c:pt>
                <c:pt idx="44">
                  <c:v>27.306701753544051</c:v>
                </c:pt>
                <c:pt idx="45">
                  <c:v>28.367075591865177</c:v>
                </c:pt>
                <c:pt idx="46">
                  <c:v>28.881373977169602</c:v>
                </c:pt>
                <c:pt idx="47">
                  <c:v>27.037143918369701</c:v>
                </c:pt>
                <c:pt idx="48">
                  <c:v>28.895294726560675</c:v>
                </c:pt>
                <c:pt idx="49">
                  <c:v>33.371745134884421</c:v>
                </c:pt>
                <c:pt idx="50">
                  <c:v>33.676639412058641</c:v>
                </c:pt>
                <c:pt idx="51">
                  <c:v>26.386714657992087</c:v>
                </c:pt>
                <c:pt idx="52">
                  <c:v>37.800810526057447</c:v>
                </c:pt>
                <c:pt idx="53">
                  <c:v>48.504734819413969</c:v>
                </c:pt>
                <c:pt idx="54">
                  <c:v>27.325691829369344</c:v>
                </c:pt>
                <c:pt idx="55">
                  <c:v>27.665162665043699</c:v>
                </c:pt>
                <c:pt idx="56">
                  <c:v>28.365995527730419</c:v>
                </c:pt>
                <c:pt idx="57">
                  <c:v>33.010473761267356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Plotter_charts!$AC$1</c:f>
              <c:strCache>
                <c:ptCount val="1"/>
                <c:pt idx="0">
                  <c:v>Average speed weekend 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Plotter_charts!$Y$3:$Y$60</c:f>
              <c:numCache>
                <c:formatCode>@</c:formatCode>
                <c:ptCount val="5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</c:numCache>
            </c:numRef>
          </c:xVal>
          <c:yVal>
            <c:numRef>
              <c:f>Plotter_charts!$AC$3:$AC$60</c:f>
              <c:numCache>
                <c:formatCode>0.00</c:formatCode>
                <c:ptCount val="58"/>
                <c:pt idx="0">
                  <c:v>20.909134393516013</c:v>
                </c:pt>
                <c:pt idx="1">
                  <c:v>30.042172720169493</c:v>
                </c:pt>
                <c:pt idx="2">
                  <c:v>30.940122981611445</c:v>
                </c:pt>
                <c:pt idx="3">
                  <c:v>26.693244140498987</c:v>
                </c:pt>
                <c:pt idx="4">
                  <c:v>34.754630218874844</c:v>
                </c:pt>
                <c:pt idx="5">
                  <c:v>34.066312809503721</c:v>
                </c:pt>
                <c:pt idx="6">
                  <c:v>29.874259661775646</c:v>
                </c:pt>
                <c:pt idx="7">
                  <c:v>25.761237815984423</c:v>
                </c:pt>
                <c:pt idx="8">
                  <c:v>24.261998610286867</c:v>
                </c:pt>
                <c:pt idx="9">
                  <c:v>36.895905881953531</c:v>
                </c:pt>
                <c:pt idx="10">
                  <c:v>25.543065521317466</c:v>
                </c:pt>
                <c:pt idx="11">
                  <c:v>26.450844059879834</c:v>
                </c:pt>
                <c:pt idx="12">
                  <c:v>27.537833279953809</c:v>
                </c:pt>
                <c:pt idx="13">
                  <c:v>37.807842078501778</c:v>
                </c:pt>
                <c:pt idx="14">
                  <c:v>50.210382905324209</c:v>
                </c:pt>
                <c:pt idx="15">
                  <c:v>32.682355317712769</c:v>
                </c:pt>
                <c:pt idx="16">
                  <c:v>30.592422005630286</c:v>
                </c:pt>
                <c:pt idx="17">
                  <c:v>26.138621352658269</c:v>
                </c:pt>
                <c:pt idx="18">
                  <c:v>26.787448860270409</c:v>
                </c:pt>
                <c:pt idx="19">
                  <c:v>29.678471332922062</c:v>
                </c:pt>
                <c:pt idx="20">
                  <c:v>29.151585526259296</c:v>
                </c:pt>
                <c:pt idx="21">
                  <c:v>24.219696077972209</c:v>
                </c:pt>
                <c:pt idx="22">
                  <c:v>28.997613416858982</c:v>
                </c:pt>
                <c:pt idx="23">
                  <c:v>28.532730727626081</c:v>
                </c:pt>
                <c:pt idx="24">
                  <c:v>24.438286727856998</c:v>
                </c:pt>
                <c:pt idx="25">
                  <c:v>20.417587799280518</c:v>
                </c:pt>
                <c:pt idx="26">
                  <c:v>23.175080511741246</c:v>
                </c:pt>
                <c:pt idx="27">
                  <c:v>27.174313822438254</c:v>
                </c:pt>
                <c:pt idx="28">
                  <c:v>24.372993166418908</c:v>
                </c:pt>
                <c:pt idx="29">
                  <c:v>33.929684749603879</c:v>
                </c:pt>
                <c:pt idx="30">
                  <c:v>49.833227685296151</c:v>
                </c:pt>
                <c:pt idx="31">
                  <c:v>50.257505953723694</c:v>
                </c:pt>
                <c:pt idx="32">
                  <c:v>47.905804616231492</c:v>
                </c:pt>
                <c:pt idx="33">
                  <c:v>28.093601279193795</c:v>
                </c:pt>
                <c:pt idx="34">
                  <c:v>30.279338938841327</c:v>
                </c:pt>
                <c:pt idx="35">
                  <c:v>21.324344064675063</c:v>
                </c:pt>
                <c:pt idx="36">
                  <c:v>23.877634962342512</c:v>
                </c:pt>
                <c:pt idx="37">
                  <c:v>26.790024146330346</c:v>
                </c:pt>
                <c:pt idx="38">
                  <c:v>28.335161950692584</c:v>
                </c:pt>
                <c:pt idx="39">
                  <c:v>24.965206661727102</c:v>
                </c:pt>
                <c:pt idx="40">
                  <c:v>24.013643777256767</c:v>
                </c:pt>
                <c:pt idx="41">
                  <c:v>27.225789245228462</c:v>
                </c:pt>
                <c:pt idx="42">
                  <c:v>22.880911294876213</c:v>
                </c:pt>
                <c:pt idx="43">
                  <c:v>26.866212539595757</c:v>
                </c:pt>
                <c:pt idx="44">
                  <c:v>25.387975071929844</c:v>
                </c:pt>
                <c:pt idx="45">
                  <c:v>24.548989449761116</c:v>
                </c:pt>
                <c:pt idx="46">
                  <c:v>25.655887009738109</c:v>
                </c:pt>
                <c:pt idx="47">
                  <c:v>22.429098789634274</c:v>
                </c:pt>
                <c:pt idx="48">
                  <c:v>26.728540986726809</c:v>
                </c:pt>
                <c:pt idx="49">
                  <c:v>30.273333775794526</c:v>
                </c:pt>
                <c:pt idx="50">
                  <c:v>32.904105157876941</c:v>
                </c:pt>
                <c:pt idx="51">
                  <c:v>24.262388372580631</c:v>
                </c:pt>
                <c:pt idx="52">
                  <c:v>32.437551524133269</c:v>
                </c:pt>
                <c:pt idx="53">
                  <c:v>42.783602033386082</c:v>
                </c:pt>
                <c:pt idx="54">
                  <c:v>21.318056118206989</c:v>
                </c:pt>
                <c:pt idx="55">
                  <c:v>24.510939080102457</c:v>
                </c:pt>
                <c:pt idx="56">
                  <c:v>24.842277022572951</c:v>
                </c:pt>
                <c:pt idx="57">
                  <c:v>29.194196934875592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687936"/>
        <c:axId val="380687152"/>
      </c:scatterChart>
      <c:valAx>
        <c:axId val="380687936"/>
        <c:scaling>
          <c:orientation val="minMax"/>
          <c:max val="5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Routes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687152"/>
        <c:crosses val="autoZero"/>
        <c:crossBetween val="midCat"/>
        <c:majorUnit val="2"/>
      </c:valAx>
      <c:valAx>
        <c:axId val="38068715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/>
                  <a:t>Average speed, km/h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68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238126</xdr:colOff>
      <xdr:row>64</xdr:row>
      <xdr:rowOff>38100</xdr:rowOff>
    </xdr:from>
    <xdr:to>
      <xdr:col>59</xdr:col>
      <xdr:colOff>9525</xdr:colOff>
      <xdr:row>83</xdr:row>
      <xdr:rowOff>142875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285750</xdr:colOff>
      <xdr:row>66</xdr:row>
      <xdr:rowOff>90486</xdr:rowOff>
    </xdr:from>
    <xdr:to>
      <xdr:col>46</xdr:col>
      <xdr:colOff>514350</xdr:colOff>
      <xdr:row>83</xdr:row>
      <xdr:rowOff>76199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476248</xdr:colOff>
      <xdr:row>8</xdr:row>
      <xdr:rowOff>119060</xdr:rowOff>
    </xdr:from>
    <xdr:to>
      <xdr:col>14</xdr:col>
      <xdr:colOff>371475</xdr:colOff>
      <xdr:row>38</xdr:row>
      <xdr:rowOff>104775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304801</xdr:colOff>
      <xdr:row>2</xdr:row>
      <xdr:rowOff>66674</xdr:rowOff>
    </xdr:from>
    <xdr:to>
      <xdr:col>21</xdr:col>
      <xdr:colOff>47625</xdr:colOff>
      <xdr:row>29</xdr:row>
      <xdr:rowOff>152399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63</xdr:row>
      <xdr:rowOff>90487</xdr:rowOff>
    </xdr:from>
    <xdr:to>
      <xdr:col>20</xdr:col>
      <xdr:colOff>161925</xdr:colOff>
      <xdr:row>80</xdr:row>
      <xdr:rowOff>142875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23813</xdr:rowOff>
    </xdr:from>
    <xdr:to>
      <xdr:col>8</xdr:col>
      <xdr:colOff>604836</xdr:colOff>
      <xdr:row>84</xdr:row>
      <xdr:rowOff>166688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543716</xdr:colOff>
      <xdr:row>102</xdr:row>
      <xdr:rowOff>177272</xdr:rowOff>
    </xdr:from>
    <xdr:to>
      <xdr:col>19</xdr:col>
      <xdr:colOff>537103</xdr:colOff>
      <xdr:row>120</xdr:row>
      <xdr:rowOff>149888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295014</xdr:colOff>
      <xdr:row>99</xdr:row>
      <xdr:rowOff>175950</xdr:rowOff>
    </xdr:from>
    <xdr:to>
      <xdr:col>16</xdr:col>
      <xdr:colOff>654847</xdr:colOff>
      <xdr:row>119</xdr:row>
      <xdr:rowOff>116418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49324</xdr:colOff>
      <xdr:row>64</xdr:row>
      <xdr:rowOff>78410</xdr:rowOff>
    </xdr:from>
    <xdr:to>
      <xdr:col>28</xdr:col>
      <xdr:colOff>394606</xdr:colOff>
      <xdr:row>78</xdr:row>
      <xdr:rowOff>154610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86</xdr:row>
      <xdr:rowOff>35718</xdr:rowOff>
    </xdr:from>
    <xdr:to>
      <xdr:col>10</xdr:col>
      <xdr:colOff>928687</xdr:colOff>
      <xdr:row>101</xdr:row>
      <xdr:rowOff>115489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845342</xdr:colOff>
      <xdr:row>62</xdr:row>
      <xdr:rowOff>51197</xdr:rowOff>
    </xdr:from>
    <xdr:to>
      <xdr:col>12</xdr:col>
      <xdr:colOff>535780</xdr:colOff>
      <xdr:row>77</xdr:row>
      <xdr:rowOff>154781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587374</xdr:colOff>
      <xdr:row>63</xdr:row>
      <xdr:rowOff>128587</xdr:rowOff>
    </xdr:from>
    <xdr:to>
      <xdr:col>30</xdr:col>
      <xdr:colOff>285750</xdr:colOff>
      <xdr:row>88</xdr:row>
      <xdr:rowOff>79375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49</xdr:row>
      <xdr:rowOff>9526</xdr:rowOff>
    </xdr:from>
    <xdr:to>
      <xdr:col>10</xdr:col>
      <xdr:colOff>381001</xdr:colOff>
      <xdr:row>70</xdr:row>
      <xdr:rowOff>9526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438149</xdr:colOff>
      <xdr:row>44</xdr:row>
      <xdr:rowOff>80962</xdr:rowOff>
    </xdr:from>
    <xdr:to>
      <xdr:col>21</xdr:col>
      <xdr:colOff>85725</xdr:colOff>
      <xdr:row>62</xdr:row>
      <xdr:rowOff>57150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171448</xdr:colOff>
      <xdr:row>39</xdr:row>
      <xdr:rowOff>61911</xdr:rowOff>
    </xdr:from>
    <xdr:to>
      <xdr:col>34</xdr:col>
      <xdr:colOff>485774</xdr:colOff>
      <xdr:row>59</xdr:row>
      <xdr:rowOff>38100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9"/>
  <sheetViews>
    <sheetView tabSelected="1" topLeftCell="A479" workbookViewId="0">
      <selection activeCell="A508" sqref="A508"/>
    </sheetView>
  </sheetViews>
  <sheetFormatPr defaultRowHeight="15" x14ac:dyDescent="0.25"/>
  <cols>
    <col min="1" max="1" width="11.5703125" style="5" customWidth="1"/>
    <col min="3" max="3" width="37" customWidth="1"/>
    <col min="4" max="4" width="36.140625" customWidth="1"/>
    <col min="5" max="5" width="18.28515625" customWidth="1"/>
    <col min="6" max="6" width="22.28515625" customWidth="1"/>
    <col min="7" max="7" width="14.140625" customWidth="1"/>
  </cols>
  <sheetData>
    <row r="1" spans="1:8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74</v>
      </c>
    </row>
    <row r="2" spans="1:8" x14ac:dyDescent="0.25">
      <c r="A2" s="5">
        <v>45810.291666666664</v>
      </c>
      <c r="B2">
        <v>1</v>
      </c>
      <c r="C2" t="s">
        <v>6</v>
      </c>
      <c r="D2" t="s">
        <v>7</v>
      </c>
      <c r="E2">
        <v>1.53</v>
      </c>
      <c r="F2">
        <v>2.75</v>
      </c>
      <c r="G2" s="8">
        <f>E2*60/F2</f>
        <v>33.381818181818183</v>
      </c>
      <c r="H2" s="8"/>
    </row>
    <row r="3" spans="1:8" x14ac:dyDescent="0.25">
      <c r="A3" s="5">
        <v>45810.291666666664</v>
      </c>
      <c r="B3">
        <v>2</v>
      </c>
      <c r="C3" t="s">
        <v>7</v>
      </c>
      <c r="D3" t="s">
        <v>8</v>
      </c>
      <c r="E3">
        <v>1.57</v>
      </c>
      <c r="F3">
        <v>3.82</v>
      </c>
      <c r="G3" s="8">
        <f t="shared" ref="G3:G66" si="0">E3*60/F3</f>
        <v>24.659685863874348</v>
      </c>
      <c r="H3" s="8"/>
    </row>
    <row r="4" spans="1:8" x14ac:dyDescent="0.25">
      <c r="A4" s="5">
        <v>45810.291666666664</v>
      </c>
      <c r="B4">
        <v>3</v>
      </c>
      <c r="C4" t="s">
        <v>8</v>
      </c>
      <c r="D4" t="s">
        <v>9</v>
      </c>
      <c r="E4">
        <v>1.5</v>
      </c>
      <c r="F4">
        <v>2.63</v>
      </c>
      <c r="G4" s="8">
        <f t="shared" si="0"/>
        <v>34.220532319391637</v>
      </c>
      <c r="H4" s="8"/>
    </row>
    <row r="5" spans="1:8" x14ac:dyDescent="0.25">
      <c r="A5" s="5">
        <v>45810.291666666664</v>
      </c>
      <c r="B5">
        <v>4</v>
      </c>
      <c r="C5" t="s">
        <v>9</v>
      </c>
      <c r="D5" t="s">
        <v>10</v>
      </c>
      <c r="E5">
        <v>1.5</v>
      </c>
      <c r="F5">
        <v>2.38</v>
      </c>
      <c r="G5" s="8">
        <f t="shared" si="0"/>
        <v>37.815126050420169</v>
      </c>
      <c r="H5" s="8"/>
    </row>
    <row r="6" spans="1:8" x14ac:dyDescent="0.25">
      <c r="A6" s="5">
        <v>45810.291666666664</v>
      </c>
      <c r="B6">
        <v>5</v>
      </c>
      <c r="C6" t="s">
        <v>10</v>
      </c>
      <c r="D6" t="s">
        <v>11</v>
      </c>
      <c r="E6">
        <v>1.52</v>
      </c>
      <c r="F6">
        <v>2.7</v>
      </c>
      <c r="G6" s="8">
        <f t="shared" si="0"/>
        <v>33.777777777777779</v>
      </c>
      <c r="H6" s="8"/>
    </row>
    <row r="7" spans="1:8" x14ac:dyDescent="0.25">
      <c r="A7" s="5">
        <v>45810.291666666664</v>
      </c>
      <c r="B7">
        <v>6</v>
      </c>
      <c r="C7" t="s">
        <v>11</v>
      </c>
      <c r="D7" t="s">
        <v>12</v>
      </c>
      <c r="E7">
        <v>1.5</v>
      </c>
      <c r="F7">
        <v>2.48</v>
      </c>
      <c r="G7" s="8">
        <f t="shared" si="0"/>
        <v>36.29032258064516</v>
      </c>
    </row>
    <row r="8" spans="1:8" x14ac:dyDescent="0.25">
      <c r="A8" s="5">
        <v>45810.291666666664</v>
      </c>
      <c r="B8">
        <v>7</v>
      </c>
      <c r="C8" t="s">
        <v>12</v>
      </c>
      <c r="D8" t="s">
        <v>13</v>
      </c>
      <c r="E8">
        <v>1.54</v>
      </c>
      <c r="F8">
        <v>2.5</v>
      </c>
      <c r="G8" s="8">
        <f t="shared" si="0"/>
        <v>36.96</v>
      </c>
    </row>
    <row r="9" spans="1:8" x14ac:dyDescent="0.25">
      <c r="A9" s="5">
        <v>45810.291666666664</v>
      </c>
      <c r="B9">
        <v>8</v>
      </c>
      <c r="C9" t="s">
        <v>13</v>
      </c>
      <c r="D9" t="s">
        <v>14</v>
      </c>
      <c r="E9">
        <v>1.54</v>
      </c>
      <c r="F9">
        <v>2.68</v>
      </c>
      <c r="G9" s="8">
        <f t="shared" si="0"/>
        <v>34.477611940298509</v>
      </c>
    </row>
    <row r="10" spans="1:8" x14ac:dyDescent="0.25">
      <c r="A10" s="5">
        <v>45810.291666666664</v>
      </c>
      <c r="B10">
        <v>9</v>
      </c>
      <c r="C10" t="s">
        <v>14</v>
      </c>
      <c r="D10" t="s">
        <v>15</v>
      </c>
      <c r="E10">
        <v>1.52</v>
      </c>
      <c r="F10">
        <v>2.6</v>
      </c>
      <c r="G10" s="8">
        <f t="shared" si="0"/>
        <v>35.07692307692308</v>
      </c>
    </row>
    <row r="11" spans="1:8" x14ac:dyDescent="0.25">
      <c r="A11" s="5">
        <v>45810.291666666664</v>
      </c>
      <c r="B11">
        <v>10</v>
      </c>
      <c r="C11" t="s">
        <v>15</v>
      </c>
      <c r="D11" t="s">
        <v>16</v>
      </c>
      <c r="E11">
        <v>1.5</v>
      </c>
      <c r="F11">
        <v>2.75</v>
      </c>
      <c r="G11" s="8">
        <f t="shared" si="0"/>
        <v>32.727272727272727</v>
      </c>
    </row>
    <row r="12" spans="1:8" x14ac:dyDescent="0.25">
      <c r="A12" s="5">
        <v>45810.291666666664</v>
      </c>
      <c r="B12">
        <v>11</v>
      </c>
      <c r="C12" t="s">
        <v>16</v>
      </c>
      <c r="D12" t="s">
        <v>17</v>
      </c>
      <c r="E12">
        <v>1.48</v>
      </c>
      <c r="F12">
        <v>2.2200000000000002</v>
      </c>
      <c r="G12" s="8">
        <f t="shared" si="0"/>
        <v>39.999999999999993</v>
      </c>
    </row>
    <row r="13" spans="1:8" x14ac:dyDescent="0.25">
      <c r="A13" s="5">
        <v>45810.291666666664</v>
      </c>
      <c r="B13">
        <v>12</v>
      </c>
      <c r="C13" t="s">
        <v>17</v>
      </c>
      <c r="D13" t="s">
        <v>18</v>
      </c>
      <c r="E13">
        <v>1.46</v>
      </c>
      <c r="F13">
        <v>2.68</v>
      </c>
      <c r="G13" s="8">
        <f t="shared" si="0"/>
        <v>32.686567164179102</v>
      </c>
    </row>
    <row r="14" spans="1:8" x14ac:dyDescent="0.25">
      <c r="A14" s="5">
        <v>45810.291666666664</v>
      </c>
      <c r="B14">
        <v>13</v>
      </c>
      <c r="C14" t="s">
        <v>18</v>
      </c>
      <c r="D14" t="s">
        <v>19</v>
      </c>
      <c r="E14">
        <v>1.52</v>
      </c>
      <c r="F14">
        <v>3</v>
      </c>
      <c r="G14" s="8">
        <f t="shared" si="0"/>
        <v>30.400000000000002</v>
      </c>
    </row>
    <row r="15" spans="1:8" x14ac:dyDescent="0.25">
      <c r="A15" s="5">
        <v>45810.291666666664</v>
      </c>
      <c r="B15">
        <v>14</v>
      </c>
      <c r="C15" t="s">
        <v>19</v>
      </c>
      <c r="D15" t="s">
        <v>20</v>
      </c>
      <c r="E15">
        <v>1.51</v>
      </c>
      <c r="F15">
        <v>2.85</v>
      </c>
      <c r="G15" s="8">
        <f t="shared" si="0"/>
        <v>31.789473684210524</v>
      </c>
    </row>
    <row r="16" spans="1:8" x14ac:dyDescent="0.25">
      <c r="A16" s="5">
        <v>45810.291666666664</v>
      </c>
      <c r="B16">
        <v>15</v>
      </c>
      <c r="C16" t="s">
        <v>20</v>
      </c>
      <c r="D16" t="s">
        <v>21</v>
      </c>
      <c r="E16">
        <v>1.47</v>
      </c>
      <c r="F16">
        <v>1.95</v>
      </c>
      <c r="G16" s="8">
        <f t="shared" si="0"/>
        <v>45.230769230769234</v>
      </c>
    </row>
    <row r="17" spans="1:7" x14ac:dyDescent="0.25">
      <c r="A17" s="5">
        <v>45810.291666666664</v>
      </c>
      <c r="B17">
        <v>16</v>
      </c>
      <c r="C17" t="s">
        <v>21</v>
      </c>
      <c r="D17" t="s">
        <v>22</v>
      </c>
      <c r="E17">
        <v>1.5</v>
      </c>
      <c r="F17">
        <v>1.73</v>
      </c>
      <c r="G17" s="8">
        <f t="shared" si="0"/>
        <v>52.02312138728324</v>
      </c>
    </row>
    <row r="18" spans="1:7" x14ac:dyDescent="0.25">
      <c r="A18" s="5">
        <v>45810.291666666664</v>
      </c>
      <c r="B18">
        <v>17</v>
      </c>
      <c r="C18" t="s">
        <v>22</v>
      </c>
      <c r="D18" t="s">
        <v>23</v>
      </c>
      <c r="E18">
        <v>1.51</v>
      </c>
      <c r="F18">
        <v>2.2999999999999998</v>
      </c>
      <c r="G18" s="8">
        <f t="shared" si="0"/>
        <v>39.391304347826086</v>
      </c>
    </row>
    <row r="19" spans="1:7" x14ac:dyDescent="0.25">
      <c r="A19" s="5">
        <v>45810.291666666664</v>
      </c>
      <c r="B19">
        <v>18</v>
      </c>
      <c r="C19" t="s">
        <v>23</v>
      </c>
      <c r="D19" t="s">
        <v>24</v>
      </c>
      <c r="E19">
        <v>1.51</v>
      </c>
      <c r="F19">
        <v>2.35</v>
      </c>
      <c r="G19" s="8">
        <f t="shared" si="0"/>
        <v>38.553191489361701</v>
      </c>
    </row>
    <row r="20" spans="1:7" x14ac:dyDescent="0.25">
      <c r="A20" s="5">
        <v>45810.291666666664</v>
      </c>
      <c r="B20">
        <v>19</v>
      </c>
      <c r="C20" t="s">
        <v>25</v>
      </c>
      <c r="D20" t="s">
        <v>26</v>
      </c>
      <c r="E20">
        <v>1.5</v>
      </c>
      <c r="F20">
        <v>3.2</v>
      </c>
      <c r="G20" s="8">
        <f t="shared" si="0"/>
        <v>28.125</v>
      </c>
    </row>
    <row r="21" spans="1:7" x14ac:dyDescent="0.25">
      <c r="A21" s="5">
        <v>45810.291666666664</v>
      </c>
      <c r="B21">
        <v>20</v>
      </c>
      <c r="C21" t="s">
        <v>26</v>
      </c>
      <c r="D21" t="s">
        <v>27</v>
      </c>
      <c r="E21">
        <v>1.48</v>
      </c>
      <c r="F21">
        <v>3.07</v>
      </c>
      <c r="G21" s="8">
        <f t="shared" si="0"/>
        <v>28.925081433224758</v>
      </c>
    </row>
    <row r="22" spans="1:7" x14ac:dyDescent="0.25">
      <c r="A22" s="5">
        <v>45810.291666666664</v>
      </c>
      <c r="B22">
        <v>21</v>
      </c>
      <c r="C22" t="s">
        <v>27</v>
      </c>
      <c r="D22" t="s">
        <v>28</v>
      </c>
      <c r="E22">
        <v>1.51</v>
      </c>
      <c r="F22">
        <v>2.5299999999999998</v>
      </c>
      <c r="G22" s="8">
        <f t="shared" si="0"/>
        <v>35.810276679841898</v>
      </c>
    </row>
    <row r="23" spans="1:7" x14ac:dyDescent="0.25">
      <c r="A23" s="5">
        <v>45810.291666666664</v>
      </c>
      <c r="B23">
        <v>22</v>
      </c>
      <c r="C23" t="s">
        <v>28</v>
      </c>
      <c r="D23" t="s">
        <v>29</v>
      </c>
      <c r="E23">
        <v>1.57</v>
      </c>
      <c r="F23">
        <v>2.82</v>
      </c>
      <c r="G23" s="8">
        <f t="shared" si="0"/>
        <v>33.404255319148938</v>
      </c>
    </row>
    <row r="24" spans="1:7" x14ac:dyDescent="0.25">
      <c r="A24" s="5">
        <v>45810.291666666664</v>
      </c>
      <c r="B24">
        <v>23</v>
      </c>
      <c r="C24" t="s">
        <v>29</v>
      </c>
      <c r="D24" t="s">
        <v>30</v>
      </c>
      <c r="E24">
        <v>1.43</v>
      </c>
      <c r="F24">
        <v>2.8</v>
      </c>
      <c r="G24" s="8">
        <f t="shared" si="0"/>
        <v>30.642857142857142</v>
      </c>
    </row>
    <row r="25" spans="1:7" x14ac:dyDescent="0.25">
      <c r="A25" s="5">
        <v>45810.291666666664</v>
      </c>
      <c r="B25">
        <v>24</v>
      </c>
      <c r="C25" t="s">
        <v>30</v>
      </c>
      <c r="D25" t="s">
        <v>31</v>
      </c>
      <c r="E25">
        <v>1.52</v>
      </c>
      <c r="F25">
        <v>2.87</v>
      </c>
      <c r="G25" s="8">
        <f t="shared" si="0"/>
        <v>31.777003484320556</v>
      </c>
    </row>
    <row r="26" spans="1:7" x14ac:dyDescent="0.25">
      <c r="A26" s="5">
        <v>45810.291666666664</v>
      </c>
      <c r="B26">
        <v>25</v>
      </c>
      <c r="C26" t="s">
        <v>31</v>
      </c>
      <c r="D26" t="s">
        <v>32</v>
      </c>
      <c r="E26">
        <v>1.52</v>
      </c>
      <c r="F26">
        <v>2.93</v>
      </c>
      <c r="G26" s="8">
        <f t="shared" si="0"/>
        <v>31.126279863481226</v>
      </c>
    </row>
    <row r="27" spans="1:7" x14ac:dyDescent="0.25">
      <c r="A27" s="5">
        <v>45810.291666666664</v>
      </c>
      <c r="B27">
        <v>26</v>
      </c>
      <c r="C27" t="s">
        <v>32</v>
      </c>
      <c r="D27" t="s">
        <v>33</v>
      </c>
      <c r="E27">
        <v>1.49</v>
      </c>
      <c r="F27">
        <v>3.08</v>
      </c>
      <c r="G27" s="8">
        <f t="shared" si="0"/>
        <v>29.025974025974026</v>
      </c>
    </row>
    <row r="28" spans="1:7" x14ac:dyDescent="0.25">
      <c r="A28" s="5">
        <v>45810.291666666664</v>
      </c>
      <c r="B28">
        <v>27</v>
      </c>
      <c r="C28" t="s">
        <v>33</v>
      </c>
      <c r="D28" t="s">
        <v>34</v>
      </c>
      <c r="E28">
        <v>1.53</v>
      </c>
      <c r="F28">
        <v>2.92</v>
      </c>
      <c r="G28" s="8">
        <f t="shared" si="0"/>
        <v>31.43835616438356</v>
      </c>
    </row>
    <row r="29" spans="1:7" x14ac:dyDescent="0.25">
      <c r="A29" s="5">
        <v>45810.291666666664</v>
      </c>
      <c r="B29">
        <v>28</v>
      </c>
      <c r="C29" t="s">
        <v>34</v>
      </c>
      <c r="D29" t="s">
        <v>35</v>
      </c>
      <c r="E29">
        <v>1.51</v>
      </c>
      <c r="F29">
        <v>3.45</v>
      </c>
      <c r="G29" s="8">
        <f t="shared" si="0"/>
        <v>26.260869565217387</v>
      </c>
    </row>
    <row r="30" spans="1:7" x14ac:dyDescent="0.25">
      <c r="A30" s="5">
        <v>45810.291666666664</v>
      </c>
      <c r="B30">
        <v>29</v>
      </c>
      <c r="C30" t="s">
        <v>36</v>
      </c>
      <c r="D30" t="s">
        <v>37</v>
      </c>
      <c r="E30">
        <v>1.57</v>
      </c>
      <c r="F30">
        <v>3.02</v>
      </c>
      <c r="G30" s="8">
        <f t="shared" si="0"/>
        <v>31.192052980132452</v>
      </c>
    </row>
    <row r="31" spans="1:7" x14ac:dyDescent="0.25">
      <c r="A31" s="5">
        <v>45810.291666666664</v>
      </c>
      <c r="B31">
        <v>30</v>
      </c>
      <c r="C31" t="s">
        <v>37</v>
      </c>
      <c r="D31" t="s">
        <v>38</v>
      </c>
      <c r="E31">
        <v>1.57</v>
      </c>
      <c r="F31">
        <v>3.32</v>
      </c>
      <c r="G31" s="8">
        <f t="shared" si="0"/>
        <v>28.373493975903617</v>
      </c>
    </row>
    <row r="32" spans="1:7" x14ac:dyDescent="0.25">
      <c r="A32" s="5">
        <v>45810.291666666664</v>
      </c>
      <c r="B32">
        <v>31</v>
      </c>
      <c r="C32" t="s">
        <v>38</v>
      </c>
      <c r="D32" t="s">
        <v>39</v>
      </c>
      <c r="E32">
        <v>1.52</v>
      </c>
      <c r="F32">
        <v>2.4300000000000002</v>
      </c>
      <c r="G32" s="8">
        <f t="shared" si="0"/>
        <v>37.53086419753086</v>
      </c>
    </row>
    <row r="33" spans="1:7" x14ac:dyDescent="0.25">
      <c r="A33" s="5">
        <v>45810.291666666664</v>
      </c>
      <c r="B33">
        <v>32</v>
      </c>
      <c r="C33" t="s">
        <v>39</v>
      </c>
      <c r="D33" t="s">
        <v>40</v>
      </c>
      <c r="E33">
        <v>1.5</v>
      </c>
      <c r="F33">
        <v>1.63</v>
      </c>
      <c r="G33" s="8">
        <f t="shared" si="0"/>
        <v>55.214723926380373</v>
      </c>
    </row>
    <row r="34" spans="1:7" x14ac:dyDescent="0.25">
      <c r="A34" s="5">
        <v>45810.291666666664</v>
      </c>
      <c r="B34">
        <v>33</v>
      </c>
      <c r="C34" t="s">
        <v>40</v>
      </c>
      <c r="D34" t="s">
        <v>41</v>
      </c>
      <c r="E34">
        <v>1.51</v>
      </c>
      <c r="F34">
        <v>1.63</v>
      </c>
      <c r="G34" s="8">
        <f t="shared" si="0"/>
        <v>55.582822085889568</v>
      </c>
    </row>
    <row r="35" spans="1:7" x14ac:dyDescent="0.25">
      <c r="A35" s="5">
        <v>45810.291666666664</v>
      </c>
      <c r="B35">
        <v>34</v>
      </c>
      <c r="C35" t="s">
        <v>41</v>
      </c>
      <c r="D35" t="s">
        <v>42</v>
      </c>
      <c r="E35">
        <v>1.5</v>
      </c>
      <c r="F35">
        <v>1.7</v>
      </c>
      <c r="G35" s="8">
        <f t="shared" si="0"/>
        <v>52.941176470588239</v>
      </c>
    </row>
    <row r="36" spans="1:7" x14ac:dyDescent="0.25">
      <c r="A36" s="5">
        <v>45810.291666666664</v>
      </c>
      <c r="B36">
        <v>35</v>
      </c>
      <c r="C36" t="s">
        <v>43</v>
      </c>
      <c r="D36" t="s">
        <v>44</v>
      </c>
      <c r="E36">
        <v>1.55</v>
      </c>
      <c r="F36">
        <v>3.07</v>
      </c>
      <c r="G36" s="8">
        <f t="shared" si="0"/>
        <v>30.293159609120522</v>
      </c>
    </row>
    <row r="37" spans="1:7" x14ac:dyDescent="0.25">
      <c r="A37" s="5">
        <v>45810.291666666664</v>
      </c>
      <c r="B37">
        <v>36</v>
      </c>
      <c r="C37" t="s">
        <v>44</v>
      </c>
      <c r="D37" t="s">
        <v>45</v>
      </c>
      <c r="E37">
        <v>1.5</v>
      </c>
      <c r="F37">
        <v>2.57</v>
      </c>
      <c r="G37" s="8">
        <f t="shared" si="0"/>
        <v>35.019455252918291</v>
      </c>
    </row>
    <row r="38" spans="1:7" x14ac:dyDescent="0.25">
      <c r="A38" s="5">
        <v>45810.291666666664</v>
      </c>
      <c r="B38">
        <v>37</v>
      </c>
      <c r="C38" t="s">
        <v>45</v>
      </c>
      <c r="D38" t="s">
        <v>46</v>
      </c>
      <c r="E38">
        <v>1.38</v>
      </c>
      <c r="F38">
        <v>3.2</v>
      </c>
      <c r="G38" s="8">
        <f t="shared" si="0"/>
        <v>25.874999999999996</v>
      </c>
    </row>
    <row r="39" spans="1:7" x14ac:dyDescent="0.25">
      <c r="A39" s="5">
        <v>45810.291666666664</v>
      </c>
      <c r="B39">
        <v>38</v>
      </c>
      <c r="C39" t="s">
        <v>46</v>
      </c>
      <c r="D39" t="s">
        <v>47</v>
      </c>
      <c r="E39">
        <v>1.61</v>
      </c>
      <c r="F39">
        <v>3.33</v>
      </c>
      <c r="G39" s="8">
        <f t="shared" si="0"/>
        <v>29.009009009009009</v>
      </c>
    </row>
    <row r="40" spans="1:7" x14ac:dyDescent="0.25">
      <c r="A40" s="5">
        <v>45810.291666666664</v>
      </c>
      <c r="B40">
        <v>39</v>
      </c>
      <c r="C40" t="s">
        <v>47</v>
      </c>
      <c r="D40" t="s">
        <v>48</v>
      </c>
      <c r="E40">
        <v>1.55</v>
      </c>
      <c r="F40">
        <v>3.08</v>
      </c>
      <c r="G40" s="8">
        <f t="shared" si="0"/>
        <v>30.194805194805195</v>
      </c>
    </row>
    <row r="41" spans="1:7" x14ac:dyDescent="0.25">
      <c r="A41" s="5">
        <v>45810.291666666664</v>
      </c>
      <c r="B41">
        <v>40</v>
      </c>
      <c r="C41" t="s">
        <v>48</v>
      </c>
      <c r="D41" t="s">
        <v>49</v>
      </c>
      <c r="E41">
        <v>1.39</v>
      </c>
      <c r="F41">
        <v>2.57</v>
      </c>
      <c r="G41" s="8">
        <f t="shared" si="0"/>
        <v>32.451361867704279</v>
      </c>
    </row>
    <row r="42" spans="1:7" x14ac:dyDescent="0.25">
      <c r="A42" s="5">
        <v>45810.291666666664</v>
      </c>
      <c r="B42">
        <v>41</v>
      </c>
      <c r="C42" t="s">
        <v>50</v>
      </c>
      <c r="D42" t="s">
        <v>51</v>
      </c>
      <c r="E42">
        <v>1.56</v>
      </c>
      <c r="F42">
        <v>3.07</v>
      </c>
      <c r="G42" s="8">
        <f t="shared" si="0"/>
        <v>30.488599348534205</v>
      </c>
    </row>
    <row r="43" spans="1:7" x14ac:dyDescent="0.25">
      <c r="A43" s="5">
        <v>45810.291666666664</v>
      </c>
      <c r="B43">
        <v>42</v>
      </c>
      <c r="C43" t="s">
        <v>51</v>
      </c>
      <c r="D43" t="s">
        <v>52</v>
      </c>
      <c r="E43">
        <v>1.56</v>
      </c>
      <c r="F43">
        <v>3.17</v>
      </c>
      <c r="G43" s="8">
        <f t="shared" si="0"/>
        <v>29.526813880126188</v>
      </c>
    </row>
    <row r="44" spans="1:7" x14ac:dyDescent="0.25">
      <c r="A44" s="5">
        <v>45810.291666666664</v>
      </c>
      <c r="B44">
        <v>43</v>
      </c>
      <c r="C44" t="s">
        <v>52</v>
      </c>
      <c r="D44" t="s">
        <v>53</v>
      </c>
      <c r="E44">
        <v>1.51</v>
      </c>
      <c r="F44">
        <v>2.95</v>
      </c>
      <c r="G44" s="8">
        <f t="shared" si="0"/>
        <v>30.711864406779657</v>
      </c>
    </row>
    <row r="45" spans="1:7" x14ac:dyDescent="0.25">
      <c r="A45" s="5">
        <v>45810.291666666664</v>
      </c>
      <c r="B45">
        <v>44</v>
      </c>
      <c r="C45" t="s">
        <v>54</v>
      </c>
      <c r="D45" t="s">
        <v>55</v>
      </c>
      <c r="E45">
        <v>1.51</v>
      </c>
      <c r="F45">
        <v>3.73</v>
      </c>
      <c r="G45" s="8">
        <f t="shared" si="0"/>
        <v>24.289544235924932</v>
      </c>
    </row>
    <row r="46" spans="1:7" x14ac:dyDescent="0.25">
      <c r="A46" s="5">
        <v>45810.291666666664</v>
      </c>
      <c r="B46">
        <v>45</v>
      </c>
      <c r="C46" t="s">
        <v>55</v>
      </c>
      <c r="D46" t="s">
        <v>56</v>
      </c>
      <c r="E46">
        <v>1.49</v>
      </c>
      <c r="F46">
        <v>2.93</v>
      </c>
      <c r="G46" s="8">
        <f t="shared" si="0"/>
        <v>30.511945392491469</v>
      </c>
    </row>
    <row r="47" spans="1:7" x14ac:dyDescent="0.25">
      <c r="A47" s="5">
        <v>45810.291666666664</v>
      </c>
      <c r="B47">
        <v>46</v>
      </c>
      <c r="C47" t="s">
        <v>56</v>
      </c>
      <c r="D47" t="s">
        <v>57</v>
      </c>
      <c r="E47">
        <v>1.52</v>
      </c>
      <c r="F47">
        <v>3.4</v>
      </c>
      <c r="G47" s="8">
        <f t="shared" si="0"/>
        <v>26.823529411764707</v>
      </c>
    </row>
    <row r="48" spans="1:7" x14ac:dyDescent="0.25">
      <c r="A48" s="5">
        <v>45810.291666666664</v>
      </c>
      <c r="B48">
        <v>47</v>
      </c>
      <c r="C48" t="s">
        <v>58</v>
      </c>
      <c r="D48" t="s">
        <v>59</v>
      </c>
      <c r="E48">
        <v>1.52</v>
      </c>
      <c r="F48">
        <v>3.28</v>
      </c>
      <c r="G48" s="8">
        <f t="shared" si="0"/>
        <v>27.804878048780491</v>
      </c>
    </row>
    <row r="49" spans="1:7" x14ac:dyDescent="0.25">
      <c r="A49" s="5">
        <v>45810.291666666664</v>
      </c>
      <c r="B49">
        <v>48</v>
      </c>
      <c r="C49" t="s">
        <v>59</v>
      </c>
      <c r="D49" t="s">
        <v>60</v>
      </c>
      <c r="E49">
        <v>1.5</v>
      </c>
      <c r="F49">
        <v>2.97</v>
      </c>
      <c r="G49" s="8">
        <f t="shared" si="0"/>
        <v>30.303030303030301</v>
      </c>
    </row>
    <row r="50" spans="1:7" x14ac:dyDescent="0.25">
      <c r="A50" s="5">
        <v>45810.291666666664</v>
      </c>
      <c r="B50">
        <v>49</v>
      </c>
      <c r="C50" t="s">
        <v>60</v>
      </c>
      <c r="D50" t="s">
        <v>61</v>
      </c>
      <c r="E50">
        <v>1.54</v>
      </c>
      <c r="F50">
        <v>3.52</v>
      </c>
      <c r="G50" s="8">
        <f t="shared" si="0"/>
        <v>26.25</v>
      </c>
    </row>
    <row r="51" spans="1:7" x14ac:dyDescent="0.25">
      <c r="A51" s="5">
        <v>45810.291666666664</v>
      </c>
      <c r="B51">
        <v>50</v>
      </c>
      <c r="C51" t="s">
        <v>62</v>
      </c>
      <c r="D51" t="s">
        <v>63</v>
      </c>
      <c r="E51">
        <v>1.38</v>
      </c>
      <c r="F51">
        <v>2.73</v>
      </c>
      <c r="G51" s="8">
        <f t="shared" si="0"/>
        <v>30.329670329670328</v>
      </c>
    </row>
    <row r="52" spans="1:7" x14ac:dyDescent="0.25">
      <c r="A52" s="5">
        <v>45810.291666666664</v>
      </c>
      <c r="B52">
        <v>51</v>
      </c>
      <c r="C52" t="s">
        <v>63</v>
      </c>
      <c r="D52" t="s">
        <v>64</v>
      </c>
      <c r="E52">
        <v>2.79</v>
      </c>
      <c r="F52">
        <v>4.97</v>
      </c>
      <c r="G52" s="8">
        <f t="shared" si="0"/>
        <v>33.682092555331998</v>
      </c>
    </row>
    <row r="53" spans="1:7" x14ac:dyDescent="0.25">
      <c r="A53" s="5">
        <v>45810.291666666664</v>
      </c>
      <c r="B53">
        <v>52</v>
      </c>
      <c r="C53" t="s">
        <v>64</v>
      </c>
      <c r="D53" t="s">
        <v>65</v>
      </c>
      <c r="E53">
        <v>1.5</v>
      </c>
      <c r="F53">
        <v>2.42</v>
      </c>
      <c r="G53" s="8">
        <f t="shared" si="0"/>
        <v>37.190082644628099</v>
      </c>
    </row>
    <row r="54" spans="1:7" x14ac:dyDescent="0.25">
      <c r="A54" s="5">
        <v>45810.291666666664</v>
      </c>
      <c r="B54">
        <v>53</v>
      </c>
      <c r="C54" t="s">
        <v>65</v>
      </c>
      <c r="D54" t="s">
        <v>66</v>
      </c>
      <c r="E54">
        <v>1.46</v>
      </c>
      <c r="F54">
        <v>3.3</v>
      </c>
      <c r="G54" s="8">
        <f t="shared" si="0"/>
        <v>26.545454545454547</v>
      </c>
    </row>
    <row r="55" spans="1:7" x14ac:dyDescent="0.25">
      <c r="A55" s="5">
        <v>45810.291666666664</v>
      </c>
      <c r="B55">
        <v>54</v>
      </c>
      <c r="C55" t="s">
        <v>67</v>
      </c>
      <c r="D55" t="s">
        <v>68</v>
      </c>
      <c r="E55">
        <v>1.46</v>
      </c>
      <c r="F55">
        <v>1.98</v>
      </c>
      <c r="G55" s="8">
        <f t="shared" si="0"/>
        <v>44.242424242424242</v>
      </c>
    </row>
    <row r="56" spans="1:7" x14ac:dyDescent="0.25">
      <c r="A56" s="5">
        <v>45810.291666666664</v>
      </c>
      <c r="B56">
        <v>55</v>
      </c>
      <c r="C56" t="s">
        <v>68</v>
      </c>
      <c r="D56" t="s">
        <v>69</v>
      </c>
      <c r="E56">
        <v>1.5</v>
      </c>
      <c r="F56">
        <v>1.75</v>
      </c>
      <c r="G56" s="8">
        <f t="shared" si="0"/>
        <v>51.428571428571431</v>
      </c>
    </row>
    <row r="57" spans="1:7" x14ac:dyDescent="0.25">
      <c r="A57" s="5">
        <v>45810.291666666664</v>
      </c>
      <c r="B57">
        <v>56</v>
      </c>
      <c r="C57" t="s">
        <v>70</v>
      </c>
      <c r="D57" t="s">
        <v>71</v>
      </c>
      <c r="E57">
        <v>1.51</v>
      </c>
      <c r="F57">
        <v>3.33</v>
      </c>
      <c r="G57" s="8">
        <f t="shared" si="0"/>
        <v>27.207207207207205</v>
      </c>
    </row>
    <row r="58" spans="1:7" x14ac:dyDescent="0.25">
      <c r="A58" s="5">
        <v>45810.291666666664</v>
      </c>
      <c r="B58">
        <v>57</v>
      </c>
      <c r="C58" t="s">
        <v>71</v>
      </c>
      <c r="D58" t="s">
        <v>72</v>
      </c>
      <c r="E58">
        <v>1.52</v>
      </c>
      <c r="F58">
        <v>3.35</v>
      </c>
      <c r="G58" s="8">
        <f t="shared" si="0"/>
        <v>27.223880597014926</v>
      </c>
    </row>
    <row r="59" spans="1:7" x14ac:dyDescent="0.25">
      <c r="A59" s="5">
        <v>45810.291666666664</v>
      </c>
      <c r="B59">
        <v>58</v>
      </c>
      <c r="C59" t="s">
        <v>72</v>
      </c>
      <c r="D59" t="s">
        <v>73</v>
      </c>
      <c r="E59">
        <v>1.5</v>
      </c>
      <c r="F59">
        <v>3.07</v>
      </c>
      <c r="G59" s="8">
        <f t="shared" si="0"/>
        <v>29.31596091205212</v>
      </c>
    </row>
    <row r="60" spans="1:7" s="19" customFormat="1" x14ac:dyDescent="0.25">
      <c r="A60" s="5">
        <v>45810.302083333336</v>
      </c>
      <c r="B60" s="19">
        <v>1</v>
      </c>
      <c r="C60" s="19" t="s">
        <v>6</v>
      </c>
      <c r="D60" s="19" t="s">
        <v>7</v>
      </c>
      <c r="E60" s="19">
        <v>1.53</v>
      </c>
      <c r="F60" s="19">
        <v>2.82</v>
      </c>
      <c r="G60" s="20">
        <f t="shared" si="0"/>
        <v>32.553191489361701</v>
      </c>
    </row>
    <row r="61" spans="1:7" x14ac:dyDescent="0.25">
      <c r="A61" s="5">
        <v>45810.302083333336</v>
      </c>
      <c r="B61">
        <v>2</v>
      </c>
      <c r="C61" t="s">
        <v>7</v>
      </c>
      <c r="D61" t="s">
        <v>8</v>
      </c>
      <c r="E61">
        <v>1.57</v>
      </c>
      <c r="F61">
        <v>4.0999999999999996</v>
      </c>
      <c r="G61" s="8">
        <f t="shared" si="0"/>
        <v>22.975609756097565</v>
      </c>
    </row>
    <row r="62" spans="1:7" x14ac:dyDescent="0.25">
      <c r="A62" s="5">
        <v>45810.302083333299</v>
      </c>
      <c r="B62">
        <v>3</v>
      </c>
      <c r="C62" t="s">
        <v>8</v>
      </c>
      <c r="D62" t="s">
        <v>9</v>
      </c>
      <c r="E62">
        <v>1.5</v>
      </c>
      <c r="F62">
        <v>2.72</v>
      </c>
      <c r="G62" s="8">
        <f t="shared" si="0"/>
        <v>33.088235294117645</v>
      </c>
    </row>
    <row r="63" spans="1:7" x14ac:dyDescent="0.25">
      <c r="A63" s="5">
        <v>45810.302083333299</v>
      </c>
      <c r="B63">
        <v>4</v>
      </c>
      <c r="C63" t="s">
        <v>9</v>
      </c>
      <c r="D63" t="s">
        <v>10</v>
      </c>
      <c r="E63">
        <v>1.5</v>
      </c>
      <c r="F63">
        <v>2.35</v>
      </c>
      <c r="G63" s="8">
        <f t="shared" si="0"/>
        <v>38.297872340425528</v>
      </c>
    </row>
    <row r="64" spans="1:7" x14ac:dyDescent="0.25">
      <c r="A64" s="5">
        <v>45810.302083333299</v>
      </c>
      <c r="B64">
        <v>5</v>
      </c>
      <c r="C64" t="s">
        <v>10</v>
      </c>
      <c r="D64" t="s">
        <v>11</v>
      </c>
      <c r="E64">
        <v>1.52</v>
      </c>
      <c r="F64">
        <v>2.77</v>
      </c>
      <c r="G64" s="8">
        <f t="shared" si="0"/>
        <v>32.924187725631768</v>
      </c>
    </row>
    <row r="65" spans="1:7" x14ac:dyDescent="0.25">
      <c r="A65" s="5">
        <v>45810.302083333299</v>
      </c>
      <c r="B65">
        <v>6</v>
      </c>
      <c r="C65" t="s">
        <v>11</v>
      </c>
      <c r="D65" t="s">
        <v>12</v>
      </c>
      <c r="E65">
        <v>1.5</v>
      </c>
      <c r="F65">
        <v>2.4300000000000002</v>
      </c>
      <c r="G65" s="8">
        <f t="shared" si="0"/>
        <v>37.037037037037038</v>
      </c>
    </row>
    <row r="66" spans="1:7" x14ac:dyDescent="0.25">
      <c r="A66" s="5">
        <v>45810.302083333299</v>
      </c>
      <c r="B66">
        <v>7</v>
      </c>
      <c r="C66" t="s">
        <v>12</v>
      </c>
      <c r="D66" t="s">
        <v>13</v>
      </c>
      <c r="E66">
        <v>1.54</v>
      </c>
      <c r="F66">
        <v>2.5</v>
      </c>
      <c r="G66" s="8">
        <f t="shared" si="0"/>
        <v>36.96</v>
      </c>
    </row>
    <row r="67" spans="1:7" x14ac:dyDescent="0.25">
      <c r="A67" s="5">
        <v>45810.302083333299</v>
      </c>
      <c r="B67">
        <v>8</v>
      </c>
      <c r="C67" t="s">
        <v>13</v>
      </c>
      <c r="D67" t="s">
        <v>14</v>
      </c>
      <c r="E67">
        <v>1.54</v>
      </c>
      <c r="F67">
        <v>2.88</v>
      </c>
      <c r="G67" s="8">
        <f t="shared" ref="G67:G130" si="1">E67*60/F67</f>
        <v>32.083333333333336</v>
      </c>
    </row>
    <row r="68" spans="1:7" x14ac:dyDescent="0.25">
      <c r="A68" s="5">
        <v>45810.302083333299</v>
      </c>
      <c r="B68">
        <v>9</v>
      </c>
      <c r="C68" t="s">
        <v>14</v>
      </c>
      <c r="D68" t="s">
        <v>15</v>
      </c>
      <c r="E68">
        <v>1.52</v>
      </c>
      <c r="F68">
        <v>2.73</v>
      </c>
      <c r="G68" s="8">
        <f t="shared" si="1"/>
        <v>33.406593406593409</v>
      </c>
    </row>
    <row r="69" spans="1:7" x14ac:dyDescent="0.25">
      <c r="A69" s="5">
        <v>45810.302083333299</v>
      </c>
      <c r="B69">
        <v>10</v>
      </c>
      <c r="C69" t="s">
        <v>15</v>
      </c>
      <c r="D69" t="s">
        <v>16</v>
      </c>
      <c r="E69">
        <v>1.5</v>
      </c>
      <c r="F69">
        <v>2.95</v>
      </c>
      <c r="G69" s="8">
        <f t="shared" si="1"/>
        <v>30.508474576271183</v>
      </c>
    </row>
    <row r="70" spans="1:7" x14ac:dyDescent="0.25">
      <c r="A70" s="5">
        <v>45810.302083333299</v>
      </c>
      <c r="B70">
        <v>11</v>
      </c>
      <c r="C70" t="s">
        <v>16</v>
      </c>
      <c r="D70" t="s">
        <v>17</v>
      </c>
      <c r="E70">
        <v>1.48</v>
      </c>
      <c r="F70">
        <v>2.2799999999999998</v>
      </c>
      <c r="G70" s="8">
        <f t="shared" si="1"/>
        <v>38.947368421052637</v>
      </c>
    </row>
    <row r="71" spans="1:7" x14ac:dyDescent="0.25">
      <c r="A71" s="5">
        <v>45810.302083333299</v>
      </c>
      <c r="B71">
        <v>12</v>
      </c>
      <c r="C71" t="s">
        <v>17</v>
      </c>
      <c r="D71" t="s">
        <v>18</v>
      </c>
      <c r="E71">
        <v>1.46</v>
      </c>
      <c r="F71">
        <v>2.9</v>
      </c>
      <c r="G71" s="8">
        <f t="shared" si="1"/>
        <v>30.206896551724135</v>
      </c>
    </row>
    <row r="72" spans="1:7" x14ac:dyDescent="0.25">
      <c r="A72" s="5">
        <v>45810.302083333299</v>
      </c>
      <c r="B72">
        <v>13</v>
      </c>
      <c r="C72" t="s">
        <v>18</v>
      </c>
      <c r="D72" t="s">
        <v>19</v>
      </c>
      <c r="E72">
        <v>1.52</v>
      </c>
      <c r="F72">
        <v>3.63</v>
      </c>
      <c r="G72" s="8">
        <f t="shared" si="1"/>
        <v>25.123966942148762</v>
      </c>
    </row>
    <row r="73" spans="1:7" x14ac:dyDescent="0.25">
      <c r="A73" s="5">
        <v>45810.302083333299</v>
      </c>
      <c r="B73">
        <v>14</v>
      </c>
      <c r="C73" t="s">
        <v>19</v>
      </c>
      <c r="D73" t="s">
        <v>20</v>
      </c>
      <c r="E73">
        <v>1.51</v>
      </c>
      <c r="F73">
        <v>2.97</v>
      </c>
      <c r="G73" s="8">
        <f t="shared" si="1"/>
        <v>30.505050505050502</v>
      </c>
    </row>
    <row r="74" spans="1:7" x14ac:dyDescent="0.25">
      <c r="A74" s="5">
        <v>45810.302083333299</v>
      </c>
      <c r="B74">
        <v>15</v>
      </c>
      <c r="C74" t="s">
        <v>20</v>
      </c>
      <c r="D74" t="s">
        <v>21</v>
      </c>
      <c r="E74">
        <v>1.47</v>
      </c>
      <c r="F74">
        <v>2.15</v>
      </c>
      <c r="G74" s="8">
        <f t="shared" si="1"/>
        <v>41.02325581395349</v>
      </c>
    </row>
    <row r="75" spans="1:7" x14ac:dyDescent="0.25">
      <c r="A75" s="5">
        <v>45810.302083333299</v>
      </c>
      <c r="B75">
        <v>16</v>
      </c>
      <c r="C75" t="s">
        <v>21</v>
      </c>
      <c r="D75" t="s">
        <v>22</v>
      </c>
      <c r="E75">
        <v>1.5</v>
      </c>
      <c r="F75">
        <v>1.75</v>
      </c>
      <c r="G75" s="8">
        <f t="shared" si="1"/>
        <v>51.428571428571431</v>
      </c>
    </row>
    <row r="76" spans="1:7" x14ac:dyDescent="0.25">
      <c r="A76" s="5">
        <v>45810.302083333299</v>
      </c>
      <c r="B76">
        <v>17</v>
      </c>
      <c r="C76" t="s">
        <v>22</v>
      </c>
      <c r="D76" t="s">
        <v>23</v>
      </c>
      <c r="E76">
        <v>1.51</v>
      </c>
      <c r="F76">
        <v>2.4500000000000002</v>
      </c>
      <c r="G76" s="8">
        <f t="shared" si="1"/>
        <v>36.979591836734691</v>
      </c>
    </row>
    <row r="77" spans="1:7" x14ac:dyDescent="0.25">
      <c r="A77" s="5">
        <v>45810.302083333299</v>
      </c>
      <c r="B77">
        <v>18</v>
      </c>
      <c r="C77" t="s">
        <v>23</v>
      </c>
      <c r="D77" t="s">
        <v>24</v>
      </c>
      <c r="E77">
        <v>1.51</v>
      </c>
      <c r="F77">
        <v>2.57</v>
      </c>
      <c r="G77" s="8">
        <f t="shared" si="1"/>
        <v>35.252918287937746</v>
      </c>
    </row>
    <row r="78" spans="1:7" x14ac:dyDescent="0.25">
      <c r="A78" s="5">
        <v>45810.302083333299</v>
      </c>
      <c r="B78">
        <v>19</v>
      </c>
      <c r="C78" t="s">
        <v>25</v>
      </c>
      <c r="D78" t="s">
        <v>26</v>
      </c>
      <c r="E78">
        <v>1.5</v>
      </c>
      <c r="F78">
        <v>3.12</v>
      </c>
      <c r="G78" s="8">
        <f t="shared" si="1"/>
        <v>28.846153846153847</v>
      </c>
    </row>
    <row r="79" spans="1:7" x14ac:dyDescent="0.25">
      <c r="A79" s="5">
        <v>45810.302083333299</v>
      </c>
      <c r="B79">
        <v>20</v>
      </c>
      <c r="C79" t="s">
        <v>26</v>
      </c>
      <c r="D79" t="s">
        <v>27</v>
      </c>
      <c r="E79">
        <v>1.48</v>
      </c>
      <c r="F79">
        <v>3.15</v>
      </c>
      <c r="G79" s="8">
        <f t="shared" si="1"/>
        <v>28.19047619047619</v>
      </c>
    </row>
    <row r="80" spans="1:7" x14ac:dyDescent="0.25">
      <c r="A80" s="5">
        <v>45810.302083333299</v>
      </c>
      <c r="B80">
        <v>21</v>
      </c>
      <c r="C80" t="s">
        <v>27</v>
      </c>
      <c r="D80" t="s">
        <v>28</v>
      </c>
      <c r="E80">
        <v>1.51</v>
      </c>
      <c r="F80">
        <v>2.8</v>
      </c>
      <c r="G80" s="8">
        <f t="shared" si="1"/>
        <v>32.357142857142854</v>
      </c>
    </row>
    <row r="81" spans="1:7" x14ac:dyDescent="0.25">
      <c r="A81" s="5">
        <v>45810.302083333299</v>
      </c>
      <c r="B81">
        <v>22</v>
      </c>
      <c r="C81" t="s">
        <v>28</v>
      </c>
      <c r="D81" t="s">
        <v>29</v>
      </c>
      <c r="E81">
        <v>1.57</v>
      </c>
      <c r="F81">
        <v>3.17</v>
      </c>
      <c r="G81" s="8">
        <f t="shared" si="1"/>
        <v>29.71608832807571</v>
      </c>
    </row>
    <row r="82" spans="1:7" x14ac:dyDescent="0.25">
      <c r="A82" s="5">
        <v>45810.302083333299</v>
      </c>
      <c r="B82">
        <v>23</v>
      </c>
      <c r="C82" t="s">
        <v>29</v>
      </c>
      <c r="D82" t="s">
        <v>30</v>
      </c>
      <c r="E82">
        <v>1.43</v>
      </c>
      <c r="F82">
        <v>3</v>
      </c>
      <c r="G82" s="8">
        <f t="shared" si="1"/>
        <v>28.599999999999998</v>
      </c>
    </row>
    <row r="83" spans="1:7" x14ac:dyDescent="0.25">
      <c r="A83" s="5">
        <v>45810.302083333299</v>
      </c>
      <c r="B83">
        <v>24</v>
      </c>
      <c r="C83" t="s">
        <v>30</v>
      </c>
      <c r="D83" t="s">
        <v>31</v>
      </c>
      <c r="E83">
        <v>1.52</v>
      </c>
      <c r="F83">
        <v>3.38</v>
      </c>
      <c r="G83" s="8">
        <f t="shared" si="1"/>
        <v>26.982248520710062</v>
      </c>
    </row>
    <row r="84" spans="1:7" x14ac:dyDescent="0.25">
      <c r="A84" s="5">
        <v>45810.302083333299</v>
      </c>
      <c r="B84">
        <v>25</v>
      </c>
      <c r="C84" t="s">
        <v>31</v>
      </c>
      <c r="D84" t="s">
        <v>32</v>
      </c>
      <c r="E84">
        <v>1.52</v>
      </c>
      <c r="F84">
        <v>2.98</v>
      </c>
      <c r="G84" s="8">
        <f t="shared" si="1"/>
        <v>30.604026845637584</v>
      </c>
    </row>
    <row r="85" spans="1:7" x14ac:dyDescent="0.25">
      <c r="A85" s="5">
        <v>45810.302083333299</v>
      </c>
      <c r="B85">
        <v>26</v>
      </c>
      <c r="C85" t="s">
        <v>32</v>
      </c>
      <c r="D85" t="s">
        <v>33</v>
      </c>
      <c r="E85">
        <v>1.49</v>
      </c>
      <c r="F85">
        <v>3.05</v>
      </c>
      <c r="G85" s="8">
        <f t="shared" si="1"/>
        <v>29.311475409836071</v>
      </c>
    </row>
    <row r="86" spans="1:7" x14ac:dyDescent="0.25">
      <c r="A86" s="5">
        <v>45810.302083333299</v>
      </c>
      <c r="B86">
        <v>27</v>
      </c>
      <c r="C86" t="s">
        <v>33</v>
      </c>
      <c r="D86" t="s">
        <v>34</v>
      </c>
      <c r="E86">
        <v>1.53</v>
      </c>
      <c r="F86">
        <v>2.92</v>
      </c>
      <c r="G86" s="8">
        <f t="shared" si="1"/>
        <v>31.43835616438356</v>
      </c>
    </row>
    <row r="87" spans="1:7" x14ac:dyDescent="0.25">
      <c r="A87" s="5">
        <v>45810.302083333299</v>
      </c>
      <c r="B87">
        <v>28</v>
      </c>
      <c r="C87" t="s">
        <v>34</v>
      </c>
      <c r="D87" t="s">
        <v>35</v>
      </c>
      <c r="E87">
        <v>1.51</v>
      </c>
      <c r="F87">
        <v>3.43</v>
      </c>
      <c r="G87" s="8">
        <f t="shared" si="1"/>
        <v>26.413994169096206</v>
      </c>
    </row>
    <row r="88" spans="1:7" x14ac:dyDescent="0.25">
      <c r="A88" s="5">
        <v>45810.302083333299</v>
      </c>
      <c r="B88">
        <v>29</v>
      </c>
      <c r="C88" t="s">
        <v>36</v>
      </c>
      <c r="D88" t="s">
        <v>37</v>
      </c>
      <c r="E88">
        <v>1.57</v>
      </c>
      <c r="F88">
        <v>3.33</v>
      </c>
      <c r="G88" s="8">
        <f t="shared" si="1"/>
        <v>28.288288288288289</v>
      </c>
    </row>
    <row r="89" spans="1:7" x14ac:dyDescent="0.25">
      <c r="A89" s="5">
        <v>45810.302083333299</v>
      </c>
      <c r="B89">
        <v>30</v>
      </c>
      <c r="C89" t="s">
        <v>37</v>
      </c>
      <c r="D89" t="s">
        <v>38</v>
      </c>
      <c r="E89">
        <v>1.57</v>
      </c>
      <c r="F89">
        <v>3.97</v>
      </c>
      <c r="G89" s="8">
        <f t="shared" si="1"/>
        <v>23.727959697732999</v>
      </c>
    </row>
    <row r="90" spans="1:7" x14ac:dyDescent="0.25">
      <c r="A90" s="5">
        <v>45810.302083333299</v>
      </c>
      <c r="B90">
        <v>31</v>
      </c>
      <c r="C90" t="s">
        <v>38</v>
      </c>
      <c r="D90" t="s">
        <v>39</v>
      </c>
      <c r="E90">
        <v>1.52</v>
      </c>
      <c r="F90">
        <v>2.65</v>
      </c>
      <c r="G90" s="8">
        <f t="shared" si="1"/>
        <v>34.415094339622641</v>
      </c>
    </row>
    <row r="91" spans="1:7" x14ac:dyDescent="0.25">
      <c r="A91" s="5">
        <v>45810.302083333299</v>
      </c>
      <c r="B91">
        <v>32</v>
      </c>
      <c r="C91" t="s">
        <v>39</v>
      </c>
      <c r="D91" t="s">
        <v>40</v>
      </c>
      <c r="E91">
        <v>1.5</v>
      </c>
      <c r="F91">
        <v>1.63</v>
      </c>
      <c r="G91" s="8">
        <f t="shared" si="1"/>
        <v>55.214723926380373</v>
      </c>
    </row>
    <row r="92" spans="1:7" x14ac:dyDescent="0.25">
      <c r="A92" s="5">
        <v>45810.302083333299</v>
      </c>
      <c r="B92">
        <v>33</v>
      </c>
      <c r="C92" t="s">
        <v>40</v>
      </c>
      <c r="D92" t="s">
        <v>41</v>
      </c>
      <c r="E92">
        <v>1.51</v>
      </c>
      <c r="F92">
        <v>1.62</v>
      </c>
      <c r="G92" s="8">
        <f t="shared" si="1"/>
        <v>55.925925925925917</v>
      </c>
    </row>
    <row r="93" spans="1:7" x14ac:dyDescent="0.25">
      <c r="A93" s="5">
        <v>45810.302083333299</v>
      </c>
      <c r="B93">
        <v>34</v>
      </c>
      <c r="C93" t="s">
        <v>41</v>
      </c>
      <c r="D93" t="s">
        <v>42</v>
      </c>
      <c r="E93">
        <v>1.5</v>
      </c>
      <c r="F93">
        <v>1.72</v>
      </c>
      <c r="G93" s="8">
        <f t="shared" si="1"/>
        <v>52.325581395348841</v>
      </c>
    </row>
    <row r="94" spans="1:7" x14ac:dyDescent="0.25">
      <c r="A94" s="5">
        <v>45810.302083333299</v>
      </c>
      <c r="B94">
        <v>35</v>
      </c>
      <c r="C94" t="s">
        <v>43</v>
      </c>
      <c r="D94" t="s">
        <v>44</v>
      </c>
      <c r="E94">
        <v>1.55</v>
      </c>
      <c r="F94">
        <v>3.27</v>
      </c>
      <c r="G94" s="8">
        <f t="shared" si="1"/>
        <v>28.440366972477065</v>
      </c>
    </row>
    <row r="95" spans="1:7" x14ac:dyDescent="0.25">
      <c r="A95" s="5">
        <v>45810.302083333299</v>
      </c>
      <c r="B95">
        <v>36</v>
      </c>
      <c r="C95" t="s">
        <v>44</v>
      </c>
      <c r="D95" t="s">
        <v>45</v>
      </c>
      <c r="E95">
        <v>1.5</v>
      </c>
      <c r="F95">
        <v>2.77</v>
      </c>
      <c r="G95" s="8">
        <f t="shared" si="1"/>
        <v>32.490974729241877</v>
      </c>
    </row>
    <row r="96" spans="1:7" x14ac:dyDescent="0.25">
      <c r="A96" s="5">
        <v>45810.302083333299</v>
      </c>
      <c r="B96">
        <v>37</v>
      </c>
      <c r="C96" t="s">
        <v>45</v>
      </c>
      <c r="D96" t="s">
        <v>46</v>
      </c>
      <c r="E96">
        <v>1.38</v>
      </c>
      <c r="F96">
        <v>3.37</v>
      </c>
      <c r="G96" s="8">
        <f t="shared" si="1"/>
        <v>24.569732937685458</v>
      </c>
    </row>
    <row r="97" spans="1:7" x14ac:dyDescent="0.25">
      <c r="A97" s="5">
        <v>45810.302083333299</v>
      </c>
      <c r="B97">
        <v>38</v>
      </c>
      <c r="C97" t="s">
        <v>46</v>
      </c>
      <c r="D97" t="s">
        <v>47</v>
      </c>
      <c r="E97">
        <v>1.61</v>
      </c>
      <c r="F97">
        <v>3.37</v>
      </c>
      <c r="G97" s="8">
        <f t="shared" si="1"/>
        <v>28.664688427299705</v>
      </c>
    </row>
    <row r="98" spans="1:7" x14ac:dyDescent="0.25">
      <c r="A98" s="5">
        <v>45810.302083333299</v>
      </c>
      <c r="B98">
        <v>39</v>
      </c>
      <c r="C98" t="s">
        <v>47</v>
      </c>
      <c r="D98" t="s">
        <v>48</v>
      </c>
      <c r="E98">
        <v>1.55</v>
      </c>
      <c r="F98">
        <v>3.05</v>
      </c>
      <c r="G98" s="8">
        <f t="shared" si="1"/>
        <v>30.491803278688526</v>
      </c>
    </row>
    <row r="99" spans="1:7" x14ac:dyDescent="0.25">
      <c r="A99" s="5">
        <v>45810.302083333299</v>
      </c>
      <c r="B99">
        <v>40</v>
      </c>
      <c r="C99" t="s">
        <v>48</v>
      </c>
      <c r="D99" t="s">
        <v>49</v>
      </c>
      <c r="E99">
        <v>1.39</v>
      </c>
      <c r="F99">
        <v>2.57</v>
      </c>
      <c r="G99" s="8">
        <f t="shared" si="1"/>
        <v>32.451361867704279</v>
      </c>
    </row>
    <row r="100" spans="1:7" x14ac:dyDescent="0.25">
      <c r="A100" s="5">
        <v>45810.302083333299</v>
      </c>
      <c r="B100">
        <v>41</v>
      </c>
      <c r="C100" t="s">
        <v>50</v>
      </c>
      <c r="D100" t="s">
        <v>51</v>
      </c>
      <c r="E100">
        <v>1.56</v>
      </c>
      <c r="F100">
        <v>3.27</v>
      </c>
      <c r="G100" s="8">
        <f t="shared" si="1"/>
        <v>28.623853211009177</v>
      </c>
    </row>
    <row r="101" spans="1:7" x14ac:dyDescent="0.25">
      <c r="A101" s="5">
        <v>45810.302083333299</v>
      </c>
      <c r="B101">
        <v>42</v>
      </c>
      <c r="C101" t="s">
        <v>51</v>
      </c>
      <c r="D101" t="s">
        <v>52</v>
      </c>
      <c r="E101">
        <v>1.56</v>
      </c>
      <c r="F101">
        <v>3.23</v>
      </c>
      <c r="G101" s="8">
        <f t="shared" si="1"/>
        <v>28.978328173374617</v>
      </c>
    </row>
    <row r="102" spans="1:7" x14ac:dyDescent="0.25">
      <c r="A102" s="5">
        <v>45810.302083333299</v>
      </c>
      <c r="B102">
        <v>43</v>
      </c>
      <c r="C102" t="s">
        <v>52</v>
      </c>
      <c r="D102" t="s">
        <v>53</v>
      </c>
      <c r="E102">
        <v>1.51</v>
      </c>
      <c r="F102">
        <v>2.97</v>
      </c>
      <c r="G102" s="8">
        <f t="shared" si="1"/>
        <v>30.505050505050502</v>
      </c>
    </row>
    <row r="103" spans="1:7" x14ac:dyDescent="0.25">
      <c r="A103" s="5">
        <v>45810.302083333299</v>
      </c>
      <c r="B103">
        <v>44</v>
      </c>
      <c r="C103" t="s">
        <v>54</v>
      </c>
      <c r="D103" t="s">
        <v>55</v>
      </c>
      <c r="E103">
        <v>1.51</v>
      </c>
      <c r="F103">
        <v>3.95</v>
      </c>
      <c r="G103" s="8">
        <f t="shared" si="1"/>
        <v>22.936708860759492</v>
      </c>
    </row>
    <row r="104" spans="1:7" x14ac:dyDescent="0.25">
      <c r="A104" s="5">
        <v>45810.302083333299</v>
      </c>
      <c r="B104">
        <v>45</v>
      </c>
      <c r="C104" t="s">
        <v>55</v>
      </c>
      <c r="D104" t="s">
        <v>56</v>
      </c>
      <c r="E104">
        <v>1.49</v>
      </c>
      <c r="F104">
        <v>3.07</v>
      </c>
      <c r="G104" s="8">
        <f t="shared" si="1"/>
        <v>29.120521172638441</v>
      </c>
    </row>
    <row r="105" spans="1:7" x14ac:dyDescent="0.25">
      <c r="A105" s="5">
        <v>45810.302083333299</v>
      </c>
      <c r="B105">
        <v>46</v>
      </c>
      <c r="C105" t="s">
        <v>56</v>
      </c>
      <c r="D105" t="s">
        <v>57</v>
      </c>
      <c r="E105">
        <v>1.52</v>
      </c>
      <c r="F105">
        <v>3.45</v>
      </c>
      <c r="G105" s="8">
        <f t="shared" si="1"/>
        <v>26.434782608695652</v>
      </c>
    </row>
    <row r="106" spans="1:7" x14ac:dyDescent="0.25">
      <c r="A106" s="5">
        <v>45810.302083333299</v>
      </c>
      <c r="B106">
        <v>47</v>
      </c>
      <c r="C106" t="s">
        <v>58</v>
      </c>
      <c r="D106" t="s">
        <v>59</v>
      </c>
      <c r="E106">
        <v>1.52</v>
      </c>
      <c r="F106">
        <v>3.37</v>
      </c>
      <c r="G106" s="8">
        <f t="shared" si="1"/>
        <v>27.062314540059347</v>
      </c>
    </row>
    <row r="107" spans="1:7" x14ac:dyDescent="0.25">
      <c r="A107" s="5">
        <v>45810.302083333299</v>
      </c>
      <c r="B107">
        <v>48</v>
      </c>
      <c r="C107" t="s">
        <v>59</v>
      </c>
      <c r="D107" t="s">
        <v>60</v>
      </c>
      <c r="E107">
        <v>1.5</v>
      </c>
      <c r="F107">
        <v>3.12</v>
      </c>
      <c r="G107" s="8">
        <f t="shared" si="1"/>
        <v>28.846153846153847</v>
      </c>
    </row>
    <row r="108" spans="1:7" x14ac:dyDescent="0.25">
      <c r="A108" s="5">
        <v>45810.302083333299</v>
      </c>
      <c r="B108">
        <v>49</v>
      </c>
      <c r="C108" t="s">
        <v>60</v>
      </c>
      <c r="D108" t="s">
        <v>61</v>
      </c>
      <c r="E108">
        <v>1.54</v>
      </c>
      <c r="F108">
        <v>3.53</v>
      </c>
      <c r="G108" s="8">
        <f t="shared" si="1"/>
        <v>26.175637393767708</v>
      </c>
    </row>
    <row r="109" spans="1:7" x14ac:dyDescent="0.25">
      <c r="A109" s="5">
        <v>45810.302083333299</v>
      </c>
      <c r="B109">
        <v>50</v>
      </c>
      <c r="C109" t="s">
        <v>62</v>
      </c>
      <c r="D109" t="s">
        <v>63</v>
      </c>
      <c r="E109">
        <v>1.38</v>
      </c>
      <c r="F109">
        <v>2.8</v>
      </c>
      <c r="G109" s="8">
        <f t="shared" si="1"/>
        <v>29.571428571428573</v>
      </c>
    </row>
    <row r="110" spans="1:7" x14ac:dyDescent="0.25">
      <c r="A110" s="5">
        <v>45810.302083333299</v>
      </c>
      <c r="B110">
        <v>51</v>
      </c>
      <c r="C110" t="s">
        <v>63</v>
      </c>
      <c r="D110" t="s">
        <v>64</v>
      </c>
      <c r="E110">
        <v>2.79</v>
      </c>
      <c r="F110">
        <v>5.07</v>
      </c>
      <c r="G110" s="8">
        <f t="shared" si="1"/>
        <v>33.017751479289942</v>
      </c>
    </row>
    <row r="111" spans="1:7" x14ac:dyDescent="0.25">
      <c r="A111" s="5">
        <v>45810.302083333299</v>
      </c>
      <c r="B111">
        <v>52</v>
      </c>
      <c r="C111" t="s">
        <v>64</v>
      </c>
      <c r="D111" t="s">
        <v>65</v>
      </c>
      <c r="E111">
        <v>1.5</v>
      </c>
      <c r="F111">
        <v>2.6</v>
      </c>
      <c r="G111" s="8">
        <f t="shared" si="1"/>
        <v>34.615384615384613</v>
      </c>
    </row>
    <row r="112" spans="1:7" x14ac:dyDescent="0.25">
      <c r="A112" s="5">
        <v>45810.302083333299</v>
      </c>
      <c r="B112">
        <v>53</v>
      </c>
      <c r="C112" t="s">
        <v>65</v>
      </c>
      <c r="D112" t="s">
        <v>66</v>
      </c>
      <c r="E112">
        <v>1.46</v>
      </c>
      <c r="F112">
        <v>3.35</v>
      </c>
      <c r="G112" s="8">
        <f t="shared" si="1"/>
        <v>26.149253731343283</v>
      </c>
    </row>
    <row r="113" spans="1:7" x14ac:dyDescent="0.25">
      <c r="A113" s="5">
        <v>45810.302083333299</v>
      </c>
      <c r="B113">
        <v>54</v>
      </c>
      <c r="C113" t="s">
        <v>67</v>
      </c>
      <c r="D113" t="s">
        <v>68</v>
      </c>
      <c r="E113">
        <v>1.46</v>
      </c>
      <c r="F113">
        <v>2.48</v>
      </c>
      <c r="G113" s="8">
        <f t="shared" si="1"/>
        <v>35.322580645161288</v>
      </c>
    </row>
    <row r="114" spans="1:7" x14ac:dyDescent="0.25">
      <c r="A114" s="5">
        <v>45810.302083333299</v>
      </c>
      <c r="B114">
        <v>55</v>
      </c>
      <c r="C114" t="s">
        <v>68</v>
      </c>
      <c r="D114" t="s">
        <v>69</v>
      </c>
      <c r="E114">
        <v>1.5</v>
      </c>
      <c r="F114">
        <v>1.9</v>
      </c>
      <c r="G114" s="8">
        <f t="shared" si="1"/>
        <v>47.368421052631582</v>
      </c>
    </row>
    <row r="115" spans="1:7" x14ac:dyDescent="0.25">
      <c r="A115" s="5">
        <v>45810.302083333299</v>
      </c>
      <c r="B115">
        <v>56</v>
      </c>
      <c r="C115" t="s">
        <v>70</v>
      </c>
      <c r="D115" t="s">
        <v>71</v>
      </c>
      <c r="E115">
        <v>1.51</v>
      </c>
      <c r="F115">
        <v>3.63</v>
      </c>
      <c r="G115" s="8">
        <f t="shared" si="1"/>
        <v>24.958677685950413</v>
      </c>
    </row>
    <row r="116" spans="1:7" x14ac:dyDescent="0.25">
      <c r="A116" s="5">
        <v>45810.302083333299</v>
      </c>
      <c r="B116">
        <v>57</v>
      </c>
      <c r="C116" t="s">
        <v>71</v>
      </c>
      <c r="D116" t="s">
        <v>72</v>
      </c>
      <c r="E116">
        <v>1.52</v>
      </c>
      <c r="F116">
        <v>3.42</v>
      </c>
      <c r="G116" s="8">
        <f t="shared" si="1"/>
        <v>26.666666666666668</v>
      </c>
    </row>
    <row r="117" spans="1:7" x14ac:dyDescent="0.25">
      <c r="A117" s="5">
        <v>45810.302083333299</v>
      </c>
      <c r="B117">
        <v>58</v>
      </c>
      <c r="C117" t="s">
        <v>72</v>
      </c>
      <c r="D117" t="s">
        <v>73</v>
      </c>
      <c r="E117">
        <v>1.5</v>
      </c>
      <c r="F117">
        <v>3.05</v>
      </c>
      <c r="G117" s="8">
        <f t="shared" si="1"/>
        <v>29.508196721311478</v>
      </c>
    </row>
    <row r="118" spans="1:7" x14ac:dyDescent="0.25">
      <c r="A118" s="5">
        <v>45810.3125</v>
      </c>
      <c r="B118">
        <v>1</v>
      </c>
      <c r="C118" t="s">
        <v>6</v>
      </c>
      <c r="D118" t="s">
        <v>7</v>
      </c>
      <c r="E118">
        <v>1.53</v>
      </c>
      <c r="F118">
        <v>2.88</v>
      </c>
      <c r="G118" s="8">
        <f t="shared" si="1"/>
        <v>31.875</v>
      </c>
    </row>
    <row r="119" spans="1:7" x14ac:dyDescent="0.25">
      <c r="A119" s="5">
        <v>45810.3125</v>
      </c>
      <c r="B119">
        <v>2</v>
      </c>
      <c r="C119" t="s">
        <v>7</v>
      </c>
      <c r="D119" t="s">
        <v>8</v>
      </c>
      <c r="E119">
        <v>1.57</v>
      </c>
      <c r="F119">
        <v>4.3499999999999996</v>
      </c>
      <c r="G119" s="8">
        <f t="shared" si="1"/>
        <v>21.655172413793107</v>
      </c>
    </row>
    <row r="120" spans="1:7" x14ac:dyDescent="0.25">
      <c r="A120" s="5">
        <v>45810.3125</v>
      </c>
      <c r="B120">
        <v>3</v>
      </c>
      <c r="C120" t="s">
        <v>8</v>
      </c>
      <c r="D120" t="s">
        <v>9</v>
      </c>
      <c r="E120">
        <v>1.5</v>
      </c>
      <c r="F120">
        <v>2.72</v>
      </c>
      <c r="G120" s="8">
        <f t="shared" si="1"/>
        <v>33.088235294117645</v>
      </c>
    </row>
    <row r="121" spans="1:7" x14ac:dyDescent="0.25">
      <c r="A121" s="5">
        <v>45810.3125</v>
      </c>
      <c r="B121">
        <v>4</v>
      </c>
      <c r="C121" t="s">
        <v>9</v>
      </c>
      <c r="D121" t="s">
        <v>10</v>
      </c>
      <c r="E121">
        <v>1.5</v>
      </c>
      <c r="F121">
        <v>2.5499999999999998</v>
      </c>
      <c r="G121" s="8">
        <f t="shared" si="1"/>
        <v>35.294117647058826</v>
      </c>
    </row>
    <row r="122" spans="1:7" x14ac:dyDescent="0.25">
      <c r="A122" s="5">
        <v>45810.3125</v>
      </c>
      <c r="B122">
        <v>5</v>
      </c>
      <c r="C122" t="s">
        <v>10</v>
      </c>
      <c r="D122" t="s">
        <v>11</v>
      </c>
      <c r="E122">
        <v>1.52</v>
      </c>
      <c r="F122">
        <v>2.9</v>
      </c>
      <c r="G122" s="8">
        <f t="shared" si="1"/>
        <v>31.448275862068968</v>
      </c>
    </row>
    <row r="123" spans="1:7" x14ac:dyDescent="0.25">
      <c r="A123" s="5">
        <v>45810.3125</v>
      </c>
      <c r="B123">
        <v>6</v>
      </c>
      <c r="C123" t="s">
        <v>11</v>
      </c>
      <c r="D123" t="s">
        <v>12</v>
      </c>
      <c r="E123">
        <v>1.5</v>
      </c>
      <c r="F123">
        <v>2.5</v>
      </c>
      <c r="G123" s="8">
        <f t="shared" si="1"/>
        <v>36</v>
      </c>
    </row>
    <row r="124" spans="1:7" x14ac:dyDescent="0.25">
      <c r="A124" s="5">
        <v>45810.3125</v>
      </c>
      <c r="B124">
        <v>7</v>
      </c>
      <c r="C124" t="s">
        <v>12</v>
      </c>
      <c r="D124" t="s">
        <v>13</v>
      </c>
      <c r="E124">
        <v>1.54</v>
      </c>
      <c r="F124">
        <v>2.57</v>
      </c>
      <c r="G124" s="8">
        <f t="shared" si="1"/>
        <v>35.953307392996116</v>
      </c>
    </row>
    <row r="125" spans="1:7" x14ac:dyDescent="0.25">
      <c r="A125" s="5">
        <v>45810.3125</v>
      </c>
      <c r="B125">
        <v>8</v>
      </c>
      <c r="C125" t="s">
        <v>13</v>
      </c>
      <c r="D125" t="s">
        <v>14</v>
      </c>
      <c r="E125">
        <v>1.54</v>
      </c>
      <c r="F125">
        <v>3.05</v>
      </c>
      <c r="G125" s="8">
        <f t="shared" si="1"/>
        <v>30.295081967213118</v>
      </c>
    </row>
    <row r="126" spans="1:7" x14ac:dyDescent="0.25">
      <c r="A126" s="5">
        <v>45810.3125</v>
      </c>
      <c r="B126">
        <v>9</v>
      </c>
      <c r="C126" t="s">
        <v>14</v>
      </c>
      <c r="D126" t="s">
        <v>15</v>
      </c>
      <c r="E126">
        <v>1.52</v>
      </c>
      <c r="F126">
        <v>2.98</v>
      </c>
      <c r="G126" s="8">
        <f t="shared" si="1"/>
        <v>30.604026845637584</v>
      </c>
    </row>
    <row r="127" spans="1:7" x14ac:dyDescent="0.25">
      <c r="A127" s="5">
        <v>45810.3125</v>
      </c>
      <c r="B127">
        <v>10</v>
      </c>
      <c r="C127" t="s">
        <v>15</v>
      </c>
      <c r="D127" t="s">
        <v>16</v>
      </c>
      <c r="E127">
        <v>1.5</v>
      </c>
      <c r="F127">
        <v>3.42</v>
      </c>
      <c r="G127" s="8">
        <f t="shared" si="1"/>
        <v>26.315789473684212</v>
      </c>
    </row>
    <row r="128" spans="1:7" x14ac:dyDescent="0.25">
      <c r="A128" s="5">
        <v>45810.3125</v>
      </c>
      <c r="B128">
        <v>11</v>
      </c>
      <c r="C128" t="s">
        <v>16</v>
      </c>
      <c r="D128" t="s">
        <v>17</v>
      </c>
      <c r="E128">
        <v>1.48</v>
      </c>
      <c r="F128">
        <v>2.97</v>
      </c>
      <c r="G128" s="8">
        <f t="shared" si="1"/>
        <v>29.898989898989896</v>
      </c>
    </row>
    <row r="129" spans="1:7" x14ac:dyDescent="0.25">
      <c r="A129" s="5">
        <v>45810.3125</v>
      </c>
      <c r="B129">
        <v>12</v>
      </c>
      <c r="C129" t="s">
        <v>17</v>
      </c>
      <c r="D129" t="s">
        <v>18</v>
      </c>
      <c r="E129">
        <v>1.46</v>
      </c>
      <c r="F129">
        <v>3.83</v>
      </c>
      <c r="G129" s="8">
        <f t="shared" si="1"/>
        <v>22.872062663185378</v>
      </c>
    </row>
    <row r="130" spans="1:7" x14ac:dyDescent="0.25">
      <c r="A130" s="5">
        <v>45810.3125</v>
      </c>
      <c r="B130">
        <v>13</v>
      </c>
      <c r="C130" t="s">
        <v>18</v>
      </c>
      <c r="D130" t="s">
        <v>19</v>
      </c>
      <c r="E130">
        <v>1.52</v>
      </c>
      <c r="F130">
        <v>4.08</v>
      </c>
      <c r="G130" s="8">
        <f t="shared" si="1"/>
        <v>22.352941176470587</v>
      </c>
    </row>
    <row r="131" spans="1:7" x14ac:dyDescent="0.25">
      <c r="A131" s="5">
        <v>45810.3125</v>
      </c>
      <c r="B131">
        <v>14</v>
      </c>
      <c r="C131" t="s">
        <v>19</v>
      </c>
      <c r="D131" t="s">
        <v>20</v>
      </c>
      <c r="E131">
        <v>1.51</v>
      </c>
      <c r="F131">
        <v>3</v>
      </c>
      <c r="G131" s="8">
        <f t="shared" ref="G131:G194" si="2">E131*60/F131</f>
        <v>30.2</v>
      </c>
    </row>
    <row r="132" spans="1:7" x14ac:dyDescent="0.25">
      <c r="A132" s="5">
        <v>45810.3125</v>
      </c>
      <c r="B132">
        <v>15</v>
      </c>
      <c r="C132" t="s">
        <v>20</v>
      </c>
      <c r="D132" t="s">
        <v>21</v>
      </c>
      <c r="E132">
        <v>1.47</v>
      </c>
      <c r="F132">
        <v>2.48</v>
      </c>
      <c r="G132" s="8">
        <f t="shared" si="2"/>
        <v>35.564516129032256</v>
      </c>
    </row>
    <row r="133" spans="1:7" x14ac:dyDescent="0.25">
      <c r="A133" s="5">
        <v>45810.3125</v>
      </c>
      <c r="B133">
        <v>16</v>
      </c>
      <c r="C133" t="s">
        <v>21</v>
      </c>
      <c r="D133" t="s">
        <v>22</v>
      </c>
      <c r="E133">
        <v>1.5</v>
      </c>
      <c r="F133">
        <v>1.73</v>
      </c>
      <c r="G133" s="8">
        <f t="shared" si="2"/>
        <v>52.02312138728324</v>
      </c>
    </row>
    <row r="134" spans="1:7" x14ac:dyDescent="0.25">
      <c r="A134" s="5">
        <v>45810.3125</v>
      </c>
      <c r="B134">
        <v>17</v>
      </c>
      <c r="C134" t="s">
        <v>22</v>
      </c>
      <c r="D134" t="s">
        <v>23</v>
      </c>
      <c r="E134">
        <v>1.51</v>
      </c>
      <c r="F134">
        <v>2.6</v>
      </c>
      <c r="G134" s="8">
        <f t="shared" si="2"/>
        <v>34.84615384615384</v>
      </c>
    </row>
    <row r="135" spans="1:7" x14ac:dyDescent="0.25">
      <c r="A135" s="5">
        <v>45810.3125</v>
      </c>
      <c r="B135">
        <v>18</v>
      </c>
      <c r="C135" t="s">
        <v>23</v>
      </c>
      <c r="D135" t="s">
        <v>24</v>
      </c>
      <c r="E135">
        <v>1.51</v>
      </c>
      <c r="F135">
        <v>2.7</v>
      </c>
      <c r="G135" s="8">
        <f t="shared" si="2"/>
        <v>33.55555555555555</v>
      </c>
    </row>
    <row r="136" spans="1:7" x14ac:dyDescent="0.25">
      <c r="A136" s="5">
        <v>45810.3125</v>
      </c>
      <c r="B136">
        <v>19</v>
      </c>
      <c r="C136" t="s">
        <v>25</v>
      </c>
      <c r="D136" t="s">
        <v>26</v>
      </c>
      <c r="E136">
        <v>1.5</v>
      </c>
      <c r="F136">
        <v>3.5</v>
      </c>
      <c r="G136" s="8">
        <f t="shared" si="2"/>
        <v>25.714285714285715</v>
      </c>
    </row>
    <row r="137" spans="1:7" x14ac:dyDescent="0.25">
      <c r="A137" s="5">
        <v>45810.3125</v>
      </c>
      <c r="B137">
        <v>20</v>
      </c>
      <c r="C137" t="s">
        <v>26</v>
      </c>
      <c r="D137" t="s">
        <v>27</v>
      </c>
      <c r="E137">
        <v>1.48</v>
      </c>
      <c r="F137">
        <v>3.38</v>
      </c>
      <c r="G137" s="8">
        <f t="shared" si="2"/>
        <v>26.272189349112427</v>
      </c>
    </row>
    <row r="138" spans="1:7" x14ac:dyDescent="0.25">
      <c r="A138" s="5">
        <v>45810.3125</v>
      </c>
      <c r="B138">
        <v>21</v>
      </c>
      <c r="C138" t="s">
        <v>27</v>
      </c>
      <c r="D138" t="s">
        <v>28</v>
      </c>
      <c r="E138">
        <v>1.51</v>
      </c>
      <c r="F138">
        <v>3.23</v>
      </c>
      <c r="G138" s="8">
        <f t="shared" si="2"/>
        <v>28.049535603715167</v>
      </c>
    </row>
    <row r="139" spans="1:7" x14ac:dyDescent="0.25">
      <c r="A139" s="5">
        <v>45810.3125</v>
      </c>
      <c r="B139">
        <v>22</v>
      </c>
      <c r="C139" t="s">
        <v>28</v>
      </c>
      <c r="D139" t="s">
        <v>29</v>
      </c>
      <c r="E139">
        <v>1.57</v>
      </c>
      <c r="F139">
        <v>3.4</v>
      </c>
      <c r="G139" s="8">
        <f t="shared" si="2"/>
        <v>27.705882352941178</v>
      </c>
    </row>
    <row r="140" spans="1:7" x14ac:dyDescent="0.25">
      <c r="A140" s="5">
        <v>45810.3125</v>
      </c>
      <c r="B140">
        <v>23</v>
      </c>
      <c r="C140" t="s">
        <v>29</v>
      </c>
      <c r="D140" t="s">
        <v>30</v>
      </c>
      <c r="E140">
        <v>1.43</v>
      </c>
      <c r="F140">
        <v>3.28</v>
      </c>
      <c r="G140" s="8">
        <f t="shared" si="2"/>
        <v>26.158536585365855</v>
      </c>
    </row>
    <row r="141" spans="1:7" x14ac:dyDescent="0.25">
      <c r="A141" s="5">
        <v>45810.3125</v>
      </c>
      <c r="B141">
        <v>24</v>
      </c>
      <c r="C141" t="s">
        <v>30</v>
      </c>
      <c r="D141" t="s">
        <v>31</v>
      </c>
      <c r="E141">
        <v>1.52</v>
      </c>
      <c r="F141">
        <v>3.62</v>
      </c>
      <c r="G141" s="8">
        <f t="shared" si="2"/>
        <v>25.193370165745858</v>
      </c>
    </row>
    <row r="142" spans="1:7" x14ac:dyDescent="0.25">
      <c r="A142" s="5">
        <v>45810.3125</v>
      </c>
      <c r="B142">
        <v>25</v>
      </c>
      <c r="C142" t="s">
        <v>31</v>
      </c>
      <c r="D142" t="s">
        <v>32</v>
      </c>
      <c r="E142">
        <v>1.52</v>
      </c>
      <c r="F142">
        <v>2.87</v>
      </c>
      <c r="G142" s="8">
        <f t="shared" si="2"/>
        <v>31.777003484320556</v>
      </c>
    </row>
    <row r="143" spans="1:7" x14ac:dyDescent="0.25">
      <c r="A143" s="5">
        <v>45810.3125</v>
      </c>
      <c r="B143">
        <v>26</v>
      </c>
      <c r="C143" t="s">
        <v>32</v>
      </c>
      <c r="D143" t="s">
        <v>33</v>
      </c>
      <c r="E143">
        <v>1.49</v>
      </c>
      <c r="F143">
        <v>3.2</v>
      </c>
      <c r="G143" s="8">
        <f t="shared" si="2"/>
        <v>27.9375</v>
      </c>
    </row>
    <row r="144" spans="1:7" x14ac:dyDescent="0.25">
      <c r="A144" s="5">
        <v>45810.3125</v>
      </c>
      <c r="B144">
        <v>27</v>
      </c>
      <c r="C144" t="s">
        <v>33</v>
      </c>
      <c r="D144" t="s">
        <v>34</v>
      </c>
      <c r="E144">
        <v>1.53</v>
      </c>
      <c r="F144">
        <v>3.08</v>
      </c>
      <c r="G144" s="8">
        <f t="shared" si="2"/>
        <v>29.805194805194805</v>
      </c>
    </row>
    <row r="145" spans="1:7" x14ac:dyDescent="0.25">
      <c r="A145" s="5">
        <v>45810.3125</v>
      </c>
      <c r="B145">
        <v>28</v>
      </c>
      <c r="C145" t="s">
        <v>34</v>
      </c>
      <c r="D145" t="s">
        <v>35</v>
      </c>
      <c r="E145">
        <v>1.51</v>
      </c>
      <c r="F145">
        <v>3.7</v>
      </c>
      <c r="G145" s="8">
        <f t="shared" si="2"/>
        <v>24.486486486486484</v>
      </c>
    </row>
    <row r="146" spans="1:7" x14ac:dyDescent="0.25">
      <c r="A146" s="5">
        <v>45810.3125</v>
      </c>
      <c r="B146">
        <v>29</v>
      </c>
      <c r="C146" t="s">
        <v>36</v>
      </c>
      <c r="D146" t="s">
        <v>37</v>
      </c>
      <c r="E146">
        <v>1.57</v>
      </c>
      <c r="F146">
        <v>3.8</v>
      </c>
      <c r="G146" s="8">
        <f t="shared" si="2"/>
        <v>24.789473684210527</v>
      </c>
    </row>
    <row r="147" spans="1:7" x14ac:dyDescent="0.25">
      <c r="A147" s="5">
        <v>45810.3125</v>
      </c>
      <c r="B147">
        <v>30</v>
      </c>
      <c r="C147" t="s">
        <v>37</v>
      </c>
      <c r="D147" t="s">
        <v>38</v>
      </c>
      <c r="E147">
        <v>1.57</v>
      </c>
      <c r="F147">
        <v>5.12</v>
      </c>
      <c r="G147" s="8">
        <f t="shared" si="2"/>
        <v>18.3984375</v>
      </c>
    </row>
    <row r="148" spans="1:7" x14ac:dyDescent="0.25">
      <c r="A148" s="5">
        <v>45810.3125</v>
      </c>
      <c r="B148">
        <v>31</v>
      </c>
      <c r="C148" t="s">
        <v>38</v>
      </c>
      <c r="D148" t="s">
        <v>39</v>
      </c>
      <c r="E148">
        <v>1.52</v>
      </c>
      <c r="F148">
        <v>2.52</v>
      </c>
      <c r="G148" s="8">
        <f t="shared" si="2"/>
        <v>36.19047619047619</v>
      </c>
    </row>
    <row r="149" spans="1:7" x14ac:dyDescent="0.25">
      <c r="A149" s="5">
        <v>45810.3125</v>
      </c>
      <c r="B149">
        <v>32</v>
      </c>
      <c r="C149" t="s">
        <v>39</v>
      </c>
      <c r="D149" t="s">
        <v>40</v>
      </c>
      <c r="E149">
        <v>1.5</v>
      </c>
      <c r="F149">
        <v>1.67</v>
      </c>
      <c r="G149" s="8">
        <f t="shared" si="2"/>
        <v>53.892215568862277</v>
      </c>
    </row>
    <row r="150" spans="1:7" x14ac:dyDescent="0.25">
      <c r="A150" s="5">
        <v>45810.3125</v>
      </c>
      <c r="B150">
        <v>33</v>
      </c>
      <c r="C150" t="s">
        <v>40</v>
      </c>
      <c r="D150" t="s">
        <v>41</v>
      </c>
      <c r="E150">
        <v>1.51</v>
      </c>
      <c r="F150">
        <v>1.68</v>
      </c>
      <c r="G150" s="8">
        <f t="shared" si="2"/>
        <v>53.928571428571431</v>
      </c>
    </row>
    <row r="151" spans="1:7" x14ac:dyDescent="0.25">
      <c r="A151" s="5">
        <v>45810.3125</v>
      </c>
      <c r="B151">
        <v>34</v>
      </c>
      <c r="C151" t="s">
        <v>41</v>
      </c>
      <c r="D151" t="s">
        <v>42</v>
      </c>
      <c r="E151">
        <v>1.5</v>
      </c>
      <c r="F151">
        <v>1.67</v>
      </c>
      <c r="G151" s="8">
        <f t="shared" si="2"/>
        <v>53.892215568862277</v>
      </c>
    </row>
    <row r="152" spans="1:7" x14ac:dyDescent="0.25">
      <c r="A152" s="5">
        <v>45810.3125</v>
      </c>
      <c r="B152">
        <v>35</v>
      </c>
      <c r="C152" t="s">
        <v>43</v>
      </c>
      <c r="D152" t="s">
        <v>44</v>
      </c>
      <c r="E152">
        <v>1.55</v>
      </c>
      <c r="F152">
        <v>3.53</v>
      </c>
      <c r="G152" s="8">
        <f t="shared" si="2"/>
        <v>26.345609065155809</v>
      </c>
    </row>
    <row r="153" spans="1:7" x14ac:dyDescent="0.25">
      <c r="A153" s="5">
        <v>45810.3125</v>
      </c>
      <c r="B153">
        <v>36</v>
      </c>
      <c r="C153" t="s">
        <v>44</v>
      </c>
      <c r="D153" t="s">
        <v>45</v>
      </c>
      <c r="E153">
        <v>1.5</v>
      </c>
      <c r="F153">
        <v>2.72</v>
      </c>
      <c r="G153" s="8">
        <f t="shared" si="2"/>
        <v>33.088235294117645</v>
      </c>
    </row>
    <row r="154" spans="1:7" x14ac:dyDescent="0.25">
      <c r="A154" s="5">
        <v>45810.3125</v>
      </c>
      <c r="B154">
        <v>37</v>
      </c>
      <c r="C154" t="s">
        <v>45</v>
      </c>
      <c r="D154" t="s">
        <v>46</v>
      </c>
      <c r="E154">
        <v>1.38</v>
      </c>
      <c r="F154">
        <v>3.28</v>
      </c>
      <c r="G154" s="8">
        <f t="shared" si="2"/>
        <v>25.243902439024392</v>
      </c>
    </row>
    <row r="155" spans="1:7" x14ac:dyDescent="0.25">
      <c r="A155" s="5">
        <v>45810.3125</v>
      </c>
      <c r="B155">
        <v>38</v>
      </c>
      <c r="C155" t="s">
        <v>46</v>
      </c>
      <c r="D155" t="s">
        <v>47</v>
      </c>
      <c r="E155">
        <v>1.61</v>
      </c>
      <c r="F155">
        <v>3.48</v>
      </c>
      <c r="G155" s="8">
        <f t="shared" si="2"/>
        <v>27.758620689655174</v>
      </c>
    </row>
    <row r="156" spans="1:7" x14ac:dyDescent="0.25">
      <c r="A156" s="5">
        <v>45810.3125</v>
      </c>
      <c r="B156">
        <v>39</v>
      </c>
      <c r="C156" t="s">
        <v>47</v>
      </c>
      <c r="D156" t="s">
        <v>48</v>
      </c>
      <c r="E156">
        <v>1.55</v>
      </c>
      <c r="F156">
        <v>3.08</v>
      </c>
      <c r="G156" s="8">
        <f t="shared" si="2"/>
        <v>30.194805194805195</v>
      </c>
    </row>
    <row r="157" spans="1:7" x14ac:dyDescent="0.25">
      <c r="A157" s="5">
        <v>45810.3125</v>
      </c>
      <c r="B157">
        <v>40</v>
      </c>
      <c r="C157" t="s">
        <v>48</v>
      </c>
      <c r="D157" t="s">
        <v>49</v>
      </c>
      <c r="E157">
        <v>1.39</v>
      </c>
      <c r="F157">
        <v>2.6</v>
      </c>
      <c r="G157" s="8">
        <f t="shared" si="2"/>
        <v>32.076923076923073</v>
      </c>
    </row>
    <row r="158" spans="1:7" x14ac:dyDescent="0.25">
      <c r="A158" s="5">
        <v>45810.3125</v>
      </c>
      <c r="B158">
        <v>41</v>
      </c>
      <c r="C158" t="s">
        <v>50</v>
      </c>
      <c r="D158" t="s">
        <v>51</v>
      </c>
      <c r="E158">
        <v>1.56</v>
      </c>
      <c r="F158">
        <v>3.37</v>
      </c>
      <c r="G158" s="8">
        <f t="shared" si="2"/>
        <v>27.774480712166174</v>
      </c>
    </row>
    <row r="159" spans="1:7" x14ac:dyDescent="0.25">
      <c r="A159" s="5">
        <v>45810.3125</v>
      </c>
      <c r="B159">
        <v>42</v>
      </c>
      <c r="C159" t="s">
        <v>51</v>
      </c>
      <c r="D159" t="s">
        <v>52</v>
      </c>
      <c r="E159">
        <v>1.56</v>
      </c>
      <c r="F159">
        <v>3.47</v>
      </c>
      <c r="G159" s="8">
        <f t="shared" si="2"/>
        <v>26.97406340057637</v>
      </c>
    </row>
    <row r="160" spans="1:7" x14ac:dyDescent="0.25">
      <c r="A160" s="5">
        <v>45810.3125</v>
      </c>
      <c r="B160">
        <v>43</v>
      </c>
      <c r="C160" t="s">
        <v>52</v>
      </c>
      <c r="D160" t="s">
        <v>53</v>
      </c>
      <c r="E160">
        <v>1.51</v>
      </c>
      <c r="F160">
        <v>3.07</v>
      </c>
      <c r="G160" s="8">
        <f t="shared" si="2"/>
        <v>29.511400651465799</v>
      </c>
    </row>
    <row r="161" spans="1:7" x14ac:dyDescent="0.25">
      <c r="A161" s="5">
        <v>45810.3125</v>
      </c>
      <c r="B161">
        <v>44</v>
      </c>
      <c r="C161" t="s">
        <v>54</v>
      </c>
      <c r="D161" t="s">
        <v>55</v>
      </c>
      <c r="E161">
        <v>1.51</v>
      </c>
      <c r="F161">
        <v>3.97</v>
      </c>
      <c r="G161" s="8">
        <f t="shared" si="2"/>
        <v>22.821158690176318</v>
      </c>
    </row>
    <row r="162" spans="1:7" x14ac:dyDescent="0.25">
      <c r="A162" s="5">
        <v>45810.3125</v>
      </c>
      <c r="B162">
        <v>45</v>
      </c>
      <c r="C162" t="s">
        <v>55</v>
      </c>
      <c r="D162" t="s">
        <v>56</v>
      </c>
      <c r="E162">
        <v>1.49</v>
      </c>
      <c r="F162">
        <v>3.13</v>
      </c>
      <c r="G162" s="8">
        <f t="shared" si="2"/>
        <v>28.56230031948882</v>
      </c>
    </row>
    <row r="163" spans="1:7" x14ac:dyDescent="0.25">
      <c r="A163" s="5">
        <v>45810.3125</v>
      </c>
      <c r="B163">
        <v>46</v>
      </c>
      <c r="C163" t="s">
        <v>56</v>
      </c>
      <c r="D163" t="s">
        <v>57</v>
      </c>
      <c r="E163">
        <v>1.52</v>
      </c>
      <c r="F163">
        <v>3.57</v>
      </c>
      <c r="G163" s="8">
        <f t="shared" si="2"/>
        <v>25.54621848739496</v>
      </c>
    </row>
    <row r="164" spans="1:7" x14ac:dyDescent="0.25">
      <c r="A164" s="5">
        <v>45810.3125</v>
      </c>
      <c r="B164">
        <v>47</v>
      </c>
      <c r="C164" t="s">
        <v>58</v>
      </c>
      <c r="D164" t="s">
        <v>59</v>
      </c>
      <c r="E164">
        <v>1.52</v>
      </c>
      <c r="F164">
        <v>3.97</v>
      </c>
      <c r="G164" s="8">
        <f t="shared" si="2"/>
        <v>22.972292191435766</v>
      </c>
    </row>
    <row r="165" spans="1:7" x14ac:dyDescent="0.25">
      <c r="A165" s="5">
        <v>45810.3125</v>
      </c>
      <c r="B165">
        <v>48</v>
      </c>
      <c r="C165" t="s">
        <v>59</v>
      </c>
      <c r="D165" t="s">
        <v>60</v>
      </c>
      <c r="E165">
        <v>1.5</v>
      </c>
      <c r="F165">
        <v>3.33</v>
      </c>
      <c r="G165" s="8">
        <f t="shared" si="2"/>
        <v>27.027027027027028</v>
      </c>
    </row>
    <row r="166" spans="1:7" x14ac:dyDescent="0.25">
      <c r="A166" s="5">
        <v>45810.3125</v>
      </c>
      <c r="B166">
        <v>49</v>
      </c>
      <c r="C166" t="s">
        <v>60</v>
      </c>
      <c r="D166" t="s">
        <v>61</v>
      </c>
      <c r="E166">
        <v>1.54</v>
      </c>
      <c r="F166">
        <v>3.57</v>
      </c>
      <c r="G166" s="8">
        <f t="shared" si="2"/>
        <v>25.882352941176475</v>
      </c>
    </row>
    <row r="167" spans="1:7" x14ac:dyDescent="0.25">
      <c r="A167" s="5">
        <v>45810.3125</v>
      </c>
      <c r="B167">
        <v>50</v>
      </c>
      <c r="C167" t="s">
        <v>62</v>
      </c>
      <c r="D167" t="s">
        <v>63</v>
      </c>
      <c r="E167">
        <v>1.38</v>
      </c>
      <c r="F167">
        <v>3.02</v>
      </c>
      <c r="G167" s="8">
        <f t="shared" si="2"/>
        <v>27.417218543046356</v>
      </c>
    </row>
    <row r="168" spans="1:7" x14ac:dyDescent="0.25">
      <c r="A168" s="5">
        <v>45810.3125</v>
      </c>
      <c r="B168">
        <v>51</v>
      </c>
      <c r="C168" t="s">
        <v>63</v>
      </c>
      <c r="D168" t="s">
        <v>64</v>
      </c>
      <c r="E168">
        <v>2.79</v>
      </c>
      <c r="F168">
        <v>5.05</v>
      </c>
      <c r="G168" s="8">
        <f t="shared" si="2"/>
        <v>33.148514851485153</v>
      </c>
    </row>
    <row r="169" spans="1:7" x14ac:dyDescent="0.25">
      <c r="A169" s="5">
        <v>45810.3125</v>
      </c>
      <c r="B169">
        <v>52</v>
      </c>
      <c r="C169" t="s">
        <v>64</v>
      </c>
      <c r="D169" t="s">
        <v>65</v>
      </c>
      <c r="E169">
        <v>1.5</v>
      </c>
      <c r="F169">
        <v>2.62</v>
      </c>
      <c r="G169" s="8">
        <f t="shared" si="2"/>
        <v>34.351145038167935</v>
      </c>
    </row>
    <row r="170" spans="1:7" x14ac:dyDescent="0.25">
      <c r="A170" s="5">
        <v>45810.3125</v>
      </c>
      <c r="B170">
        <v>53</v>
      </c>
      <c r="C170" t="s">
        <v>65</v>
      </c>
      <c r="D170" t="s">
        <v>66</v>
      </c>
      <c r="E170">
        <v>1.46</v>
      </c>
      <c r="F170">
        <v>3.3</v>
      </c>
      <c r="G170" s="8">
        <f t="shared" si="2"/>
        <v>26.545454545454547</v>
      </c>
    </row>
    <row r="171" spans="1:7" x14ac:dyDescent="0.25">
      <c r="A171" s="5">
        <v>45810.3125</v>
      </c>
      <c r="B171">
        <v>54</v>
      </c>
      <c r="C171" t="s">
        <v>67</v>
      </c>
      <c r="D171" t="s">
        <v>68</v>
      </c>
      <c r="E171">
        <v>1.46</v>
      </c>
      <c r="F171">
        <v>2.4300000000000002</v>
      </c>
      <c r="G171" s="8">
        <f t="shared" si="2"/>
        <v>36.049382716049379</v>
      </c>
    </row>
    <row r="172" spans="1:7" x14ac:dyDescent="0.25">
      <c r="A172" s="5">
        <v>45810.3125</v>
      </c>
      <c r="B172">
        <v>55</v>
      </c>
      <c r="C172" t="s">
        <v>68</v>
      </c>
      <c r="D172" t="s">
        <v>69</v>
      </c>
      <c r="E172">
        <v>1.5</v>
      </c>
      <c r="F172">
        <v>1.7</v>
      </c>
      <c r="G172" s="8">
        <f t="shared" si="2"/>
        <v>52.941176470588239</v>
      </c>
    </row>
    <row r="173" spans="1:7" x14ac:dyDescent="0.25">
      <c r="A173" s="5">
        <v>45810.3125</v>
      </c>
      <c r="B173">
        <v>56</v>
      </c>
      <c r="C173" t="s">
        <v>70</v>
      </c>
      <c r="D173" t="s">
        <v>71</v>
      </c>
      <c r="E173">
        <v>1.51</v>
      </c>
      <c r="F173">
        <v>3.98</v>
      </c>
      <c r="G173" s="8">
        <f t="shared" si="2"/>
        <v>22.763819095477384</v>
      </c>
    </row>
    <row r="174" spans="1:7" x14ac:dyDescent="0.25">
      <c r="A174" s="5">
        <v>45810.3125</v>
      </c>
      <c r="B174">
        <v>57</v>
      </c>
      <c r="C174" t="s">
        <v>71</v>
      </c>
      <c r="D174" t="s">
        <v>72</v>
      </c>
      <c r="E174">
        <v>1.52</v>
      </c>
      <c r="F174">
        <v>3.45</v>
      </c>
      <c r="G174" s="8">
        <f t="shared" si="2"/>
        <v>26.434782608695652</v>
      </c>
    </row>
    <row r="175" spans="1:7" x14ac:dyDescent="0.25">
      <c r="A175" s="5">
        <v>45810.3125</v>
      </c>
      <c r="B175">
        <v>58</v>
      </c>
      <c r="C175" t="s">
        <v>72</v>
      </c>
      <c r="D175" t="s">
        <v>73</v>
      </c>
      <c r="E175">
        <v>1.5</v>
      </c>
      <c r="F175">
        <v>3.18</v>
      </c>
      <c r="G175" s="8">
        <f t="shared" si="2"/>
        <v>28.30188679245283</v>
      </c>
    </row>
    <row r="176" spans="1:7" x14ac:dyDescent="0.25">
      <c r="A176" s="5">
        <v>45810.322916666664</v>
      </c>
      <c r="B176">
        <v>1</v>
      </c>
      <c r="C176" t="s">
        <v>6</v>
      </c>
      <c r="D176" t="s">
        <v>7</v>
      </c>
      <c r="E176">
        <v>1.53</v>
      </c>
      <c r="F176">
        <v>2.83</v>
      </c>
      <c r="G176" s="8">
        <f t="shared" si="2"/>
        <v>32.438162544169607</v>
      </c>
    </row>
    <row r="177" spans="1:7" x14ac:dyDescent="0.25">
      <c r="A177" s="5">
        <v>45810.322916666664</v>
      </c>
      <c r="B177">
        <v>2</v>
      </c>
      <c r="C177" t="s">
        <v>7</v>
      </c>
      <c r="D177" t="s">
        <v>8</v>
      </c>
      <c r="E177">
        <v>1.57</v>
      </c>
      <c r="F177">
        <v>4.5199999999999996</v>
      </c>
      <c r="G177" s="8">
        <f t="shared" si="2"/>
        <v>20.840707964601773</v>
      </c>
    </row>
    <row r="178" spans="1:7" x14ac:dyDescent="0.25">
      <c r="A178" s="5">
        <v>45810.322916666664</v>
      </c>
      <c r="B178">
        <v>3</v>
      </c>
      <c r="C178" t="s">
        <v>8</v>
      </c>
      <c r="D178" t="s">
        <v>9</v>
      </c>
      <c r="E178">
        <v>1.5</v>
      </c>
      <c r="F178">
        <v>2.85</v>
      </c>
      <c r="G178" s="8">
        <f t="shared" si="2"/>
        <v>31.578947368421051</v>
      </c>
    </row>
    <row r="179" spans="1:7" x14ac:dyDescent="0.25">
      <c r="A179" s="5">
        <v>45810.322916666664</v>
      </c>
      <c r="B179">
        <v>4</v>
      </c>
      <c r="C179" t="s">
        <v>9</v>
      </c>
      <c r="D179" t="s">
        <v>10</v>
      </c>
      <c r="E179">
        <v>1.5</v>
      </c>
      <c r="F179">
        <v>2.6</v>
      </c>
      <c r="G179" s="8">
        <f t="shared" si="2"/>
        <v>34.615384615384613</v>
      </c>
    </row>
    <row r="180" spans="1:7" x14ac:dyDescent="0.25">
      <c r="A180" s="5">
        <v>45810.322916666664</v>
      </c>
      <c r="B180">
        <v>5</v>
      </c>
      <c r="C180" t="s">
        <v>10</v>
      </c>
      <c r="D180" t="s">
        <v>11</v>
      </c>
      <c r="E180">
        <v>1.52</v>
      </c>
      <c r="F180">
        <v>2.97</v>
      </c>
      <c r="G180" s="8">
        <f t="shared" si="2"/>
        <v>30.707070707070706</v>
      </c>
    </row>
    <row r="181" spans="1:7" x14ac:dyDescent="0.25">
      <c r="A181" s="5">
        <v>45810.322916666664</v>
      </c>
      <c r="B181">
        <v>6</v>
      </c>
      <c r="C181" t="s">
        <v>11</v>
      </c>
      <c r="D181" t="s">
        <v>12</v>
      </c>
      <c r="E181">
        <v>1.5</v>
      </c>
      <c r="F181">
        <v>2.57</v>
      </c>
      <c r="G181" s="8">
        <f t="shared" si="2"/>
        <v>35.019455252918291</v>
      </c>
    </row>
    <row r="182" spans="1:7" x14ac:dyDescent="0.25">
      <c r="A182" s="5">
        <v>45810.322916666664</v>
      </c>
      <c r="B182">
        <v>7</v>
      </c>
      <c r="C182" t="s">
        <v>12</v>
      </c>
      <c r="D182" t="s">
        <v>13</v>
      </c>
      <c r="E182">
        <v>1.54</v>
      </c>
      <c r="F182">
        <v>2.5499999999999998</v>
      </c>
      <c r="G182" s="8">
        <f t="shared" si="2"/>
        <v>36.235294117647065</v>
      </c>
    </row>
    <row r="183" spans="1:7" x14ac:dyDescent="0.25">
      <c r="A183" s="5">
        <v>45810.322916666664</v>
      </c>
      <c r="B183">
        <v>8</v>
      </c>
      <c r="C183" t="s">
        <v>13</v>
      </c>
      <c r="D183" t="s">
        <v>14</v>
      </c>
      <c r="E183">
        <v>1.54</v>
      </c>
      <c r="F183">
        <v>3.05</v>
      </c>
      <c r="G183" s="8">
        <f t="shared" si="2"/>
        <v>30.295081967213118</v>
      </c>
    </row>
    <row r="184" spans="1:7" x14ac:dyDescent="0.25">
      <c r="A184" s="5">
        <v>45810.322916666664</v>
      </c>
      <c r="B184">
        <v>9</v>
      </c>
      <c r="C184" t="s">
        <v>14</v>
      </c>
      <c r="D184" t="s">
        <v>15</v>
      </c>
      <c r="E184">
        <v>1.52</v>
      </c>
      <c r="F184">
        <v>3.3</v>
      </c>
      <c r="G184" s="8">
        <f t="shared" si="2"/>
        <v>27.63636363636364</v>
      </c>
    </row>
    <row r="185" spans="1:7" x14ac:dyDescent="0.25">
      <c r="A185" s="5">
        <v>45810.322916666664</v>
      </c>
      <c r="B185">
        <v>10</v>
      </c>
      <c r="C185" t="s">
        <v>15</v>
      </c>
      <c r="D185" t="s">
        <v>16</v>
      </c>
      <c r="E185">
        <v>1.5</v>
      </c>
      <c r="F185">
        <v>3.8</v>
      </c>
      <c r="G185" s="8">
        <f t="shared" si="2"/>
        <v>23.684210526315791</v>
      </c>
    </row>
    <row r="186" spans="1:7" x14ac:dyDescent="0.25">
      <c r="A186" s="5">
        <v>45810.322916666664</v>
      </c>
      <c r="B186">
        <v>11</v>
      </c>
      <c r="C186" t="s">
        <v>16</v>
      </c>
      <c r="D186" t="s">
        <v>17</v>
      </c>
      <c r="E186">
        <v>1.48</v>
      </c>
      <c r="F186">
        <v>2.65</v>
      </c>
      <c r="G186" s="8">
        <f t="shared" si="2"/>
        <v>33.509433962264154</v>
      </c>
    </row>
    <row r="187" spans="1:7" x14ac:dyDescent="0.25">
      <c r="A187" s="5">
        <v>45810.322916666664</v>
      </c>
      <c r="B187">
        <v>12</v>
      </c>
      <c r="C187" t="s">
        <v>17</v>
      </c>
      <c r="D187" t="s">
        <v>18</v>
      </c>
      <c r="E187">
        <v>1.46</v>
      </c>
      <c r="F187">
        <v>3.48</v>
      </c>
      <c r="G187" s="8">
        <f t="shared" si="2"/>
        <v>25.172413793103448</v>
      </c>
    </row>
    <row r="188" spans="1:7" x14ac:dyDescent="0.25">
      <c r="A188" s="5">
        <v>45810.322916666664</v>
      </c>
      <c r="B188">
        <v>13</v>
      </c>
      <c r="C188" t="s">
        <v>18</v>
      </c>
      <c r="D188" t="s">
        <v>19</v>
      </c>
      <c r="E188">
        <v>1.52</v>
      </c>
      <c r="F188">
        <v>4.32</v>
      </c>
      <c r="G188" s="8">
        <f t="shared" si="2"/>
        <v>21.111111111111111</v>
      </c>
    </row>
    <row r="189" spans="1:7" x14ac:dyDescent="0.25">
      <c r="A189" s="5">
        <v>45810.322916666664</v>
      </c>
      <c r="B189">
        <v>14</v>
      </c>
      <c r="C189" t="s">
        <v>19</v>
      </c>
      <c r="D189" t="s">
        <v>20</v>
      </c>
      <c r="E189">
        <v>1.51</v>
      </c>
      <c r="F189">
        <v>3.35</v>
      </c>
      <c r="G189" s="8">
        <f t="shared" si="2"/>
        <v>27.044776119402982</v>
      </c>
    </row>
    <row r="190" spans="1:7" x14ac:dyDescent="0.25">
      <c r="A190" s="5">
        <v>45810.322916666664</v>
      </c>
      <c r="B190">
        <v>15</v>
      </c>
      <c r="C190" t="s">
        <v>20</v>
      </c>
      <c r="D190" t="s">
        <v>21</v>
      </c>
      <c r="E190">
        <v>1.47</v>
      </c>
      <c r="F190">
        <v>1.98</v>
      </c>
      <c r="G190" s="8">
        <f t="shared" si="2"/>
        <v>44.545454545454547</v>
      </c>
    </row>
    <row r="191" spans="1:7" x14ac:dyDescent="0.25">
      <c r="A191" s="5">
        <v>45810.322916666664</v>
      </c>
      <c r="B191">
        <v>16</v>
      </c>
      <c r="C191" t="s">
        <v>21</v>
      </c>
      <c r="D191" t="s">
        <v>22</v>
      </c>
      <c r="E191">
        <v>1.5</v>
      </c>
      <c r="F191">
        <v>1.82</v>
      </c>
      <c r="G191" s="8">
        <f t="shared" si="2"/>
        <v>49.450549450549445</v>
      </c>
    </row>
    <row r="192" spans="1:7" x14ac:dyDescent="0.25">
      <c r="A192" s="5">
        <v>45810.322916666664</v>
      </c>
      <c r="B192">
        <v>17</v>
      </c>
      <c r="C192" t="s">
        <v>22</v>
      </c>
      <c r="D192" t="s">
        <v>23</v>
      </c>
      <c r="E192">
        <v>1.51</v>
      </c>
      <c r="F192">
        <v>2.82</v>
      </c>
      <c r="G192" s="8">
        <f t="shared" si="2"/>
        <v>32.127659574468083</v>
      </c>
    </row>
    <row r="193" spans="1:7" x14ac:dyDescent="0.25">
      <c r="A193" s="5">
        <v>45810.322916666664</v>
      </c>
      <c r="B193">
        <v>18</v>
      </c>
      <c r="C193" t="s">
        <v>23</v>
      </c>
      <c r="D193" t="s">
        <v>24</v>
      </c>
      <c r="E193">
        <v>1.51</v>
      </c>
      <c r="F193">
        <v>2.77</v>
      </c>
      <c r="G193" s="8">
        <f t="shared" si="2"/>
        <v>32.707581227436819</v>
      </c>
    </row>
    <row r="194" spans="1:7" x14ac:dyDescent="0.25">
      <c r="A194" s="5">
        <v>45810.322916666664</v>
      </c>
      <c r="B194">
        <v>19</v>
      </c>
      <c r="C194" t="s">
        <v>25</v>
      </c>
      <c r="D194" t="s">
        <v>26</v>
      </c>
      <c r="E194">
        <v>1.5</v>
      </c>
      <c r="F194">
        <v>3.75</v>
      </c>
      <c r="G194" s="8">
        <f t="shared" si="2"/>
        <v>24</v>
      </c>
    </row>
    <row r="195" spans="1:7" x14ac:dyDescent="0.25">
      <c r="A195" s="5">
        <v>45810.322916666664</v>
      </c>
      <c r="B195">
        <v>20</v>
      </c>
      <c r="C195" t="s">
        <v>26</v>
      </c>
      <c r="D195" t="s">
        <v>27</v>
      </c>
      <c r="E195">
        <v>1.48</v>
      </c>
      <c r="F195">
        <v>3.52</v>
      </c>
      <c r="G195" s="8">
        <f t="shared" ref="G195:G258" si="3">E195*60/F195</f>
        <v>25.227272727272727</v>
      </c>
    </row>
    <row r="196" spans="1:7" x14ac:dyDescent="0.25">
      <c r="A196" s="5">
        <v>45810.322916666664</v>
      </c>
      <c r="B196">
        <v>21</v>
      </c>
      <c r="C196" t="s">
        <v>27</v>
      </c>
      <c r="D196" t="s">
        <v>28</v>
      </c>
      <c r="E196">
        <v>1.51</v>
      </c>
      <c r="F196">
        <v>3.37</v>
      </c>
      <c r="G196" s="8">
        <f t="shared" si="3"/>
        <v>26.884272997032639</v>
      </c>
    </row>
    <row r="197" spans="1:7" x14ac:dyDescent="0.25">
      <c r="A197" s="5">
        <v>45810.322916666664</v>
      </c>
      <c r="B197">
        <v>22</v>
      </c>
      <c r="C197" t="s">
        <v>28</v>
      </c>
      <c r="D197" t="s">
        <v>29</v>
      </c>
      <c r="E197">
        <v>1.57</v>
      </c>
      <c r="F197">
        <v>3.37</v>
      </c>
      <c r="G197" s="8">
        <f t="shared" si="3"/>
        <v>27.952522255192878</v>
      </c>
    </row>
    <row r="198" spans="1:7" x14ac:dyDescent="0.25">
      <c r="A198" s="5">
        <v>45810.322916666664</v>
      </c>
      <c r="B198">
        <v>23</v>
      </c>
      <c r="C198" t="s">
        <v>29</v>
      </c>
      <c r="D198" t="s">
        <v>30</v>
      </c>
      <c r="E198">
        <v>1.43</v>
      </c>
      <c r="F198">
        <v>3.27</v>
      </c>
      <c r="G198" s="8">
        <f t="shared" si="3"/>
        <v>26.238532110091743</v>
      </c>
    </row>
    <row r="199" spans="1:7" x14ac:dyDescent="0.25">
      <c r="A199" s="5">
        <v>45810.322916666664</v>
      </c>
      <c r="B199">
        <v>24</v>
      </c>
      <c r="C199" t="s">
        <v>30</v>
      </c>
      <c r="D199" t="s">
        <v>31</v>
      </c>
      <c r="E199">
        <v>1.52</v>
      </c>
      <c r="F199">
        <v>3.85</v>
      </c>
      <c r="G199" s="8">
        <f t="shared" si="3"/>
        <v>23.688311688311689</v>
      </c>
    </row>
    <row r="200" spans="1:7" x14ac:dyDescent="0.25">
      <c r="A200" s="5">
        <v>45810.322916666664</v>
      </c>
      <c r="B200">
        <v>25</v>
      </c>
      <c r="C200" t="s">
        <v>31</v>
      </c>
      <c r="D200" t="s">
        <v>32</v>
      </c>
      <c r="E200">
        <v>1.52</v>
      </c>
      <c r="F200">
        <v>2.95</v>
      </c>
      <c r="G200" s="8">
        <f t="shared" si="3"/>
        <v>30.915254237288135</v>
      </c>
    </row>
    <row r="201" spans="1:7" x14ac:dyDescent="0.25">
      <c r="A201" s="5">
        <v>45810.322916666664</v>
      </c>
      <c r="B201">
        <v>26</v>
      </c>
      <c r="C201" t="s">
        <v>32</v>
      </c>
      <c r="D201" t="s">
        <v>33</v>
      </c>
      <c r="E201">
        <v>1.49</v>
      </c>
      <c r="F201">
        <v>2.98</v>
      </c>
      <c r="G201" s="8">
        <f t="shared" si="3"/>
        <v>30.000000000000004</v>
      </c>
    </row>
    <row r="202" spans="1:7" x14ac:dyDescent="0.25">
      <c r="A202" s="5">
        <v>45810.322916666664</v>
      </c>
      <c r="B202">
        <v>27</v>
      </c>
      <c r="C202" t="s">
        <v>33</v>
      </c>
      <c r="D202" t="s">
        <v>34</v>
      </c>
      <c r="E202">
        <v>1.53</v>
      </c>
      <c r="F202">
        <v>3.05</v>
      </c>
      <c r="G202" s="8">
        <f t="shared" si="3"/>
        <v>30.098360655737707</v>
      </c>
    </row>
    <row r="203" spans="1:7" x14ac:dyDescent="0.25">
      <c r="A203" s="5">
        <v>45810.322916666664</v>
      </c>
      <c r="B203">
        <v>28</v>
      </c>
      <c r="C203" t="s">
        <v>34</v>
      </c>
      <c r="D203" t="s">
        <v>35</v>
      </c>
      <c r="E203">
        <v>1.51</v>
      </c>
      <c r="F203">
        <v>3.93</v>
      </c>
      <c r="G203" s="8">
        <f t="shared" si="3"/>
        <v>23.053435114503813</v>
      </c>
    </row>
    <row r="204" spans="1:7" x14ac:dyDescent="0.25">
      <c r="A204" s="5">
        <v>45810.322916666664</v>
      </c>
      <c r="B204">
        <v>29</v>
      </c>
      <c r="C204" t="s">
        <v>36</v>
      </c>
      <c r="D204" t="s">
        <v>37</v>
      </c>
      <c r="E204">
        <v>1.57</v>
      </c>
      <c r="F204">
        <v>4.25</v>
      </c>
      <c r="G204" s="8">
        <f t="shared" si="3"/>
        <v>22.164705882352941</v>
      </c>
    </row>
    <row r="205" spans="1:7" x14ac:dyDescent="0.25">
      <c r="A205" s="5">
        <v>45810.322916666664</v>
      </c>
      <c r="B205">
        <v>30</v>
      </c>
      <c r="C205" t="s">
        <v>37</v>
      </c>
      <c r="D205" t="s">
        <v>38</v>
      </c>
      <c r="E205">
        <v>1.57</v>
      </c>
      <c r="F205">
        <v>5.62</v>
      </c>
      <c r="G205" s="8">
        <f t="shared" si="3"/>
        <v>16.761565836298931</v>
      </c>
    </row>
    <row r="206" spans="1:7" x14ac:dyDescent="0.25">
      <c r="A206" s="5">
        <v>45810.322916666664</v>
      </c>
      <c r="B206">
        <v>31</v>
      </c>
      <c r="C206" t="s">
        <v>38</v>
      </c>
      <c r="D206" t="s">
        <v>39</v>
      </c>
      <c r="E206">
        <v>1.52</v>
      </c>
      <c r="F206">
        <v>2.68</v>
      </c>
      <c r="G206" s="8">
        <f t="shared" si="3"/>
        <v>34.029850746268657</v>
      </c>
    </row>
    <row r="207" spans="1:7" x14ac:dyDescent="0.25">
      <c r="A207" s="5">
        <v>45810.322916666664</v>
      </c>
      <c r="B207">
        <v>32</v>
      </c>
      <c r="C207" t="s">
        <v>39</v>
      </c>
      <c r="D207" t="s">
        <v>40</v>
      </c>
      <c r="E207">
        <v>1.5</v>
      </c>
      <c r="F207">
        <v>1.73</v>
      </c>
      <c r="G207" s="8">
        <f t="shared" si="3"/>
        <v>52.02312138728324</v>
      </c>
    </row>
    <row r="208" spans="1:7" x14ac:dyDescent="0.25">
      <c r="A208" s="5">
        <v>45810.322916666664</v>
      </c>
      <c r="B208">
        <v>33</v>
      </c>
      <c r="C208" t="s">
        <v>40</v>
      </c>
      <c r="D208" t="s">
        <v>41</v>
      </c>
      <c r="E208">
        <v>1.51</v>
      </c>
      <c r="F208">
        <v>1.68</v>
      </c>
      <c r="G208" s="8">
        <f t="shared" si="3"/>
        <v>53.928571428571431</v>
      </c>
    </row>
    <row r="209" spans="1:7" x14ac:dyDescent="0.25">
      <c r="A209" s="5">
        <v>45810.322916666664</v>
      </c>
      <c r="B209">
        <v>34</v>
      </c>
      <c r="C209" t="s">
        <v>41</v>
      </c>
      <c r="D209" t="s">
        <v>42</v>
      </c>
      <c r="E209">
        <v>1.5</v>
      </c>
      <c r="F209">
        <v>1.77</v>
      </c>
      <c r="G209" s="8">
        <f t="shared" si="3"/>
        <v>50.847457627118644</v>
      </c>
    </row>
    <row r="210" spans="1:7" x14ac:dyDescent="0.25">
      <c r="A210" s="5">
        <v>45810.322916666664</v>
      </c>
      <c r="B210">
        <v>35</v>
      </c>
      <c r="C210" t="s">
        <v>43</v>
      </c>
      <c r="D210" t="s">
        <v>44</v>
      </c>
      <c r="E210">
        <v>1.55</v>
      </c>
      <c r="F210">
        <v>3.7</v>
      </c>
      <c r="G210" s="8">
        <f t="shared" si="3"/>
        <v>25.135135135135133</v>
      </c>
    </row>
    <row r="211" spans="1:7" x14ac:dyDescent="0.25">
      <c r="A211" s="5">
        <v>45810.322916666664</v>
      </c>
      <c r="B211">
        <v>36</v>
      </c>
      <c r="C211" t="s">
        <v>44</v>
      </c>
      <c r="D211" t="s">
        <v>45</v>
      </c>
      <c r="E211">
        <v>1.5</v>
      </c>
      <c r="F211">
        <v>2.83</v>
      </c>
      <c r="G211" s="8">
        <f t="shared" si="3"/>
        <v>31.802120141342755</v>
      </c>
    </row>
    <row r="212" spans="1:7" x14ac:dyDescent="0.25">
      <c r="A212" s="5">
        <v>45810.322916666664</v>
      </c>
      <c r="B212">
        <v>37</v>
      </c>
      <c r="C212" t="s">
        <v>45</v>
      </c>
      <c r="D212" t="s">
        <v>46</v>
      </c>
      <c r="E212">
        <v>1.38</v>
      </c>
      <c r="F212">
        <v>3.7</v>
      </c>
      <c r="G212" s="8">
        <f t="shared" si="3"/>
        <v>22.378378378378375</v>
      </c>
    </row>
    <row r="213" spans="1:7" x14ac:dyDescent="0.25">
      <c r="A213" s="5">
        <v>45810.322916666664</v>
      </c>
      <c r="B213">
        <v>38</v>
      </c>
      <c r="C213" t="s">
        <v>46</v>
      </c>
      <c r="D213" t="s">
        <v>47</v>
      </c>
      <c r="E213">
        <v>1.61</v>
      </c>
      <c r="F213">
        <v>3.42</v>
      </c>
      <c r="G213" s="8">
        <f t="shared" si="3"/>
        <v>28.245614035087723</v>
      </c>
    </row>
    <row r="214" spans="1:7" x14ac:dyDescent="0.25">
      <c r="A214" s="5">
        <v>45810.322916666664</v>
      </c>
      <c r="B214">
        <v>39</v>
      </c>
      <c r="C214" t="s">
        <v>47</v>
      </c>
      <c r="D214" t="s">
        <v>48</v>
      </c>
      <c r="E214">
        <v>1.55</v>
      </c>
      <c r="F214">
        <v>3.05</v>
      </c>
      <c r="G214" s="8">
        <f t="shared" si="3"/>
        <v>30.491803278688526</v>
      </c>
    </row>
    <row r="215" spans="1:7" x14ac:dyDescent="0.25">
      <c r="A215" s="5">
        <v>45810.322916666664</v>
      </c>
      <c r="B215">
        <v>40</v>
      </c>
      <c r="C215" t="s">
        <v>48</v>
      </c>
      <c r="D215" t="s">
        <v>49</v>
      </c>
      <c r="E215">
        <v>1.39</v>
      </c>
      <c r="F215">
        <v>2.67</v>
      </c>
      <c r="G215" s="8">
        <f t="shared" si="3"/>
        <v>31.235955056179773</v>
      </c>
    </row>
    <row r="216" spans="1:7" x14ac:dyDescent="0.25">
      <c r="A216" s="5">
        <v>45810.322916666664</v>
      </c>
      <c r="B216">
        <v>41</v>
      </c>
      <c r="C216" t="s">
        <v>50</v>
      </c>
      <c r="D216" t="s">
        <v>51</v>
      </c>
      <c r="E216">
        <v>1.56</v>
      </c>
      <c r="F216">
        <v>3.37</v>
      </c>
      <c r="G216" s="8">
        <f t="shared" si="3"/>
        <v>27.774480712166174</v>
      </c>
    </row>
    <row r="217" spans="1:7" x14ac:dyDescent="0.25">
      <c r="A217" s="5">
        <v>45810.322916666664</v>
      </c>
      <c r="B217">
        <v>42</v>
      </c>
      <c r="C217" t="s">
        <v>51</v>
      </c>
      <c r="D217" t="s">
        <v>52</v>
      </c>
      <c r="E217">
        <v>1.56</v>
      </c>
      <c r="F217">
        <v>3.62</v>
      </c>
      <c r="G217" s="8">
        <f t="shared" si="3"/>
        <v>25.856353591160222</v>
      </c>
    </row>
    <row r="218" spans="1:7" x14ac:dyDescent="0.25">
      <c r="A218" s="5">
        <v>45810.322916666664</v>
      </c>
      <c r="B218">
        <v>43</v>
      </c>
      <c r="C218" t="s">
        <v>52</v>
      </c>
      <c r="D218" t="s">
        <v>53</v>
      </c>
      <c r="E218">
        <v>1.51</v>
      </c>
      <c r="F218">
        <v>3.18</v>
      </c>
      <c r="G218" s="8">
        <f t="shared" si="3"/>
        <v>28.490566037735846</v>
      </c>
    </row>
    <row r="219" spans="1:7" x14ac:dyDescent="0.25">
      <c r="A219" s="5">
        <v>45810.322916666664</v>
      </c>
      <c r="B219">
        <v>44</v>
      </c>
      <c r="C219" t="s">
        <v>54</v>
      </c>
      <c r="D219" t="s">
        <v>55</v>
      </c>
      <c r="E219">
        <v>1.51</v>
      </c>
      <c r="F219">
        <v>4.12</v>
      </c>
      <c r="G219" s="8">
        <f t="shared" si="3"/>
        <v>21.990291262135919</v>
      </c>
    </row>
    <row r="220" spans="1:7" x14ac:dyDescent="0.25">
      <c r="A220" s="5">
        <v>45810.322916666664</v>
      </c>
      <c r="B220">
        <v>45</v>
      </c>
      <c r="C220" t="s">
        <v>55</v>
      </c>
      <c r="D220" t="s">
        <v>56</v>
      </c>
      <c r="E220">
        <v>1.49</v>
      </c>
      <c r="F220">
        <v>3.33</v>
      </c>
      <c r="G220" s="8">
        <f t="shared" si="3"/>
        <v>26.846846846846848</v>
      </c>
    </row>
    <row r="221" spans="1:7" x14ac:dyDescent="0.25">
      <c r="A221" s="5">
        <v>45810.322916666664</v>
      </c>
      <c r="B221">
        <v>46</v>
      </c>
      <c r="C221" t="s">
        <v>56</v>
      </c>
      <c r="D221" t="s">
        <v>57</v>
      </c>
      <c r="E221">
        <v>1.52</v>
      </c>
      <c r="F221">
        <v>3.63</v>
      </c>
      <c r="G221" s="8">
        <f t="shared" si="3"/>
        <v>25.123966942148762</v>
      </c>
    </row>
    <row r="222" spans="1:7" x14ac:dyDescent="0.25">
      <c r="A222" s="5">
        <v>45810.322916666664</v>
      </c>
      <c r="B222">
        <v>47</v>
      </c>
      <c r="C222" t="s">
        <v>58</v>
      </c>
      <c r="D222" t="s">
        <v>59</v>
      </c>
      <c r="E222">
        <v>1.52</v>
      </c>
      <c r="F222">
        <v>4.07</v>
      </c>
      <c r="G222" s="8">
        <f t="shared" si="3"/>
        <v>22.407862407862407</v>
      </c>
    </row>
    <row r="223" spans="1:7" x14ac:dyDescent="0.25">
      <c r="A223" s="5">
        <v>45810.322916666664</v>
      </c>
      <c r="B223">
        <v>48</v>
      </c>
      <c r="C223" t="s">
        <v>59</v>
      </c>
      <c r="D223" t="s">
        <v>60</v>
      </c>
      <c r="E223">
        <v>1.5</v>
      </c>
      <c r="F223">
        <v>3.7</v>
      </c>
      <c r="G223" s="8">
        <f t="shared" si="3"/>
        <v>24.324324324324323</v>
      </c>
    </row>
    <row r="224" spans="1:7" x14ac:dyDescent="0.25">
      <c r="A224" s="5">
        <v>45810.322916666664</v>
      </c>
      <c r="B224">
        <v>49</v>
      </c>
      <c r="C224" t="s">
        <v>60</v>
      </c>
      <c r="D224" t="s">
        <v>61</v>
      </c>
      <c r="E224">
        <v>1.54</v>
      </c>
      <c r="F224">
        <v>3.92</v>
      </c>
      <c r="G224" s="8">
        <f t="shared" si="3"/>
        <v>23.571428571428573</v>
      </c>
    </row>
    <row r="225" spans="1:7" x14ac:dyDescent="0.25">
      <c r="A225" s="5">
        <v>45810.322916666664</v>
      </c>
      <c r="B225">
        <v>50</v>
      </c>
      <c r="C225" t="s">
        <v>62</v>
      </c>
      <c r="D225" t="s">
        <v>63</v>
      </c>
      <c r="E225">
        <v>1.38</v>
      </c>
      <c r="F225">
        <v>3.15</v>
      </c>
      <c r="G225" s="8">
        <f t="shared" si="3"/>
        <v>26.285714285714285</v>
      </c>
    </row>
    <row r="226" spans="1:7" x14ac:dyDescent="0.25">
      <c r="A226" s="5">
        <v>45810.322916666664</v>
      </c>
      <c r="B226">
        <v>51</v>
      </c>
      <c r="C226" t="s">
        <v>63</v>
      </c>
      <c r="D226" t="s">
        <v>64</v>
      </c>
      <c r="E226">
        <v>2.79</v>
      </c>
      <c r="F226">
        <v>5.22</v>
      </c>
      <c r="G226" s="8">
        <f t="shared" si="3"/>
        <v>32.068965517241381</v>
      </c>
    </row>
    <row r="227" spans="1:7" x14ac:dyDescent="0.25">
      <c r="A227" s="5">
        <v>45810.322916666664</v>
      </c>
      <c r="B227">
        <v>52</v>
      </c>
      <c r="C227" t="s">
        <v>64</v>
      </c>
      <c r="D227" t="s">
        <v>65</v>
      </c>
      <c r="E227">
        <v>1.5</v>
      </c>
      <c r="F227">
        <v>2.67</v>
      </c>
      <c r="G227" s="8">
        <f t="shared" si="3"/>
        <v>33.707865168539328</v>
      </c>
    </row>
    <row r="228" spans="1:7" x14ac:dyDescent="0.25">
      <c r="A228" s="5">
        <v>45810.322916666664</v>
      </c>
      <c r="B228">
        <v>53</v>
      </c>
      <c r="C228" t="s">
        <v>65</v>
      </c>
      <c r="D228" t="s">
        <v>66</v>
      </c>
      <c r="E228">
        <v>1.46</v>
      </c>
      <c r="F228">
        <v>3.42</v>
      </c>
      <c r="G228" s="8">
        <f t="shared" si="3"/>
        <v>25.614035087719298</v>
      </c>
    </row>
    <row r="229" spans="1:7" x14ac:dyDescent="0.25">
      <c r="A229" s="5">
        <v>45810.322916666664</v>
      </c>
      <c r="B229">
        <v>54</v>
      </c>
      <c r="C229" t="s">
        <v>67</v>
      </c>
      <c r="D229" t="s">
        <v>68</v>
      </c>
      <c r="E229">
        <v>1.46</v>
      </c>
      <c r="F229">
        <v>3</v>
      </c>
      <c r="G229" s="8">
        <f t="shared" si="3"/>
        <v>29.2</v>
      </c>
    </row>
    <row r="230" spans="1:7" x14ac:dyDescent="0.25">
      <c r="A230" s="5">
        <v>45810.322916666664</v>
      </c>
      <c r="B230">
        <v>55</v>
      </c>
      <c r="C230" t="s">
        <v>68</v>
      </c>
      <c r="D230" t="s">
        <v>69</v>
      </c>
      <c r="E230">
        <v>1.5</v>
      </c>
      <c r="F230">
        <v>2.17</v>
      </c>
      <c r="G230" s="8">
        <f t="shared" si="3"/>
        <v>41.474654377880185</v>
      </c>
    </row>
    <row r="231" spans="1:7" x14ac:dyDescent="0.25">
      <c r="A231" s="5">
        <v>45810.322916666664</v>
      </c>
      <c r="B231">
        <v>56</v>
      </c>
      <c r="C231" t="s">
        <v>70</v>
      </c>
      <c r="D231" t="s">
        <v>71</v>
      </c>
      <c r="E231">
        <v>1.51</v>
      </c>
      <c r="F231">
        <v>4</v>
      </c>
      <c r="G231" s="8">
        <f t="shared" si="3"/>
        <v>22.65</v>
      </c>
    </row>
    <row r="232" spans="1:7" x14ac:dyDescent="0.25">
      <c r="A232" s="5">
        <v>45810.322916666664</v>
      </c>
      <c r="B232">
        <v>57</v>
      </c>
      <c r="C232" t="s">
        <v>71</v>
      </c>
      <c r="D232" t="s">
        <v>72</v>
      </c>
      <c r="E232">
        <v>1.52</v>
      </c>
      <c r="F232">
        <v>3.8</v>
      </c>
      <c r="G232" s="8">
        <f t="shared" si="3"/>
        <v>24.000000000000004</v>
      </c>
    </row>
    <row r="233" spans="1:7" x14ac:dyDescent="0.25">
      <c r="A233" s="5">
        <v>45810.322916666664</v>
      </c>
      <c r="B233">
        <v>58</v>
      </c>
      <c r="C233" t="s">
        <v>72</v>
      </c>
      <c r="D233" t="s">
        <v>73</v>
      </c>
      <c r="E233">
        <v>1.5</v>
      </c>
      <c r="F233">
        <v>3.4</v>
      </c>
      <c r="G233" s="8">
        <f t="shared" si="3"/>
        <v>26.47058823529412</v>
      </c>
    </row>
    <row r="234" spans="1:7" x14ac:dyDescent="0.25">
      <c r="A234" s="5">
        <v>45810.333333333336</v>
      </c>
      <c r="B234">
        <v>1</v>
      </c>
      <c r="C234" t="s">
        <v>6</v>
      </c>
      <c r="D234" t="s">
        <v>7</v>
      </c>
      <c r="E234">
        <v>1.53</v>
      </c>
      <c r="F234">
        <v>2.98</v>
      </c>
      <c r="G234" s="8">
        <f t="shared" si="3"/>
        <v>30.805369127516776</v>
      </c>
    </row>
    <row r="235" spans="1:7" x14ac:dyDescent="0.25">
      <c r="A235" s="5">
        <v>45810.333333333336</v>
      </c>
      <c r="B235">
        <v>2</v>
      </c>
      <c r="C235" t="s">
        <v>7</v>
      </c>
      <c r="D235" t="s">
        <v>8</v>
      </c>
      <c r="E235">
        <v>1.57</v>
      </c>
      <c r="F235">
        <v>4.67</v>
      </c>
      <c r="G235" s="8">
        <f t="shared" si="3"/>
        <v>20.171306209850108</v>
      </c>
    </row>
    <row r="236" spans="1:7" x14ac:dyDescent="0.25">
      <c r="A236" s="5">
        <v>45810.333333333336</v>
      </c>
      <c r="B236">
        <v>3</v>
      </c>
      <c r="C236" t="s">
        <v>8</v>
      </c>
      <c r="D236" t="s">
        <v>9</v>
      </c>
      <c r="E236">
        <v>1.5</v>
      </c>
      <c r="F236">
        <v>3.03</v>
      </c>
      <c r="G236" s="8">
        <f t="shared" si="3"/>
        <v>29.702970297029704</v>
      </c>
    </row>
    <row r="237" spans="1:7" x14ac:dyDescent="0.25">
      <c r="A237" s="5">
        <v>45810.333333333336</v>
      </c>
      <c r="B237">
        <v>4</v>
      </c>
      <c r="C237" t="s">
        <v>9</v>
      </c>
      <c r="D237" t="s">
        <v>10</v>
      </c>
      <c r="E237">
        <v>1.5</v>
      </c>
      <c r="F237">
        <v>2.65</v>
      </c>
      <c r="G237" s="8">
        <f t="shared" si="3"/>
        <v>33.962264150943398</v>
      </c>
    </row>
    <row r="238" spans="1:7" x14ac:dyDescent="0.25">
      <c r="A238" s="5">
        <v>45810.333333333336</v>
      </c>
      <c r="B238">
        <v>5</v>
      </c>
      <c r="C238" t="s">
        <v>10</v>
      </c>
      <c r="D238" t="s">
        <v>11</v>
      </c>
      <c r="E238">
        <v>1.52</v>
      </c>
      <c r="F238">
        <v>3.08</v>
      </c>
      <c r="G238" s="8">
        <f t="shared" si="3"/>
        <v>29.61038961038961</v>
      </c>
    </row>
    <row r="239" spans="1:7" x14ac:dyDescent="0.25">
      <c r="A239" s="5">
        <v>45810.333333333336</v>
      </c>
      <c r="B239">
        <v>6</v>
      </c>
      <c r="C239" t="s">
        <v>11</v>
      </c>
      <c r="D239" t="s">
        <v>12</v>
      </c>
      <c r="E239">
        <v>1.5</v>
      </c>
      <c r="F239">
        <v>2.72</v>
      </c>
      <c r="G239" s="8">
        <f t="shared" si="3"/>
        <v>33.088235294117645</v>
      </c>
    </row>
    <row r="240" spans="1:7" x14ac:dyDescent="0.25">
      <c r="A240" s="5">
        <v>45810.333333333336</v>
      </c>
      <c r="B240">
        <v>7</v>
      </c>
      <c r="C240" t="s">
        <v>12</v>
      </c>
      <c r="D240" t="s">
        <v>13</v>
      </c>
      <c r="E240">
        <v>1.54</v>
      </c>
      <c r="F240">
        <v>2.6</v>
      </c>
      <c r="G240" s="8">
        <f t="shared" si="3"/>
        <v>35.53846153846154</v>
      </c>
    </row>
    <row r="241" spans="1:7" x14ac:dyDescent="0.25">
      <c r="A241" s="5">
        <v>45810.333333333336</v>
      </c>
      <c r="B241">
        <v>8</v>
      </c>
      <c r="C241" t="s">
        <v>13</v>
      </c>
      <c r="D241" t="s">
        <v>14</v>
      </c>
      <c r="E241">
        <v>1.54</v>
      </c>
      <c r="F241">
        <v>3.35</v>
      </c>
      <c r="G241" s="8">
        <f t="shared" si="3"/>
        <v>27.582089552238806</v>
      </c>
    </row>
    <row r="242" spans="1:7" x14ac:dyDescent="0.25">
      <c r="A242" s="5">
        <v>45810.333333333336</v>
      </c>
      <c r="B242">
        <v>9</v>
      </c>
      <c r="C242" t="s">
        <v>14</v>
      </c>
      <c r="D242" t="s">
        <v>15</v>
      </c>
      <c r="E242">
        <v>1.52</v>
      </c>
      <c r="F242">
        <v>3.8</v>
      </c>
      <c r="G242" s="8">
        <f t="shared" si="3"/>
        <v>24.000000000000004</v>
      </c>
    </row>
    <row r="243" spans="1:7" x14ac:dyDescent="0.25">
      <c r="A243" s="5">
        <v>45810.333333333336</v>
      </c>
      <c r="B243">
        <v>10</v>
      </c>
      <c r="C243" t="s">
        <v>15</v>
      </c>
      <c r="D243" t="s">
        <v>16</v>
      </c>
      <c r="E243">
        <v>1.5</v>
      </c>
      <c r="F243">
        <v>4.3</v>
      </c>
      <c r="G243" s="8">
        <f t="shared" si="3"/>
        <v>20.930232558139537</v>
      </c>
    </row>
    <row r="244" spans="1:7" x14ac:dyDescent="0.25">
      <c r="A244" s="5">
        <v>45810.333333333336</v>
      </c>
      <c r="B244">
        <v>11</v>
      </c>
      <c r="C244" t="s">
        <v>16</v>
      </c>
      <c r="D244" t="s">
        <v>17</v>
      </c>
      <c r="E244">
        <v>1.48</v>
      </c>
      <c r="F244">
        <v>3.53</v>
      </c>
      <c r="G244" s="8">
        <f t="shared" si="3"/>
        <v>25.155807365439095</v>
      </c>
    </row>
    <row r="245" spans="1:7" x14ac:dyDescent="0.25">
      <c r="A245" s="5">
        <v>45810.333333333336</v>
      </c>
      <c r="B245">
        <v>12</v>
      </c>
      <c r="C245" t="s">
        <v>17</v>
      </c>
      <c r="D245" t="s">
        <v>18</v>
      </c>
      <c r="E245">
        <v>1.46</v>
      </c>
      <c r="F245">
        <v>4.7699999999999996</v>
      </c>
      <c r="G245" s="8">
        <f t="shared" si="3"/>
        <v>18.364779874213838</v>
      </c>
    </row>
    <row r="246" spans="1:7" x14ac:dyDescent="0.25">
      <c r="A246" s="5">
        <v>45810.333333333336</v>
      </c>
      <c r="B246">
        <v>13</v>
      </c>
      <c r="C246" t="s">
        <v>18</v>
      </c>
      <c r="D246" t="s">
        <v>19</v>
      </c>
      <c r="E246">
        <v>1.52</v>
      </c>
      <c r="F246">
        <v>5.65</v>
      </c>
      <c r="G246" s="8">
        <f t="shared" si="3"/>
        <v>16.141592920353983</v>
      </c>
    </row>
    <row r="247" spans="1:7" x14ac:dyDescent="0.25">
      <c r="A247" s="5">
        <v>45810.333333333336</v>
      </c>
      <c r="B247">
        <v>14</v>
      </c>
      <c r="C247" t="s">
        <v>19</v>
      </c>
      <c r="D247" t="s">
        <v>20</v>
      </c>
      <c r="E247">
        <v>1.51</v>
      </c>
      <c r="F247">
        <v>4.1500000000000004</v>
      </c>
      <c r="G247" s="8">
        <f t="shared" si="3"/>
        <v>21.831325301204817</v>
      </c>
    </row>
    <row r="248" spans="1:7" x14ac:dyDescent="0.25">
      <c r="A248" s="5">
        <v>45810.333333333336</v>
      </c>
      <c r="B248">
        <v>15</v>
      </c>
      <c r="C248" t="s">
        <v>20</v>
      </c>
      <c r="D248" t="s">
        <v>21</v>
      </c>
      <c r="E248">
        <v>1.47</v>
      </c>
      <c r="F248">
        <v>2.9</v>
      </c>
      <c r="G248" s="8">
        <f t="shared" si="3"/>
        <v>30.413793103448278</v>
      </c>
    </row>
    <row r="249" spans="1:7" x14ac:dyDescent="0.25">
      <c r="A249" s="5">
        <v>45810.333333333336</v>
      </c>
      <c r="B249">
        <v>16</v>
      </c>
      <c r="C249" t="s">
        <v>21</v>
      </c>
      <c r="D249" t="s">
        <v>22</v>
      </c>
      <c r="E249">
        <v>1.5</v>
      </c>
      <c r="F249">
        <v>1.77</v>
      </c>
      <c r="G249" s="8">
        <f t="shared" si="3"/>
        <v>50.847457627118644</v>
      </c>
    </row>
    <row r="250" spans="1:7" x14ac:dyDescent="0.25">
      <c r="A250" s="5">
        <v>45810.333333333336</v>
      </c>
      <c r="B250">
        <v>17</v>
      </c>
      <c r="C250" t="s">
        <v>22</v>
      </c>
      <c r="D250" t="s">
        <v>23</v>
      </c>
      <c r="E250">
        <v>1.51</v>
      </c>
      <c r="F250">
        <v>2.97</v>
      </c>
      <c r="G250" s="8">
        <f t="shared" si="3"/>
        <v>30.505050505050502</v>
      </c>
    </row>
    <row r="251" spans="1:7" x14ac:dyDescent="0.25">
      <c r="A251" s="5">
        <v>45810.333333333336</v>
      </c>
      <c r="B251">
        <v>18</v>
      </c>
      <c r="C251" t="s">
        <v>23</v>
      </c>
      <c r="D251" t="s">
        <v>24</v>
      </c>
      <c r="E251">
        <v>1.51</v>
      </c>
      <c r="F251">
        <v>2.9</v>
      </c>
      <c r="G251" s="8">
        <f t="shared" si="3"/>
        <v>31.241379310344826</v>
      </c>
    </row>
    <row r="252" spans="1:7" x14ac:dyDescent="0.25">
      <c r="A252" s="5">
        <v>45810.333333333336</v>
      </c>
      <c r="B252">
        <v>19</v>
      </c>
      <c r="C252" t="s">
        <v>25</v>
      </c>
      <c r="D252" t="s">
        <v>26</v>
      </c>
      <c r="E252">
        <v>1.5</v>
      </c>
      <c r="F252">
        <v>4.05</v>
      </c>
      <c r="G252" s="8">
        <f t="shared" si="3"/>
        <v>22.222222222222221</v>
      </c>
    </row>
    <row r="253" spans="1:7" x14ac:dyDescent="0.25">
      <c r="A253" s="5">
        <v>45810.333333333336</v>
      </c>
      <c r="B253">
        <v>20</v>
      </c>
      <c r="C253" t="s">
        <v>26</v>
      </c>
      <c r="D253" t="s">
        <v>27</v>
      </c>
      <c r="E253">
        <v>1.48</v>
      </c>
      <c r="F253">
        <v>4.08</v>
      </c>
      <c r="G253" s="8">
        <f t="shared" si="3"/>
        <v>21.764705882352938</v>
      </c>
    </row>
    <row r="254" spans="1:7" x14ac:dyDescent="0.25">
      <c r="A254" s="5">
        <v>45810.333333333336</v>
      </c>
      <c r="B254">
        <v>21</v>
      </c>
      <c r="C254" t="s">
        <v>27</v>
      </c>
      <c r="D254" t="s">
        <v>28</v>
      </c>
      <c r="E254">
        <v>1.51</v>
      </c>
      <c r="F254">
        <v>4.0999999999999996</v>
      </c>
      <c r="G254" s="8">
        <f t="shared" si="3"/>
        <v>22.097560975609756</v>
      </c>
    </row>
    <row r="255" spans="1:7" x14ac:dyDescent="0.25">
      <c r="A255" s="5">
        <v>45810.333333333336</v>
      </c>
      <c r="B255">
        <v>22</v>
      </c>
      <c r="C255" t="s">
        <v>28</v>
      </c>
      <c r="D255" t="s">
        <v>29</v>
      </c>
      <c r="E255">
        <v>1.57</v>
      </c>
      <c r="F255">
        <v>4</v>
      </c>
      <c r="G255" s="8">
        <f t="shared" si="3"/>
        <v>23.55</v>
      </c>
    </row>
    <row r="256" spans="1:7" x14ac:dyDescent="0.25">
      <c r="A256" s="5">
        <v>45810.333333333336</v>
      </c>
      <c r="B256">
        <v>23</v>
      </c>
      <c r="C256" t="s">
        <v>29</v>
      </c>
      <c r="D256" t="s">
        <v>30</v>
      </c>
      <c r="E256">
        <v>1.43</v>
      </c>
      <c r="F256">
        <v>4.2699999999999996</v>
      </c>
      <c r="G256" s="8">
        <f t="shared" si="3"/>
        <v>20.093676814988292</v>
      </c>
    </row>
    <row r="257" spans="1:7" x14ac:dyDescent="0.25">
      <c r="A257" s="5">
        <v>45810.333333333336</v>
      </c>
      <c r="B257">
        <v>24</v>
      </c>
      <c r="C257" t="s">
        <v>30</v>
      </c>
      <c r="D257" t="s">
        <v>31</v>
      </c>
      <c r="E257">
        <v>1.52</v>
      </c>
      <c r="F257">
        <v>4.22</v>
      </c>
      <c r="G257" s="8">
        <f t="shared" si="3"/>
        <v>21.611374407582939</v>
      </c>
    </row>
    <row r="258" spans="1:7" x14ac:dyDescent="0.25">
      <c r="A258" s="5">
        <v>45810.333333333336</v>
      </c>
      <c r="B258">
        <v>25</v>
      </c>
      <c r="C258" t="s">
        <v>31</v>
      </c>
      <c r="D258" t="s">
        <v>32</v>
      </c>
      <c r="E258">
        <v>1.52</v>
      </c>
      <c r="F258">
        <v>3.08</v>
      </c>
      <c r="G258" s="8">
        <f t="shared" si="3"/>
        <v>29.61038961038961</v>
      </c>
    </row>
    <row r="259" spans="1:7" x14ac:dyDescent="0.25">
      <c r="A259" s="5">
        <v>45810.333333333336</v>
      </c>
      <c r="B259">
        <v>26</v>
      </c>
      <c r="C259" t="s">
        <v>32</v>
      </c>
      <c r="D259" t="s">
        <v>33</v>
      </c>
      <c r="E259">
        <v>1.49</v>
      </c>
      <c r="F259">
        <v>3.25</v>
      </c>
      <c r="G259" s="8">
        <f t="shared" ref="G259:G322" si="4">E259*60/F259</f>
        <v>27.507692307692309</v>
      </c>
    </row>
    <row r="260" spans="1:7" x14ac:dyDescent="0.25">
      <c r="A260" s="5">
        <v>45810.333333333336</v>
      </c>
      <c r="B260">
        <v>27</v>
      </c>
      <c r="C260" t="s">
        <v>33</v>
      </c>
      <c r="D260" t="s">
        <v>34</v>
      </c>
      <c r="E260">
        <v>1.53</v>
      </c>
      <c r="F260">
        <v>3.12</v>
      </c>
      <c r="G260" s="8">
        <f t="shared" si="4"/>
        <v>29.42307692307692</v>
      </c>
    </row>
    <row r="261" spans="1:7" x14ac:dyDescent="0.25">
      <c r="A261" s="5">
        <v>45810.333333333336</v>
      </c>
      <c r="B261">
        <v>28</v>
      </c>
      <c r="C261" t="s">
        <v>34</v>
      </c>
      <c r="D261" t="s">
        <v>35</v>
      </c>
      <c r="E261">
        <v>1.51</v>
      </c>
      <c r="F261">
        <v>3.87</v>
      </c>
      <c r="G261" s="8">
        <f t="shared" si="4"/>
        <v>23.410852713178294</v>
      </c>
    </row>
    <row r="262" spans="1:7" x14ac:dyDescent="0.25">
      <c r="A262" s="5">
        <v>45810.333333333336</v>
      </c>
      <c r="B262">
        <v>29</v>
      </c>
      <c r="C262" t="s">
        <v>36</v>
      </c>
      <c r="D262" t="s">
        <v>37</v>
      </c>
      <c r="E262">
        <v>1.57</v>
      </c>
      <c r="F262">
        <v>4.88</v>
      </c>
      <c r="G262" s="8">
        <f t="shared" si="4"/>
        <v>19.303278688524593</v>
      </c>
    </row>
    <row r="263" spans="1:7" x14ac:dyDescent="0.25">
      <c r="A263" s="5">
        <v>45810.333333333336</v>
      </c>
      <c r="B263">
        <v>30</v>
      </c>
      <c r="C263" t="s">
        <v>37</v>
      </c>
      <c r="D263" t="s">
        <v>38</v>
      </c>
      <c r="E263">
        <v>1.57</v>
      </c>
      <c r="F263">
        <v>6.33</v>
      </c>
      <c r="G263" s="8">
        <f t="shared" si="4"/>
        <v>14.881516587677725</v>
      </c>
    </row>
    <row r="264" spans="1:7" x14ac:dyDescent="0.25">
      <c r="A264" s="5">
        <v>45810.333333333336</v>
      </c>
      <c r="B264">
        <v>31</v>
      </c>
      <c r="C264" t="s">
        <v>38</v>
      </c>
      <c r="D264" t="s">
        <v>39</v>
      </c>
      <c r="E264">
        <v>1.52</v>
      </c>
      <c r="F264">
        <v>3.07</v>
      </c>
      <c r="G264" s="8">
        <f t="shared" si="4"/>
        <v>29.706840390879481</v>
      </c>
    </row>
    <row r="265" spans="1:7" x14ac:dyDescent="0.25">
      <c r="A265" s="5">
        <v>45810.333333333336</v>
      </c>
      <c r="B265">
        <v>32</v>
      </c>
      <c r="C265" t="s">
        <v>39</v>
      </c>
      <c r="D265" t="s">
        <v>40</v>
      </c>
      <c r="E265">
        <v>1.5</v>
      </c>
      <c r="F265">
        <v>1.67</v>
      </c>
      <c r="G265" s="8">
        <f t="shared" si="4"/>
        <v>53.892215568862277</v>
      </c>
    </row>
    <row r="266" spans="1:7" x14ac:dyDescent="0.25">
      <c r="A266" s="5">
        <v>45810.333333333336</v>
      </c>
      <c r="B266">
        <v>33</v>
      </c>
      <c r="C266" t="s">
        <v>40</v>
      </c>
      <c r="D266" t="s">
        <v>41</v>
      </c>
      <c r="E266">
        <v>1.51</v>
      </c>
      <c r="F266">
        <v>1.68</v>
      </c>
      <c r="G266" s="8">
        <f t="shared" si="4"/>
        <v>53.928571428571431</v>
      </c>
    </row>
    <row r="267" spans="1:7" x14ac:dyDescent="0.25">
      <c r="A267" s="5">
        <v>45810.333333333336</v>
      </c>
      <c r="B267">
        <v>34</v>
      </c>
      <c r="C267" t="s">
        <v>41</v>
      </c>
      <c r="D267" t="s">
        <v>42</v>
      </c>
      <c r="E267">
        <v>1.5</v>
      </c>
      <c r="F267">
        <v>1.7</v>
      </c>
      <c r="G267" s="8">
        <f t="shared" si="4"/>
        <v>52.941176470588239</v>
      </c>
    </row>
    <row r="268" spans="1:7" x14ac:dyDescent="0.25">
      <c r="A268" s="5">
        <v>45810.333333333336</v>
      </c>
      <c r="B268">
        <v>35</v>
      </c>
      <c r="C268" t="s">
        <v>43</v>
      </c>
      <c r="D268" t="s">
        <v>44</v>
      </c>
      <c r="E268">
        <v>1.55</v>
      </c>
      <c r="F268">
        <v>3.95</v>
      </c>
      <c r="G268" s="8">
        <f t="shared" si="4"/>
        <v>23.544303797468352</v>
      </c>
    </row>
    <row r="269" spans="1:7" x14ac:dyDescent="0.25">
      <c r="A269" s="5">
        <v>45810.333333333336</v>
      </c>
      <c r="B269">
        <v>36</v>
      </c>
      <c r="C269" t="s">
        <v>44</v>
      </c>
      <c r="D269" t="s">
        <v>45</v>
      </c>
      <c r="E269">
        <v>1.5</v>
      </c>
      <c r="F269">
        <v>3.12</v>
      </c>
      <c r="G269" s="8">
        <f t="shared" si="4"/>
        <v>28.846153846153847</v>
      </c>
    </row>
    <row r="270" spans="1:7" x14ac:dyDescent="0.25">
      <c r="A270" s="5">
        <v>45810.333333333336</v>
      </c>
      <c r="B270">
        <v>37</v>
      </c>
      <c r="C270" t="s">
        <v>45</v>
      </c>
      <c r="D270" t="s">
        <v>46</v>
      </c>
      <c r="E270">
        <v>1.38</v>
      </c>
      <c r="F270">
        <v>3.85</v>
      </c>
      <c r="G270" s="8">
        <f t="shared" si="4"/>
        <v>21.506493506493506</v>
      </c>
    </row>
    <row r="271" spans="1:7" x14ac:dyDescent="0.25">
      <c r="A271" s="5">
        <v>45810.333333333336</v>
      </c>
      <c r="B271">
        <v>38</v>
      </c>
      <c r="C271" t="s">
        <v>46</v>
      </c>
      <c r="D271" t="s">
        <v>47</v>
      </c>
      <c r="E271">
        <v>1.61</v>
      </c>
      <c r="F271">
        <v>3.52</v>
      </c>
      <c r="G271" s="8">
        <f t="shared" si="4"/>
        <v>27.44318181818182</v>
      </c>
    </row>
    <row r="272" spans="1:7" x14ac:dyDescent="0.25">
      <c r="A272" s="5">
        <v>45810.333333333336</v>
      </c>
      <c r="B272">
        <v>39</v>
      </c>
      <c r="C272" t="s">
        <v>47</v>
      </c>
      <c r="D272" t="s">
        <v>48</v>
      </c>
      <c r="E272">
        <v>1.55</v>
      </c>
      <c r="F272">
        <v>3.25</v>
      </c>
      <c r="G272" s="8">
        <f t="shared" si="4"/>
        <v>28.615384615384617</v>
      </c>
    </row>
    <row r="273" spans="1:7" x14ac:dyDescent="0.25">
      <c r="A273" s="5">
        <v>45810.333333333336</v>
      </c>
      <c r="B273">
        <v>40</v>
      </c>
      <c r="C273" t="s">
        <v>48</v>
      </c>
      <c r="D273" t="s">
        <v>49</v>
      </c>
      <c r="E273">
        <v>1.39</v>
      </c>
      <c r="F273">
        <v>2.67</v>
      </c>
      <c r="G273" s="8">
        <f t="shared" si="4"/>
        <v>31.235955056179773</v>
      </c>
    </row>
    <row r="274" spans="1:7" x14ac:dyDescent="0.25">
      <c r="A274" s="5">
        <v>45810.333333333336</v>
      </c>
      <c r="B274">
        <v>41</v>
      </c>
      <c r="C274" t="s">
        <v>50</v>
      </c>
      <c r="D274" t="s">
        <v>51</v>
      </c>
      <c r="E274">
        <v>1.56</v>
      </c>
      <c r="F274">
        <v>4.28</v>
      </c>
      <c r="G274" s="8">
        <f t="shared" si="4"/>
        <v>21.869158878504674</v>
      </c>
    </row>
    <row r="275" spans="1:7" x14ac:dyDescent="0.25">
      <c r="A275" s="5">
        <v>45810.333333333336</v>
      </c>
      <c r="B275">
        <v>42</v>
      </c>
      <c r="C275" t="s">
        <v>51</v>
      </c>
      <c r="D275" t="s">
        <v>52</v>
      </c>
      <c r="E275">
        <v>1.56</v>
      </c>
      <c r="F275">
        <v>4.38</v>
      </c>
      <c r="G275" s="8">
        <f t="shared" si="4"/>
        <v>21.369863013698634</v>
      </c>
    </row>
    <row r="276" spans="1:7" x14ac:dyDescent="0.25">
      <c r="A276" s="5">
        <v>45810.333333333336</v>
      </c>
      <c r="B276">
        <v>43</v>
      </c>
      <c r="C276" t="s">
        <v>52</v>
      </c>
      <c r="D276" t="s">
        <v>53</v>
      </c>
      <c r="E276">
        <v>1.51</v>
      </c>
      <c r="F276">
        <v>3.42</v>
      </c>
      <c r="G276" s="8">
        <f t="shared" si="4"/>
        <v>26.491228070175438</v>
      </c>
    </row>
    <row r="277" spans="1:7" x14ac:dyDescent="0.25">
      <c r="A277" s="5">
        <v>45810.333333333336</v>
      </c>
      <c r="B277">
        <v>44</v>
      </c>
      <c r="C277" t="s">
        <v>54</v>
      </c>
      <c r="D277" t="s">
        <v>55</v>
      </c>
      <c r="E277">
        <v>1.51</v>
      </c>
      <c r="F277">
        <v>4.7</v>
      </c>
      <c r="G277" s="8">
        <f t="shared" si="4"/>
        <v>19.276595744680851</v>
      </c>
    </row>
    <row r="278" spans="1:7" x14ac:dyDescent="0.25">
      <c r="A278" s="5">
        <v>45810.333333333336</v>
      </c>
      <c r="B278">
        <v>45</v>
      </c>
      <c r="C278" t="s">
        <v>55</v>
      </c>
      <c r="D278" t="s">
        <v>56</v>
      </c>
      <c r="E278">
        <v>1.49</v>
      </c>
      <c r="F278">
        <v>3.57</v>
      </c>
      <c r="G278" s="8">
        <f t="shared" si="4"/>
        <v>25.042016806722692</v>
      </c>
    </row>
    <row r="279" spans="1:7" x14ac:dyDescent="0.25">
      <c r="A279" s="5">
        <v>45810.333333333336</v>
      </c>
      <c r="B279">
        <v>46</v>
      </c>
      <c r="C279" t="s">
        <v>56</v>
      </c>
      <c r="D279" t="s">
        <v>57</v>
      </c>
      <c r="E279">
        <v>1.52</v>
      </c>
      <c r="F279">
        <v>3.83</v>
      </c>
      <c r="G279" s="8">
        <f t="shared" si="4"/>
        <v>23.812010443864231</v>
      </c>
    </row>
    <row r="280" spans="1:7" x14ac:dyDescent="0.25">
      <c r="A280" s="5">
        <v>45810.333333333336</v>
      </c>
      <c r="B280">
        <v>47</v>
      </c>
      <c r="C280" t="s">
        <v>58</v>
      </c>
      <c r="D280" t="s">
        <v>59</v>
      </c>
      <c r="E280">
        <v>1.52</v>
      </c>
      <c r="F280">
        <v>5.85</v>
      </c>
      <c r="G280" s="8">
        <f t="shared" si="4"/>
        <v>15.589743589743591</v>
      </c>
    </row>
    <row r="281" spans="1:7" x14ac:dyDescent="0.25">
      <c r="A281" s="5">
        <v>45810.333333333336</v>
      </c>
      <c r="B281">
        <v>48</v>
      </c>
      <c r="C281" t="s">
        <v>59</v>
      </c>
      <c r="D281" t="s">
        <v>60</v>
      </c>
      <c r="E281">
        <v>1.5</v>
      </c>
      <c r="F281">
        <v>3.72</v>
      </c>
      <c r="G281" s="8">
        <f t="shared" si="4"/>
        <v>24.193548387096772</v>
      </c>
    </row>
    <row r="282" spans="1:7" x14ac:dyDescent="0.25">
      <c r="A282" s="5">
        <v>45810.333333333336</v>
      </c>
      <c r="B282">
        <v>49</v>
      </c>
      <c r="C282" t="s">
        <v>60</v>
      </c>
      <c r="D282" t="s">
        <v>61</v>
      </c>
      <c r="E282">
        <v>1.54</v>
      </c>
      <c r="F282">
        <v>4.28</v>
      </c>
      <c r="G282" s="8">
        <f t="shared" si="4"/>
        <v>21.588785046728972</v>
      </c>
    </row>
    <row r="283" spans="1:7" x14ac:dyDescent="0.25">
      <c r="A283" s="5">
        <v>45810.333333333336</v>
      </c>
      <c r="B283">
        <v>50</v>
      </c>
      <c r="C283" t="s">
        <v>62</v>
      </c>
      <c r="D283" t="s">
        <v>63</v>
      </c>
      <c r="E283">
        <v>1.38</v>
      </c>
      <c r="F283">
        <v>3.2</v>
      </c>
      <c r="G283" s="8">
        <f t="shared" si="4"/>
        <v>25.874999999999996</v>
      </c>
    </row>
    <row r="284" spans="1:7" x14ac:dyDescent="0.25">
      <c r="A284" s="5">
        <v>45810.333333333336</v>
      </c>
      <c r="B284">
        <v>51</v>
      </c>
      <c r="C284" t="s">
        <v>63</v>
      </c>
      <c r="D284" t="s">
        <v>64</v>
      </c>
      <c r="E284">
        <v>2.79</v>
      </c>
      <c r="F284">
        <v>6.08</v>
      </c>
      <c r="G284" s="8">
        <f t="shared" si="4"/>
        <v>27.532894736842106</v>
      </c>
    </row>
    <row r="285" spans="1:7" x14ac:dyDescent="0.25">
      <c r="A285" s="5">
        <v>45810.333333333336</v>
      </c>
      <c r="B285">
        <v>52</v>
      </c>
      <c r="C285" t="s">
        <v>64</v>
      </c>
      <c r="D285" t="s">
        <v>65</v>
      </c>
      <c r="E285">
        <v>1.5</v>
      </c>
      <c r="F285">
        <v>2.83</v>
      </c>
      <c r="G285" s="8">
        <f t="shared" si="4"/>
        <v>31.802120141342755</v>
      </c>
    </row>
    <row r="286" spans="1:7" x14ac:dyDescent="0.25">
      <c r="A286" s="5">
        <v>45810.333333333336</v>
      </c>
      <c r="B286">
        <v>53</v>
      </c>
      <c r="C286" t="s">
        <v>65</v>
      </c>
      <c r="D286" t="s">
        <v>66</v>
      </c>
      <c r="E286">
        <v>1.46</v>
      </c>
      <c r="F286">
        <v>3.6</v>
      </c>
      <c r="G286" s="8">
        <f t="shared" si="4"/>
        <v>24.333333333333332</v>
      </c>
    </row>
    <row r="287" spans="1:7" x14ac:dyDescent="0.25">
      <c r="A287" s="5">
        <v>45810.333333333336</v>
      </c>
      <c r="B287">
        <v>54</v>
      </c>
      <c r="C287" t="s">
        <v>67</v>
      </c>
      <c r="D287" t="s">
        <v>68</v>
      </c>
      <c r="E287">
        <v>1.46</v>
      </c>
      <c r="F287">
        <v>4.92</v>
      </c>
      <c r="G287" s="8">
        <f t="shared" si="4"/>
        <v>17.804878048780488</v>
      </c>
    </row>
    <row r="288" spans="1:7" x14ac:dyDescent="0.25">
      <c r="A288" s="5">
        <v>45810.333333333336</v>
      </c>
      <c r="B288">
        <v>55</v>
      </c>
      <c r="C288" t="s">
        <v>68</v>
      </c>
      <c r="D288" t="s">
        <v>69</v>
      </c>
      <c r="E288">
        <v>1.5</v>
      </c>
      <c r="F288">
        <v>2.2799999999999998</v>
      </c>
      <c r="G288" s="8">
        <f t="shared" si="4"/>
        <v>39.473684210526322</v>
      </c>
    </row>
    <row r="289" spans="1:7" x14ac:dyDescent="0.25">
      <c r="A289" s="5">
        <v>45810.333333333336</v>
      </c>
      <c r="B289">
        <v>56</v>
      </c>
      <c r="C289" t="s">
        <v>70</v>
      </c>
      <c r="D289" t="s">
        <v>71</v>
      </c>
      <c r="E289">
        <v>1.51</v>
      </c>
      <c r="F289">
        <v>5.15</v>
      </c>
      <c r="G289" s="8">
        <f t="shared" si="4"/>
        <v>17.592233009708735</v>
      </c>
    </row>
    <row r="290" spans="1:7" x14ac:dyDescent="0.25">
      <c r="A290" s="5">
        <v>45810.333333333336</v>
      </c>
      <c r="B290">
        <v>57</v>
      </c>
      <c r="C290" t="s">
        <v>71</v>
      </c>
      <c r="D290" t="s">
        <v>72</v>
      </c>
      <c r="E290">
        <v>1.52</v>
      </c>
      <c r="F290">
        <v>3.83</v>
      </c>
      <c r="G290" s="8">
        <f t="shared" si="4"/>
        <v>23.812010443864231</v>
      </c>
    </row>
    <row r="291" spans="1:7" x14ac:dyDescent="0.25">
      <c r="A291" s="5">
        <v>45810.333333333336</v>
      </c>
      <c r="B291">
        <v>58</v>
      </c>
      <c r="C291" t="s">
        <v>72</v>
      </c>
      <c r="D291" t="s">
        <v>73</v>
      </c>
      <c r="E291">
        <v>1.5</v>
      </c>
      <c r="F291">
        <v>3.45</v>
      </c>
      <c r="G291" s="8">
        <f t="shared" si="4"/>
        <v>26.086956521739129</v>
      </c>
    </row>
    <row r="292" spans="1:7" x14ac:dyDescent="0.25">
      <c r="A292" s="5">
        <v>45810.34375</v>
      </c>
      <c r="B292">
        <v>1</v>
      </c>
      <c r="C292" t="s">
        <v>6</v>
      </c>
      <c r="D292" t="s">
        <v>7</v>
      </c>
      <c r="E292">
        <v>1.53</v>
      </c>
      <c r="F292">
        <v>3.03</v>
      </c>
      <c r="G292" s="8">
        <f t="shared" si="4"/>
        <v>30.297029702970299</v>
      </c>
    </row>
    <row r="293" spans="1:7" x14ac:dyDescent="0.25">
      <c r="A293" s="5">
        <v>45810.34375</v>
      </c>
      <c r="B293">
        <v>2</v>
      </c>
      <c r="C293" t="s">
        <v>7</v>
      </c>
      <c r="D293" t="s">
        <v>8</v>
      </c>
      <c r="E293">
        <v>1.57</v>
      </c>
      <c r="F293">
        <v>5.23</v>
      </c>
      <c r="G293" s="8">
        <f t="shared" si="4"/>
        <v>18.011472275334608</v>
      </c>
    </row>
    <row r="294" spans="1:7" x14ac:dyDescent="0.25">
      <c r="A294" s="5">
        <v>45810.34375</v>
      </c>
      <c r="B294">
        <v>3</v>
      </c>
      <c r="C294" t="s">
        <v>8</v>
      </c>
      <c r="D294" t="s">
        <v>9</v>
      </c>
      <c r="E294">
        <v>1.5</v>
      </c>
      <c r="F294">
        <v>3.05</v>
      </c>
      <c r="G294" s="8">
        <f t="shared" si="4"/>
        <v>29.508196721311478</v>
      </c>
    </row>
    <row r="295" spans="1:7" x14ac:dyDescent="0.25">
      <c r="A295" s="5">
        <v>45810.34375</v>
      </c>
      <c r="B295">
        <v>4</v>
      </c>
      <c r="C295" t="s">
        <v>9</v>
      </c>
      <c r="D295" t="s">
        <v>10</v>
      </c>
      <c r="E295">
        <v>1.5</v>
      </c>
      <c r="F295">
        <v>2.73</v>
      </c>
      <c r="G295" s="8">
        <f t="shared" si="4"/>
        <v>32.967032967032971</v>
      </c>
    </row>
    <row r="296" spans="1:7" x14ac:dyDescent="0.25">
      <c r="A296" s="5">
        <v>45810.34375</v>
      </c>
      <c r="B296">
        <v>5</v>
      </c>
      <c r="C296" t="s">
        <v>10</v>
      </c>
      <c r="D296" t="s">
        <v>11</v>
      </c>
      <c r="E296">
        <v>1.52</v>
      </c>
      <c r="F296">
        <v>3.15</v>
      </c>
      <c r="G296" s="8">
        <f t="shared" si="4"/>
        <v>28.952380952380953</v>
      </c>
    </row>
    <row r="297" spans="1:7" x14ac:dyDescent="0.25">
      <c r="A297" s="5">
        <v>45810.34375</v>
      </c>
      <c r="B297">
        <v>6</v>
      </c>
      <c r="C297" t="s">
        <v>11</v>
      </c>
      <c r="D297" t="s">
        <v>12</v>
      </c>
      <c r="E297">
        <v>1.5</v>
      </c>
      <c r="F297">
        <v>2.62</v>
      </c>
      <c r="G297" s="8">
        <f t="shared" si="4"/>
        <v>34.351145038167935</v>
      </c>
    </row>
    <row r="298" spans="1:7" x14ac:dyDescent="0.25">
      <c r="A298" s="5">
        <v>45810.34375</v>
      </c>
      <c r="B298">
        <v>7</v>
      </c>
      <c r="C298" t="s">
        <v>12</v>
      </c>
      <c r="D298" t="s">
        <v>13</v>
      </c>
      <c r="E298">
        <v>1.54</v>
      </c>
      <c r="F298">
        <v>2.8</v>
      </c>
      <c r="G298" s="8">
        <f t="shared" si="4"/>
        <v>33.000000000000007</v>
      </c>
    </row>
    <row r="299" spans="1:7" x14ac:dyDescent="0.25">
      <c r="A299" s="5">
        <v>45810.34375</v>
      </c>
      <c r="B299">
        <v>8</v>
      </c>
      <c r="C299" t="s">
        <v>13</v>
      </c>
      <c r="D299" t="s">
        <v>14</v>
      </c>
      <c r="E299">
        <v>1.54</v>
      </c>
      <c r="F299">
        <v>3.78</v>
      </c>
      <c r="G299" s="8">
        <f t="shared" si="4"/>
        <v>24.444444444444446</v>
      </c>
    </row>
    <row r="300" spans="1:7" x14ac:dyDescent="0.25">
      <c r="A300" s="5">
        <v>45810.34375</v>
      </c>
      <c r="B300">
        <v>9</v>
      </c>
      <c r="C300" t="s">
        <v>14</v>
      </c>
      <c r="D300" t="s">
        <v>15</v>
      </c>
      <c r="E300">
        <v>1.52</v>
      </c>
      <c r="F300">
        <v>6.12</v>
      </c>
      <c r="G300" s="8">
        <f t="shared" si="4"/>
        <v>14.901960784313726</v>
      </c>
    </row>
    <row r="301" spans="1:7" x14ac:dyDescent="0.25">
      <c r="A301" s="5">
        <v>45810.34375</v>
      </c>
      <c r="B301">
        <v>10</v>
      </c>
      <c r="C301" t="s">
        <v>15</v>
      </c>
      <c r="D301" t="s">
        <v>16</v>
      </c>
      <c r="E301">
        <v>1.5</v>
      </c>
      <c r="F301">
        <v>5.32</v>
      </c>
      <c r="G301" s="8">
        <f t="shared" si="4"/>
        <v>16.917293233082706</v>
      </c>
    </row>
    <row r="302" spans="1:7" x14ac:dyDescent="0.25">
      <c r="A302" s="5">
        <v>45810.34375</v>
      </c>
      <c r="B302">
        <v>11</v>
      </c>
      <c r="C302" t="s">
        <v>16</v>
      </c>
      <c r="D302" t="s">
        <v>17</v>
      </c>
      <c r="E302">
        <v>1.48</v>
      </c>
      <c r="F302">
        <v>5.38</v>
      </c>
      <c r="G302" s="8">
        <f t="shared" si="4"/>
        <v>16.505576208178439</v>
      </c>
    </row>
    <row r="303" spans="1:7" x14ac:dyDescent="0.25">
      <c r="A303" s="5">
        <v>45810.34375</v>
      </c>
      <c r="B303">
        <v>12</v>
      </c>
      <c r="C303" t="s">
        <v>17</v>
      </c>
      <c r="D303" t="s">
        <v>18</v>
      </c>
      <c r="E303">
        <v>1.46</v>
      </c>
      <c r="F303">
        <v>5.45</v>
      </c>
      <c r="G303" s="8">
        <f t="shared" si="4"/>
        <v>16.073394495412842</v>
      </c>
    </row>
    <row r="304" spans="1:7" x14ac:dyDescent="0.25">
      <c r="A304" s="5">
        <v>45810.34375</v>
      </c>
      <c r="B304">
        <v>13</v>
      </c>
      <c r="C304" t="s">
        <v>18</v>
      </c>
      <c r="D304" t="s">
        <v>19</v>
      </c>
      <c r="E304">
        <v>1.52</v>
      </c>
      <c r="F304">
        <v>6.23</v>
      </c>
      <c r="G304" s="8">
        <f t="shared" si="4"/>
        <v>14.63884430176565</v>
      </c>
    </row>
    <row r="305" spans="1:7" x14ac:dyDescent="0.25">
      <c r="A305" s="5">
        <v>45810.34375</v>
      </c>
      <c r="B305">
        <v>14</v>
      </c>
      <c r="C305" t="s">
        <v>19</v>
      </c>
      <c r="D305" t="s">
        <v>20</v>
      </c>
      <c r="E305">
        <v>1.51</v>
      </c>
      <c r="F305">
        <v>4.08</v>
      </c>
      <c r="G305" s="8">
        <f t="shared" si="4"/>
        <v>22.205882352941174</v>
      </c>
    </row>
    <row r="306" spans="1:7" x14ac:dyDescent="0.25">
      <c r="A306" s="5">
        <v>45810.34375</v>
      </c>
      <c r="B306">
        <v>15</v>
      </c>
      <c r="C306" t="s">
        <v>20</v>
      </c>
      <c r="D306" t="s">
        <v>21</v>
      </c>
      <c r="E306">
        <v>1.47</v>
      </c>
      <c r="F306">
        <v>2.8</v>
      </c>
      <c r="G306" s="8">
        <f t="shared" si="4"/>
        <v>31.500000000000004</v>
      </c>
    </row>
    <row r="307" spans="1:7" x14ac:dyDescent="0.25">
      <c r="A307" s="5">
        <v>45810.34375</v>
      </c>
      <c r="B307">
        <v>16</v>
      </c>
      <c r="C307" t="s">
        <v>21</v>
      </c>
      <c r="D307" t="s">
        <v>22</v>
      </c>
      <c r="E307">
        <v>1.5</v>
      </c>
      <c r="F307">
        <v>1.87</v>
      </c>
      <c r="G307" s="8">
        <f t="shared" si="4"/>
        <v>48.128342245989302</v>
      </c>
    </row>
    <row r="308" spans="1:7" x14ac:dyDescent="0.25">
      <c r="A308" s="5">
        <v>45810.34375</v>
      </c>
      <c r="B308">
        <v>17</v>
      </c>
      <c r="C308" t="s">
        <v>22</v>
      </c>
      <c r="D308" t="s">
        <v>23</v>
      </c>
      <c r="E308">
        <v>1.51</v>
      </c>
      <c r="F308">
        <v>3.22</v>
      </c>
      <c r="G308" s="8">
        <f t="shared" si="4"/>
        <v>28.136645962732917</v>
      </c>
    </row>
    <row r="309" spans="1:7" x14ac:dyDescent="0.25">
      <c r="A309" s="5">
        <v>45810.34375</v>
      </c>
      <c r="B309">
        <v>18</v>
      </c>
      <c r="C309" t="s">
        <v>23</v>
      </c>
      <c r="D309" t="s">
        <v>24</v>
      </c>
      <c r="E309">
        <v>1.51</v>
      </c>
      <c r="F309">
        <v>3.02</v>
      </c>
      <c r="G309" s="8">
        <f t="shared" si="4"/>
        <v>29.999999999999996</v>
      </c>
    </row>
    <row r="310" spans="1:7" x14ac:dyDescent="0.25">
      <c r="A310" s="5">
        <v>45810.34375</v>
      </c>
      <c r="B310">
        <v>19</v>
      </c>
      <c r="C310" t="s">
        <v>25</v>
      </c>
      <c r="D310" t="s">
        <v>26</v>
      </c>
      <c r="E310">
        <v>1.5</v>
      </c>
      <c r="F310">
        <v>4.82</v>
      </c>
      <c r="G310" s="8">
        <f t="shared" si="4"/>
        <v>18.672199170124479</v>
      </c>
    </row>
    <row r="311" spans="1:7" x14ac:dyDescent="0.25">
      <c r="A311" s="5">
        <v>45810.34375</v>
      </c>
      <c r="B311">
        <v>20</v>
      </c>
      <c r="C311" t="s">
        <v>26</v>
      </c>
      <c r="D311" t="s">
        <v>27</v>
      </c>
      <c r="E311">
        <v>1.48</v>
      </c>
      <c r="F311">
        <v>4.75</v>
      </c>
      <c r="G311" s="8">
        <f t="shared" si="4"/>
        <v>18.694736842105261</v>
      </c>
    </row>
    <row r="312" spans="1:7" x14ac:dyDescent="0.25">
      <c r="A312" s="5">
        <v>45810.34375</v>
      </c>
      <c r="B312">
        <v>21</v>
      </c>
      <c r="C312" t="s">
        <v>27</v>
      </c>
      <c r="D312" t="s">
        <v>28</v>
      </c>
      <c r="E312">
        <v>1.51</v>
      </c>
      <c r="F312">
        <v>5.48</v>
      </c>
      <c r="G312" s="8">
        <f t="shared" si="4"/>
        <v>16.532846715328464</v>
      </c>
    </row>
    <row r="313" spans="1:7" x14ac:dyDescent="0.25">
      <c r="A313" s="5">
        <v>45810.34375</v>
      </c>
      <c r="B313">
        <v>22</v>
      </c>
      <c r="C313" t="s">
        <v>28</v>
      </c>
      <c r="D313" t="s">
        <v>29</v>
      </c>
      <c r="E313">
        <v>1.57</v>
      </c>
      <c r="F313">
        <v>4.62</v>
      </c>
      <c r="G313" s="8">
        <f t="shared" si="4"/>
        <v>20.38961038961039</v>
      </c>
    </row>
    <row r="314" spans="1:7" x14ac:dyDescent="0.25">
      <c r="A314" s="5">
        <v>45810.34375</v>
      </c>
      <c r="B314">
        <v>23</v>
      </c>
      <c r="C314" t="s">
        <v>29</v>
      </c>
      <c r="D314" t="s">
        <v>30</v>
      </c>
      <c r="E314">
        <v>1.43</v>
      </c>
      <c r="F314">
        <v>4.3499999999999996</v>
      </c>
      <c r="G314" s="8">
        <f t="shared" si="4"/>
        <v>19.724137931034484</v>
      </c>
    </row>
    <row r="315" spans="1:7" x14ac:dyDescent="0.25">
      <c r="A315" s="5">
        <v>45810.34375</v>
      </c>
      <c r="B315">
        <v>24</v>
      </c>
      <c r="C315" t="s">
        <v>30</v>
      </c>
      <c r="D315" t="s">
        <v>31</v>
      </c>
      <c r="E315">
        <v>1.52</v>
      </c>
      <c r="F315">
        <v>4.57</v>
      </c>
      <c r="G315" s="8">
        <f t="shared" si="4"/>
        <v>19.956236323851204</v>
      </c>
    </row>
    <row r="316" spans="1:7" x14ac:dyDescent="0.25">
      <c r="A316" s="5">
        <v>45810.34375</v>
      </c>
      <c r="B316">
        <v>25</v>
      </c>
      <c r="C316" t="s">
        <v>31</v>
      </c>
      <c r="D316" t="s">
        <v>32</v>
      </c>
      <c r="E316">
        <v>1.52</v>
      </c>
      <c r="F316">
        <v>3.2</v>
      </c>
      <c r="G316" s="8">
        <f t="shared" si="4"/>
        <v>28.5</v>
      </c>
    </row>
    <row r="317" spans="1:7" x14ac:dyDescent="0.25">
      <c r="A317" s="5">
        <v>45810.34375</v>
      </c>
      <c r="B317">
        <v>26</v>
      </c>
      <c r="C317" t="s">
        <v>32</v>
      </c>
      <c r="D317" t="s">
        <v>33</v>
      </c>
      <c r="E317">
        <v>1.49</v>
      </c>
      <c r="F317">
        <v>3.38</v>
      </c>
      <c r="G317" s="8">
        <f t="shared" si="4"/>
        <v>26.449704142011836</v>
      </c>
    </row>
    <row r="318" spans="1:7" x14ac:dyDescent="0.25">
      <c r="A318" s="5">
        <v>45810.34375</v>
      </c>
      <c r="B318">
        <v>27</v>
      </c>
      <c r="C318" t="s">
        <v>33</v>
      </c>
      <c r="D318" t="s">
        <v>34</v>
      </c>
      <c r="E318">
        <v>1.53</v>
      </c>
      <c r="F318">
        <v>3.28</v>
      </c>
      <c r="G318" s="8">
        <f t="shared" si="4"/>
        <v>27.987804878048781</v>
      </c>
    </row>
    <row r="319" spans="1:7" x14ac:dyDescent="0.25">
      <c r="A319" s="5">
        <v>45810.34375</v>
      </c>
      <c r="B319">
        <v>28</v>
      </c>
      <c r="C319" t="s">
        <v>34</v>
      </c>
      <c r="D319" t="s">
        <v>35</v>
      </c>
      <c r="E319">
        <v>1.51</v>
      </c>
      <c r="F319">
        <v>3.95</v>
      </c>
      <c r="G319" s="8">
        <f t="shared" si="4"/>
        <v>22.936708860759492</v>
      </c>
    </row>
    <row r="320" spans="1:7" x14ac:dyDescent="0.25">
      <c r="A320" s="5">
        <v>45810.34375</v>
      </c>
      <c r="B320">
        <v>29</v>
      </c>
      <c r="C320" t="s">
        <v>36</v>
      </c>
      <c r="D320" t="s">
        <v>37</v>
      </c>
      <c r="E320">
        <v>1.57</v>
      </c>
      <c r="F320">
        <v>4.9000000000000004</v>
      </c>
      <c r="G320" s="8">
        <f t="shared" si="4"/>
        <v>19.224489795918366</v>
      </c>
    </row>
    <row r="321" spans="1:7" x14ac:dyDescent="0.25">
      <c r="A321" s="5">
        <v>45810.34375</v>
      </c>
      <c r="B321">
        <v>30</v>
      </c>
      <c r="C321" t="s">
        <v>37</v>
      </c>
      <c r="D321" t="s">
        <v>38</v>
      </c>
      <c r="E321">
        <v>1.57</v>
      </c>
      <c r="F321">
        <v>9.42</v>
      </c>
      <c r="G321" s="8">
        <f t="shared" si="4"/>
        <v>10</v>
      </c>
    </row>
    <row r="322" spans="1:7" x14ac:dyDescent="0.25">
      <c r="A322" s="5">
        <v>45810.34375</v>
      </c>
      <c r="B322">
        <v>31</v>
      </c>
      <c r="C322" t="s">
        <v>38</v>
      </c>
      <c r="D322" t="s">
        <v>39</v>
      </c>
      <c r="E322">
        <v>1.52</v>
      </c>
      <c r="F322">
        <v>3.47</v>
      </c>
      <c r="G322" s="8">
        <f t="shared" si="4"/>
        <v>26.282420749279538</v>
      </c>
    </row>
    <row r="323" spans="1:7" x14ac:dyDescent="0.25">
      <c r="A323" s="5">
        <v>45810.34375</v>
      </c>
      <c r="B323">
        <v>32</v>
      </c>
      <c r="C323" t="s">
        <v>39</v>
      </c>
      <c r="D323" t="s">
        <v>40</v>
      </c>
      <c r="E323">
        <v>1.5</v>
      </c>
      <c r="F323">
        <v>1.7</v>
      </c>
      <c r="G323" s="8">
        <f t="shared" ref="G323:G386" si="5">E323*60/F323</f>
        <v>52.941176470588239</v>
      </c>
    </row>
    <row r="324" spans="1:7" x14ac:dyDescent="0.25">
      <c r="A324" s="5">
        <v>45810.34375</v>
      </c>
      <c r="B324">
        <v>33</v>
      </c>
      <c r="C324" t="s">
        <v>40</v>
      </c>
      <c r="D324" t="s">
        <v>41</v>
      </c>
      <c r="E324">
        <v>1.51</v>
      </c>
      <c r="F324">
        <v>1.73</v>
      </c>
      <c r="G324" s="8">
        <f t="shared" si="5"/>
        <v>52.369942196531788</v>
      </c>
    </row>
    <row r="325" spans="1:7" x14ac:dyDescent="0.25">
      <c r="A325" s="5">
        <v>45810.34375</v>
      </c>
      <c r="B325">
        <v>34</v>
      </c>
      <c r="C325" t="s">
        <v>41</v>
      </c>
      <c r="D325" t="s">
        <v>42</v>
      </c>
      <c r="E325">
        <v>1.5</v>
      </c>
      <c r="F325">
        <v>1.75</v>
      </c>
      <c r="G325" s="8">
        <f t="shared" si="5"/>
        <v>51.428571428571431</v>
      </c>
    </row>
    <row r="326" spans="1:7" x14ac:dyDescent="0.25">
      <c r="A326" s="5">
        <v>45810.34375</v>
      </c>
      <c r="B326">
        <v>35</v>
      </c>
      <c r="C326" t="s">
        <v>43</v>
      </c>
      <c r="D326" t="s">
        <v>44</v>
      </c>
      <c r="E326">
        <v>1.55</v>
      </c>
      <c r="F326">
        <v>4.97</v>
      </c>
      <c r="G326" s="8">
        <f t="shared" si="5"/>
        <v>18.712273641851109</v>
      </c>
    </row>
    <row r="327" spans="1:7" x14ac:dyDescent="0.25">
      <c r="A327" s="5">
        <v>45810.34375</v>
      </c>
      <c r="B327">
        <v>36</v>
      </c>
      <c r="C327" t="s">
        <v>44</v>
      </c>
      <c r="D327" t="s">
        <v>45</v>
      </c>
      <c r="E327">
        <v>1.5</v>
      </c>
      <c r="F327">
        <v>3.48</v>
      </c>
      <c r="G327" s="8">
        <f t="shared" si="5"/>
        <v>25.862068965517242</v>
      </c>
    </row>
    <row r="328" spans="1:7" x14ac:dyDescent="0.25">
      <c r="A328" s="5">
        <v>45810.34375</v>
      </c>
      <c r="B328">
        <v>37</v>
      </c>
      <c r="C328" t="s">
        <v>45</v>
      </c>
      <c r="D328" t="s">
        <v>46</v>
      </c>
      <c r="E328">
        <v>1.38</v>
      </c>
      <c r="F328">
        <v>4.03</v>
      </c>
      <c r="G328" s="8">
        <f t="shared" si="5"/>
        <v>20.545905707196027</v>
      </c>
    </row>
    <row r="329" spans="1:7" x14ac:dyDescent="0.25">
      <c r="A329" s="5">
        <v>45810.34375</v>
      </c>
      <c r="B329">
        <v>38</v>
      </c>
      <c r="C329" t="s">
        <v>46</v>
      </c>
      <c r="D329" t="s">
        <v>47</v>
      </c>
      <c r="E329">
        <v>1.61</v>
      </c>
      <c r="F329">
        <v>3.68</v>
      </c>
      <c r="G329" s="8">
        <f t="shared" si="5"/>
        <v>26.25</v>
      </c>
    </row>
    <row r="330" spans="1:7" x14ac:dyDescent="0.25">
      <c r="A330" s="5">
        <v>45810.34375</v>
      </c>
      <c r="B330">
        <v>39</v>
      </c>
      <c r="C330" t="s">
        <v>47</v>
      </c>
      <c r="D330" t="s">
        <v>48</v>
      </c>
      <c r="E330">
        <v>1.55</v>
      </c>
      <c r="F330">
        <v>3.17</v>
      </c>
      <c r="G330" s="8">
        <f t="shared" si="5"/>
        <v>29.337539432176658</v>
      </c>
    </row>
    <row r="331" spans="1:7" x14ac:dyDescent="0.25">
      <c r="A331" s="5">
        <v>45810.34375</v>
      </c>
      <c r="B331">
        <v>40</v>
      </c>
      <c r="C331" t="s">
        <v>48</v>
      </c>
      <c r="D331" t="s">
        <v>49</v>
      </c>
      <c r="E331">
        <v>1.39</v>
      </c>
      <c r="F331">
        <v>2.7</v>
      </c>
      <c r="G331" s="8">
        <f t="shared" si="5"/>
        <v>30.888888888888882</v>
      </c>
    </row>
    <row r="332" spans="1:7" x14ac:dyDescent="0.25">
      <c r="A332" s="5">
        <v>45810.34375</v>
      </c>
      <c r="B332">
        <v>41</v>
      </c>
      <c r="C332" t="s">
        <v>50</v>
      </c>
      <c r="D332" t="s">
        <v>51</v>
      </c>
      <c r="E332">
        <v>1.56</v>
      </c>
      <c r="F332">
        <v>6.75</v>
      </c>
      <c r="G332" s="8">
        <f t="shared" si="5"/>
        <v>13.866666666666667</v>
      </c>
    </row>
    <row r="333" spans="1:7" x14ac:dyDescent="0.25">
      <c r="A333" s="5">
        <v>45810.34375</v>
      </c>
      <c r="B333">
        <v>42</v>
      </c>
      <c r="C333" t="s">
        <v>51</v>
      </c>
      <c r="D333" t="s">
        <v>52</v>
      </c>
      <c r="E333">
        <v>1.56</v>
      </c>
      <c r="F333">
        <v>4.83</v>
      </c>
      <c r="G333" s="8">
        <f t="shared" si="5"/>
        <v>19.378881987577643</v>
      </c>
    </row>
    <row r="334" spans="1:7" x14ac:dyDescent="0.25">
      <c r="A334" s="5">
        <v>45810.34375</v>
      </c>
      <c r="B334">
        <v>43</v>
      </c>
      <c r="C334" t="s">
        <v>52</v>
      </c>
      <c r="D334" t="s">
        <v>53</v>
      </c>
      <c r="E334">
        <v>1.51</v>
      </c>
      <c r="F334">
        <v>3.53</v>
      </c>
      <c r="G334" s="8">
        <f t="shared" si="5"/>
        <v>25.665722379603398</v>
      </c>
    </row>
    <row r="335" spans="1:7" x14ac:dyDescent="0.25">
      <c r="A335" s="5">
        <v>45810.34375</v>
      </c>
      <c r="B335">
        <v>44</v>
      </c>
      <c r="C335" t="s">
        <v>54</v>
      </c>
      <c r="D335" t="s">
        <v>55</v>
      </c>
      <c r="E335">
        <v>1.51</v>
      </c>
      <c r="F335">
        <v>5.5</v>
      </c>
      <c r="G335" s="8">
        <f t="shared" si="5"/>
        <v>16.472727272727273</v>
      </c>
    </row>
    <row r="336" spans="1:7" x14ac:dyDescent="0.25">
      <c r="A336" s="5">
        <v>45810.34375</v>
      </c>
      <c r="B336">
        <v>45</v>
      </c>
      <c r="C336" t="s">
        <v>55</v>
      </c>
      <c r="D336" t="s">
        <v>56</v>
      </c>
      <c r="E336">
        <v>1.49</v>
      </c>
      <c r="F336">
        <v>4.08</v>
      </c>
      <c r="G336" s="8">
        <f t="shared" si="5"/>
        <v>21.911764705882355</v>
      </c>
    </row>
    <row r="337" spans="1:7" x14ac:dyDescent="0.25">
      <c r="A337" s="5">
        <v>45810.34375</v>
      </c>
      <c r="B337">
        <v>46</v>
      </c>
      <c r="C337" t="s">
        <v>56</v>
      </c>
      <c r="D337" t="s">
        <v>57</v>
      </c>
      <c r="E337">
        <v>1.52</v>
      </c>
      <c r="F337">
        <v>3.85</v>
      </c>
      <c r="G337" s="8">
        <f t="shared" si="5"/>
        <v>23.688311688311689</v>
      </c>
    </row>
    <row r="338" spans="1:7" x14ac:dyDescent="0.25">
      <c r="A338" s="5">
        <v>45810.34375</v>
      </c>
      <c r="B338">
        <v>47</v>
      </c>
      <c r="C338" t="s">
        <v>58</v>
      </c>
      <c r="D338" t="s">
        <v>59</v>
      </c>
      <c r="E338">
        <v>1.52</v>
      </c>
      <c r="F338">
        <v>6.9</v>
      </c>
      <c r="G338" s="8">
        <f t="shared" si="5"/>
        <v>13.217391304347826</v>
      </c>
    </row>
    <row r="339" spans="1:7" x14ac:dyDescent="0.25">
      <c r="A339" s="5">
        <v>45810.34375</v>
      </c>
      <c r="B339">
        <v>48</v>
      </c>
      <c r="C339" t="s">
        <v>59</v>
      </c>
      <c r="D339" t="s">
        <v>60</v>
      </c>
      <c r="E339">
        <v>1.5</v>
      </c>
      <c r="F339">
        <v>4.4000000000000004</v>
      </c>
      <c r="G339" s="8">
        <f t="shared" si="5"/>
        <v>20.454545454545453</v>
      </c>
    </row>
    <row r="340" spans="1:7" x14ac:dyDescent="0.25">
      <c r="A340" s="5">
        <v>45810.34375</v>
      </c>
      <c r="B340">
        <v>49</v>
      </c>
      <c r="C340" t="s">
        <v>60</v>
      </c>
      <c r="D340" t="s">
        <v>61</v>
      </c>
      <c r="E340">
        <v>1.54</v>
      </c>
      <c r="F340">
        <v>5.53</v>
      </c>
      <c r="G340" s="8">
        <f t="shared" si="5"/>
        <v>16.708860759493671</v>
      </c>
    </row>
    <row r="341" spans="1:7" x14ac:dyDescent="0.25">
      <c r="A341" s="5">
        <v>45810.34375</v>
      </c>
      <c r="B341">
        <v>50</v>
      </c>
      <c r="C341" t="s">
        <v>62</v>
      </c>
      <c r="D341" t="s">
        <v>63</v>
      </c>
      <c r="E341">
        <v>1.38</v>
      </c>
      <c r="F341">
        <v>3.2</v>
      </c>
      <c r="G341" s="8">
        <f t="shared" si="5"/>
        <v>25.874999999999996</v>
      </c>
    </row>
    <row r="342" spans="1:7" x14ac:dyDescent="0.25">
      <c r="A342" s="5">
        <v>45810.34375</v>
      </c>
      <c r="B342">
        <v>51</v>
      </c>
      <c r="C342" t="s">
        <v>63</v>
      </c>
      <c r="D342" t="s">
        <v>64</v>
      </c>
      <c r="E342">
        <v>2.79</v>
      </c>
      <c r="F342">
        <v>6.8</v>
      </c>
      <c r="G342" s="8">
        <f t="shared" si="5"/>
        <v>24.617647058823533</v>
      </c>
    </row>
    <row r="343" spans="1:7" x14ac:dyDescent="0.25">
      <c r="A343" s="5">
        <v>45810.34375</v>
      </c>
      <c r="B343">
        <v>52</v>
      </c>
      <c r="C343" t="s">
        <v>64</v>
      </c>
      <c r="D343" t="s">
        <v>65</v>
      </c>
      <c r="E343">
        <v>1.5</v>
      </c>
      <c r="F343">
        <v>2.83</v>
      </c>
      <c r="G343" s="8">
        <f t="shared" si="5"/>
        <v>31.802120141342755</v>
      </c>
    </row>
    <row r="344" spans="1:7" x14ac:dyDescent="0.25">
      <c r="A344" s="5">
        <v>45810.34375</v>
      </c>
      <c r="B344">
        <v>53</v>
      </c>
      <c r="C344" t="s">
        <v>65</v>
      </c>
      <c r="D344" t="s">
        <v>66</v>
      </c>
      <c r="E344">
        <v>1.46</v>
      </c>
      <c r="F344">
        <v>3.97</v>
      </c>
      <c r="G344" s="8">
        <f t="shared" si="5"/>
        <v>22.065491183879089</v>
      </c>
    </row>
    <row r="345" spans="1:7" x14ac:dyDescent="0.25">
      <c r="A345" s="5">
        <v>45810.34375</v>
      </c>
      <c r="B345">
        <v>54</v>
      </c>
      <c r="C345" t="s">
        <v>67</v>
      </c>
      <c r="D345" t="s">
        <v>68</v>
      </c>
      <c r="E345">
        <v>1.53</v>
      </c>
      <c r="F345">
        <v>6.15</v>
      </c>
      <c r="G345" s="8">
        <f t="shared" si="5"/>
        <v>14.926829268292682</v>
      </c>
    </row>
    <row r="346" spans="1:7" x14ac:dyDescent="0.25">
      <c r="A346" s="5">
        <v>45810.34375</v>
      </c>
      <c r="B346">
        <v>55</v>
      </c>
      <c r="C346" t="s">
        <v>68</v>
      </c>
      <c r="D346" t="s">
        <v>69</v>
      </c>
      <c r="E346">
        <v>1.5</v>
      </c>
      <c r="F346">
        <v>4.38</v>
      </c>
      <c r="G346" s="8">
        <f t="shared" si="5"/>
        <v>20.547945205479454</v>
      </c>
    </row>
    <row r="347" spans="1:7" x14ac:dyDescent="0.25">
      <c r="A347" s="5">
        <v>45810.34375</v>
      </c>
      <c r="B347">
        <v>56</v>
      </c>
      <c r="C347" t="s">
        <v>70</v>
      </c>
      <c r="D347" t="s">
        <v>71</v>
      </c>
      <c r="E347">
        <v>1.51</v>
      </c>
      <c r="F347">
        <v>4.78</v>
      </c>
      <c r="G347" s="8">
        <f t="shared" si="5"/>
        <v>18.953974895397486</v>
      </c>
    </row>
    <row r="348" spans="1:7" x14ac:dyDescent="0.25">
      <c r="A348" s="5">
        <v>45810.34375</v>
      </c>
      <c r="B348">
        <v>57</v>
      </c>
      <c r="C348" t="s">
        <v>71</v>
      </c>
      <c r="D348" t="s">
        <v>72</v>
      </c>
      <c r="E348">
        <v>1.52</v>
      </c>
      <c r="F348">
        <v>4.38</v>
      </c>
      <c r="G348" s="8">
        <f t="shared" si="5"/>
        <v>20.82191780821918</v>
      </c>
    </row>
    <row r="349" spans="1:7" x14ac:dyDescent="0.25">
      <c r="A349" s="5">
        <v>45810.34375</v>
      </c>
      <c r="B349">
        <v>58</v>
      </c>
      <c r="C349" t="s">
        <v>72</v>
      </c>
      <c r="D349" t="s">
        <v>73</v>
      </c>
      <c r="E349">
        <v>1.5</v>
      </c>
      <c r="F349">
        <v>3.7</v>
      </c>
      <c r="G349" s="8">
        <f t="shared" si="5"/>
        <v>24.324324324324323</v>
      </c>
    </row>
    <row r="350" spans="1:7" x14ac:dyDescent="0.25">
      <c r="A350" s="5">
        <v>45810.354166666664</v>
      </c>
      <c r="B350">
        <v>1</v>
      </c>
      <c r="C350" t="s">
        <v>6</v>
      </c>
      <c r="D350" t="s">
        <v>7</v>
      </c>
      <c r="E350">
        <v>1.53</v>
      </c>
      <c r="F350">
        <v>3.05</v>
      </c>
      <c r="G350" s="8">
        <f t="shared" si="5"/>
        <v>30.098360655737707</v>
      </c>
    </row>
    <row r="351" spans="1:7" x14ac:dyDescent="0.25">
      <c r="A351" s="5">
        <v>45810.354166666664</v>
      </c>
      <c r="B351">
        <v>2</v>
      </c>
      <c r="C351" t="s">
        <v>7</v>
      </c>
      <c r="D351" t="s">
        <v>8</v>
      </c>
      <c r="E351">
        <v>1.57</v>
      </c>
      <c r="F351">
        <v>5.3</v>
      </c>
      <c r="G351" s="8">
        <f t="shared" si="5"/>
        <v>17.773584905660378</v>
      </c>
    </row>
    <row r="352" spans="1:7" x14ac:dyDescent="0.25">
      <c r="A352" s="5">
        <v>45810.354166666664</v>
      </c>
      <c r="B352">
        <v>3</v>
      </c>
      <c r="C352" t="s">
        <v>8</v>
      </c>
      <c r="D352" t="s">
        <v>9</v>
      </c>
      <c r="E352">
        <v>1.5</v>
      </c>
      <c r="F352">
        <v>2.98</v>
      </c>
      <c r="G352" s="8">
        <f t="shared" si="5"/>
        <v>30.201342281879196</v>
      </c>
    </row>
    <row r="353" spans="1:7" x14ac:dyDescent="0.25">
      <c r="A353" s="5">
        <v>45810.354166666664</v>
      </c>
      <c r="B353">
        <v>4</v>
      </c>
      <c r="C353" t="s">
        <v>9</v>
      </c>
      <c r="D353" t="s">
        <v>10</v>
      </c>
      <c r="E353">
        <v>1.5</v>
      </c>
      <c r="F353">
        <v>2.67</v>
      </c>
      <c r="G353" s="8">
        <f t="shared" si="5"/>
        <v>33.707865168539328</v>
      </c>
    </row>
    <row r="354" spans="1:7" x14ac:dyDescent="0.25">
      <c r="A354" s="5">
        <v>45810.354166666664</v>
      </c>
      <c r="B354">
        <v>5</v>
      </c>
      <c r="C354" t="s">
        <v>10</v>
      </c>
      <c r="D354" t="s">
        <v>11</v>
      </c>
      <c r="E354">
        <v>1.52</v>
      </c>
      <c r="F354">
        <v>3.07</v>
      </c>
      <c r="G354" s="8">
        <f t="shared" si="5"/>
        <v>29.706840390879481</v>
      </c>
    </row>
    <row r="355" spans="1:7" x14ac:dyDescent="0.25">
      <c r="A355" s="5">
        <v>45810.354166666664</v>
      </c>
      <c r="B355">
        <v>6</v>
      </c>
      <c r="C355" t="s">
        <v>11</v>
      </c>
      <c r="D355" t="s">
        <v>12</v>
      </c>
      <c r="E355">
        <v>1.5</v>
      </c>
      <c r="F355">
        <v>2.7</v>
      </c>
      <c r="G355" s="8">
        <f t="shared" si="5"/>
        <v>33.333333333333329</v>
      </c>
    </row>
    <row r="356" spans="1:7" x14ac:dyDescent="0.25">
      <c r="A356" s="5">
        <v>45810.354166666664</v>
      </c>
      <c r="B356">
        <v>7</v>
      </c>
      <c r="C356" t="s">
        <v>12</v>
      </c>
      <c r="D356" t="s">
        <v>13</v>
      </c>
      <c r="E356">
        <v>1.54</v>
      </c>
      <c r="F356">
        <v>2.78</v>
      </c>
      <c r="G356" s="8">
        <f t="shared" si="5"/>
        <v>33.237410071942449</v>
      </c>
    </row>
    <row r="357" spans="1:7" x14ac:dyDescent="0.25">
      <c r="A357" s="5">
        <v>45810.354166666664</v>
      </c>
      <c r="B357">
        <v>8</v>
      </c>
      <c r="C357" t="s">
        <v>13</v>
      </c>
      <c r="D357" t="s">
        <v>14</v>
      </c>
      <c r="E357">
        <v>1.54</v>
      </c>
      <c r="F357">
        <v>3.52</v>
      </c>
      <c r="G357" s="8">
        <f t="shared" si="5"/>
        <v>26.25</v>
      </c>
    </row>
    <row r="358" spans="1:7" x14ac:dyDescent="0.25">
      <c r="A358" s="5">
        <v>45810.354166666664</v>
      </c>
      <c r="B358">
        <v>9</v>
      </c>
      <c r="C358" t="s">
        <v>14</v>
      </c>
      <c r="D358" t="s">
        <v>15</v>
      </c>
      <c r="E358">
        <v>1.52</v>
      </c>
      <c r="F358">
        <v>6.97</v>
      </c>
      <c r="G358" s="8">
        <f t="shared" si="5"/>
        <v>13.08464849354376</v>
      </c>
    </row>
    <row r="359" spans="1:7" x14ac:dyDescent="0.25">
      <c r="A359" s="5">
        <v>45810.354166666664</v>
      </c>
      <c r="B359">
        <v>10</v>
      </c>
      <c r="C359" t="s">
        <v>15</v>
      </c>
      <c r="D359" t="s">
        <v>16</v>
      </c>
      <c r="E359">
        <v>1.5</v>
      </c>
      <c r="F359">
        <v>5.6</v>
      </c>
      <c r="G359" s="8">
        <f t="shared" si="5"/>
        <v>16.071428571428573</v>
      </c>
    </row>
    <row r="360" spans="1:7" x14ac:dyDescent="0.25">
      <c r="A360" s="5">
        <v>45810.354166666664</v>
      </c>
      <c r="B360">
        <v>11</v>
      </c>
      <c r="C360" t="s">
        <v>16</v>
      </c>
      <c r="D360" t="s">
        <v>17</v>
      </c>
      <c r="E360">
        <v>1.48</v>
      </c>
      <c r="F360">
        <v>3.67</v>
      </c>
      <c r="G360" s="8">
        <f t="shared" si="5"/>
        <v>24.196185286103542</v>
      </c>
    </row>
    <row r="361" spans="1:7" x14ac:dyDescent="0.25">
      <c r="A361" s="5">
        <v>45810.354166666664</v>
      </c>
      <c r="B361">
        <v>12</v>
      </c>
      <c r="C361" t="s">
        <v>17</v>
      </c>
      <c r="D361" t="s">
        <v>18</v>
      </c>
      <c r="E361">
        <v>1.46</v>
      </c>
      <c r="F361">
        <v>4.68</v>
      </c>
      <c r="G361" s="8">
        <f t="shared" si="5"/>
        <v>18.717948717948719</v>
      </c>
    </row>
    <row r="362" spans="1:7" x14ac:dyDescent="0.25">
      <c r="A362" s="5">
        <v>45810.354166666664</v>
      </c>
      <c r="B362">
        <v>13</v>
      </c>
      <c r="C362" t="s">
        <v>18</v>
      </c>
      <c r="D362" t="s">
        <v>19</v>
      </c>
      <c r="E362">
        <v>1.52</v>
      </c>
      <c r="F362">
        <v>5.78</v>
      </c>
      <c r="G362" s="8">
        <f t="shared" si="5"/>
        <v>15.778546712802768</v>
      </c>
    </row>
    <row r="363" spans="1:7" x14ac:dyDescent="0.25">
      <c r="A363" s="5">
        <v>45810.354166666664</v>
      </c>
      <c r="B363">
        <v>14</v>
      </c>
      <c r="C363" t="s">
        <v>19</v>
      </c>
      <c r="D363" t="s">
        <v>20</v>
      </c>
      <c r="E363">
        <v>1.51</v>
      </c>
      <c r="F363">
        <v>3.72</v>
      </c>
      <c r="G363" s="8">
        <f t="shared" si="5"/>
        <v>24.354838709677416</v>
      </c>
    </row>
    <row r="364" spans="1:7" x14ac:dyDescent="0.25">
      <c r="A364" s="5">
        <v>45810.354166666664</v>
      </c>
      <c r="B364">
        <v>15</v>
      </c>
      <c r="C364" t="s">
        <v>20</v>
      </c>
      <c r="D364" t="s">
        <v>21</v>
      </c>
      <c r="E364">
        <v>1.47</v>
      </c>
      <c r="F364">
        <v>2.7</v>
      </c>
      <c r="G364" s="8">
        <f t="shared" si="5"/>
        <v>32.666666666666664</v>
      </c>
    </row>
    <row r="365" spans="1:7" x14ac:dyDescent="0.25">
      <c r="A365" s="5">
        <v>45810.354166666664</v>
      </c>
      <c r="B365">
        <v>16</v>
      </c>
      <c r="C365" t="s">
        <v>21</v>
      </c>
      <c r="D365" t="s">
        <v>22</v>
      </c>
      <c r="E365">
        <v>1.5</v>
      </c>
      <c r="F365">
        <v>2.2799999999999998</v>
      </c>
      <c r="G365" s="8">
        <f t="shared" si="5"/>
        <v>39.473684210526322</v>
      </c>
    </row>
    <row r="366" spans="1:7" x14ac:dyDescent="0.25">
      <c r="A366" s="5">
        <v>45810.354166666664</v>
      </c>
      <c r="B366">
        <v>17</v>
      </c>
      <c r="C366" t="s">
        <v>22</v>
      </c>
      <c r="D366" t="s">
        <v>23</v>
      </c>
      <c r="E366">
        <v>1.51</v>
      </c>
      <c r="F366">
        <v>3.62</v>
      </c>
      <c r="G366" s="8">
        <f t="shared" si="5"/>
        <v>25.027624309392262</v>
      </c>
    </row>
    <row r="367" spans="1:7" x14ac:dyDescent="0.25">
      <c r="A367" s="5">
        <v>45810.354166666664</v>
      </c>
      <c r="B367">
        <v>18</v>
      </c>
      <c r="C367" t="s">
        <v>23</v>
      </c>
      <c r="D367" t="s">
        <v>24</v>
      </c>
      <c r="E367">
        <v>1.51</v>
      </c>
      <c r="F367">
        <v>3.8</v>
      </c>
      <c r="G367" s="8">
        <f t="shared" si="5"/>
        <v>23.842105263157894</v>
      </c>
    </row>
    <row r="368" spans="1:7" x14ac:dyDescent="0.25">
      <c r="A368" s="5">
        <v>45810.354166666664</v>
      </c>
      <c r="B368">
        <v>19</v>
      </c>
      <c r="C368" t="s">
        <v>25</v>
      </c>
      <c r="D368" t="s">
        <v>26</v>
      </c>
      <c r="E368">
        <v>1.5</v>
      </c>
      <c r="F368">
        <v>4.47</v>
      </c>
      <c r="G368" s="8">
        <f t="shared" si="5"/>
        <v>20.134228187919465</v>
      </c>
    </row>
    <row r="369" spans="1:7" x14ac:dyDescent="0.25">
      <c r="A369" s="5">
        <v>45810.354166666664</v>
      </c>
      <c r="B369">
        <v>20</v>
      </c>
      <c r="C369" t="s">
        <v>26</v>
      </c>
      <c r="D369" t="s">
        <v>27</v>
      </c>
      <c r="E369">
        <v>1.48</v>
      </c>
      <c r="F369">
        <v>4.1500000000000004</v>
      </c>
      <c r="G369" s="8">
        <f t="shared" si="5"/>
        <v>21.397590361445779</v>
      </c>
    </row>
    <row r="370" spans="1:7" x14ac:dyDescent="0.25">
      <c r="A370" s="5">
        <v>45810.354166666664</v>
      </c>
      <c r="B370">
        <v>21</v>
      </c>
      <c r="C370" t="s">
        <v>27</v>
      </c>
      <c r="D370" t="s">
        <v>28</v>
      </c>
      <c r="E370">
        <v>1.51</v>
      </c>
      <c r="F370">
        <v>5.03</v>
      </c>
      <c r="G370" s="8">
        <f t="shared" si="5"/>
        <v>18.011928429423456</v>
      </c>
    </row>
    <row r="371" spans="1:7" x14ac:dyDescent="0.25">
      <c r="A371" s="5">
        <v>45810.354166666664</v>
      </c>
      <c r="B371">
        <v>22</v>
      </c>
      <c r="C371" t="s">
        <v>28</v>
      </c>
      <c r="D371" t="s">
        <v>29</v>
      </c>
      <c r="E371">
        <v>1.57</v>
      </c>
      <c r="F371">
        <v>5.03</v>
      </c>
      <c r="G371" s="8">
        <f t="shared" si="5"/>
        <v>18.727634194831012</v>
      </c>
    </row>
    <row r="372" spans="1:7" x14ac:dyDescent="0.25">
      <c r="A372" s="5">
        <v>45810.354166666664</v>
      </c>
      <c r="B372">
        <v>23</v>
      </c>
      <c r="C372" t="s">
        <v>29</v>
      </c>
      <c r="D372" t="s">
        <v>30</v>
      </c>
      <c r="E372">
        <v>1.43</v>
      </c>
      <c r="F372">
        <v>4.63</v>
      </c>
      <c r="G372" s="8">
        <f t="shared" si="5"/>
        <v>18.531317494600433</v>
      </c>
    </row>
    <row r="373" spans="1:7" x14ac:dyDescent="0.25">
      <c r="A373" s="5">
        <v>45810.354166666664</v>
      </c>
      <c r="B373">
        <v>24</v>
      </c>
      <c r="C373" t="s">
        <v>30</v>
      </c>
      <c r="D373" t="s">
        <v>31</v>
      </c>
      <c r="E373">
        <v>1.52</v>
      </c>
      <c r="F373">
        <v>4.7699999999999996</v>
      </c>
      <c r="G373" s="8">
        <f t="shared" si="5"/>
        <v>19.119496855345915</v>
      </c>
    </row>
    <row r="374" spans="1:7" x14ac:dyDescent="0.25">
      <c r="A374" s="5">
        <v>45810.354166666664</v>
      </c>
      <c r="B374">
        <v>25</v>
      </c>
      <c r="C374" t="s">
        <v>31</v>
      </c>
      <c r="D374" t="s">
        <v>32</v>
      </c>
      <c r="E374">
        <v>1.52</v>
      </c>
      <c r="F374">
        <v>3.57</v>
      </c>
      <c r="G374" s="8">
        <f t="shared" si="5"/>
        <v>25.54621848739496</v>
      </c>
    </row>
    <row r="375" spans="1:7" x14ac:dyDescent="0.25">
      <c r="A375" s="5">
        <v>45810.354166666664</v>
      </c>
      <c r="B375">
        <v>26</v>
      </c>
      <c r="C375" t="s">
        <v>32</v>
      </c>
      <c r="D375" t="s">
        <v>33</v>
      </c>
      <c r="E375">
        <v>1.49</v>
      </c>
      <c r="F375">
        <v>3.77</v>
      </c>
      <c r="G375" s="8">
        <f t="shared" si="5"/>
        <v>23.713527851458888</v>
      </c>
    </row>
    <row r="376" spans="1:7" x14ac:dyDescent="0.25">
      <c r="A376" s="5">
        <v>45810.354166666664</v>
      </c>
      <c r="B376">
        <v>27</v>
      </c>
      <c r="C376" t="s">
        <v>33</v>
      </c>
      <c r="D376" t="s">
        <v>34</v>
      </c>
      <c r="E376">
        <v>1.53</v>
      </c>
      <c r="F376">
        <v>3.37</v>
      </c>
      <c r="G376" s="8">
        <f t="shared" si="5"/>
        <v>27.240356083086052</v>
      </c>
    </row>
    <row r="377" spans="1:7" x14ac:dyDescent="0.25">
      <c r="A377" s="5">
        <v>45810.354166666664</v>
      </c>
      <c r="B377">
        <v>28</v>
      </c>
      <c r="C377" t="s">
        <v>34</v>
      </c>
      <c r="D377" t="s">
        <v>35</v>
      </c>
      <c r="E377">
        <v>1.51</v>
      </c>
      <c r="F377">
        <v>4.03</v>
      </c>
      <c r="G377" s="8">
        <f t="shared" si="5"/>
        <v>22.481389578163768</v>
      </c>
    </row>
    <row r="378" spans="1:7" x14ac:dyDescent="0.25">
      <c r="A378" s="5">
        <v>45810.354166666664</v>
      </c>
      <c r="B378">
        <v>29</v>
      </c>
      <c r="C378" t="s">
        <v>36</v>
      </c>
      <c r="D378" t="s">
        <v>37</v>
      </c>
      <c r="E378">
        <v>1.57</v>
      </c>
      <c r="F378">
        <v>4.93</v>
      </c>
      <c r="G378" s="8">
        <f t="shared" si="5"/>
        <v>19.107505070993916</v>
      </c>
    </row>
    <row r="379" spans="1:7" x14ac:dyDescent="0.25">
      <c r="A379" s="5">
        <v>45810.354166666664</v>
      </c>
      <c r="B379">
        <v>30</v>
      </c>
      <c r="C379" t="s">
        <v>37</v>
      </c>
      <c r="D379" t="s">
        <v>38</v>
      </c>
      <c r="E379">
        <v>1.57</v>
      </c>
      <c r="F379">
        <v>7.63</v>
      </c>
      <c r="G379" s="8">
        <f t="shared" si="5"/>
        <v>12.34600262123198</v>
      </c>
    </row>
    <row r="380" spans="1:7" x14ac:dyDescent="0.25">
      <c r="A380" s="5">
        <v>45810.354166666664</v>
      </c>
      <c r="B380">
        <v>31</v>
      </c>
      <c r="C380" t="s">
        <v>38</v>
      </c>
      <c r="D380" t="s">
        <v>39</v>
      </c>
      <c r="E380">
        <v>1.52</v>
      </c>
      <c r="F380">
        <v>3.42</v>
      </c>
      <c r="G380" s="8">
        <f t="shared" si="5"/>
        <v>26.666666666666668</v>
      </c>
    </row>
    <row r="381" spans="1:7" x14ac:dyDescent="0.25">
      <c r="A381" s="5">
        <v>45810.354166666664</v>
      </c>
      <c r="B381">
        <v>32</v>
      </c>
      <c r="C381" t="s">
        <v>39</v>
      </c>
      <c r="D381" t="s">
        <v>40</v>
      </c>
      <c r="E381">
        <v>1.5</v>
      </c>
      <c r="F381">
        <v>1.77</v>
      </c>
      <c r="G381" s="8">
        <f t="shared" si="5"/>
        <v>50.847457627118644</v>
      </c>
    </row>
    <row r="382" spans="1:7" x14ac:dyDescent="0.25">
      <c r="A382" s="5">
        <v>45810.354166666664</v>
      </c>
      <c r="B382">
        <v>33</v>
      </c>
      <c r="C382" t="s">
        <v>40</v>
      </c>
      <c r="D382" t="s">
        <v>41</v>
      </c>
      <c r="E382">
        <v>1.51</v>
      </c>
      <c r="F382">
        <v>1.78</v>
      </c>
      <c r="G382" s="8">
        <f t="shared" si="5"/>
        <v>50.898876404494381</v>
      </c>
    </row>
    <row r="383" spans="1:7" x14ac:dyDescent="0.25">
      <c r="A383" s="5">
        <v>45810.354166666664</v>
      </c>
      <c r="B383">
        <v>34</v>
      </c>
      <c r="C383" t="s">
        <v>41</v>
      </c>
      <c r="D383" t="s">
        <v>42</v>
      </c>
      <c r="E383">
        <v>1.5</v>
      </c>
      <c r="F383">
        <v>1.82</v>
      </c>
      <c r="G383" s="8">
        <f t="shared" si="5"/>
        <v>49.450549450549445</v>
      </c>
    </row>
    <row r="384" spans="1:7" x14ac:dyDescent="0.25">
      <c r="A384" s="5">
        <v>45810.354166666664</v>
      </c>
      <c r="B384">
        <v>35</v>
      </c>
      <c r="C384" t="s">
        <v>43</v>
      </c>
      <c r="D384" t="s">
        <v>44</v>
      </c>
      <c r="E384">
        <v>1.55</v>
      </c>
      <c r="F384">
        <v>5.85</v>
      </c>
      <c r="G384" s="8">
        <f t="shared" si="5"/>
        <v>15.897435897435898</v>
      </c>
    </row>
    <row r="385" spans="1:7" x14ac:dyDescent="0.25">
      <c r="A385" s="5">
        <v>45810.354166666664</v>
      </c>
      <c r="B385">
        <v>36</v>
      </c>
      <c r="C385" t="s">
        <v>44</v>
      </c>
      <c r="D385" t="s">
        <v>45</v>
      </c>
      <c r="E385">
        <v>1.5</v>
      </c>
      <c r="F385">
        <v>3.35</v>
      </c>
      <c r="G385" s="8">
        <f t="shared" si="5"/>
        <v>26.865671641791042</v>
      </c>
    </row>
    <row r="386" spans="1:7" x14ac:dyDescent="0.25">
      <c r="A386" s="5">
        <v>45810.354166666664</v>
      </c>
      <c r="B386">
        <v>37</v>
      </c>
      <c r="C386" t="s">
        <v>45</v>
      </c>
      <c r="D386" t="s">
        <v>46</v>
      </c>
      <c r="E386">
        <v>1.38</v>
      </c>
      <c r="F386">
        <v>4.2699999999999996</v>
      </c>
      <c r="G386" s="8">
        <f t="shared" si="5"/>
        <v>19.391100702576114</v>
      </c>
    </row>
    <row r="387" spans="1:7" x14ac:dyDescent="0.25">
      <c r="A387" s="5">
        <v>45810.354166666664</v>
      </c>
      <c r="B387">
        <v>38</v>
      </c>
      <c r="C387" t="s">
        <v>46</v>
      </c>
      <c r="D387" t="s">
        <v>47</v>
      </c>
      <c r="E387">
        <v>1.61</v>
      </c>
      <c r="F387">
        <v>3.9</v>
      </c>
      <c r="G387" s="8">
        <f t="shared" ref="G387:G450" si="6">E387*60/F387</f>
        <v>24.769230769230774</v>
      </c>
    </row>
    <row r="388" spans="1:7" x14ac:dyDescent="0.25">
      <c r="A388" s="5">
        <v>45810.354166666664</v>
      </c>
      <c r="B388">
        <v>39</v>
      </c>
      <c r="C388" t="s">
        <v>47</v>
      </c>
      <c r="D388" t="s">
        <v>48</v>
      </c>
      <c r="E388">
        <v>1.55</v>
      </c>
      <c r="F388">
        <v>3.28</v>
      </c>
      <c r="G388" s="8">
        <f t="shared" si="6"/>
        <v>28.353658536585368</v>
      </c>
    </row>
    <row r="389" spans="1:7" x14ac:dyDescent="0.25">
      <c r="A389" s="5">
        <v>45810.354166666664</v>
      </c>
      <c r="B389">
        <v>40</v>
      </c>
      <c r="C389" t="s">
        <v>48</v>
      </c>
      <c r="D389" t="s">
        <v>49</v>
      </c>
      <c r="E389">
        <v>1.39</v>
      </c>
      <c r="F389">
        <v>2.75</v>
      </c>
      <c r="G389" s="8">
        <f t="shared" si="6"/>
        <v>30.327272727272724</v>
      </c>
    </row>
    <row r="390" spans="1:7" x14ac:dyDescent="0.25">
      <c r="A390" s="5">
        <v>45810.354166666664</v>
      </c>
      <c r="B390">
        <v>41</v>
      </c>
      <c r="C390" t="s">
        <v>50</v>
      </c>
      <c r="D390" t="s">
        <v>51</v>
      </c>
      <c r="E390">
        <v>1.56</v>
      </c>
      <c r="F390">
        <v>5.32</v>
      </c>
      <c r="G390" s="8">
        <f t="shared" si="6"/>
        <v>17.593984962406015</v>
      </c>
    </row>
    <row r="391" spans="1:7" x14ac:dyDescent="0.25">
      <c r="A391" s="5">
        <v>45810.354166666664</v>
      </c>
      <c r="B391">
        <v>42</v>
      </c>
      <c r="C391" t="s">
        <v>51</v>
      </c>
      <c r="D391" t="s">
        <v>52</v>
      </c>
      <c r="E391">
        <v>1.56</v>
      </c>
      <c r="F391">
        <v>5.03</v>
      </c>
      <c r="G391" s="8">
        <f t="shared" si="6"/>
        <v>18.608349900596423</v>
      </c>
    </row>
    <row r="392" spans="1:7" x14ac:dyDescent="0.25">
      <c r="A392" s="5">
        <v>45810.354166666664</v>
      </c>
      <c r="B392">
        <v>43</v>
      </c>
      <c r="C392" t="s">
        <v>52</v>
      </c>
      <c r="D392" t="s">
        <v>53</v>
      </c>
      <c r="E392">
        <v>1.51</v>
      </c>
      <c r="F392">
        <v>3.62</v>
      </c>
      <c r="G392" s="8">
        <f t="shared" si="6"/>
        <v>25.027624309392262</v>
      </c>
    </row>
    <row r="393" spans="1:7" x14ac:dyDescent="0.25">
      <c r="A393" s="5">
        <v>45810.354166666664</v>
      </c>
      <c r="B393">
        <v>44</v>
      </c>
      <c r="C393" t="s">
        <v>54</v>
      </c>
      <c r="D393" t="s">
        <v>55</v>
      </c>
      <c r="E393">
        <v>1.51</v>
      </c>
      <c r="F393">
        <v>5.13</v>
      </c>
      <c r="G393" s="8">
        <f t="shared" si="6"/>
        <v>17.660818713450293</v>
      </c>
    </row>
    <row r="394" spans="1:7" x14ac:dyDescent="0.25">
      <c r="A394" s="5">
        <v>45810.354166666664</v>
      </c>
      <c r="B394">
        <v>45</v>
      </c>
      <c r="C394" t="s">
        <v>55</v>
      </c>
      <c r="D394" t="s">
        <v>56</v>
      </c>
      <c r="E394">
        <v>1.49</v>
      </c>
      <c r="F394">
        <v>4.33</v>
      </c>
      <c r="G394" s="8">
        <f t="shared" si="6"/>
        <v>20.646651270207855</v>
      </c>
    </row>
    <row r="395" spans="1:7" x14ac:dyDescent="0.25">
      <c r="A395" s="5">
        <v>45810.354166666664</v>
      </c>
      <c r="B395">
        <v>46</v>
      </c>
      <c r="C395" t="s">
        <v>56</v>
      </c>
      <c r="D395" t="s">
        <v>57</v>
      </c>
      <c r="E395">
        <v>1.52</v>
      </c>
      <c r="F395">
        <v>4.18</v>
      </c>
      <c r="G395" s="8">
        <f t="shared" si="6"/>
        <v>21.81818181818182</v>
      </c>
    </row>
    <row r="396" spans="1:7" x14ac:dyDescent="0.25">
      <c r="A396" s="5">
        <v>45810.354166666664</v>
      </c>
      <c r="B396">
        <v>47</v>
      </c>
      <c r="C396" t="s">
        <v>58</v>
      </c>
      <c r="D396" t="s">
        <v>59</v>
      </c>
      <c r="E396">
        <v>1.52</v>
      </c>
      <c r="F396">
        <v>7</v>
      </c>
      <c r="G396" s="8">
        <f t="shared" si="6"/>
        <v>13.028571428571428</v>
      </c>
    </row>
    <row r="397" spans="1:7" x14ac:dyDescent="0.25">
      <c r="A397" s="5">
        <v>45810.354166666664</v>
      </c>
      <c r="B397">
        <v>48</v>
      </c>
      <c r="C397" t="s">
        <v>59</v>
      </c>
      <c r="D397" t="s">
        <v>60</v>
      </c>
      <c r="E397">
        <v>1.5</v>
      </c>
      <c r="F397">
        <v>4.37</v>
      </c>
      <c r="G397" s="8">
        <f t="shared" si="6"/>
        <v>20.594965675057207</v>
      </c>
    </row>
    <row r="398" spans="1:7" x14ac:dyDescent="0.25">
      <c r="A398" s="5">
        <v>45810.354166666664</v>
      </c>
      <c r="B398">
        <v>49</v>
      </c>
      <c r="C398" t="s">
        <v>60</v>
      </c>
      <c r="D398" t="s">
        <v>61</v>
      </c>
      <c r="E398">
        <v>1.54</v>
      </c>
      <c r="F398">
        <v>5.07</v>
      </c>
      <c r="G398" s="8">
        <f t="shared" si="6"/>
        <v>18.224852071005916</v>
      </c>
    </row>
    <row r="399" spans="1:7" x14ac:dyDescent="0.25">
      <c r="A399" s="5">
        <v>45810.354166666664</v>
      </c>
      <c r="B399">
        <v>50</v>
      </c>
      <c r="C399" t="s">
        <v>62</v>
      </c>
      <c r="D399" t="s">
        <v>63</v>
      </c>
      <c r="E399">
        <v>1.38</v>
      </c>
      <c r="F399">
        <v>3.2</v>
      </c>
      <c r="G399" s="8">
        <f t="shared" si="6"/>
        <v>25.874999999999996</v>
      </c>
    </row>
    <row r="400" spans="1:7" x14ac:dyDescent="0.25">
      <c r="A400" s="5">
        <v>45810.354166666664</v>
      </c>
      <c r="B400">
        <v>51</v>
      </c>
      <c r="C400" t="s">
        <v>63</v>
      </c>
      <c r="D400" t="s">
        <v>64</v>
      </c>
      <c r="E400">
        <v>2.79</v>
      </c>
      <c r="F400">
        <v>6.42</v>
      </c>
      <c r="G400" s="8">
        <f t="shared" si="6"/>
        <v>26.074766355140188</v>
      </c>
    </row>
    <row r="401" spans="1:7" x14ac:dyDescent="0.25">
      <c r="A401" s="5">
        <v>45810.354166666664</v>
      </c>
      <c r="B401">
        <v>52</v>
      </c>
      <c r="C401" t="s">
        <v>64</v>
      </c>
      <c r="D401" t="s">
        <v>65</v>
      </c>
      <c r="E401">
        <v>1.5</v>
      </c>
      <c r="F401">
        <v>2.83</v>
      </c>
      <c r="G401" s="8">
        <f t="shared" si="6"/>
        <v>31.802120141342755</v>
      </c>
    </row>
    <row r="402" spans="1:7" x14ac:dyDescent="0.25">
      <c r="A402" s="5">
        <v>45810.354166666664</v>
      </c>
      <c r="B402">
        <v>53</v>
      </c>
      <c r="C402" t="s">
        <v>65</v>
      </c>
      <c r="D402" t="s">
        <v>66</v>
      </c>
      <c r="E402">
        <v>1.46</v>
      </c>
      <c r="F402">
        <v>4.08</v>
      </c>
      <c r="G402" s="8">
        <f t="shared" si="6"/>
        <v>21.470588235294116</v>
      </c>
    </row>
    <row r="403" spans="1:7" x14ac:dyDescent="0.25">
      <c r="A403" s="5">
        <v>45810.354166666664</v>
      </c>
      <c r="B403">
        <v>54</v>
      </c>
      <c r="C403" t="s">
        <v>67</v>
      </c>
      <c r="D403" t="s">
        <v>68</v>
      </c>
      <c r="E403">
        <v>1.53</v>
      </c>
      <c r="F403">
        <v>6.13</v>
      </c>
      <c r="G403" s="8">
        <f t="shared" si="6"/>
        <v>14.97553017944535</v>
      </c>
    </row>
    <row r="404" spans="1:7" x14ac:dyDescent="0.25">
      <c r="A404" s="5">
        <v>45810.354166666664</v>
      </c>
      <c r="B404">
        <v>55</v>
      </c>
      <c r="C404" t="s">
        <v>68</v>
      </c>
      <c r="D404" t="s">
        <v>69</v>
      </c>
      <c r="E404">
        <v>1.96</v>
      </c>
      <c r="F404">
        <v>6.98</v>
      </c>
      <c r="G404" s="8">
        <f t="shared" si="6"/>
        <v>16.848137535816615</v>
      </c>
    </row>
    <row r="405" spans="1:7" x14ac:dyDescent="0.25">
      <c r="A405" s="5">
        <v>45810.354166666664</v>
      </c>
      <c r="B405">
        <v>56</v>
      </c>
      <c r="C405" t="s">
        <v>70</v>
      </c>
      <c r="D405" t="s">
        <v>71</v>
      </c>
      <c r="E405">
        <v>1.51</v>
      </c>
      <c r="F405">
        <v>5</v>
      </c>
      <c r="G405" s="8">
        <f t="shared" si="6"/>
        <v>18.119999999999997</v>
      </c>
    </row>
    <row r="406" spans="1:7" x14ac:dyDescent="0.25">
      <c r="A406" s="5">
        <v>45810.354166666664</v>
      </c>
      <c r="B406">
        <v>57</v>
      </c>
      <c r="C406" t="s">
        <v>71</v>
      </c>
      <c r="D406" t="s">
        <v>72</v>
      </c>
      <c r="E406">
        <v>1.52</v>
      </c>
      <c r="F406">
        <v>4.2699999999999996</v>
      </c>
      <c r="G406" s="8">
        <f t="shared" si="6"/>
        <v>21.358313817330213</v>
      </c>
    </row>
    <row r="407" spans="1:7" x14ac:dyDescent="0.25">
      <c r="A407" s="5">
        <v>45810.354166666664</v>
      </c>
      <c r="B407">
        <v>58</v>
      </c>
      <c r="C407" t="s">
        <v>72</v>
      </c>
      <c r="D407" t="s">
        <v>73</v>
      </c>
      <c r="E407">
        <v>1.5</v>
      </c>
      <c r="F407">
        <v>3.75</v>
      </c>
      <c r="G407" s="8">
        <f t="shared" si="6"/>
        <v>24</v>
      </c>
    </row>
    <row r="408" spans="1:7" x14ac:dyDescent="0.25">
      <c r="A408" s="5">
        <v>45810.364583333336</v>
      </c>
      <c r="B408">
        <v>1</v>
      </c>
      <c r="C408" t="s">
        <v>6</v>
      </c>
      <c r="D408" t="s">
        <v>7</v>
      </c>
      <c r="E408">
        <v>1.53</v>
      </c>
      <c r="F408">
        <v>3.17</v>
      </c>
      <c r="G408" s="8">
        <f t="shared" si="6"/>
        <v>28.958990536277604</v>
      </c>
    </row>
    <row r="409" spans="1:7" x14ac:dyDescent="0.25">
      <c r="A409" s="5">
        <v>45810.364583333336</v>
      </c>
      <c r="B409">
        <v>2</v>
      </c>
      <c r="C409" t="s">
        <v>7</v>
      </c>
      <c r="D409" t="s">
        <v>8</v>
      </c>
      <c r="E409">
        <v>1.57</v>
      </c>
      <c r="F409">
        <v>5.55</v>
      </c>
      <c r="G409" s="8">
        <f t="shared" si="6"/>
        <v>16.972972972972975</v>
      </c>
    </row>
    <row r="410" spans="1:7" x14ac:dyDescent="0.25">
      <c r="A410" s="5">
        <v>45810.364583333336</v>
      </c>
      <c r="B410">
        <v>3</v>
      </c>
      <c r="C410" t="s">
        <v>8</v>
      </c>
      <c r="D410" t="s">
        <v>9</v>
      </c>
      <c r="E410">
        <v>1.5</v>
      </c>
      <c r="F410">
        <v>3.07</v>
      </c>
      <c r="G410" s="8">
        <f t="shared" si="6"/>
        <v>29.31596091205212</v>
      </c>
    </row>
    <row r="411" spans="1:7" x14ac:dyDescent="0.25">
      <c r="A411" s="5">
        <v>45810.364583333336</v>
      </c>
      <c r="B411">
        <v>4</v>
      </c>
      <c r="C411" t="s">
        <v>9</v>
      </c>
      <c r="D411" t="s">
        <v>10</v>
      </c>
      <c r="E411">
        <v>1.5</v>
      </c>
      <c r="F411">
        <v>2.72</v>
      </c>
      <c r="G411" s="8">
        <f t="shared" si="6"/>
        <v>33.088235294117645</v>
      </c>
    </row>
    <row r="412" spans="1:7" x14ac:dyDescent="0.25">
      <c r="A412" s="5">
        <v>45810.364583333336</v>
      </c>
      <c r="B412">
        <v>5</v>
      </c>
      <c r="C412" t="s">
        <v>10</v>
      </c>
      <c r="D412" t="s">
        <v>11</v>
      </c>
      <c r="E412">
        <v>1.52</v>
      </c>
      <c r="F412">
        <v>3.1</v>
      </c>
      <c r="G412" s="8">
        <f t="shared" si="6"/>
        <v>29.419354838709676</v>
      </c>
    </row>
    <row r="413" spans="1:7" x14ac:dyDescent="0.25">
      <c r="A413" s="5">
        <v>45810.364583333336</v>
      </c>
      <c r="B413">
        <v>6</v>
      </c>
      <c r="C413" t="s">
        <v>11</v>
      </c>
      <c r="D413" t="s">
        <v>12</v>
      </c>
      <c r="E413">
        <v>1.5</v>
      </c>
      <c r="F413">
        <v>2.72</v>
      </c>
      <c r="G413" s="8">
        <f t="shared" si="6"/>
        <v>33.088235294117645</v>
      </c>
    </row>
    <row r="414" spans="1:7" x14ac:dyDescent="0.25">
      <c r="A414" s="5">
        <v>45810.364583333336</v>
      </c>
      <c r="B414">
        <v>7</v>
      </c>
      <c r="C414" t="s">
        <v>12</v>
      </c>
      <c r="D414" t="s">
        <v>13</v>
      </c>
      <c r="E414">
        <v>1.54</v>
      </c>
      <c r="F414">
        <v>2.5299999999999998</v>
      </c>
      <c r="G414" s="8">
        <f t="shared" si="6"/>
        <v>36.521739130434788</v>
      </c>
    </row>
    <row r="415" spans="1:7" x14ac:dyDescent="0.25">
      <c r="A415" s="5">
        <v>45810.364583333336</v>
      </c>
      <c r="B415">
        <v>8</v>
      </c>
      <c r="C415" t="s">
        <v>13</v>
      </c>
      <c r="D415" t="s">
        <v>14</v>
      </c>
      <c r="E415">
        <v>1.54</v>
      </c>
      <c r="F415">
        <v>3.32</v>
      </c>
      <c r="G415" s="8">
        <f t="shared" si="6"/>
        <v>27.831325301204821</v>
      </c>
    </row>
    <row r="416" spans="1:7" x14ac:dyDescent="0.25">
      <c r="A416" s="5">
        <v>45810.364583333336</v>
      </c>
      <c r="B416">
        <v>9</v>
      </c>
      <c r="C416" t="s">
        <v>14</v>
      </c>
      <c r="D416" t="s">
        <v>15</v>
      </c>
      <c r="E416">
        <v>1.52</v>
      </c>
      <c r="F416">
        <v>5.67</v>
      </c>
      <c r="G416" s="8">
        <f t="shared" si="6"/>
        <v>16.084656084656086</v>
      </c>
    </row>
    <row r="417" spans="1:7" x14ac:dyDescent="0.25">
      <c r="A417" s="5">
        <v>45810.364583333336</v>
      </c>
      <c r="B417">
        <v>10</v>
      </c>
      <c r="C417" t="s">
        <v>15</v>
      </c>
      <c r="D417" t="s">
        <v>16</v>
      </c>
      <c r="E417">
        <v>1.5</v>
      </c>
      <c r="F417">
        <v>4.6500000000000004</v>
      </c>
      <c r="G417" s="8">
        <f t="shared" si="6"/>
        <v>19.354838709677416</v>
      </c>
    </row>
    <row r="418" spans="1:7" x14ac:dyDescent="0.25">
      <c r="A418" s="5">
        <v>45810.364583333336</v>
      </c>
      <c r="B418">
        <v>11</v>
      </c>
      <c r="C418" t="s">
        <v>16</v>
      </c>
      <c r="D418" t="s">
        <v>17</v>
      </c>
      <c r="E418">
        <v>1.48</v>
      </c>
      <c r="F418">
        <v>3.3</v>
      </c>
      <c r="G418" s="8">
        <f t="shared" si="6"/>
        <v>26.90909090909091</v>
      </c>
    </row>
    <row r="419" spans="1:7" x14ac:dyDescent="0.25">
      <c r="A419" s="5">
        <v>45810.364583333336</v>
      </c>
      <c r="B419">
        <v>12</v>
      </c>
      <c r="C419" t="s">
        <v>17</v>
      </c>
      <c r="D419" t="s">
        <v>18</v>
      </c>
      <c r="E419">
        <v>1.46</v>
      </c>
      <c r="F419">
        <v>6.18</v>
      </c>
      <c r="G419" s="8">
        <f t="shared" si="6"/>
        <v>14.174757281553397</v>
      </c>
    </row>
    <row r="420" spans="1:7" x14ac:dyDescent="0.25">
      <c r="A420" s="5">
        <v>45810.364583333336</v>
      </c>
      <c r="B420">
        <v>13</v>
      </c>
      <c r="C420" t="s">
        <v>18</v>
      </c>
      <c r="D420" t="s">
        <v>19</v>
      </c>
      <c r="E420">
        <v>1.52</v>
      </c>
      <c r="F420">
        <v>5.62</v>
      </c>
      <c r="G420" s="8">
        <f t="shared" si="6"/>
        <v>16.227758007117437</v>
      </c>
    </row>
    <row r="421" spans="1:7" x14ac:dyDescent="0.25">
      <c r="A421" s="5">
        <v>45810.364583333336</v>
      </c>
      <c r="B421">
        <v>14</v>
      </c>
      <c r="C421" t="s">
        <v>19</v>
      </c>
      <c r="D421" t="s">
        <v>20</v>
      </c>
      <c r="E421">
        <v>1.51</v>
      </c>
      <c r="F421">
        <v>4.4800000000000004</v>
      </c>
      <c r="G421" s="8">
        <f t="shared" si="6"/>
        <v>20.223214285714281</v>
      </c>
    </row>
    <row r="422" spans="1:7" x14ac:dyDescent="0.25">
      <c r="A422" s="5">
        <v>45810.364583333336</v>
      </c>
      <c r="B422">
        <v>15</v>
      </c>
      <c r="C422" t="s">
        <v>20</v>
      </c>
      <c r="D422" t="s">
        <v>21</v>
      </c>
      <c r="E422">
        <v>1.47</v>
      </c>
      <c r="F422">
        <v>3.02</v>
      </c>
      <c r="G422" s="8">
        <f t="shared" si="6"/>
        <v>29.205298013245034</v>
      </c>
    </row>
    <row r="423" spans="1:7" x14ac:dyDescent="0.25">
      <c r="A423" s="5">
        <v>45810.364583333336</v>
      </c>
      <c r="B423">
        <v>16</v>
      </c>
      <c r="C423" t="s">
        <v>21</v>
      </c>
      <c r="D423" t="s">
        <v>22</v>
      </c>
      <c r="E423">
        <v>1.5</v>
      </c>
      <c r="F423">
        <v>1.82</v>
      </c>
      <c r="G423" s="8">
        <f t="shared" si="6"/>
        <v>49.450549450549445</v>
      </c>
    </row>
    <row r="424" spans="1:7" x14ac:dyDescent="0.25">
      <c r="A424" s="5">
        <v>45810.364583333336</v>
      </c>
      <c r="B424">
        <v>17</v>
      </c>
      <c r="C424" t="s">
        <v>22</v>
      </c>
      <c r="D424" t="s">
        <v>23</v>
      </c>
      <c r="E424">
        <v>1.51</v>
      </c>
      <c r="F424">
        <v>3.17</v>
      </c>
      <c r="G424" s="8">
        <f t="shared" si="6"/>
        <v>28.580441640378549</v>
      </c>
    </row>
    <row r="425" spans="1:7" x14ac:dyDescent="0.25">
      <c r="A425" s="5">
        <v>45810.364583333336</v>
      </c>
      <c r="B425">
        <v>18</v>
      </c>
      <c r="C425" t="s">
        <v>23</v>
      </c>
      <c r="D425" t="s">
        <v>24</v>
      </c>
      <c r="E425">
        <v>1.51</v>
      </c>
      <c r="F425">
        <v>3.65</v>
      </c>
      <c r="G425" s="8">
        <f t="shared" si="6"/>
        <v>24.821917808219176</v>
      </c>
    </row>
    <row r="426" spans="1:7" x14ac:dyDescent="0.25">
      <c r="A426" s="5">
        <v>45810.364583333336</v>
      </c>
      <c r="B426">
        <v>19</v>
      </c>
      <c r="C426" t="s">
        <v>25</v>
      </c>
      <c r="D426" t="s">
        <v>26</v>
      </c>
      <c r="E426">
        <v>1.5</v>
      </c>
      <c r="F426">
        <v>4.03</v>
      </c>
      <c r="G426" s="8">
        <f t="shared" si="6"/>
        <v>22.332506203473944</v>
      </c>
    </row>
    <row r="427" spans="1:7" x14ac:dyDescent="0.25">
      <c r="A427" s="5">
        <v>45810.364583333336</v>
      </c>
      <c r="B427">
        <v>20</v>
      </c>
      <c r="C427" t="s">
        <v>26</v>
      </c>
      <c r="D427" t="s">
        <v>27</v>
      </c>
      <c r="E427">
        <v>1.48</v>
      </c>
      <c r="F427">
        <v>4.18</v>
      </c>
      <c r="G427" s="8">
        <f t="shared" si="6"/>
        <v>21.244019138755981</v>
      </c>
    </row>
    <row r="428" spans="1:7" x14ac:dyDescent="0.25">
      <c r="A428" s="5">
        <v>45810.364583333336</v>
      </c>
      <c r="B428">
        <v>21</v>
      </c>
      <c r="C428" t="s">
        <v>27</v>
      </c>
      <c r="D428" t="s">
        <v>28</v>
      </c>
      <c r="E428">
        <v>1.51</v>
      </c>
      <c r="F428">
        <v>4.12</v>
      </c>
      <c r="G428" s="8">
        <f t="shared" si="6"/>
        <v>21.990291262135919</v>
      </c>
    </row>
    <row r="429" spans="1:7" x14ac:dyDescent="0.25">
      <c r="A429" s="5">
        <v>45810.364583333336</v>
      </c>
      <c r="B429">
        <v>22</v>
      </c>
      <c r="C429" t="s">
        <v>28</v>
      </c>
      <c r="D429" t="s">
        <v>29</v>
      </c>
      <c r="E429">
        <v>1.57</v>
      </c>
      <c r="F429">
        <v>4.3499999999999996</v>
      </c>
      <c r="G429" s="8">
        <f t="shared" si="6"/>
        <v>21.655172413793107</v>
      </c>
    </row>
    <row r="430" spans="1:7" x14ac:dyDescent="0.25">
      <c r="A430" s="5">
        <v>45810.364583333336</v>
      </c>
      <c r="B430">
        <v>23</v>
      </c>
      <c r="C430" t="s">
        <v>29</v>
      </c>
      <c r="D430" t="s">
        <v>30</v>
      </c>
      <c r="E430">
        <v>1.43</v>
      </c>
      <c r="F430">
        <v>4.13</v>
      </c>
      <c r="G430" s="8">
        <f t="shared" si="6"/>
        <v>20.774818401937047</v>
      </c>
    </row>
    <row r="431" spans="1:7" x14ac:dyDescent="0.25">
      <c r="A431" s="5">
        <v>45810.364583333336</v>
      </c>
      <c r="B431">
        <v>24</v>
      </c>
      <c r="C431" t="s">
        <v>30</v>
      </c>
      <c r="D431" t="s">
        <v>31</v>
      </c>
      <c r="E431">
        <v>1.52</v>
      </c>
      <c r="F431">
        <v>4.22</v>
      </c>
      <c r="G431" s="8">
        <f t="shared" si="6"/>
        <v>21.611374407582939</v>
      </c>
    </row>
    <row r="432" spans="1:7" x14ac:dyDescent="0.25">
      <c r="A432" s="5">
        <v>45810.364583333336</v>
      </c>
      <c r="B432">
        <v>25</v>
      </c>
      <c r="C432" t="s">
        <v>31</v>
      </c>
      <c r="D432" t="s">
        <v>32</v>
      </c>
      <c r="E432">
        <v>1.52</v>
      </c>
      <c r="F432">
        <v>3.5</v>
      </c>
      <c r="G432" s="8">
        <f t="shared" si="6"/>
        <v>26.057142857142857</v>
      </c>
    </row>
    <row r="433" spans="1:7" x14ac:dyDescent="0.25">
      <c r="A433" s="5">
        <v>45810.364583333336</v>
      </c>
      <c r="B433">
        <v>26</v>
      </c>
      <c r="C433" t="s">
        <v>32</v>
      </c>
      <c r="D433" t="s">
        <v>33</v>
      </c>
      <c r="E433">
        <v>1.49</v>
      </c>
      <c r="F433">
        <v>6.12</v>
      </c>
      <c r="G433" s="8">
        <f t="shared" si="6"/>
        <v>14.607843137254903</v>
      </c>
    </row>
    <row r="434" spans="1:7" x14ac:dyDescent="0.25">
      <c r="A434" s="5">
        <v>45810.364583333336</v>
      </c>
      <c r="B434">
        <v>27</v>
      </c>
      <c r="C434" t="s">
        <v>33</v>
      </c>
      <c r="D434" t="s">
        <v>34</v>
      </c>
      <c r="E434">
        <v>1.53</v>
      </c>
      <c r="F434">
        <v>3.67</v>
      </c>
      <c r="G434" s="8">
        <f t="shared" si="6"/>
        <v>25.013623978201636</v>
      </c>
    </row>
    <row r="435" spans="1:7" x14ac:dyDescent="0.25">
      <c r="A435" s="5">
        <v>45810.364583333336</v>
      </c>
      <c r="B435">
        <v>28</v>
      </c>
      <c r="C435" t="s">
        <v>34</v>
      </c>
      <c r="D435" t="s">
        <v>35</v>
      </c>
      <c r="E435">
        <v>1.51</v>
      </c>
      <c r="F435">
        <v>4.22</v>
      </c>
      <c r="G435" s="8">
        <f t="shared" si="6"/>
        <v>21.469194312796208</v>
      </c>
    </row>
    <row r="436" spans="1:7" x14ac:dyDescent="0.25">
      <c r="A436" s="5">
        <v>45810.364583333336</v>
      </c>
      <c r="B436">
        <v>29</v>
      </c>
      <c r="C436" t="s">
        <v>36</v>
      </c>
      <c r="D436" t="s">
        <v>37</v>
      </c>
      <c r="E436">
        <v>1.57</v>
      </c>
      <c r="F436">
        <v>4.7699999999999996</v>
      </c>
      <c r="G436" s="8">
        <f t="shared" si="6"/>
        <v>19.748427672955977</v>
      </c>
    </row>
    <row r="437" spans="1:7" x14ac:dyDescent="0.25">
      <c r="A437" s="5">
        <v>45810.364583333336</v>
      </c>
      <c r="B437">
        <v>30</v>
      </c>
      <c r="C437" t="s">
        <v>37</v>
      </c>
      <c r="D437" t="s">
        <v>38</v>
      </c>
      <c r="E437">
        <v>1.57</v>
      </c>
      <c r="F437">
        <v>9.5</v>
      </c>
      <c r="G437" s="8">
        <f t="shared" si="6"/>
        <v>9.9157894736842103</v>
      </c>
    </row>
    <row r="438" spans="1:7" x14ac:dyDescent="0.25">
      <c r="A438" s="5">
        <v>45810.364583333336</v>
      </c>
      <c r="B438">
        <v>31</v>
      </c>
      <c r="C438" t="s">
        <v>38</v>
      </c>
      <c r="D438" t="s">
        <v>39</v>
      </c>
      <c r="E438">
        <v>1.52</v>
      </c>
      <c r="F438">
        <v>3.02</v>
      </c>
      <c r="G438" s="8">
        <f t="shared" si="6"/>
        <v>30.198675496688743</v>
      </c>
    </row>
    <row r="439" spans="1:7" x14ac:dyDescent="0.25">
      <c r="A439" s="5">
        <v>45810.364583333336</v>
      </c>
      <c r="B439">
        <v>32</v>
      </c>
      <c r="C439" t="s">
        <v>39</v>
      </c>
      <c r="D439" t="s">
        <v>40</v>
      </c>
      <c r="E439">
        <v>1.5</v>
      </c>
      <c r="F439">
        <v>1.68</v>
      </c>
      <c r="G439" s="8">
        <f t="shared" si="6"/>
        <v>53.571428571428577</v>
      </c>
    </row>
    <row r="440" spans="1:7" x14ac:dyDescent="0.25">
      <c r="A440" s="5">
        <v>45810.364583333336</v>
      </c>
      <c r="B440">
        <v>33</v>
      </c>
      <c r="C440" t="s">
        <v>40</v>
      </c>
      <c r="D440" t="s">
        <v>41</v>
      </c>
      <c r="E440">
        <v>1.51</v>
      </c>
      <c r="F440">
        <v>1.78</v>
      </c>
      <c r="G440" s="8">
        <f t="shared" si="6"/>
        <v>50.898876404494381</v>
      </c>
    </row>
    <row r="441" spans="1:7" x14ac:dyDescent="0.25">
      <c r="A441" s="5">
        <v>45810.364583333336</v>
      </c>
      <c r="B441">
        <v>34</v>
      </c>
      <c r="C441" t="s">
        <v>41</v>
      </c>
      <c r="D441" t="s">
        <v>42</v>
      </c>
      <c r="E441">
        <v>1.5</v>
      </c>
      <c r="F441">
        <v>1.82</v>
      </c>
      <c r="G441" s="8">
        <f t="shared" si="6"/>
        <v>49.450549450549445</v>
      </c>
    </row>
    <row r="442" spans="1:7" x14ac:dyDescent="0.25">
      <c r="A442" s="5">
        <v>45810.364583333336</v>
      </c>
      <c r="B442">
        <v>35</v>
      </c>
      <c r="C442" t="s">
        <v>43</v>
      </c>
      <c r="D442" t="s">
        <v>44</v>
      </c>
      <c r="E442">
        <v>1.55</v>
      </c>
      <c r="F442">
        <v>5.3</v>
      </c>
      <c r="G442" s="8">
        <f t="shared" si="6"/>
        <v>17.547169811320757</v>
      </c>
    </row>
    <row r="443" spans="1:7" x14ac:dyDescent="0.25">
      <c r="A443" s="5">
        <v>45810.364583333336</v>
      </c>
      <c r="B443">
        <v>36</v>
      </c>
      <c r="C443" t="s">
        <v>44</v>
      </c>
      <c r="D443" t="s">
        <v>45</v>
      </c>
      <c r="E443">
        <v>1.5</v>
      </c>
      <c r="F443">
        <v>3.1</v>
      </c>
      <c r="G443" s="8">
        <f t="shared" si="6"/>
        <v>29.032258064516128</v>
      </c>
    </row>
    <row r="444" spans="1:7" x14ac:dyDescent="0.25">
      <c r="A444" s="5">
        <v>45810.364583333336</v>
      </c>
      <c r="B444">
        <v>37</v>
      </c>
      <c r="C444" t="s">
        <v>45</v>
      </c>
      <c r="D444" t="s">
        <v>46</v>
      </c>
      <c r="E444">
        <v>1.38</v>
      </c>
      <c r="F444">
        <v>3.82</v>
      </c>
      <c r="G444" s="8">
        <f t="shared" si="6"/>
        <v>21.67539267015707</v>
      </c>
    </row>
    <row r="445" spans="1:7" x14ac:dyDescent="0.25">
      <c r="A445" s="5">
        <v>45810.364583333336</v>
      </c>
      <c r="B445">
        <v>38</v>
      </c>
      <c r="C445" t="s">
        <v>46</v>
      </c>
      <c r="D445" t="s">
        <v>47</v>
      </c>
      <c r="E445">
        <v>1.61</v>
      </c>
      <c r="F445">
        <v>3.82</v>
      </c>
      <c r="G445" s="8">
        <f t="shared" si="6"/>
        <v>25.287958115183251</v>
      </c>
    </row>
    <row r="446" spans="1:7" x14ac:dyDescent="0.25">
      <c r="A446" s="5">
        <v>45810.364583333336</v>
      </c>
      <c r="B446">
        <v>39</v>
      </c>
      <c r="C446" t="s">
        <v>47</v>
      </c>
      <c r="D446" t="s">
        <v>48</v>
      </c>
      <c r="E446">
        <v>1.55</v>
      </c>
      <c r="F446">
        <v>3.38</v>
      </c>
      <c r="G446" s="8">
        <f t="shared" si="6"/>
        <v>27.514792899408285</v>
      </c>
    </row>
    <row r="447" spans="1:7" x14ac:dyDescent="0.25">
      <c r="A447" s="5">
        <v>45810.364583333336</v>
      </c>
      <c r="B447">
        <v>40</v>
      </c>
      <c r="C447" t="s">
        <v>48</v>
      </c>
      <c r="D447" t="s">
        <v>49</v>
      </c>
      <c r="E447">
        <v>1.39</v>
      </c>
      <c r="F447">
        <v>2.85</v>
      </c>
      <c r="G447" s="8">
        <f t="shared" si="6"/>
        <v>29.263157894736839</v>
      </c>
    </row>
    <row r="448" spans="1:7" x14ac:dyDescent="0.25">
      <c r="A448" s="5">
        <v>45810.364583333336</v>
      </c>
      <c r="B448">
        <v>41</v>
      </c>
      <c r="C448" t="s">
        <v>50</v>
      </c>
      <c r="D448" t="s">
        <v>51</v>
      </c>
      <c r="E448">
        <v>1.56</v>
      </c>
      <c r="F448">
        <v>6.63</v>
      </c>
      <c r="G448" s="8">
        <f t="shared" si="6"/>
        <v>14.117647058823531</v>
      </c>
    </row>
    <row r="449" spans="1:7" x14ac:dyDescent="0.25">
      <c r="A449" s="5">
        <v>45810.364583333336</v>
      </c>
      <c r="B449">
        <v>42</v>
      </c>
      <c r="C449" t="s">
        <v>51</v>
      </c>
      <c r="D449" t="s">
        <v>52</v>
      </c>
      <c r="E449">
        <v>1.56</v>
      </c>
      <c r="F449">
        <v>5.73</v>
      </c>
      <c r="G449" s="8">
        <f t="shared" si="6"/>
        <v>16.335078534031414</v>
      </c>
    </row>
    <row r="450" spans="1:7" x14ac:dyDescent="0.25">
      <c r="A450" s="5">
        <v>45810.364583333336</v>
      </c>
      <c r="B450">
        <v>43</v>
      </c>
      <c r="C450" t="s">
        <v>52</v>
      </c>
      <c r="D450" t="s">
        <v>53</v>
      </c>
      <c r="E450">
        <v>1.51</v>
      </c>
      <c r="F450">
        <v>3.65</v>
      </c>
      <c r="G450" s="8">
        <f t="shared" si="6"/>
        <v>24.821917808219176</v>
      </c>
    </row>
    <row r="451" spans="1:7" x14ac:dyDescent="0.25">
      <c r="A451" s="5">
        <v>45810.364583333336</v>
      </c>
      <c r="B451">
        <v>44</v>
      </c>
      <c r="C451" t="s">
        <v>54</v>
      </c>
      <c r="D451" t="s">
        <v>55</v>
      </c>
      <c r="E451">
        <v>1.51</v>
      </c>
      <c r="F451">
        <v>4.5999999999999996</v>
      </c>
      <c r="G451" s="8">
        <f t="shared" ref="G451:G514" si="7">E451*60/F451</f>
        <v>19.695652173913043</v>
      </c>
    </row>
    <row r="452" spans="1:7" x14ac:dyDescent="0.25">
      <c r="A452" s="5">
        <v>45810.364583333336</v>
      </c>
      <c r="B452">
        <v>45</v>
      </c>
      <c r="C452" t="s">
        <v>55</v>
      </c>
      <c r="D452" t="s">
        <v>56</v>
      </c>
      <c r="E452">
        <v>1.49</v>
      </c>
      <c r="F452">
        <v>3.4</v>
      </c>
      <c r="G452" s="8">
        <f t="shared" si="7"/>
        <v>26.294117647058826</v>
      </c>
    </row>
    <row r="453" spans="1:7" x14ac:dyDescent="0.25">
      <c r="A453" s="5">
        <v>45810.364583333336</v>
      </c>
      <c r="B453">
        <v>46</v>
      </c>
      <c r="C453" t="s">
        <v>56</v>
      </c>
      <c r="D453" t="s">
        <v>57</v>
      </c>
      <c r="E453">
        <v>1.52</v>
      </c>
      <c r="F453">
        <v>4.2300000000000004</v>
      </c>
      <c r="G453" s="8">
        <f t="shared" si="7"/>
        <v>21.560283687943262</v>
      </c>
    </row>
    <row r="454" spans="1:7" x14ac:dyDescent="0.25">
      <c r="A454" s="5">
        <v>45810.364583333336</v>
      </c>
      <c r="B454">
        <v>47</v>
      </c>
      <c r="C454" t="s">
        <v>58</v>
      </c>
      <c r="D454" t="s">
        <v>59</v>
      </c>
      <c r="E454">
        <v>1.52</v>
      </c>
      <c r="F454">
        <v>5.43</v>
      </c>
      <c r="G454" s="8">
        <f t="shared" si="7"/>
        <v>16.795580110497237</v>
      </c>
    </row>
    <row r="455" spans="1:7" x14ac:dyDescent="0.25">
      <c r="A455" s="5">
        <v>45810.364583333336</v>
      </c>
      <c r="B455">
        <v>48</v>
      </c>
      <c r="C455" t="s">
        <v>59</v>
      </c>
      <c r="D455" t="s">
        <v>60</v>
      </c>
      <c r="E455">
        <v>1.5</v>
      </c>
      <c r="F455">
        <v>4.2699999999999996</v>
      </c>
      <c r="G455" s="8">
        <f t="shared" si="7"/>
        <v>21.077283372365343</v>
      </c>
    </row>
    <row r="456" spans="1:7" x14ac:dyDescent="0.25">
      <c r="A456" s="5">
        <v>45810.364583333336</v>
      </c>
      <c r="B456">
        <v>49</v>
      </c>
      <c r="C456" t="s">
        <v>60</v>
      </c>
      <c r="D456" t="s">
        <v>61</v>
      </c>
      <c r="E456">
        <v>1.54</v>
      </c>
      <c r="F456">
        <v>4.88</v>
      </c>
      <c r="G456" s="8">
        <f t="shared" si="7"/>
        <v>18.934426229508198</v>
      </c>
    </row>
    <row r="457" spans="1:7" x14ac:dyDescent="0.25">
      <c r="A457" s="5">
        <v>45810.364583333336</v>
      </c>
      <c r="B457">
        <v>50</v>
      </c>
      <c r="C457" t="s">
        <v>62</v>
      </c>
      <c r="D457" t="s">
        <v>63</v>
      </c>
      <c r="E457">
        <v>1.38</v>
      </c>
      <c r="F457">
        <v>3.07</v>
      </c>
      <c r="G457" s="8">
        <f t="shared" si="7"/>
        <v>26.970684039087949</v>
      </c>
    </row>
    <row r="458" spans="1:7" x14ac:dyDescent="0.25">
      <c r="A458" s="5">
        <v>45810.364583333336</v>
      </c>
      <c r="B458">
        <v>51</v>
      </c>
      <c r="C458" t="s">
        <v>63</v>
      </c>
      <c r="D458" t="s">
        <v>64</v>
      </c>
      <c r="E458">
        <v>2.79</v>
      </c>
      <c r="F458">
        <v>5.53</v>
      </c>
      <c r="G458" s="8">
        <f t="shared" si="7"/>
        <v>30.27124773960217</v>
      </c>
    </row>
    <row r="459" spans="1:7" x14ac:dyDescent="0.25">
      <c r="A459" s="5">
        <v>45810.364583333336</v>
      </c>
      <c r="B459">
        <v>52</v>
      </c>
      <c r="C459" t="s">
        <v>64</v>
      </c>
      <c r="D459" t="s">
        <v>65</v>
      </c>
      <c r="E459">
        <v>1.5</v>
      </c>
      <c r="F459">
        <v>2.98</v>
      </c>
      <c r="G459" s="8">
        <f t="shared" si="7"/>
        <v>30.201342281879196</v>
      </c>
    </row>
    <row r="460" spans="1:7" x14ac:dyDescent="0.25">
      <c r="A460" s="5">
        <v>45810.364583333336</v>
      </c>
      <c r="B460">
        <v>53</v>
      </c>
      <c r="C460" t="s">
        <v>65</v>
      </c>
      <c r="D460" t="s">
        <v>66</v>
      </c>
      <c r="E460">
        <v>1.46</v>
      </c>
      <c r="F460">
        <v>3.97</v>
      </c>
      <c r="G460" s="8">
        <f t="shared" si="7"/>
        <v>22.065491183879089</v>
      </c>
    </row>
    <row r="461" spans="1:7" x14ac:dyDescent="0.25">
      <c r="A461" s="5">
        <v>45810.364583333336</v>
      </c>
      <c r="B461">
        <v>54</v>
      </c>
      <c r="C461" t="s">
        <v>67</v>
      </c>
      <c r="D461" t="s">
        <v>68</v>
      </c>
      <c r="E461">
        <v>1.53</v>
      </c>
      <c r="F461">
        <v>8.18</v>
      </c>
      <c r="G461" s="8">
        <f t="shared" si="7"/>
        <v>11.222493887530563</v>
      </c>
    </row>
    <row r="462" spans="1:7" x14ac:dyDescent="0.25">
      <c r="A462" s="5">
        <v>45810.364583333336</v>
      </c>
      <c r="B462">
        <v>55</v>
      </c>
      <c r="C462" t="s">
        <v>68</v>
      </c>
      <c r="D462" t="s">
        <v>69</v>
      </c>
      <c r="E462">
        <v>1.97</v>
      </c>
      <c r="F462">
        <v>7.83</v>
      </c>
      <c r="G462" s="8">
        <f t="shared" si="7"/>
        <v>15.095785440613026</v>
      </c>
    </row>
    <row r="463" spans="1:7" x14ac:dyDescent="0.25">
      <c r="A463" s="5">
        <v>45810.364583333336</v>
      </c>
      <c r="B463">
        <v>56</v>
      </c>
      <c r="C463" t="s">
        <v>70</v>
      </c>
      <c r="D463" t="s">
        <v>71</v>
      </c>
      <c r="E463">
        <v>1.51</v>
      </c>
      <c r="F463">
        <v>4.83</v>
      </c>
      <c r="G463" s="8">
        <f t="shared" si="7"/>
        <v>18.757763975155278</v>
      </c>
    </row>
    <row r="464" spans="1:7" x14ac:dyDescent="0.25">
      <c r="A464" s="5">
        <v>45810.364583333336</v>
      </c>
      <c r="B464">
        <v>57</v>
      </c>
      <c r="C464" t="s">
        <v>71</v>
      </c>
      <c r="D464" t="s">
        <v>72</v>
      </c>
      <c r="E464">
        <v>1.52</v>
      </c>
      <c r="F464">
        <v>4.37</v>
      </c>
      <c r="G464" s="8">
        <f t="shared" si="7"/>
        <v>20.869565217391305</v>
      </c>
    </row>
    <row r="465" spans="1:7" x14ac:dyDescent="0.25">
      <c r="A465" s="5">
        <v>45810.364583333336</v>
      </c>
      <c r="B465">
        <v>58</v>
      </c>
      <c r="C465" t="s">
        <v>72</v>
      </c>
      <c r="D465" t="s">
        <v>73</v>
      </c>
      <c r="E465">
        <v>1.5</v>
      </c>
      <c r="F465">
        <v>3.8</v>
      </c>
      <c r="G465" s="8">
        <f t="shared" si="7"/>
        <v>23.684210526315791</v>
      </c>
    </row>
    <row r="466" spans="1:7" x14ac:dyDescent="0.25">
      <c r="A466" s="5">
        <v>45810.375</v>
      </c>
      <c r="B466">
        <v>1</v>
      </c>
      <c r="C466" t="s">
        <v>6</v>
      </c>
      <c r="D466" t="s">
        <v>7</v>
      </c>
      <c r="E466">
        <v>1.53</v>
      </c>
      <c r="F466">
        <v>3.05</v>
      </c>
      <c r="G466" s="8">
        <f t="shared" si="7"/>
        <v>30.098360655737707</v>
      </c>
    </row>
    <row r="467" spans="1:7" x14ac:dyDescent="0.25">
      <c r="A467" s="5">
        <v>45810.375</v>
      </c>
      <c r="B467">
        <v>2</v>
      </c>
      <c r="C467" t="s">
        <v>7</v>
      </c>
      <c r="D467" t="s">
        <v>8</v>
      </c>
      <c r="E467">
        <v>1.57</v>
      </c>
      <c r="F467">
        <v>5.05</v>
      </c>
      <c r="G467" s="8">
        <f t="shared" si="7"/>
        <v>18.653465346534656</v>
      </c>
    </row>
    <row r="468" spans="1:7" x14ac:dyDescent="0.25">
      <c r="A468" s="5">
        <v>45810.375</v>
      </c>
      <c r="B468">
        <v>3</v>
      </c>
      <c r="C468" t="s">
        <v>8</v>
      </c>
      <c r="D468" t="s">
        <v>9</v>
      </c>
      <c r="E468">
        <v>1.5</v>
      </c>
      <c r="F468">
        <v>3.12</v>
      </c>
      <c r="G468" s="8">
        <f t="shared" si="7"/>
        <v>28.846153846153847</v>
      </c>
    </row>
    <row r="469" spans="1:7" x14ac:dyDescent="0.25">
      <c r="A469" s="5">
        <v>45810.375</v>
      </c>
      <c r="B469">
        <v>4</v>
      </c>
      <c r="C469" t="s">
        <v>9</v>
      </c>
      <c r="D469" t="s">
        <v>10</v>
      </c>
      <c r="E469">
        <v>1.5</v>
      </c>
      <c r="F469">
        <v>2.95</v>
      </c>
      <c r="G469" s="8">
        <f t="shared" si="7"/>
        <v>30.508474576271183</v>
      </c>
    </row>
    <row r="470" spans="1:7" x14ac:dyDescent="0.25">
      <c r="A470" s="5">
        <v>45810.375</v>
      </c>
      <c r="B470">
        <v>5</v>
      </c>
      <c r="C470" t="s">
        <v>10</v>
      </c>
      <c r="D470" t="s">
        <v>11</v>
      </c>
      <c r="E470">
        <v>1.52</v>
      </c>
      <c r="F470">
        <v>3.2</v>
      </c>
      <c r="G470" s="8">
        <f t="shared" si="7"/>
        <v>28.5</v>
      </c>
    </row>
    <row r="471" spans="1:7" x14ac:dyDescent="0.25">
      <c r="A471" s="5">
        <v>45810.375</v>
      </c>
      <c r="B471">
        <v>6</v>
      </c>
      <c r="C471" t="s">
        <v>11</v>
      </c>
      <c r="D471" t="s">
        <v>12</v>
      </c>
      <c r="E471">
        <v>1.5</v>
      </c>
      <c r="F471">
        <v>2.68</v>
      </c>
      <c r="G471" s="8">
        <f t="shared" si="7"/>
        <v>33.582089552238806</v>
      </c>
    </row>
    <row r="472" spans="1:7" x14ac:dyDescent="0.25">
      <c r="A472" s="5">
        <v>45810.375</v>
      </c>
      <c r="B472">
        <v>7</v>
      </c>
      <c r="C472" t="s">
        <v>12</v>
      </c>
      <c r="D472" t="s">
        <v>13</v>
      </c>
      <c r="E472">
        <v>1.54</v>
      </c>
      <c r="F472">
        <v>2.67</v>
      </c>
      <c r="G472" s="8">
        <f t="shared" si="7"/>
        <v>34.606741573033709</v>
      </c>
    </row>
    <row r="473" spans="1:7" x14ac:dyDescent="0.25">
      <c r="A473" s="5">
        <v>45810.375</v>
      </c>
      <c r="B473">
        <v>8</v>
      </c>
      <c r="C473" t="s">
        <v>13</v>
      </c>
      <c r="D473" t="s">
        <v>14</v>
      </c>
      <c r="E473">
        <v>1.54</v>
      </c>
      <c r="F473">
        <v>3.32</v>
      </c>
      <c r="G473" s="8">
        <f t="shared" si="7"/>
        <v>27.831325301204821</v>
      </c>
    </row>
    <row r="474" spans="1:7" x14ac:dyDescent="0.25">
      <c r="A474" s="5">
        <v>45810.375</v>
      </c>
      <c r="B474">
        <v>9</v>
      </c>
      <c r="C474" t="s">
        <v>14</v>
      </c>
      <c r="D474" t="s">
        <v>15</v>
      </c>
      <c r="E474">
        <v>1.52</v>
      </c>
      <c r="F474">
        <v>5.18</v>
      </c>
      <c r="G474" s="8">
        <f t="shared" si="7"/>
        <v>17.606177606177607</v>
      </c>
    </row>
    <row r="475" spans="1:7" x14ac:dyDescent="0.25">
      <c r="A475" s="5">
        <v>45810.375</v>
      </c>
      <c r="B475">
        <v>10</v>
      </c>
      <c r="C475" t="s">
        <v>15</v>
      </c>
      <c r="D475" t="s">
        <v>16</v>
      </c>
      <c r="E475">
        <v>1.5</v>
      </c>
      <c r="F475">
        <v>4.72</v>
      </c>
      <c r="G475" s="8">
        <f t="shared" si="7"/>
        <v>19.067796610169491</v>
      </c>
    </row>
    <row r="476" spans="1:7" x14ac:dyDescent="0.25">
      <c r="A476" s="5">
        <v>45810.375</v>
      </c>
      <c r="B476">
        <v>11</v>
      </c>
      <c r="C476" t="s">
        <v>16</v>
      </c>
      <c r="D476" t="s">
        <v>17</v>
      </c>
      <c r="E476">
        <v>1.48</v>
      </c>
      <c r="F476">
        <v>4.17</v>
      </c>
      <c r="G476" s="8">
        <f t="shared" si="7"/>
        <v>21.294964028776977</v>
      </c>
    </row>
    <row r="477" spans="1:7" x14ac:dyDescent="0.25">
      <c r="A477" s="5">
        <v>45810.375</v>
      </c>
      <c r="B477">
        <v>12</v>
      </c>
      <c r="C477" t="s">
        <v>17</v>
      </c>
      <c r="D477" t="s">
        <v>18</v>
      </c>
      <c r="E477">
        <v>1.46</v>
      </c>
      <c r="F477">
        <v>3.92</v>
      </c>
      <c r="G477" s="8">
        <f t="shared" si="7"/>
        <v>22.346938775510203</v>
      </c>
    </row>
    <row r="478" spans="1:7" x14ac:dyDescent="0.25">
      <c r="A478" s="5">
        <v>45810.375</v>
      </c>
      <c r="B478">
        <v>13</v>
      </c>
      <c r="C478" t="s">
        <v>18</v>
      </c>
      <c r="D478" t="s">
        <v>19</v>
      </c>
      <c r="E478">
        <v>1.52</v>
      </c>
      <c r="F478">
        <v>5.32</v>
      </c>
      <c r="G478" s="8">
        <f t="shared" si="7"/>
        <v>17.142857142857142</v>
      </c>
    </row>
    <row r="479" spans="1:7" x14ac:dyDescent="0.25">
      <c r="A479" s="5">
        <v>45810.375</v>
      </c>
      <c r="B479">
        <v>14</v>
      </c>
      <c r="C479" t="s">
        <v>19</v>
      </c>
      <c r="D479" t="s">
        <v>20</v>
      </c>
      <c r="E479">
        <v>1.51</v>
      </c>
      <c r="F479">
        <v>4.4000000000000004</v>
      </c>
      <c r="G479" s="8">
        <f t="shared" si="7"/>
        <v>20.590909090909086</v>
      </c>
    </row>
    <row r="480" spans="1:7" x14ac:dyDescent="0.25">
      <c r="A480" s="5">
        <v>45810.375</v>
      </c>
      <c r="B480">
        <v>15</v>
      </c>
      <c r="C480" t="s">
        <v>20</v>
      </c>
      <c r="D480" t="s">
        <v>21</v>
      </c>
      <c r="E480">
        <v>1.47</v>
      </c>
      <c r="F480">
        <v>2.88</v>
      </c>
      <c r="G480" s="8">
        <f t="shared" si="7"/>
        <v>30.625000000000004</v>
      </c>
    </row>
    <row r="481" spans="1:7" x14ac:dyDescent="0.25">
      <c r="A481" s="5">
        <v>45810.375</v>
      </c>
      <c r="B481">
        <v>16</v>
      </c>
      <c r="C481" t="s">
        <v>21</v>
      </c>
      <c r="D481" t="s">
        <v>22</v>
      </c>
      <c r="E481">
        <v>1.5</v>
      </c>
      <c r="F481">
        <v>1.78</v>
      </c>
      <c r="G481" s="8">
        <f t="shared" si="7"/>
        <v>50.561797752808985</v>
      </c>
    </row>
    <row r="482" spans="1:7" x14ac:dyDescent="0.25">
      <c r="A482" s="5">
        <v>45810.375</v>
      </c>
      <c r="B482">
        <v>17</v>
      </c>
      <c r="C482" t="s">
        <v>22</v>
      </c>
      <c r="D482" t="s">
        <v>23</v>
      </c>
      <c r="E482">
        <v>1.51</v>
      </c>
      <c r="F482">
        <v>3.07</v>
      </c>
      <c r="G482" s="8">
        <f t="shared" si="7"/>
        <v>29.511400651465799</v>
      </c>
    </row>
    <row r="483" spans="1:7" x14ac:dyDescent="0.25">
      <c r="A483" s="5">
        <v>45810.375</v>
      </c>
      <c r="B483">
        <v>18</v>
      </c>
      <c r="C483" t="s">
        <v>23</v>
      </c>
      <c r="D483" t="s">
        <v>24</v>
      </c>
      <c r="E483">
        <v>1.51</v>
      </c>
      <c r="F483">
        <v>4.05</v>
      </c>
      <c r="G483" s="8">
        <f t="shared" si="7"/>
        <v>22.37037037037037</v>
      </c>
    </row>
    <row r="484" spans="1:7" x14ac:dyDescent="0.25">
      <c r="A484" s="5">
        <v>45810.375</v>
      </c>
      <c r="B484">
        <v>19</v>
      </c>
      <c r="C484" t="s">
        <v>25</v>
      </c>
      <c r="D484" t="s">
        <v>26</v>
      </c>
      <c r="E484">
        <v>1.5</v>
      </c>
      <c r="F484">
        <v>4.07</v>
      </c>
      <c r="G484" s="8">
        <f t="shared" si="7"/>
        <v>22.113022113022112</v>
      </c>
    </row>
    <row r="485" spans="1:7" x14ac:dyDescent="0.25">
      <c r="A485" s="5">
        <v>45810.375</v>
      </c>
      <c r="B485">
        <v>20</v>
      </c>
      <c r="C485" t="s">
        <v>26</v>
      </c>
      <c r="D485" t="s">
        <v>27</v>
      </c>
      <c r="E485">
        <v>1.48</v>
      </c>
      <c r="F485">
        <v>3.77</v>
      </c>
      <c r="G485" s="8">
        <f t="shared" si="7"/>
        <v>23.554376657824932</v>
      </c>
    </row>
    <row r="486" spans="1:7" x14ac:dyDescent="0.25">
      <c r="A486" s="5">
        <v>45810.375</v>
      </c>
      <c r="B486">
        <v>21</v>
      </c>
      <c r="C486" t="s">
        <v>27</v>
      </c>
      <c r="D486" t="s">
        <v>28</v>
      </c>
      <c r="E486">
        <v>1.51</v>
      </c>
      <c r="F486">
        <v>3.57</v>
      </c>
      <c r="G486" s="8">
        <f t="shared" si="7"/>
        <v>25.3781512605042</v>
      </c>
    </row>
    <row r="487" spans="1:7" x14ac:dyDescent="0.25">
      <c r="A487" s="5">
        <v>45810.375</v>
      </c>
      <c r="B487">
        <v>22</v>
      </c>
      <c r="C487" t="s">
        <v>28</v>
      </c>
      <c r="D487" t="s">
        <v>29</v>
      </c>
      <c r="E487">
        <v>1.57</v>
      </c>
      <c r="F487">
        <v>3.9</v>
      </c>
      <c r="G487" s="8">
        <f t="shared" si="7"/>
        <v>24.153846153846157</v>
      </c>
    </row>
    <row r="488" spans="1:7" x14ac:dyDescent="0.25">
      <c r="A488" s="5">
        <v>45810.375</v>
      </c>
      <c r="B488">
        <v>23</v>
      </c>
      <c r="C488" t="s">
        <v>29</v>
      </c>
      <c r="D488" t="s">
        <v>30</v>
      </c>
      <c r="E488">
        <v>1.43</v>
      </c>
      <c r="F488">
        <v>3.87</v>
      </c>
      <c r="G488" s="8">
        <f t="shared" si="7"/>
        <v>22.170542635658915</v>
      </c>
    </row>
    <row r="489" spans="1:7" x14ac:dyDescent="0.25">
      <c r="A489" s="5">
        <v>45810.375</v>
      </c>
      <c r="B489">
        <v>24</v>
      </c>
      <c r="C489" t="s">
        <v>30</v>
      </c>
      <c r="D489" t="s">
        <v>31</v>
      </c>
      <c r="E489">
        <v>1.52</v>
      </c>
      <c r="F489">
        <v>3.88</v>
      </c>
      <c r="G489" s="8">
        <f t="shared" si="7"/>
        <v>23.505154639175259</v>
      </c>
    </row>
    <row r="490" spans="1:7" x14ac:dyDescent="0.25">
      <c r="A490" s="5">
        <v>45810.375</v>
      </c>
      <c r="B490">
        <v>25</v>
      </c>
      <c r="C490" t="s">
        <v>31</v>
      </c>
      <c r="D490" t="s">
        <v>32</v>
      </c>
      <c r="E490">
        <v>1.52</v>
      </c>
      <c r="F490">
        <v>3.52</v>
      </c>
      <c r="G490" s="8">
        <f t="shared" si="7"/>
        <v>25.90909090909091</v>
      </c>
    </row>
    <row r="491" spans="1:7" x14ac:dyDescent="0.25">
      <c r="A491" s="5">
        <v>45810.375</v>
      </c>
      <c r="B491">
        <v>26</v>
      </c>
      <c r="C491" t="s">
        <v>32</v>
      </c>
      <c r="D491" t="s">
        <v>33</v>
      </c>
      <c r="E491">
        <v>1.49</v>
      </c>
      <c r="F491">
        <v>4.43</v>
      </c>
      <c r="G491" s="8">
        <f t="shared" si="7"/>
        <v>20.180586907449211</v>
      </c>
    </row>
    <row r="492" spans="1:7" x14ac:dyDescent="0.25">
      <c r="A492" s="5">
        <v>45810.375</v>
      </c>
      <c r="B492">
        <v>27</v>
      </c>
      <c r="C492" t="s">
        <v>33</v>
      </c>
      <c r="D492" t="s">
        <v>34</v>
      </c>
      <c r="E492">
        <v>1.53</v>
      </c>
      <c r="F492">
        <v>4.47</v>
      </c>
      <c r="G492" s="8">
        <f t="shared" si="7"/>
        <v>20.536912751677853</v>
      </c>
    </row>
    <row r="493" spans="1:7" x14ac:dyDescent="0.25">
      <c r="A493" s="5">
        <v>45810.375</v>
      </c>
      <c r="B493">
        <v>28</v>
      </c>
      <c r="C493" t="s">
        <v>34</v>
      </c>
      <c r="D493" t="s">
        <v>35</v>
      </c>
      <c r="E493">
        <v>1.51</v>
      </c>
      <c r="F493">
        <v>4.32</v>
      </c>
      <c r="G493" s="8">
        <f t="shared" si="7"/>
        <v>20.972222222222218</v>
      </c>
    </row>
    <row r="494" spans="1:7" x14ac:dyDescent="0.25">
      <c r="A494" s="5">
        <v>45810.375</v>
      </c>
      <c r="B494">
        <v>29</v>
      </c>
      <c r="C494" t="s">
        <v>36</v>
      </c>
      <c r="D494" t="s">
        <v>37</v>
      </c>
      <c r="E494">
        <v>1.57</v>
      </c>
      <c r="F494">
        <v>4.18</v>
      </c>
      <c r="G494" s="8">
        <f t="shared" si="7"/>
        <v>22.535885167464116</v>
      </c>
    </row>
    <row r="495" spans="1:7" x14ac:dyDescent="0.25">
      <c r="A495" s="5">
        <v>45810.375</v>
      </c>
      <c r="B495">
        <v>30</v>
      </c>
      <c r="C495" t="s">
        <v>37</v>
      </c>
      <c r="D495" t="s">
        <v>38</v>
      </c>
      <c r="E495">
        <v>1.57</v>
      </c>
      <c r="F495">
        <v>5.32</v>
      </c>
      <c r="G495" s="8">
        <f t="shared" si="7"/>
        <v>17.706766917293233</v>
      </c>
    </row>
    <row r="496" spans="1:7" x14ac:dyDescent="0.25">
      <c r="A496" s="5">
        <v>45810.375</v>
      </c>
      <c r="B496">
        <v>31</v>
      </c>
      <c r="C496" t="s">
        <v>38</v>
      </c>
      <c r="D496" t="s">
        <v>39</v>
      </c>
      <c r="E496">
        <v>1.52</v>
      </c>
      <c r="F496">
        <v>3.38</v>
      </c>
      <c r="G496" s="8">
        <f t="shared" si="7"/>
        <v>26.982248520710062</v>
      </c>
    </row>
    <row r="497" spans="1:7" x14ac:dyDescent="0.25">
      <c r="A497" s="5">
        <v>45810.375</v>
      </c>
      <c r="B497">
        <v>32</v>
      </c>
      <c r="C497" t="s">
        <v>39</v>
      </c>
      <c r="D497" t="s">
        <v>40</v>
      </c>
      <c r="E497">
        <v>1.5</v>
      </c>
      <c r="F497">
        <v>1.8</v>
      </c>
      <c r="G497" s="8">
        <f t="shared" si="7"/>
        <v>50</v>
      </c>
    </row>
    <row r="498" spans="1:7" x14ac:dyDescent="0.25">
      <c r="A498" s="5">
        <v>45810.375</v>
      </c>
      <c r="B498">
        <v>33</v>
      </c>
      <c r="C498" t="s">
        <v>40</v>
      </c>
      <c r="D498" t="s">
        <v>41</v>
      </c>
      <c r="E498">
        <v>1.51</v>
      </c>
      <c r="F498">
        <v>1.8</v>
      </c>
      <c r="G498" s="8">
        <f t="shared" si="7"/>
        <v>50.333333333333329</v>
      </c>
    </row>
    <row r="499" spans="1:7" x14ac:dyDescent="0.25">
      <c r="A499" s="5">
        <v>45810.375</v>
      </c>
      <c r="B499">
        <v>34</v>
      </c>
      <c r="C499" t="s">
        <v>41</v>
      </c>
      <c r="D499" t="s">
        <v>42</v>
      </c>
      <c r="E499">
        <v>1.5</v>
      </c>
      <c r="F499">
        <v>1.83</v>
      </c>
      <c r="G499" s="8">
        <f t="shared" si="7"/>
        <v>49.180327868852459</v>
      </c>
    </row>
    <row r="500" spans="1:7" x14ac:dyDescent="0.25">
      <c r="A500" s="5">
        <v>45810.375</v>
      </c>
      <c r="B500">
        <v>35</v>
      </c>
      <c r="C500" t="s">
        <v>43</v>
      </c>
      <c r="D500" t="s">
        <v>44</v>
      </c>
      <c r="E500">
        <v>1.55</v>
      </c>
      <c r="F500">
        <v>5.55</v>
      </c>
      <c r="G500" s="8">
        <f t="shared" si="7"/>
        <v>16.756756756756758</v>
      </c>
    </row>
    <row r="501" spans="1:7" x14ac:dyDescent="0.25">
      <c r="A501" s="5">
        <v>45810.375</v>
      </c>
      <c r="B501">
        <v>36</v>
      </c>
      <c r="C501" t="s">
        <v>44</v>
      </c>
      <c r="D501" t="s">
        <v>45</v>
      </c>
      <c r="E501">
        <v>1.5</v>
      </c>
      <c r="F501">
        <v>3.22</v>
      </c>
      <c r="G501" s="8">
        <f t="shared" si="7"/>
        <v>27.950310559006208</v>
      </c>
    </row>
    <row r="502" spans="1:7" x14ac:dyDescent="0.25">
      <c r="A502" s="5">
        <v>45810.375</v>
      </c>
      <c r="B502">
        <v>37</v>
      </c>
      <c r="C502" t="s">
        <v>45</v>
      </c>
      <c r="D502" t="s">
        <v>46</v>
      </c>
      <c r="E502">
        <v>1.38</v>
      </c>
      <c r="F502">
        <v>4.22</v>
      </c>
      <c r="G502" s="8">
        <f t="shared" si="7"/>
        <v>19.620853080568722</v>
      </c>
    </row>
    <row r="503" spans="1:7" x14ac:dyDescent="0.25">
      <c r="A503" s="5">
        <v>45810.375</v>
      </c>
      <c r="B503">
        <v>38</v>
      </c>
      <c r="C503" t="s">
        <v>46</v>
      </c>
      <c r="D503" t="s">
        <v>47</v>
      </c>
      <c r="E503">
        <v>1.61</v>
      </c>
      <c r="F503">
        <v>3.73</v>
      </c>
      <c r="G503" s="8">
        <f t="shared" si="7"/>
        <v>25.898123324396785</v>
      </c>
    </row>
    <row r="504" spans="1:7" x14ac:dyDescent="0.25">
      <c r="A504" s="5">
        <v>45810.375</v>
      </c>
      <c r="B504">
        <v>39</v>
      </c>
      <c r="C504" t="s">
        <v>47</v>
      </c>
      <c r="D504" t="s">
        <v>48</v>
      </c>
      <c r="E504">
        <v>1.55</v>
      </c>
      <c r="F504">
        <v>3.35</v>
      </c>
      <c r="G504" s="8">
        <f t="shared" si="7"/>
        <v>27.761194029850746</v>
      </c>
    </row>
    <row r="505" spans="1:7" x14ac:dyDescent="0.25">
      <c r="A505" s="5">
        <v>45810.375</v>
      </c>
      <c r="B505">
        <v>40</v>
      </c>
      <c r="C505" t="s">
        <v>48</v>
      </c>
      <c r="D505" t="s">
        <v>49</v>
      </c>
      <c r="E505">
        <v>1.39</v>
      </c>
      <c r="F505">
        <v>2.8</v>
      </c>
      <c r="G505" s="8">
        <f t="shared" si="7"/>
        <v>29.785714285714285</v>
      </c>
    </row>
    <row r="506" spans="1:7" x14ac:dyDescent="0.25">
      <c r="A506" s="5">
        <v>45810.375</v>
      </c>
      <c r="B506">
        <v>41</v>
      </c>
      <c r="C506" t="s">
        <v>50</v>
      </c>
      <c r="D506" t="s">
        <v>51</v>
      </c>
      <c r="E506">
        <v>1.56</v>
      </c>
      <c r="F506">
        <v>5.37</v>
      </c>
      <c r="G506" s="8">
        <f t="shared" si="7"/>
        <v>17.430167597765365</v>
      </c>
    </row>
    <row r="507" spans="1:7" x14ac:dyDescent="0.25">
      <c r="A507" s="5">
        <v>45810.375</v>
      </c>
      <c r="B507">
        <v>42</v>
      </c>
      <c r="C507" t="s">
        <v>51</v>
      </c>
      <c r="D507" t="s">
        <v>52</v>
      </c>
      <c r="E507">
        <v>1.56</v>
      </c>
      <c r="F507">
        <v>4.9000000000000004</v>
      </c>
      <c r="G507" s="8">
        <f t="shared" si="7"/>
        <v>19.102040816326532</v>
      </c>
    </row>
    <row r="508" spans="1:7" x14ac:dyDescent="0.25">
      <c r="A508" s="5">
        <v>45810.375</v>
      </c>
      <c r="B508">
        <v>43</v>
      </c>
      <c r="C508" t="s">
        <v>52</v>
      </c>
      <c r="D508" t="s">
        <v>53</v>
      </c>
      <c r="E508">
        <v>1.51</v>
      </c>
      <c r="F508">
        <v>3.65</v>
      </c>
      <c r="G508" s="8">
        <f t="shared" si="7"/>
        <v>24.821917808219176</v>
      </c>
    </row>
    <row r="509" spans="1:7" x14ac:dyDescent="0.25">
      <c r="A509" s="5">
        <v>45810.375</v>
      </c>
      <c r="B509">
        <v>44</v>
      </c>
      <c r="C509" t="s">
        <v>54</v>
      </c>
      <c r="D509" t="s">
        <v>55</v>
      </c>
      <c r="E509">
        <v>1.51</v>
      </c>
      <c r="F509">
        <v>4.72</v>
      </c>
      <c r="G509" s="8">
        <f t="shared" si="7"/>
        <v>19.194915254237287</v>
      </c>
    </row>
    <row r="510" spans="1:7" x14ac:dyDescent="0.25">
      <c r="A510" s="5">
        <v>45810.375</v>
      </c>
      <c r="B510">
        <v>45</v>
      </c>
      <c r="C510" t="s">
        <v>55</v>
      </c>
      <c r="D510" t="s">
        <v>56</v>
      </c>
      <c r="E510">
        <v>1.49</v>
      </c>
      <c r="F510">
        <v>3.73</v>
      </c>
      <c r="G510" s="8">
        <f t="shared" si="7"/>
        <v>23.967828418230564</v>
      </c>
    </row>
    <row r="511" spans="1:7" x14ac:dyDescent="0.25">
      <c r="A511" s="5">
        <v>45810.375</v>
      </c>
      <c r="B511">
        <v>46</v>
      </c>
      <c r="C511" t="s">
        <v>56</v>
      </c>
      <c r="D511" t="s">
        <v>57</v>
      </c>
      <c r="E511">
        <v>1.52</v>
      </c>
      <c r="F511">
        <v>4.18</v>
      </c>
      <c r="G511" s="8">
        <f t="shared" si="7"/>
        <v>21.81818181818182</v>
      </c>
    </row>
    <row r="512" spans="1:7" x14ac:dyDescent="0.25">
      <c r="A512" s="5">
        <v>45810.375</v>
      </c>
      <c r="B512">
        <v>47</v>
      </c>
      <c r="C512" t="s">
        <v>58</v>
      </c>
      <c r="D512" t="s">
        <v>59</v>
      </c>
      <c r="E512">
        <v>1.52</v>
      </c>
      <c r="F512">
        <v>5.13</v>
      </c>
      <c r="G512" s="8">
        <f t="shared" si="7"/>
        <v>17.777777777777779</v>
      </c>
    </row>
    <row r="513" spans="1:7" x14ac:dyDescent="0.25">
      <c r="A513" s="5">
        <v>45810.375</v>
      </c>
      <c r="B513">
        <v>48</v>
      </c>
      <c r="C513" t="s">
        <v>59</v>
      </c>
      <c r="D513" t="s">
        <v>60</v>
      </c>
      <c r="E513">
        <v>1.5</v>
      </c>
      <c r="F513">
        <v>3.57</v>
      </c>
      <c r="G513" s="8">
        <f t="shared" si="7"/>
        <v>25.210084033613448</v>
      </c>
    </row>
    <row r="514" spans="1:7" x14ac:dyDescent="0.25">
      <c r="A514" s="5">
        <v>45810.375</v>
      </c>
      <c r="B514">
        <v>49</v>
      </c>
      <c r="C514" t="s">
        <v>60</v>
      </c>
      <c r="D514" t="s">
        <v>61</v>
      </c>
      <c r="E514">
        <v>1.57</v>
      </c>
      <c r="F514">
        <v>4.03</v>
      </c>
      <c r="G514" s="8">
        <f t="shared" si="7"/>
        <v>23.374689826302728</v>
      </c>
    </row>
    <row r="515" spans="1:7" x14ac:dyDescent="0.25">
      <c r="A515" s="5">
        <v>45810.375</v>
      </c>
      <c r="B515">
        <v>50</v>
      </c>
      <c r="C515" t="s">
        <v>62</v>
      </c>
      <c r="D515" t="s">
        <v>63</v>
      </c>
      <c r="E515">
        <v>1.38</v>
      </c>
      <c r="F515">
        <v>3.07</v>
      </c>
      <c r="G515" s="8">
        <f t="shared" ref="G515:G578" si="8">E515*60/F515</f>
        <v>26.970684039087949</v>
      </c>
    </row>
    <row r="516" spans="1:7" x14ac:dyDescent="0.25">
      <c r="A516" s="5">
        <v>45810.375</v>
      </c>
      <c r="B516">
        <v>51</v>
      </c>
      <c r="C516" t="s">
        <v>63</v>
      </c>
      <c r="D516" t="s">
        <v>64</v>
      </c>
      <c r="E516">
        <v>2.79</v>
      </c>
      <c r="F516">
        <v>5.9</v>
      </c>
      <c r="G516" s="8">
        <f t="shared" si="8"/>
        <v>28.372881355932204</v>
      </c>
    </row>
    <row r="517" spans="1:7" x14ac:dyDescent="0.25">
      <c r="A517" s="5">
        <v>45810.375</v>
      </c>
      <c r="B517">
        <v>52</v>
      </c>
      <c r="C517" t="s">
        <v>64</v>
      </c>
      <c r="D517" t="s">
        <v>65</v>
      </c>
      <c r="E517">
        <v>1.5</v>
      </c>
      <c r="F517">
        <v>2.97</v>
      </c>
      <c r="G517" s="8">
        <f t="shared" si="8"/>
        <v>30.303030303030301</v>
      </c>
    </row>
    <row r="518" spans="1:7" x14ac:dyDescent="0.25">
      <c r="A518" s="5">
        <v>45810.375</v>
      </c>
      <c r="B518">
        <v>53</v>
      </c>
      <c r="C518" t="s">
        <v>65</v>
      </c>
      <c r="D518" t="s">
        <v>66</v>
      </c>
      <c r="E518">
        <v>1.46</v>
      </c>
      <c r="F518">
        <v>3.85</v>
      </c>
      <c r="G518" s="8">
        <f t="shared" si="8"/>
        <v>22.753246753246753</v>
      </c>
    </row>
    <row r="519" spans="1:7" x14ac:dyDescent="0.25">
      <c r="A519" s="5">
        <v>45810.375</v>
      </c>
      <c r="B519">
        <v>54</v>
      </c>
      <c r="C519" t="s">
        <v>67</v>
      </c>
      <c r="D519" t="s">
        <v>68</v>
      </c>
      <c r="E519">
        <v>1.46</v>
      </c>
      <c r="F519">
        <v>6.88</v>
      </c>
      <c r="G519" s="8">
        <f t="shared" si="8"/>
        <v>12.732558139534882</v>
      </c>
    </row>
    <row r="520" spans="1:7" x14ac:dyDescent="0.25">
      <c r="A520" s="5">
        <v>45810.375</v>
      </c>
      <c r="B520">
        <v>55</v>
      </c>
      <c r="C520" t="s">
        <v>68</v>
      </c>
      <c r="D520" t="s">
        <v>69</v>
      </c>
      <c r="E520">
        <v>1.5</v>
      </c>
      <c r="F520">
        <v>2.2999999999999998</v>
      </c>
      <c r="G520" s="8">
        <f t="shared" si="8"/>
        <v>39.130434782608695</v>
      </c>
    </row>
    <row r="521" spans="1:7" x14ac:dyDescent="0.25">
      <c r="A521" s="5">
        <v>45810.375</v>
      </c>
      <c r="B521">
        <v>56</v>
      </c>
      <c r="C521" t="s">
        <v>70</v>
      </c>
      <c r="D521" t="s">
        <v>71</v>
      </c>
      <c r="E521">
        <v>1.51</v>
      </c>
      <c r="F521">
        <v>5.0199999999999996</v>
      </c>
      <c r="G521" s="8">
        <f t="shared" si="8"/>
        <v>18.047808764940239</v>
      </c>
    </row>
    <row r="522" spans="1:7" x14ac:dyDescent="0.25">
      <c r="A522" s="5">
        <v>45810.375</v>
      </c>
      <c r="B522">
        <v>57</v>
      </c>
      <c r="C522" t="s">
        <v>71</v>
      </c>
      <c r="D522" t="s">
        <v>72</v>
      </c>
      <c r="E522">
        <v>1.52</v>
      </c>
      <c r="F522">
        <v>4.57</v>
      </c>
      <c r="G522" s="8">
        <f t="shared" si="8"/>
        <v>19.956236323851204</v>
      </c>
    </row>
    <row r="523" spans="1:7" x14ac:dyDescent="0.25">
      <c r="A523" s="5">
        <v>45810.375</v>
      </c>
      <c r="B523">
        <v>58</v>
      </c>
      <c r="C523" t="s">
        <v>72</v>
      </c>
      <c r="D523" t="s">
        <v>73</v>
      </c>
      <c r="E523">
        <v>1.5</v>
      </c>
      <c r="F523">
        <v>3.8</v>
      </c>
      <c r="G523" s="8">
        <f t="shared" si="8"/>
        <v>23.684210526315791</v>
      </c>
    </row>
    <row r="524" spans="1:7" x14ac:dyDescent="0.25">
      <c r="A524" s="5">
        <v>45810.385416666664</v>
      </c>
      <c r="B524">
        <v>1</v>
      </c>
      <c r="C524" t="s">
        <v>6</v>
      </c>
      <c r="D524" t="s">
        <v>7</v>
      </c>
      <c r="E524">
        <v>1.53</v>
      </c>
      <c r="F524">
        <v>3.05</v>
      </c>
      <c r="G524" s="8">
        <f t="shared" si="8"/>
        <v>30.098360655737707</v>
      </c>
    </row>
    <row r="525" spans="1:7" x14ac:dyDescent="0.25">
      <c r="A525" s="5">
        <v>45810.385416666664</v>
      </c>
      <c r="B525">
        <v>2</v>
      </c>
      <c r="C525" t="s">
        <v>7</v>
      </c>
      <c r="D525" t="s">
        <v>8</v>
      </c>
      <c r="E525">
        <v>1.57</v>
      </c>
      <c r="F525">
        <v>4.93</v>
      </c>
      <c r="G525" s="8">
        <f t="shared" si="8"/>
        <v>19.107505070993916</v>
      </c>
    </row>
    <row r="526" spans="1:7" x14ac:dyDescent="0.25">
      <c r="A526" s="5">
        <v>45810.385416666664</v>
      </c>
      <c r="B526">
        <v>3</v>
      </c>
      <c r="C526" t="s">
        <v>8</v>
      </c>
      <c r="D526" t="s">
        <v>9</v>
      </c>
      <c r="E526">
        <v>1.5</v>
      </c>
      <c r="F526">
        <v>2.98</v>
      </c>
      <c r="G526" s="8">
        <f t="shared" si="8"/>
        <v>30.201342281879196</v>
      </c>
    </row>
    <row r="527" spans="1:7" x14ac:dyDescent="0.25">
      <c r="A527" s="5">
        <v>45810.385416666664</v>
      </c>
      <c r="B527">
        <v>4</v>
      </c>
      <c r="C527" t="s">
        <v>9</v>
      </c>
      <c r="D527" t="s">
        <v>10</v>
      </c>
      <c r="E527">
        <v>1.5</v>
      </c>
      <c r="F527">
        <v>2.88</v>
      </c>
      <c r="G527" s="8">
        <f t="shared" si="8"/>
        <v>31.25</v>
      </c>
    </row>
    <row r="528" spans="1:7" x14ac:dyDescent="0.25">
      <c r="A528" s="5">
        <v>45810.385416666664</v>
      </c>
      <c r="B528">
        <v>5</v>
      </c>
      <c r="C528" t="s">
        <v>10</v>
      </c>
      <c r="D528" t="s">
        <v>11</v>
      </c>
      <c r="E528">
        <v>1.52</v>
      </c>
      <c r="F528">
        <v>3.3</v>
      </c>
      <c r="G528" s="8">
        <f t="shared" si="8"/>
        <v>27.63636363636364</v>
      </c>
    </row>
    <row r="529" spans="1:7" x14ac:dyDescent="0.25">
      <c r="A529" s="5">
        <v>45810.385416666664</v>
      </c>
      <c r="B529">
        <v>6</v>
      </c>
      <c r="C529" t="s">
        <v>11</v>
      </c>
      <c r="D529" t="s">
        <v>12</v>
      </c>
      <c r="E529">
        <v>1.5</v>
      </c>
      <c r="F529">
        <v>2.62</v>
      </c>
      <c r="G529" s="8">
        <f t="shared" si="8"/>
        <v>34.351145038167935</v>
      </c>
    </row>
    <row r="530" spans="1:7" x14ac:dyDescent="0.25">
      <c r="A530" s="5">
        <v>45810.385416666664</v>
      </c>
      <c r="B530">
        <v>7</v>
      </c>
      <c r="C530" t="s">
        <v>12</v>
      </c>
      <c r="D530" t="s">
        <v>13</v>
      </c>
      <c r="E530">
        <v>1.54</v>
      </c>
      <c r="F530">
        <v>2.67</v>
      </c>
      <c r="G530" s="8">
        <f t="shared" si="8"/>
        <v>34.606741573033709</v>
      </c>
    </row>
    <row r="531" spans="1:7" x14ac:dyDescent="0.25">
      <c r="A531" s="5">
        <v>45810.385416666664</v>
      </c>
      <c r="B531">
        <v>8</v>
      </c>
      <c r="C531" t="s">
        <v>13</v>
      </c>
      <c r="D531" t="s">
        <v>14</v>
      </c>
      <c r="E531">
        <v>1.54</v>
      </c>
      <c r="F531">
        <v>3.2</v>
      </c>
      <c r="G531" s="8">
        <f t="shared" si="8"/>
        <v>28.875</v>
      </c>
    </row>
    <row r="532" spans="1:7" x14ac:dyDescent="0.25">
      <c r="A532" s="5">
        <v>45810.385416666664</v>
      </c>
      <c r="B532">
        <v>9</v>
      </c>
      <c r="C532" t="s">
        <v>14</v>
      </c>
      <c r="D532" t="s">
        <v>15</v>
      </c>
      <c r="E532">
        <v>1.52</v>
      </c>
      <c r="F532">
        <v>5.98</v>
      </c>
      <c r="G532" s="8">
        <f t="shared" si="8"/>
        <v>15.250836120401337</v>
      </c>
    </row>
    <row r="533" spans="1:7" x14ac:dyDescent="0.25">
      <c r="A533" s="5">
        <v>45810.385416666664</v>
      </c>
      <c r="B533">
        <v>10</v>
      </c>
      <c r="C533" t="s">
        <v>15</v>
      </c>
      <c r="D533" t="s">
        <v>16</v>
      </c>
      <c r="E533">
        <v>1.5</v>
      </c>
      <c r="F533">
        <v>4.5199999999999996</v>
      </c>
      <c r="G533" s="8">
        <f t="shared" si="8"/>
        <v>19.911504424778762</v>
      </c>
    </row>
    <row r="534" spans="1:7" x14ac:dyDescent="0.25">
      <c r="A534" s="5">
        <v>45810.385416666664</v>
      </c>
      <c r="B534">
        <v>11</v>
      </c>
      <c r="C534" t="s">
        <v>16</v>
      </c>
      <c r="D534" t="s">
        <v>17</v>
      </c>
      <c r="E534">
        <v>1.48</v>
      </c>
      <c r="F534">
        <v>4.3499999999999996</v>
      </c>
      <c r="G534" s="8">
        <f t="shared" si="8"/>
        <v>20.413793103448278</v>
      </c>
    </row>
    <row r="535" spans="1:7" x14ac:dyDescent="0.25">
      <c r="A535" s="5">
        <v>45810.385416666664</v>
      </c>
      <c r="B535">
        <v>12</v>
      </c>
      <c r="C535" t="s">
        <v>17</v>
      </c>
      <c r="D535" t="s">
        <v>18</v>
      </c>
      <c r="E535">
        <v>1.46</v>
      </c>
      <c r="F535">
        <v>6.9</v>
      </c>
      <c r="G535" s="8">
        <f t="shared" si="8"/>
        <v>12.695652173913041</v>
      </c>
    </row>
    <row r="536" spans="1:7" x14ac:dyDescent="0.25">
      <c r="A536" s="5">
        <v>45810.385416666664</v>
      </c>
      <c r="B536">
        <v>13</v>
      </c>
      <c r="C536" t="s">
        <v>18</v>
      </c>
      <c r="D536" t="s">
        <v>19</v>
      </c>
      <c r="E536">
        <v>1.52</v>
      </c>
      <c r="F536">
        <v>4.4000000000000004</v>
      </c>
      <c r="G536" s="8">
        <f t="shared" si="8"/>
        <v>20.727272727272727</v>
      </c>
    </row>
    <row r="537" spans="1:7" x14ac:dyDescent="0.25">
      <c r="A537" s="5">
        <v>45810.385416666664</v>
      </c>
      <c r="B537">
        <v>14</v>
      </c>
      <c r="C537" t="s">
        <v>19</v>
      </c>
      <c r="D537" t="s">
        <v>20</v>
      </c>
      <c r="E537">
        <v>1.51</v>
      </c>
      <c r="F537">
        <v>3.63</v>
      </c>
      <c r="G537" s="8">
        <f t="shared" si="8"/>
        <v>24.958677685950413</v>
      </c>
    </row>
    <row r="538" spans="1:7" x14ac:dyDescent="0.25">
      <c r="A538" s="5">
        <v>45810.385416666664</v>
      </c>
      <c r="B538">
        <v>15</v>
      </c>
      <c r="C538" t="s">
        <v>20</v>
      </c>
      <c r="D538" t="s">
        <v>21</v>
      </c>
      <c r="E538">
        <v>1.47</v>
      </c>
      <c r="F538">
        <v>2.83</v>
      </c>
      <c r="G538" s="8">
        <f t="shared" si="8"/>
        <v>31.166077738515902</v>
      </c>
    </row>
    <row r="539" spans="1:7" x14ac:dyDescent="0.25">
      <c r="A539" s="5">
        <v>45810.385416666664</v>
      </c>
      <c r="B539">
        <v>16</v>
      </c>
      <c r="C539" t="s">
        <v>21</v>
      </c>
      <c r="D539" t="s">
        <v>22</v>
      </c>
      <c r="E539">
        <v>1.5</v>
      </c>
      <c r="F539">
        <v>1.77</v>
      </c>
      <c r="G539" s="8">
        <f t="shared" si="8"/>
        <v>50.847457627118644</v>
      </c>
    </row>
    <row r="540" spans="1:7" x14ac:dyDescent="0.25">
      <c r="A540" s="5">
        <v>45810.385416666664</v>
      </c>
      <c r="B540">
        <v>17</v>
      </c>
      <c r="C540" t="s">
        <v>22</v>
      </c>
      <c r="D540" t="s">
        <v>23</v>
      </c>
      <c r="E540">
        <v>1.51</v>
      </c>
      <c r="F540">
        <v>3.13</v>
      </c>
      <c r="G540" s="8">
        <f t="shared" si="8"/>
        <v>28.945686900958467</v>
      </c>
    </row>
    <row r="541" spans="1:7" x14ac:dyDescent="0.25">
      <c r="A541" s="5">
        <v>45810.385416666664</v>
      </c>
      <c r="B541">
        <v>18</v>
      </c>
      <c r="C541" t="s">
        <v>23</v>
      </c>
      <c r="D541" t="s">
        <v>24</v>
      </c>
      <c r="E541">
        <v>1.51</v>
      </c>
      <c r="F541">
        <v>3.27</v>
      </c>
      <c r="G541" s="8">
        <f t="shared" si="8"/>
        <v>27.706422018348622</v>
      </c>
    </row>
    <row r="542" spans="1:7" x14ac:dyDescent="0.25">
      <c r="A542" s="5">
        <v>45810.385416666664</v>
      </c>
      <c r="B542">
        <v>19</v>
      </c>
      <c r="C542" t="s">
        <v>25</v>
      </c>
      <c r="D542" t="s">
        <v>26</v>
      </c>
      <c r="E542">
        <v>1.5</v>
      </c>
      <c r="F542">
        <v>4.5199999999999996</v>
      </c>
      <c r="G542" s="8">
        <f t="shared" si="8"/>
        <v>19.911504424778762</v>
      </c>
    </row>
    <row r="543" spans="1:7" x14ac:dyDescent="0.25">
      <c r="A543" s="5">
        <v>45810.385416666664</v>
      </c>
      <c r="B543">
        <v>20</v>
      </c>
      <c r="C543" t="s">
        <v>26</v>
      </c>
      <c r="D543" t="s">
        <v>27</v>
      </c>
      <c r="E543">
        <v>1.48</v>
      </c>
      <c r="F543">
        <v>4.2</v>
      </c>
      <c r="G543" s="8">
        <f t="shared" si="8"/>
        <v>21.142857142857142</v>
      </c>
    </row>
    <row r="544" spans="1:7" x14ac:dyDescent="0.25">
      <c r="A544" s="5">
        <v>45810.385416666664</v>
      </c>
      <c r="B544">
        <v>21</v>
      </c>
      <c r="C544" t="s">
        <v>27</v>
      </c>
      <c r="D544" t="s">
        <v>28</v>
      </c>
      <c r="E544">
        <v>1.51</v>
      </c>
      <c r="F544">
        <v>4.1500000000000004</v>
      </c>
      <c r="G544" s="8">
        <f t="shared" si="8"/>
        <v>21.831325301204817</v>
      </c>
    </row>
    <row r="545" spans="1:7" x14ac:dyDescent="0.25">
      <c r="A545" s="5">
        <v>45810.385416666664</v>
      </c>
      <c r="B545">
        <v>22</v>
      </c>
      <c r="C545" t="s">
        <v>28</v>
      </c>
      <c r="D545" t="s">
        <v>29</v>
      </c>
      <c r="E545">
        <v>1.57</v>
      </c>
      <c r="F545">
        <v>4</v>
      </c>
      <c r="G545" s="8">
        <f t="shared" si="8"/>
        <v>23.55</v>
      </c>
    </row>
    <row r="546" spans="1:7" x14ac:dyDescent="0.25">
      <c r="A546" s="5">
        <v>45810.385416666664</v>
      </c>
      <c r="B546">
        <v>23</v>
      </c>
      <c r="C546" t="s">
        <v>29</v>
      </c>
      <c r="D546" t="s">
        <v>30</v>
      </c>
      <c r="E546">
        <v>1.43</v>
      </c>
      <c r="F546">
        <v>4.38</v>
      </c>
      <c r="G546" s="8">
        <f t="shared" si="8"/>
        <v>19.589041095890412</v>
      </c>
    </row>
    <row r="547" spans="1:7" x14ac:dyDescent="0.25">
      <c r="A547" s="5">
        <v>45810.385416666664</v>
      </c>
      <c r="B547">
        <v>24</v>
      </c>
      <c r="C547" t="s">
        <v>30</v>
      </c>
      <c r="D547" t="s">
        <v>31</v>
      </c>
      <c r="E547">
        <v>1.52</v>
      </c>
      <c r="F547">
        <v>3.28</v>
      </c>
      <c r="G547" s="8">
        <f t="shared" si="8"/>
        <v>27.804878048780491</v>
      </c>
    </row>
    <row r="548" spans="1:7" x14ac:dyDescent="0.25">
      <c r="A548" s="5">
        <v>45810.385416666664</v>
      </c>
      <c r="B548">
        <v>25</v>
      </c>
      <c r="C548" t="s">
        <v>31</v>
      </c>
      <c r="D548" t="s">
        <v>32</v>
      </c>
      <c r="E548">
        <v>1.52</v>
      </c>
      <c r="F548">
        <v>3.38</v>
      </c>
      <c r="G548" s="8">
        <f t="shared" si="8"/>
        <v>26.982248520710062</v>
      </c>
    </row>
    <row r="549" spans="1:7" x14ac:dyDescent="0.25">
      <c r="A549" s="5">
        <v>45810.385416666664</v>
      </c>
      <c r="B549">
        <v>26</v>
      </c>
      <c r="C549" t="s">
        <v>32</v>
      </c>
      <c r="D549" t="s">
        <v>33</v>
      </c>
      <c r="E549">
        <v>1.49</v>
      </c>
      <c r="F549">
        <v>3.98</v>
      </c>
      <c r="G549" s="8">
        <f t="shared" si="8"/>
        <v>22.462311557788947</v>
      </c>
    </row>
    <row r="550" spans="1:7" x14ac:dyDescent="0.25">
      <c r="A550" s="5">
        <v>45810.385416666664</v>
      </c>
      <c r="B550">
        <v>27</v>
      </c>
      <c r="C550" t="s">
        <v>33</v>
      </c>
      <c r="D550" t="s">
        <v>34</v>
      </c>
      <c r="E550">
        <v>1.53</v>
      </c>
      <c r="F550">
        <v>5.58</v>
      </c>
      <c r="G550" s="8">
        <f t="shared" si="8"/>
        <v>16.451612903225804</v>
      </c>
    </row>
    <row r="551" spans="1:7" x14ac:dyDescent="0.25">
      <c r="A551" s="5">
        <v>45810.385416666664</v>
      </c>
      <c r="B551">
        <v>28</v>
      </c>
      <c r="C551" t="s">
        <v>34</v>
      </c>
      <c r="D551" t="s">
        <v>35</v>
      </c>
      <c r="E551">
        <v>1.51</v>
      </c>
      <c r="F551">
        <v>4.2699999999999996</v>
      </c>
      <c r="G551" s="8">
        <f t="shared" si="8"/>
        <v>21.217798594847775</v>
      </c>
    </row>
    <row r="552" spans="1:7" x14ac:dyDescent="0.25">
      <c r="A552" s="5">
        <v>45810.385416666664</v>
      </c>
      <c r="B552">
        <v>29</v>
      </c>
      <c r="C552" t="s">
        <v>36</v>
      </c>
      <c r="D552" t="s">
        <v>37</v>
      </c>
      <c r="E552">
        <v>1.57</v>
      </c>
      <c r="F552">
        <v>3.98</v>
      </c>
      <c r="G552" s="8">
        <f t="shared" si="8"/>
        <v>23.668341708542716</v>
      </c>
    </row>
    <row r="553" spans="1:7" x14ac:dyDescent="0.25">
      <c r="A553" s="5">
        <v>45810.385416666664</v>
      </c>
      <c r="B553">
        <v>30</v>
      </c>
      <c r="C553" t="s">
        <v>37</v>
      </c>
      <c r="D553" t="s">
        <v>38</v>
      </c>
      <c r="E553">
        <v>1.57</v>
      </c>
      <c r="F553">
        <v>5.78</v>
      </c>
      <c r="G553" s="8">
        <f t="shared" si="8"/>
        <v>16.297577854671282</v>
      </c>
    </row>
    <row r="554" spans="1:7" x14ac:dyDescent="0.25">
      <c r="A554" s="5">
        <v>45810.385416666664</v>
      </c>
      <c r="B554">
        <v>31</v>
      </c>
      <c r="C554" t="s">
        <v>38</v>
      </c>
      <c r="D554" t="s">
        <v>39</v>
      </c>
      <c r="E554">
        <v>1.52</v>
      </c>
      <c r="F554">
        <v>2.8</v>
      </c>
      <c r="G554" s="8">
        <f t="shared" si="8"/>
        <v>32.571428571428577</v>
      </c>
    </row>
    <row r="555" spans="1:7" x14ac:dyDescent="0.25">
      <c r="A555" s="5">
        <v>45810.385416666664</v>
      </c>
      <c r="B555">
        <v>32</v>
      </c>
      <c r="C555" t="s">
        <v>39</v>
      </c>
      <c r="D555" t="s">
        <v>40</v>
      </c>
      <c r="E555">
        <v>1.5</v>
      </c>
      <c r="F555">
        <v>1.72</v>
      </c>
      <c r="G555" s="8">
        <f t="shared" si="8"/>
        <v>52.325581395348841</v>
      </c>
    </row>
    <row r="556" spans="1:7" x14ac:dyDescent="0.25">
      <c r="A556" s="5">
        <v>45810.385416666664</v>
      </c>
      <c r="B556">
        <v>33</v>
      </c>
      <c r="C556" t="s">
        <v>40</v>
      </c>
      <c r="D556" t="s">
        <v>41</v>
      </c>
      <c r="E556">
        <v>1.51</v>
      </c>
      <c r="F556">
        <v>1.78</v>
      </c>
      <c r="G556" s="8">
        <f t="shared" si="8"/>
        <v>50.898876404494381</v>
      </c>
    </row>
    <row r="557" spans="1:7" x14ac:dyDescent="0.25">
      <c r="A557" s="5">
        <v>45810.385416666664</v>
      </c>
      <c r="B557">
        <v>34</v>
      </c>
      <c r="C557" t="s">
        <v>41</v>
      </c>
      <c r="D557" t="s">
        <v>42</v>
      </c>
      <c r="E557">
        <v>1.5</v>
      </c>
      <c r="F557">
        <v>1.85</v>
      </c>
      <c r="G557" s="8">
        <f t="shared" si="8"/>
        <v>48.648648648648646</v>
      </c>
    </row>
    <row r="558" spans="1:7" x14ac:dyDescent="0.25">
      <c r="A558" s="5">
        <v>45810.385416666664</v>
      </c>
      <c r="B558">
        <v>35</v>
      </c>
      <c r="C558" t="s">
        <v>43</v>
      </c>
      <c r="D558" t="s">
        <v>44</v>
      </c>
      <c r="E558">
        <v>1.55</v>
      </c>
      <c r="F558">
        <v>3.83</v>
      </c>
      <c r="G558" s="8">
        <f t="shared" si="8"/>
        <v>24.281984334203656</v>
      </c>
    </row>
    <row r="559" spans="1:7" x14ac:dyDescent="0.25">
      <c r="A559" s="5">
        <v>45810.385416666664</v>
      </c>
      <c r="B559">
        <v>36</v>
      </c>
      <c r="C559" t="s">
        <v>44</v>
      </c>
      <c r="D559" t="s">
        <v>45</v>
      </c>
      <c r="E559">
        <v>1.5</v>
      </c>
      <c r="F559">
        <v>3.03</v>
      </c>
      <c r="G559" s="8">
        <f t="shared" si="8"/>
        <v>29.702970297029704</v>
      </c>
    </row>
    <row r="560" spans="1:7" x14ac:dyDescent="0.25">
      <c r="A560" s="5">
        <v>45810.385416666664</v>
      </c>
      <c r="B560">
        <v>37</v>
      </c>
      <c r="C560" t="s">
        <v>45</v>
      </c>
      <c r="D560" t="s">
        <v>46</v>
      </c>
      <c r="E560">
        <v>1.38</v>
      </c>
      <c r="F560">
        <v>3.95</v>
      </c>
      <c r="G560" s="8">
        <f t="shared" si="8"/>
        <v>20.962025316455694</v>
      </c>
    </row>
    <row r="561" spans="1:7" x14ac:dyDescent="0.25">
      <c r="A561" s="5">
        <v>45810.385416666664</v>
      </c>
      <c r="B561">
        <v>38</v>
      </c>
      <c r="C561" t="s">
        <v>46</v>
      </c>
      <c r="D561" t="s">
        <v>47</v>
      </c>
      <c r="E561">
        <v>1.61</v>
      </c>
      <c r="F561">
        <v>3.77</v>
      </c>
      <c r="G561" s="8">
        <f t="shared" si="8"/>
        <v>25.623342175066316</v>
      </c>
    </row>
    <row r="562" spans="1:7" x14ac:dyDescent="0.25">
      <c r="A562" s="5">
        <v>45810.385416666664</v>
      </c>
      <c r="B562">
        <v>39</v>
      </c>
      <c r="C562" t="s">
        <v>47</v>
      </c>
      <c r="D562" t="s">
        <v>48</v>
      </c>
      <c r="E562">
        <v>1.55</v>
      </c>
      <c r="F562">
        <v>3.43</v>
      </c>
      <c r="G562" s="8">
        <f t="shared" si="8"/>
        <v>27.113702623906704</v>
      </c>
    </row>
    <row r="563" spans="1:7" x14ac:dyDescent="0.25">
      <c r="A563" s="5">
        <v>45810.385416666664</v>
      </c>
      <c r="B563">
        <v>40</v>
      </c>
      <c r="C563" t="s">
        <v>48</v>
      </c>
      <c r="D563" t="s">
        <v>49</v>
      </c>
      <c r="E563">
        <v>1.39</v>
      </c>
      <c r="F563">
        <v>2.75</v>
      </c>
      <c r="G563" s="8">
        <f t="shared" si="8"/>
        <v>30.327272727272724</v>
      </c>
    </row>
    <row r="564" spans="1:7" x14ac:dyDescent="0.25">
      <c r="A564" s="5">
        <v>45810.385416666664</v>
      </c>
      <c r="B564">
        <v>41</v>
      </c>
      <c r="C564" t="s">
        <v>50</v>
      </c>
      <c r="D564" t="s">
        <v>51</v>
      </c>
      <c r="E564">
        <v>1.56</v>
      </c>
      <c r="F564">
        <v>4.12</v>
      </c>
      <c r="G564" s="8">
        <f t="shared" si="8"/>
        <v>22.71844660194175</v>
      </c>
    </row>
    <row r="565" spans="1:7" x14ac:dyDescent="0.25">
      <c r="A565" s="5">
        <v>45810.385416666664</v>
      </c>
      <c r="B565">
        <v>42</v>
      </c>
      <c r="C565" t="s">
        <v>51</v>
      </c>
      <c r="D565" t="s">
        <v>52</v>
      </c>
      <c r="E565">
        <v>1.56</v>
      </c>
      <c r="F565">
        <v>4.03</v>
      </c>
      <c r="G565" s="8">
        <f t="shared" si="8"/>
        <v>23.225806451612904</v>
      </c>
    </row>
    <row r="566" spans="1:7" x14ac:dyDescent="0.25">
      <c r="A566" s="5">
        <v>45810.385416666664</v>
      </c>
      <c r="B566">
        <v>43</v>
      </c>
      <c r="C566" t="s">
        <v>52</v>
      </c>
      <c r="D566" t="s">
        <v>53</v>
      </c>
      <c r="E566">
        <v>1.51</v>
      </c>
      <c r="F566">
        <v>3.5</v>
      </c>
      <c r="G566" s="8">
        <f t="shared" si="8"/>
        <v>25.885714285714283</v>
      </c>
    </row>
    <row r="567" spans="1:7" x14ac:dyDescent="0.25">
      <c r="A567" s="5">
        <v>45810.385416666664</v>
      </c>
      <c r="B567">
        <v>44</v>
      </c>
      <c r="C567" t="s">
        <v>54</v>
      </c>
      <c r="D567" t="s">
        <v>55</v>
      </c>
      <c r="E567">
        <v>1.51</v>
      </c>
      <c r="F567">
        <v>4.42</v>
      </c>
      <c r="G567" s="8">
        <f t="shared" si="8"/>
        <v>20.497737556561084</v>
      </c>
    </row>
    <row r="568" spans="1:7" x14ac:dyDescent="0.25">
      <c r="A568" s="5">
        <v>45810.385416666664</v>
      </c>
      <c r="B568">
        <v>45</v>
      </c>
      <c r="C568" t="s">
        <v>55</v>
      </c>
      <c r="D568" t="s">
        <v>56</v>
      </c>
      <c r="E568">
        <v>1.49</v>
      </c>
      <c r="F568">
        <v>3.6</v>
      </c>
      <c r="G568" s="8">
        <f t="shared" si="8"/>
        <v>24.833333333333336</v>
      </c>
    </row>
    <row r="569" spans="1:7" x14ac:dyDescent="0.25">
      <c r="A569" s="5">
        <v>45810.385416666664</v>
      </c>
      <c r="B569">
        <v>46</v>
      </c>
      <c r="C569" t="s">
        <v>56</v>
      </c>
      <c r="D569" t="s">
        <v>57</v>
      </c>
      <c r="E569">
        <v>1.52</v>
      </c>
      <c r="F569">
        <v>3.87</v>
      </c>
      <c r="G569" s="8">
        <f t="shared" si="8"/>
        <v>23.565891472868216</v>
      </c>
    </row>
    <row r="570" spans="1:7" x14ac:dyDescent="0.25">
      <c r="A570" s="5">
        <v>45810.385416666664</v>
      </c>
      <c r="B570">
        <v>47</v>
      </c>
      <c r="C570" t="s">
        <v>58</v>
      </c>
      <c r="D570" t="s">
        <v>59</v>
      </c>
      <c r="E570">
        <v>1.52</v>
      </c>
      <c r="F570">
        <v>6.67</v>
      </c>
      <c r="G570" s="8">
        <f t="shared" si="8"/>
        <v>13.673163418290855</v>
      </c>
    </row>
    <row r="571" spans="1:7" x14ac:dyDescent="0.25">
      <c r="A571" s="5">
        <v>45810.385416666664</v>
      </c>
      <c r="B571">
        <v>48</v>
      </c>
      <c r="C571" t="s">
        <v>59</v>
      </c>
      <c r="D571" t="s">
        <v>60</v>
      </c>
      <c r="E571">
        <v>1.5</v>
      </c>
      <c r="F571">
        <v>3.85</v>
      </c>
      <c r="G571" s="8">
        <f t="shared" si="8"/>
        <v>23.376623376623375</v>
      </c>
    </row>
    <row r="572" spans="1:7" x14ac:dyDescent="0.25">
      <c r="A572" s="5">
        <v>45810.385416666664</v>
      </c>
      <c r="B572">
        <v>49</v>
      </c>
      <c r="C572" t="s">
        <v>60</v>
      </c>
      <c r="D572" t="s">
        <v>61</v>
      </c>
      <c r="E572">
        <v>1.54</v>
      </c>
      <c r="F572">
        <v>4.0999999999999996</v>
      </c>
      <c r="G572" s="8">
        <f t="shared" si="8"/>
        <v>22.536585365853661</v>
      </c>
    </row>
    <row r="573" spans="1:7" x14ac:dyDescent="0.25">
      <c r="A573" s="5">
        <v>45810.385416666664</v>
      </c>
      <c r="B573">
        <v>50</v>
      </c>
      <c r="C573" t="s">
        <v>62</v>
      </c>
      <c r="D573" t="s">
        <v>63</v>
      </c>
      <c r="E573">
        <v>1.38</v>
      </c>
      <c r="F573">
        <v>3.23</v>
      </c>
      <c r="G573" s="8">
        <f t="shared" si="8"/>
        <v>25.634674922600617</v>
      </c>
    </row>
    <row r="574" spans="1:7" x14ac:dyDescent="0.25">
      <c r="A574" s="5">
        <v>45810.385416666664</v>
      </c>
      <c r="B574">
        <v>51</v>
      </c>
      <c r="C574" t="s">
        <v>63</v>
      </c>
      <c r="D574" t="s">
        <v>64</v>
      </c>
      <c r="E574">
        <v>2.79</v>
      </c>
      <c r="F574">
        <v>5.85</v>
      </c>
      <c r="G574" s="8">
        <f t="shared" si="8"/>
        <v>28.615384615384617</v>
      </c>
    </row>
    <row r="575" spans="1:7" x14ac:dyDescent="0.25">
      <c r="A575" s="5">
        <v>45810.385416666664</v>
      </c>
      <c r="B575">
        <v>52</v>
      </c>
      <c r="C575" t="s">
        <v>64</v>
      </c>
      <c r="D575" t="s">
        <v>65</v>
      </c>
      <c r="E575">
        <v>1.5</v>
      </c>
      <c r="F575">
        <v>2.98</v>
      </c>
      <c r="G575" s="8">
        <f t="shared" si="8"/>
        <v>30.201342281879196</v>
      </c>
    </row>
    <row r="576" spans="1:7" x14ac:dyDescent="0.25">
      <c r="A576" s="5">
        <v>45810.385416666664</v>
      </c>
      <c r="B576">
        <v>53</v>
      </c>
      <c r="C576" t="s">
        <v>65</v>
      </c>
      <c r="D576" t="s">
        <v>66</v>
      </c>
      <c r="E576">
        <v>1.46</v>
      </c>
      <c r="F576">
        <v>3.73</v>
      </c>
      <c r="G576" s="8">
        <f t="shared" si="8"/>
        <v>23.485254691689008</v>
      </c>
    </row>
    <row r="577" spans="1:7" x14ac:dyDescent="0.25">
      <c r="A577" s="5">
        <v>45810.385416666664</v>
      </c>
      <c r="B577">
        <v>54</v>
      </c>
      <c r="C577" t="s">
        <v>67</v>
      </c>
      <c r="D577" t="s">
        <v>68</v>
      </c>
      <c r="E577">
        <v>1.46</v>
      </c>
      <c r="F577">
        <v>3.38</v>
      </c>
      <c r="G577" s="8">
        <f t="shared" si="8"/>
        <v>25.917159763313609</v>
      </c>
    </row>
    <row r="578" spans="1:7" x14ac:dyDescent="0.25">
      <c r="A578" s="5">
        <v>45810.385416666664</v>
      </c>
      <c r="B578">
        <v>55</v>
      </c>
      <c r="C578" t="s">
        <v>68</v>
      </c>
      <c r="D578" t="s">
        <v>69</v>
      </c>
      <c r="E578">
        <v>1.5</v>
      </c>
      <c r="F578">
        <v>2.35</v>
      </c>
      <c r="G578" s="8">
        <f t="shared" si="8"/>
        <v>38.297872340425528</v>
      </c>
    </row>
    <row r="579" spans="1:7" x14ac:dyDescent="0.25">
      <c r="A579" s="5">
        <v>45810.385416666664</v>
      </c>
      <c r="B579">
        <v>56</v>
      </c>
      <c r="C579" t="s">
        <v>70</v>
      </c>
      <c r="D579" t="s">
        <v>71</v>
      </c>
      <c r="E579">
        <v>1.51</v>
      </c>
      <c r="F579">
        <v>5.5</v>
      </c>
      <c r="G579" s="8">
        <f t="shared" ref="G579:G642" si="9">E579*60/F579</f>
        <v>16.472727272727273</v>
      </c>
    </row>
    <row r="580" spans="1:7" x14ac:dyDescent="0.25">
      <c r="A580" s="5">
        <v>45810.385416666664</v>
      </c>
      <c r="B580">
        <v>57</v>
      </c>
      <c r="C580" t="s">
        <v>71</v>
      </c>
      <c r="D580" t="s">
        <v>72</v>
      </c>
      <c r="E580">
        <v>1.52</v>
      </c>
      <c r="F580">
        <v>4.2300000000000004</v>
      </c>
      <c r="G580" s="8">
        <f t="shared" si="9"/>
        <v>21.560283687943262</v>
      </c>
    </row>
    <row r="581" spans="1:7" x14ac:dyDescent="0.25">
      <c r="A581" s="5">
        <v>45810.385416666664</v>
      </c>
      <c r="B581">
        <v>58</v>
      </c>
      <c r="C581" t="s">
        <v>72</v>
      </c>
      <c r="D581" t="s">
        <v>73</v>
      </c>
      <c r="E581">
        <v>1.5</v>
      </c>
      <c r="F581">
        <v>3.98</v>
      </c>
      <c r="G581" s="8">
        <f t="shared" si="9"/>
        <v>22.613065326633166</v>
      </c>
    </row>
    <row r="582" spans="1:7" x14ac:dyDescent="0.25">
      <c r="A582" s="5">
        <v>45810.395833333336</v>
      </c>
      <c r="B582">
        <v>1</v>
      </c>
      <c r="C582" t="s">
        <v>6</v>
      </c>
      <c r="D582" t="s">
        <v>7</v>
      </c>
      <c r="E582">
        <v>1.53</v>
      </c>
      <c r="F582">
        <v>3</v>
      </c>
      <c r="G582" s="8">
        <f t="shared" si="9"/>
        <v>30.599999999999998</v>
      </c>
    </row>
    <row r="583" spans="1:7" x14ac:dyDescent="0.25">
      <c r="A583" s="5">
        <v>45810.395833333336</v>
      </c>
      <c r="B583">
        <v>2</v>
      </c>
      <c r="C583" t="s">
        <v>7</v>
      </c>
      <c r="D583" t="s">
        <v>8</v>
      </c>
      <c r="E583">
        <v>1.57</v>
      </c>
      <c r="F583">
        <v>4.83</v>
      </c>
      <c r="G583" s="8">
        <f t="shared" si="9"/>
        <v>19.503105590062113</v>
      </c>
    </row>
    <row r="584" spans="1:7" x14ac:dyDescent="0.25">
      <c r="A584" s="5">
        <v>45810.395833333336</v>
      </c>
      <c r="B584">
        <v>3</v>
      </c>
      <c r="C584" t="s">
        <v>8</v>
      </c>
      <c r="D584" t="s">
        <v>9</v>
      </c>
      <c r="E584">
        <v>1.5</v>
      </c>
      <c r="F584">
        <v>2.97</v>
      </c>
      <c r="G584" s="8">
        <f t="shared" si="9"/>
        <v>30.303030303030301</v>
      </c>
    </row>
    <row r="585" spans="1:7" x14ac:dyDescent="0.25">
      <c r="A585" s="5">
        <v>45810.395833333336</v>
      </c>
      <c r="B585">
        <v>4</v>
      </c>
      <c r="C585" t="s">
        <v>9</v>
      </c>
      <c r="D585" t="s">
        <v>10</v>
      </c>
      <c r="E585">
        <v>1.5</v>
      </c>
      <c r="F585">
        <v>2.92</v>
      </c>
      <c r="G585" s="8">
        <f t="shared" si="9"/>
        <v>30.82191780821918</v>
      </c>
    </row>
    <row r="586" spans="1:7" x14ac:dyDescent="0.25">
      <c r="A586" s="5">
        <v>45810.395833333336</v>
      </c>
      <c r="B586">
        <v>5</v>
      </c>
      <c r="C586" t="s">
        <v>10</v>
      </c>
      <c r="D586" t="s">
        <v>11</v>
      </c>
      <c r="E586">
        <v>1.52</v>
      </c>
      <c r="F586">
        <v>3.23</v>
      </c>
      <c r="G586" s="8">
        <f t="shared" si="9"/>
        <v>28.235294117647062</v>
      </c>
    </row>
    <row r="587" spans="1:7" x14ac:dyDescent="0.25">
      <c r="A587" s="5">
        <v>45810.395833333336</v>
      </c>
      <c r="B587">
        <v>6</v>
      </c>
      <c r="C587" t="s">
        <v>11</v>
      </c>
      <c r="D587" t="s">
        <v>12</v>
      </c>
      <c r="E587">
        <v>1.5</v>
      </c>
      <c r="F587">
        <v>2.65</v>
      </c>
      <c r="G587" s="8">
        <f t="shared" si="9"/>
        <v>33.962264150943398</v>
      </c>
    </row>
    <row r="588" spans="1:7" x14ac:dyDescent="0.25">
      <c r="A588" s="5">
        <v>45810.395833333336</v>
      </c>
      <c r="B588">
        <v>7</v>
      </c>
      <c r="C588" t="s">
        <v>12</v>
      </c>
      <c r="D588" t="s">
        <v>13</v>
      </c>
      <c r="E588">
        <v>1.54</v>
      </c>
      <c r="F588">
        <v>2.67</v>
      </c>
      <c r="G588" s="8">
        <f t="shared" si="9"/>
        <v>34.606741573033709</v>
      </c>
    </row>
    <row r="589" spans="1:7" x14ac:dyDescent="0.25">
      <c r="A589" s="5">
        <v>45810.395833333336</v>
      </c>
      <c r="B589">
        <v>8</v>
      </c>
      <c r="C589" t="s">
        <v>13</v>
      </c>
      <c r="D589" t="s">
        <v>14</v>
      </c>
      <c r="E589">
        <v>1.54</v>
      </c>
      <c r="F589">
        <v>3.33</v>
      </c>
      <c r="G589" s="8">
        <f t="shared" si="9"/>
        <v>27.747747747747749</v>
      </c>
    </row>
    <row r="590" spans="1:7" x14ac:dyDescent="0.25">
      <c r="A590" s="5">
        <v>45810.395833333336</v>
      </c>
      <c r="B590">
        <v>9</v>
      </c>
      <c r="C590" t="s">
        <v>14</v>
      </c>
      <c r="D590" t="s">
        <v>15</v>
      </c>
      <c r="E590">
        <v>1.52</v>
      </c>
      <c r="F590">
        <v>6.02</v>
      </c>
      <c r="G590" s="8">
        <f t="shared" si="9"/>
        <v>15.14950166112957</v>
      </c>
    </row>
    <row r="591" spans="1:7" x14ac:dyDescent="0.25">
      <c r="A591" s="5">
        <v>45810.395833333336</v>
      </c>
      <c r="B591">
        <v>10</v>
      </c>
      <c r="C591" t="s">
        <v>15</v>
      </c>
      <c r="D591" t="s">
        <v>16</v>
      </c>
      <c r="E591">
        <v>1.5</v>
      </c>
      <c r="F591">
        <v>4.67</v>
      </c>
      <c r="G591" s="8">
        <f t="shared" si="9"/>
        <v>19.271948608137045</v>
      </c>
    </row>
    <row r="592" spans="1:7" x14ac:dyDescent="0.25">
      <c r="A592" s="5">
        <v>45810.395833333336</v>
      </c>
      <c r="B592">
        <v>11</v>
      </c>
      <c r="C592" t="s">
        <v>16</v>
      </c>
      <c r="D592" t="s">
        <v>17</v>
      </c>
      <c r="E592">
        <v>1.48</v>
      </c>
      <c r="F592">
        <v>3.32</v>
      </c>
      <c r="G592" s="8">
        <f t="shared" si="9"/>
        <v>26.746987951807231</v>
      </c>
    </row>
    <row r="593" spans="1:7" x14ac:dyDescent="0.25">
      <c r="A593" s="5">
        <v>45810.395833333336</v>
      </c>
      <c r="B593">
        <v>12</v>
      </c>
      <c r="C593" t="s">
        <v>17</v>
      </c>
      <c r="D593" t="s">
        <v>18</v>
      </c>
      <c r="E593">
        <v>1.46</v>
      </c>
      <c r="F593">
        <v>5.58</v>
      </c>
      <c r="G593" s="8">
        <f t="shared" si="9"/>
        <v>15.698924731182794</v>
      </c>
    </row>
    <row r="594" spans="1:7" x14ac:dyDescent="0.25">
      <c r="A594" s="5">
        <v>45810.395833333336</v>
      </c>
      <c r="B594">
        <v>13</v>
      </c>
      <c r="C594" t="s">
        <v>18</v>
      </c>
      <c r="D594" t="s">
        <v>19</v>
      </c>
      <c r="E594">
        <v>1.52</v>
      </c>
      <c r="F594">
        <v>6.43</v>
      </c>
      <c r="G594" s="8">
        <f t="shared" si="9"/>
        <v>14.183514774494558</v>
      </c>
    </row>
    <row r="595" spans="1:7" x14ac:dyDescent="0.25">
      <c r="A595" s="5">
        <v>45810.395833333336</v>
      </c>
      <c r="B595">
        <v>14</v>
      </c>
      <c r="C595" t="s">
        <v>19</v>
      </c>
      <c r="D595" t="s">
        <v>20</v>
      </c>
      <c r="E595">
        <v>1.51</v>
      </c>
      <c r="F595">
        <v>4.25</v>
      </c>
      <c r="G595" s="8">
        <f t="shared" si="9"/>
        <v>21.317647058823528</v>
      </c>
    </row>
    <row r="596" spans="1:7" x14ac:dyDescent="0.25">
      <c r="A596" s="5">
        <v>45810.395833333336</v>
      </c>
      <c r="B596">
        <v>15</v>
      </c>
      <c r="C596" t="s">
        <v>20</v>
      </c>
      <c r="D596" t="s">
        <v>21</v>
      </c>
      <c r="E596">
        <v>1.47</v>
      </c>
      <c r="F596">
        <v>2.95</v>
      </c>
      <c r="G596" s="8">
        <f t="shared" si="9"/>
        <v>29.898305084745761</v>
      </c>
    </row>
    <row r="597" spans="1:7" x14ac:dyDescent="0.25">
      <c r="A597" s="5">
        <v>45810.395833333336</v>
      </c>
      <c r="B597">
        <v>16</v>
      </c>
      <c r="C597" t="s">
        <v>21</v>
      </c>
      <c r="D597" t="s">
        <v>22</v>
      </c>
      <c r="E597">
        <v>1.5</v>
      </c>
      <c r="F597">
        <v>1.83</v>
      </c>
      <c r="G597" s="8">
        <f t="shared" si="9"/>
        <v>49.180327868852459</v>
      </c>
    </row>
    <row r="598" spans="1:7" x14ac:dyDescent="0.25">
      <c r="A598" s="5">
        <v>45810.395833333336</v>
      </c>
      <c r="B598">
        <v>17</v>
      </c>
      <c r="C598" t="s">
        <v>22</v>
      </c>
      <c r="D598" t="s">
        <v>23</v>
      </c>
      <c r="E598">
        <v>1.51</v>
      </c>
      <c r="F598">
        <v>3</v>
      </c>
      <c r="G598" s="8">
        <f t="shared" si="9"/>
        <v>30.2</v>
      </c>
    </row>
    <row r="599" spans="1:7" x14ac:dyDescent="0.25">
      <c r="A599" s="5">
        <v>45810.395833333336</v>
      </c>
      <c r="B599">
        <v>18</v>
      </c>
      <c r="C599" t="s">
        <v>23</v>
      </c>
      <c r="D599" t="s">
        <v>24</v>
      </c>
      <c r="E599">
        <v>1.51</v>
      </c>
      <c r="F599">
        <v>3.18</v>
      </c>
      <c r="G599" s="8">
        <f t="shared" si="9"/>
        <v>28.490566037735846</v>
      </c>
    </row>
    <row r="600" spans="1:7" x14ac:dyDescent="0.25">
      <c r="A600" s="5">
        <v>45810.395833333336</v>
      </c>
      <c r="B600">
        <v>19</v>
      </c>
      <c r="C600" t="s">
        <v>25</v>
      </c>
      <c r="D600" t="s">
        <v>26</v>
      </c>
      <c r="E600">
        <v>1.5</v>
      </c>
      <c r="F600">
        <v>4.4000000000000004</v>
      </c>
      <c r="G600" s="8">
        <f t="shared" si="9"/>
        <v>20.454545454545453</v>
      </c>
    </row>
    <row r="601" spans="1:7" x14ac:dyDescent="0.25">
      <c r="A601" s="5">
        <v>45810.395833333336</v>
      </c>
      <c r="B601">
        <v>20</v>
      </c>
      <c r="C601" t="s">
        <v>26</v>
      </c>
      <c r="D601" t="s">
        <v>27</v>
      </c>
      <c r="E601">
        <v>1.48</v>
      </c>
      <c r="F601">
        <v>4.45</v>
      </c>
      <c r="G601" s="8">
        <f t="shared" si="9"/>
        <v>19.95505617977528</v>
      </c>
    </row>
    <row r="602" spans="1:7" x14ac:dyDescent="0.25">
      <c r="A602" s="5">
        <v>45810.395833333336</v>
      </c>
      <c r="B602">
        <v>21</v>
      </c>
      <c r="C602" t="s">
        <v>27</v>
      </c>
      <c r="D602" t="s">
        <v>28</v>
      </c>
      <c r="E602">
        <v>1.51</v>
      </c>
      <c r="F602">
        <v>4.2699999999999996</v>
      </c>
      <c r="G602" s="8">
        <f t="shared" si="9"/>
        <v>21.217798594847775</v>
      </c>
    </row>
    <row r="603" spans="1:7" x14ac:dyDescent="0.25">
      <c r="A603" s="5">
        <v>45810.395833333336</v>
      </c>
      <c r="B603">
        <v>22</v>
      </c>
      <c r="C603" t="s">
        <v>28</v>
      </c>
      <c r="D603" t="s">
        <v>29</v>
      </c>
      <c r="E603">
        <v>1.57</v>
      </c>
      <c r="F603">
        <v>3.9</v>
      </c>
      <c r="G603" s="8">
        <f t="shared" si="9"/>
        <v>24.153846153846157</v>
      </c>
    </row>
    <row r="604" spans="1:7" x14ac:dyDescent="0.25">
      <c r="A604" s="5">
        <v>45810.395833333336</v>
      </c>
      <c r="B604">
        <v>23</v>
      </c>
      <c r="C604" t="s">
        <v>29</v>
      </c>
      <c r="D604" t="s">
        <v>30</v>
      </c>
      <c r="E604">
        <v>1.43</v>
      </c>
      <c r="F604">
        <v>4.4800000000000004</v>
      </c>
      <c r="G604" s="8">
        <f t="shared" si="9"/>
        <v>19.151785714285712</v>
      </c>
    </row>
    <row r="605" spans="1:7" x14ac:dyDescent="0.25">
      <c r="A605" s="5">
        <v>45810.395833333336</v>
      </c>
      <c r="B605">
        <v>24</v>
      </c>
      <c r="C605" t="s">
        <v>30</v>
      </c>
      <c r="D605" t="s">
        <v>31</v>
      </c>
      <c r="E605">
        <v>1.52</v>
      </c>
      <c r="F605">
        <v>3.55</v>
      </c>
      <c r="G605" s="8">
        <f t="shared" si="9"/>
        <v>25.690140845070424</v>
      </c>
    </row>
    <row r="606" spans="1:7" x14ac:dyDescent="0.25">
      <c r="A606" s="5">
        <v>45810.395833333336</v>
      </c>
      <c r="B606">
        <v>25</v>
      </c>
      <c r="C606" t="s">
        <v>31</v>
      </c>
      <c r="D606" t="s">
        <v>32</v>
      </c>
      <c r="E606">
        <v>1.52</v>
      </c>
      <c r="F606">
        <v>3.32</v>
      </c>
      <c r="G606" s="8">
        <f t="shared" si="9"/>
        <v>27.46987951807229</v>
      </c>
    </row>
    <row r="607" spans="1:7" x14ac:dyDescent="0.25">
      <c r="A607" s="5">
        <v>45810.395833333336</v>
      </c>
      <c r="B607">
        <v>26</v>
      </c>
      <c r="C607" t="s">
        <v>32</v>
      </c>
      <c r="D607" t="s">
        <v>33</v>
      </c>
      <c r="E607">
        <v>1.49</v>
      </c>
      <c r="F607">
        <v>5.0999999999999996</v>
      </c>
      <c r="G607" s="8">
        <f t="shared" si="9"/>
        <v>17.529411764705884</v>
      </c>
    </row>
    <row r="608" spans="1:7" x14ac:dyDescent="0.25">
      <c r="A608" s="5">
        <v>45810.395833333336</v>
      </c>
      <c r="B608">
        <v>27</v>
      </c>
      <c r="C608" t="s">
        <v>33</v>
      </c>
      <c r="D608" t="s">
        <v>34</v>
      </c>
      <c r="E608">
        <v>1.53</v>
      </c>
      <c r="F608">
        <v>6.4</v>
      </c>
      <c r="G608" s="8">
        <f t="shared" si="9"/>
        <v>14.343749999999998</v>
      </c>
    </row>
    <row r="609" spans="1:7" x14ac:dyDescent="0.25">
      <c r="A609" s="5">
        <v>45810.395833333336</v>
      </c>
      <c r="B609">
        <v>28</v>
      </c>
      <c r="C609" t="s">
        <v>34</v>
      </c>
      <c r="D609" t="s">
        <v>35</v>
      </c>
      <c r="E609">
        <v>1.51</v>
      </c>
      <c r="F609">
        <v>4.2699999999999996</v>
      </c>
      <c r="G609" s="8">
        <f t="shared" si="9"/>
        <v>21.217798594847775</v>
      </c>
    </row>
    <row r="610" spans="1:7" x14ac:dyDescent="0.25">
      <c r="A610" s="5">
        <v>45810.395833333336</v>
      </c>
      <c r="B610">
        <v>29</v>
      </c>
      <c r="C610" t="s">
        <v>36</v>
      </c>
      <c r="D610" t="s">
        <v>37</v>
      </c>
      <c r="E610">
        <v>1.57</v>
      </c>
      <c r="F610">
        <v>4.33</v>
      </c>
      <c r="G610" s="8">
        <f t="shared" si="9"/>
        <v>21.755196304849886</v>
      </c>
    </row>
    <row r="611" spans="1:7" x14ac:dyDescent="0.25">
      <c r="A611" s="5">
        <v>45810.395833333336</v>
      </c>
      <c r="B611">
        <v>30</v>
      </c>
      <c r="C611" t="s">
        <v>37</v>
      </c>
      <c r="D611" t="s">
        <v>38</v>
      </c>
      <c r="E611">
        <v>1.57</v>
      </c>
      <c r="F611">
        <v>5.4</v>
      </c>
      <c r="G611" s="8">
        <f t="shared" si="9"/>
        <v>17.444444444444443</v>
      </c>
    </row>
    <row r="612" spans="1:7" x14ac:dyDescent="0.25">
      <c r="A612" s="5">
        <v>45810.395833333336</v>
      </c>
      <c r="B612">
        <v>31</v>
      </c>
      <c r="C612" t="s">
        <v>38</v>
      </c>
      <c r="D612" t="s">
        <v>39</v>
      </c>
      <c r="E612">
        <v>1.52</v>
      </c>
      <c r="F612">
        <v>2.82</v>
      </c>
      <c r="G612" s="8">
        <f t="shared" si="9"/>
        <v>32.340425531914896</v>
      </c>
    </row>
    <row r="613" spans="1:7" x14ac:dyDescent="0.25">
      <c r="A613" s="5">
        <v>45810.395833333336</v>
      </c>
      <c r="B613">
        <v>32</v>
      </c>
      <c r="C613" t="s">
        <v>39</v>
      </c>
      <c r="D613" t="s">
        <v>40</v>
      </c>
      <c r="E613">
        <v>1.5</v>
      </c>
      <c r="F613">
        <v>1.77</v>
      </c>
      <c r="G613" s="8">
        <f t="shared" si="9"/>
        <v>50.847457627118644</v>
      </c>
    </row>
    <row r="614" spans="1:7" x14ac:dyDescent="0.25">
      <c r="A614" s="5">
        <v>45810.395833333336</v>
      </c>
      <c r="B614">
        <v>33</v>
      </c>
      <c r="C614" t="s">
        <v>40</v>
      </c>
      <c r="D614" t="s">
        <v>41</v>
      </c>
      <c r="E614">
        <v>1.51</v>
      </c>
      <c r="F614">
        <v>1.77</v>
      </c>
      <c r="G614" s="8">
        <f t="shared" si="9"/>
        <v>51.186440677966097</v>
      </c>
    </row>
    <row r="615" spans="1:7" x14ac:dyDescent="0.25">
      <c r="A615" s="5">
        <v>45810.395833333336</v>
      </c>
      <c r="B615">
        <v>34</v>
      </c>
      <c r="C615" t="s">
        <v>41</v>
      </c>
      <c r="D615" t="s">
        <v>42</v>
      </c>
      <c r="E615">
        <v>1.5</v>
      </c>
      <c r="F615">
        <v>1.87</v>
      </c>
      <c r="G615" s="8">
        <f t="shared" si="9"/>
        <v>48.128342245989302</v>
      </c>
    </row>
    <row r="616" spans="1:7" x14ac:dyDescent="0.25">
      <c r="A616" s="5">
        <v>45810.395833333336</v>
      </c>
      <c r="B616">
        <v>35</v>
      </c>
      <c r="C616" t="s">
        <v>43</v>
      </c>
      <c r="D616" t="s">
        <v>44</v>
      </c>
      <c r="E616">
        <v>1.55</v>
      </c>
      <c r="F616">
        <v>4.3499999999999996</v>
      </c>
      <c r="G616" s="8">
        <f t="shared" si="9"/>
        <v>21.379310344827587</v>
      </c>
    </row>
    <row r="617" spans="1:7" x14ac:dyDescent="0.25">
      <c r="A617" s="5">
        <v>45810.395833333336</v>
      </c>
      <c r="B617">
        <v>36</v>
      </c>
      <c r="C617" t="s">
        <v>44</v>
      </c>
      <c r="D617" t="s">
        <v>45</v>
      </c>
      <c r="E617">
        <v>1.5</v>
      </c>
      <c r="F617">
        <v>3.07</v>
      </c>
      <c r="G617" s="8">
        <f t="shared" si="9"/>
        <v>29.31596091205212</v>
      </c>
    </row>
    <row r="618" spans="1:7" x14ac:dyDescent="0.25">
      <c r="A618" s="5">
        <v>45810.395833333336</v>
      </c>
      <c r="B618">
        <v>37</v>
      </c>
      <c r="C618" t="s">
        <v>45</v>
      </c>
      <c r="D618" t="s">
        <v>46</v>
      </c>
      <c r="E618">
        <v>1.38</v>
      </c>
      <c r="F618">
        <v>4</v>
      </c>
      <c r="G618" s="8">
        <f t="shared" si="9"/>
        <v>20.7</v>
      </c>
    </row>
    <row r="619" spans="1:7" x14ac:dyDescent="0.25">
      <c r="A619" s="5">
        <v>45810.395833333336</v>
      </c>
      <c r="B619">
        <v>38</v>
      </c>
      <c r="C619" t="s">
        <v>46</v>
      </c>
      <c r="D619" t="s">
        <v>47</v>
      </c>
      <c r="E619">
        <v>1.61</v>
      </c>
      <c r="F619">
        <v>3.78</v>
      </c>
      <c r="G619" s="8">
        <f t="shared" si="9"/>
        <v>25.555555555555561</v>
      </c>
    </row>
    <row r="620" spans="1:7" x14ac:dyDescent="0.25">
      <c r="A620" s="5">
        <v>45810.395833333336</v>
      </c>
      <c r="B620">
        <v>39</v>
      </c>
      <c r="C620" t="s">
        <v>47</v>
      </c>
      <c r="D620" t="s">
        <v>48</v>
      </c>
      <c r="E620">
        <v>1.55</v>
      </c>
      <c r="F620">
        <v>3.43</v>
      </c>
      <c r="G620" s="8">
        <f t="shared" si="9"/>
        <v>27.113702623906704</v>
      </c>
    </row>
    <row r="621" spans="1:7" x14ac:dyDescent="0.25">
      <c r="A621" s="5">
        <v>45810.395833333336</v>
      </c>
      <c r="B621">
        <v>40</v>
      </c>
      <c r="C621" t="s">
        <v>48</v>
      </c>
      <c r="D621" t="s">
        <v>49</v>
      </c>
      <c r="E621">
        <v>1.39</v>
      </c>
      <c r="F621">
        <v>2.83</v>
      </c>
      <c r="G621" s="8">
        <f t="shared" si="9"/>
        <v>29.46996466431095</v>
      </c>
    </row>
    <row r="622" spans="1:7" x14ac:dyDescent="0.25">
      <c r="A622" s="5">
        <v>45810.395833333336</v>
      </c>
      <c r="B622">
        <v>41</v>
      </c>
      <c r="C622" t="s">
        <v>50</v>
      </c>
      <c r="D622" t="s">
        <v>51</v>
      </c>
      <c r="E622">
        <v>1.56</v>
      </c>
      <c r="F622">
        <v>4.12</v>
      </c>
      <c r="G622" s="8">
        <f t="shared" si="9"/>
        <v>22.71844660194175</v>
      </c>
    </row>
    <row r="623" spans="1:7" x14ac:dyDescent="0.25">
      <c r="A623" s="5">
        <v>45810.395833333336</v>
      </c>
      <c r="B623">
        <v>42</v>
      </c>
      <c r="C623" t="s">
        <v>51</v>
      </c>
      <c r="D623" t="s">
        <v>52</v>
      </c>
      <c r="E623">
        <v>1.56</v>
      </c>
      <c r="F623">
        <v>4.37</v>
      </c>
      <c r="G623" s="8">
        <f t="shared" si="9"/>
        <v>21.418764302059497</v>
      </c>
    </row>
    <row r="624" spans="1:7" x14ac:dyDescent="0.25">
      <c r="A624" s="5">
        <v>45810.395833333336</v>
      </c>
      <c r="B624">
        <v>43</v>
      </c>
      <c r="C624" t="s">
        <v>52</v>
      </c>
      <c r="D624" t="s">
        <v>53</v>
      </c>
      <c r="E624">
        <v>1.51</v>
      </c>
      <c r="F624">
        <v>3.73</v>
      </c>
      <c r="G624" s="8">
        <f t="shared" si="9"/>
        <v>24.289544235924932</v>
      </c>
    </row>
    <row r="625" spans="1:7" x14ac:dyDescent="0.25">
      <c r="A625" s="5">
        <v>45810.395833333336</v>
      </c>
      <c r="B625">
        <v>44</v>
      </c>
      <c r="C625" t="s">
        <v>54</v>
      </c>
      <c r="D625" t="s">
        <v>55</v>
      </c>
      <c r="E625">
        <v>1.51</v>
      </c>
      <c r="F625">
        <v>4.62</v>
      </c>
      <c r="G625" s="8">
        <f t="shared" si="9"/>
        <v>19.61038961038961</v>
      </c>
    </row>
    <row r="626" spans="1:7" x14ac:dyDescent="0.25">
      <c r="A626" s="5">
        <v>45810.395833333336</v>
      </c>
      <c r="B626">
        <v>45</v>
      </c>
      <c r="C626" t="s">
        <v>55</v>
      </c>
      <c r="D626" t="s">
        <v>56</v>
      </c>
      <c r="E626">
        <v>1.49</v>
      </c>
      <c r="F626">
        <v>3.42</v>
      </c>
      <c r="G626" s="8">
        <f t="shared" si="9"/>
        <v>26.140350877192983</v>
      </c>
    </row>
    <row r="627" spans="1:7" x14ac:dyDescent="0.25">
      <c r="A627" s="5">
        <v>45810.395833333336</v>
      </c>
      <c r="B627">
        <v>46</v>
      </c>
      <c r="C627" t="s">
        <v>56</v>
      </c>
      <c r="D627" t="s">
        <v>57</v>
      </c>
      <c r="E627">
        <v>1.52</v>
      </c>
      <c r="F627">
        <v>3.65</v>
      </c>
      <c r="G627" s="8">
        <f t="shared" si="9"/>
        <v>24.986301369863014</v>
      </c>
    </row>
    <row r="628" spans="1:7" x14ac:dyDescent="0.25">
      <c r="A628" s="5">
        <v>45810.395833333336</v>
      </c>
      <c r="B628">
        <v>47</v>
      </c>
      <c r="C628" t="s">
        <v>58</v>
      </c>
      <c r="D628" t="s">
        <v>59</v>
      </c>
      <c r="E628">
        <v>1.52</v>
      </c>
      <c r="F628">
        <v>6.15</v>
      </c>
      <c r="G628" s="8">
        <f t="shared" si="9"/>
        <v>14.829268292682926</v>
      </c>
    </row>
    <row r="629" spans="1:7" x14ac:dyDescent="0.25">
      <c r="A629" s="5">
        <v>45810.395833333336</v>
      </c>
      <c r="B629">
        <v>48</v>
      </c>
      <c r="C629" t="s">
        <v>59</v>
      </c>
      <c r="D629" t="s">
        <v>60</v>
      </c>
      <c r="E629">
        <v>1.5</v>
      </c>
      <c r="F629">
        <v>3.93</v>
      </c>
      <c r="G629" s="8">
        <f t="shared" si="9"/>
        <v>22.900763358778626</v>
      </c>
    </row>
    <row r="630" spans="1:7" x14ac:dyDescent="0.25">
      <c r="A630" s="5">
        <v>45810.395833333336</v>
      </c>
      <c r="B630">
        <v>49</v>
      </c>
      <c r="C630" t="s">
        <v>60</v>
      </c>
      <c r="D630" t="s">
        <v>61</v>
      </c>
      <c r="E630">
        <v>1.54</v>
      </c>
      <c r="F630">
        <v>3.98</v>
      </c>
      <c r="G630" s="8">
        <f t="shared" si="9"/>
        <v>23.216080402010054</v>
      </c>
    </row>
    <row r="631" spans="1:7" x14ac:dyDescent="0.25">
      <c r="A631" s="5">
        <v>45810.395833333336</v>
      </c>
      <c r="B631">
        <v>50</v>
      </c>
      <c r="C631" t="s">
        <v>62</v>
      </c>
      <c r="D631" t="s">
        <v>63</v>
      </c>
      <c r="E631">
        <v>1.38</v>
      </c>
      <c r="F631">
        <v>3.1</v>
      </c>
      <c r="G631" s="8">
        <f t="shared" si="9"/>
        <v>26.709677419354836</v>
      </c>
    </row>
    <row r="632" spans="1:7" x14ac:dyDescent="0.25">
      <c r="A632" s="5">
        <v>45810.395833333336</v>
      </c>
      <c r="B632">
        <v>51</v>
      </c>
      <c r="C632" t="s">
        <v>63</v>
      </c>
      <c r="D632" t="s">
        <v>64</v>
      </c>
      <c r="E632">
        <v>2.79</v>
      </c>
      <c r="F632">
        <v>5.37</v>
      </c>
      <c r="G632" s="8">
        <f t="shared" si="9"/>
        <v>31.173184357541899</v>
      </c>
    </row>
    <row r="633" spans="1:7" x14ac:dyDescent="0.25">
      <c r="A633" s="5">
        <v>45810.395833333336</v>
      </c>
      <c r="B633">
        <v>52</v>
      </c>
      <c r="C633" t="s">
        <v>64</v>
      </c>
      <c r="D633" t="s">
        <v>65</v>
      </c>
      <c r="E633">
        <v>1.5</v>
      </c>
      <c r="F633">
        <v>2.82</v>
      </c>
      <c r="G633" s="8">
        <f t="shared" si="9"/>
        <v>31.914893617021278</v>
      </c>
    </row>
    <row r="634" spans="1:7" x14ac:dyDescent="0.25">
      <c r="A634" s="5">
        <v>45810.395833333336</v>
      </c>
      <c r="B634">
        <v>53</v>
      </c>
      <c r="C634" t="s">
        <v>65</v>
      </c>
      <c r="D634" t="s">
        <v>66</v>
      </c>
      <c r="E634">
        <v>1.46</v>
      </c>
      <c r="F634">
        <v>3.73</v>
      </c>
      <c r="G634" s="8">
        <f t="shared" si="9"/>
        <v>23.485254691689008</v>
      </c>
    </row>
    <row r="635" spans="1:7" x14ac:dyDescent="0.25">
      <c r="A635" s="5">
        <v>45810.395833333336</v>
      </c>
      <c r="B635">
        <v>54</v>
      </c>
      <c r="C635" t="s">
        <v>67</v>
      </c>
      <c r="D635" t="s">
        <v>68</v>
      </c>
      <c r="E635">
        <v>1.46</v>
      </c>
      <c r="F635">
        <v>4.37</v>
      </c>
      <c r="G635" s="8">
        <f t="shared" si="9"/>
        <v>20.045766590389015</v>
      </c>
    </row>
    <row r="636" spans="1:7" x14ac:dyDescent="0.25">
      <c r="A636" s="5">
        <v>45810.395833333336</v>
      </c>
      <c r="B636">
        <v>55</v>
      </c>
      <c r="C636" t="s">
        <v>68</v>
      </c>
      <c r="D636" t="s">
        <v>69</v>
      </c>
      <c r="E636">
        <v>1.5</v>
      </c>
      <c r="F636">
        <v>2.27</v>
      </c>
      <c r="G636" s="8">
        <f t="shared" si="9"/>
        <v>39.647577092511014</v>
      </c>
    </row>
    <row r="637" spans="1:7" x14ac:dyDescent="0.25">
      <c r="A637" s="5">
        <v>45810.395833333336</v>
      </c>
      <c r="B637">
        <v>56</v>
      </c>
      <c r="C637" t="s">
        <v>70</v>
      </c>
      <c r="D637" t="s">
        <v>71</v>
      </c>
      <c r="E637">
        <v>1.51</v>
      </c>
      <c r="F637">
        <v>5.58</v>
      </c>
      <c r="G637" s="8">
        <f t="shared" si="9"/>
        <v>16.236559139784944</v>
      </c>
    </row>
    <row r="638" spans="1:7" x14ac:dyDescent="0.25">
      <c r="A638" s="5">
        <v>45810.395833333336</v>
      </c>
      <c r="B638">
        <v>57</v>
      </c>
      <c r="C638" t="s">
        <v>71</v>
      </c>
      <c r="D638" t="s">
        <v>72</v>
      </c>
      <c r="E638">
        <v>1.52</v>
      </c>
      <c r="F638">
        <v>4.17</v>
      </c>
      <c r="G638" s="8">
        <f t="shared" si="9"/>
        <v>21.870503597122305</v>
      </c>
    </row>
    <row r="639" spans="1:7" x14ac:dyDescent="0.25">
      <c r="A639" s="5">
        <v>45810.395833333336</v>
      </c>
      <c r="B639">
        <v>58</v>
      </c>
      <c r="C639" t="s">
        <v>72</v>
      </c>
      <c r="D639" t="s">
        <v>73</v>
      </c>
      <c r="E639">
        <v>1.5</v>
      </c>
      <c r="F639">
        <v>4.03</v>
      </c>
      <c r="G639" s="8">
        <f t="shared" si="9"/>
        <v>22.332506203473944</v>
      </c>
    </row>
    <row r="640" spans="1:7" x14ac:dyDescent="0.25">
      <c r="A640" s="5">
        <v>45810.40625</v>
      </c>
      <c r="B640">
        <v>1</v>
      </c>
      <c r="C640" t="s">
        <v>6</v>
      </c>
      <c r="D640" t="s">
        <v>7</v>
      </c>
      <c r="E640">
        <v>1.53</v>
      </c>
      <c r="F640">
        <v>3.32</v>
      </c>
      <c r="G640" s="8">
        <f t="shared" si="9"/>
        <v>27.650602409638555</v>
      </c>
    </row>
    <row r="641" spans="1:7" x14ac:dyDescent="0.25">
      <c r="A641" s="5">
        <v>45810.40625</v>
      </c>
      <c r="B641">
        <v>2</v>
      </c>
      <c r="C641" t="s">
        <v>7</v>
      </c>
      <c r="D641" t="s">
        <v>8</v>
      </c>
      <c r="E641">
        <v>1.57</v>
      </c>
      <c r="F641">
        <v>4.97</v>
      </c>
      <c r="G641" s="8">
        <f t="shared" si="9"/>
        <v>18.953722334004027</v>
      </c>
    </row>
    <row r="642" spans="1:7" x14ac:dyDescent="0.25">
      <c r="A642" s="5">
        <v>45810.40625</v>
      </c>
      <c r="B642">
        <v>3</v>
      </c>
      <c r="C642" t="s">
        <v>8</v>
      </c>
      <c r="D642" t="s">
        <v>9</v>
      </c>
      <c r="E642">
        <v>1.5</v>
      </c>
      <c r="F642">
        <v>2.95</v>
      </c>
      <c r="G642" s="8">
        <f t="shared" si="9"/>
        <v>30.508474576271183</v>
      </c>
    </row>
    <row r="643" spans="1:7" x14ac:dyDescent="0.25">
      <c r="A643" s="5">
        <v>45810.40625</v>
      </c>
      <c r="B643">
        <v>4</v>
      </c>
      <c r="C643" t="s">
        <v>9</v>
      </c>
      <c r="D643" t="s">
        <v>10</v>
      </c>
      <c r="E643">
        <v>1.5</v>
      </c>
      <c r="F643">
        <v>2.85</v>
      </c>
      <c r="G643" s="8">
        <f t="shared" ref="G643:G706" si="10">E643*60/F643</f>
        <v>31.578947368421051</v>
      </c>
    </row>
    <row r="644" spans="1:7" x14ac:dyDescent="0.25">
      <c r="A644" s="5">
        <v>45810.40625</v>
      </c>
      <c r="B644">
        <v>5</v>
      </c>
      <c r="C644" t="s">
        <v>10</v>
      </c>
      <c r="D644" t="s">
        <v>11</v>
      </c>
      <c r="E644">
        <v>1.52</v>
      </c>
      <c r="F644">
        <v>3.18</v>
      </c>
      <c r="G644" s="8">
        <f t="shared" si="10"/>
        <v>28.679245283018869</v>
      </c>
    </row>
    <row r="645" spans="1:7" x14ac:dyDescent="0.25">
      <c r="A645" s="5">
        <v>45810.40625</v>
      </c>
      <c r="B645">
        <v>6</v>
      </c>
      <c r="C645" t="s">
        <v>11</v>
      </c>
      <c r="D645" t="s">
        <v>12</v>
      </c>
      <c r="E645">
        <v>1.5</v>
      </c>
      <c r="F645">
        <v>2.67</v>
      </c>
      <c r="G645" s="8">
        <f t="shared" si="10"/>
        <v>33.707865168539328</v>
      </c>
    </row>
    <row r="646" spans="1:7" x14ac:dyDescent="0.25">
      <c r="A646" s="5">
        <v>45810.40625</v>
      </c>
      <c r="B646">
        <v>7</v>
      </c>
      <c r="C646" t="s">
        <v>12</v>
      </c>
      <c r="D646" t="s">
        <v>13</v>
      </c>
      <c r="E646">
        <v>1.54</v>
      </c>
      <c r="F646">
        <v>2.63</v>
      </c>
      <c r="G646" s="8">
        <f t="shared" si="10"/>
        <v>35.133079847908746</v>
      </c>
    </row>
    <row r="647" spans="1:7" x14ac:dyDescent="0.25">
      <c r="A647" s="5">
        <v>45810.40625</v>
      </c>
      <c r="B647">
        <v>8</v>
      </c>
      <c r="C647" t="s">
        <v>13</v>
      </c>
      <c r="D647" t="s">
        <v>14</v>
      </c>
      <c r="E647">
        <v>1.54</v>
      </c>
      <c r="F647">
        <v>3.13</v>
      </c>
      <c r="G647" s="8">
        <f t="shared" si="10"/>
        <v>29.520766773162944</v>
      </c>
    </row>
    <row r="648" spans="1:7" x14ac:dyDescent="0.25">
      <c r="A648" s="5">
        <v>45810.40625</v>
      </c>
      <c r="B648">
        <v>9</v>
      </c>
      <c r="C648" t="s">
        <v>14</v>
      </c>
      <c r="D648" t="s">
        <v>15</v>
      </c>
      <c r="E648">
        <v>1.52</v>
      </c>
      <c r="F648">
        <v>5.92</v>
      </c>
      <c r="G648" s="8">
        <f t="shared" si="10"/>
        <v>15.405405405405405</v>
      </c>
    </row>
    <row r="649" spans="1:7" x14ac:dyDescent="0.25">
      <c r="A649" s="5">
        <v>45810.40625</v>
      </c>
      <c r="B649">
        <v>10</v>
      </c>
      <c r="C649" t="s">
        <v>15</v>
      </c>
      <c r="D649" t="s">
        <v>16</v>
      </c>
      <c r="E649">
        <v>1.5</v>
      </c>
      <c r="F649">
        <v>4.57</v>
      </c>
      <c r="G649" s="8">
        <f t="shared" si="10"/>
        <v>19.693654266958422</v>
      </c>
    </row>
    <row r="650" spans="1:7" x14ac:dyDescent="0.25">
      <c r="A650" s="5">
        <v>45810.40625</v>
      </c>
      <c r="B650">
        <v>11</v>
      </c>
      <c r="C650" t="s">
        <v>16</v>
      </c>
      <c r="D650" t="s">
        <v>17</v>
      </c>
      <c r="E650">
        <v>1.48</v>
      </c>
      <c r="F650">
        <v>3.23</v>
      </c>
      <c r="G650" s="8">
        <f t="shared" si="10"/>
        <v>27.492260061919502</v>
      </c>
    </row>
    <row r="651" spans="1:7" x14ac:dyDescent="0.25">
      <c r="A651" s="5">
        <v>45810.40625</v>
      </c>
      <c r="B651">
        <v>12</v>
      </c>
      <c r="C651" t="s">
        <v>17</v>
      </c>
      <c r="D651" t="s">
        <v>18</v>
      </c>
      <c r="E651">
        <v>1.46</v>
      </c>
      <c r="F651">
        <v>6.68</v>
      </c>
      <c r="G651" s="8">
        <f t="shared" si="10"/>
        <v>13.113772455089821</v>
      </c>
    </row>
    <row r="652" spans="1:7" x14ac:dyDescent="0.25">
      <c r="A652" s="5">
        <v>45810.40625</v>
      </c>
      <c r="B652">
        <v>13</v>
      </c>
      <c r="C652" t="s">
        <v>18</v>
      </c>
      <c r="D652" t="s">
        <v>19</v>
      </c>
      <c r="E652">
        <v>1.52</v>
      </c>
      <c r="F652">
        <v>7.33</v>
      </c>
      <c r="G652" s="8">
        <f t="shared" si="10"/>
        <v>12.442019099590723</v>
      </c>
    </row>
    <row r="653" spans="1:7" x14ac:dyDescent="0.25">
      <c r="A653" s="5">
        <v>45810.40625</v>
      </c>
      <c r="B653">
        <v>14</v>
      </c>
      <c r="C653" t="s">
        <v>19</v>
      </c>
      <c r="D653" t="s">
        <v>20</v>
      </c>
      <c r="E653">
        <v>1.51</v>
      </c>
      <c r="F653">
        <v>4.28</v>
      </c>
      <c r="G653" s="8">
        <f t="shared" si="10"/>
        <v>21.168224299065418</v>
      </c>
    </row>
    <row r="654" spans="1:7" x14ac:dyDescent="0.25">
      <c r="A654" s="5">
        <v>45810.40625</v>
      </c>
      <c r="B654">
        <v>15</v>
      </c>
      <c r="C654" t="s">
        <v>20</v>
      </c>
      <c r="D654" t="s">
        <v>21</v>
      </c>
      <c r="E654">
        <v>1.47</v>
      </c>
      <c r="F654">
        <v>2.78</v>
      </c>
      <c r="G654" s="8">
        <f t="shared" si="10"/>
        <v>31.726618705035975</v>
      </c>
    </row>
    <row r="655" spans="1:7" x14ac:dyDescent="0.25">
      <c r="A655" s="5">
        <v>45810.40625</v>
      </c>
      <c r="B655">
        <v>16</v>
      </c>
      <c r="C655" t="s">
        <v>21</v>
      </c>
      <c r="D655" t="s">
        <v>22</v>
      </c>
      <c r="E655">
        <v>1.5</v>
      </c>
      <c r="F655">
        <v>1.88</v>
      </c>
      <c r="G655" s="8">
        <f t="shared" si="10"/>
        <v>47.872340425531917</v>
      </c>
    </row>
    <row r="656" spans="1:7" x14ac:dyDescent="0.25">
      <c r="A656" s="5">
        <v>45810.40625</v>
      </c>
      <c r="B656">
        <v>17</v>
      </c>
      <c r="C656" t="s">
        <v>22</v>
      </c>
      <c r="D656" t="s">
        <v>23</v>
      </c>
      <c r="E656">
        <v>1.51</v>
      </c>
      <c r="F656">
        <v>3.18</v>
      </c>
      <c r="G656" s="8">
        <f t="shared" si="10"/>
        <v>28.490566037735846</v>
      </c>
    </row>
    <row r="657" spans="1:7" x14ac:dyDescent="0.25">
      <c r="A657" s="5">
        <v>45810.40625</v>
      </c>
      <c r="B657">
        <v>18</v>
      </c>
      <c r="C657" t="s">
        <v>23</v>
      </c>
      <c r="D657" t="s">
        <v>24</v>
      </c>
      <c r="E657">
        <v>1.51</v>
      </c>
      <c r="F657">
        <v>3.08</v>
      </c>
      <c r="G657" s="8">
        <f t="shared" si="10"/>
        <v>29.415584415584412</v>
      </c>
    </row>
    <row r="658" spans="1:7" x14ac:dyDescent="0.25">
      <c r="A658" s="5">
        <v>45810.40625</v>
      </c>
      <c r="B658">
        <v>19</v>
      </c>
      <c r="C658" t="s">
        <v>25</v>
      </c>
      <c r="D658" t="s">
        <v>26</v>
      </c>
      <c r="E658">
        <v>1.5</v>
      </c>
      <c r="F658">
        <v>3.97</v>
      </c>
      <c r="G658" s="8">
        <f t="shared" si="10"/>
        <v>22.670025188916874</v>
      </c>
    </row>
    <row r="659" spans="1:7" x14ac:dyDescent="0.25">
      <c r="A659" s="5">
        <v>45810.40625</v>
      </c>
      <c r="B659">
        <v>20</v>
      </c>
      <c r="C659" t="s">
        <v>26</v>
      </c>
      <c r="D659" t="s">
        <v>27</v>
      </c>
      <c r="E659">
        <v>1.48</v>
      </c>
      <c r="F659">
        <v>4.22</v>
      </c>
      <c r="G659" s="8">
        <f t="shared" si="10"/>
        <v>21.042654028436019</v>
      </c>
    </row>
    <row r="660" spans="1:7" x14ac:dyDescent="0.25">
      <c r="A660" s="5">
        <v>45810.40625</v>
      </c>
      <c r="B660">
        <v>21</v>
      </c>
      <c r="C660" t="s">
        <v>27</v>
      </c>
      <c r="D660" t="s">
        <v>28</v>
      </c>
      <c r="E660">
        <v>1.51</v>
      </c>
      <c r="F660">
        <v>3.93</v>
      </c>
      <c r="G660" s="8">
        <f t="shared" si="10"/>
        <v>23.053435114503813</v>
      </c>
    </row>
    <row r="661" spans="1:7" x14ac:dyDescent="0.25">
      <c r="A661" s="5">
        <v>45810.40625</v>
      </c>
      <c r="B661">
        <v>22</v>
      </c>
      <c r="C661" t="s">
        <v>28</v>
      </c>
      <c r="D661" t="s">
        <v>29</v>
      </c>
      <c r="E661">
        <v>1.57</v>
      </c>
      <c r="F661">
        <v>3.62</v>
      </c>
      <c r="G661" s="8">
        <f t="shared" si="10"/>
        <v>26.022099447513813</v>
      </c>
    </row>
    <row r="662" spans="1:7" x14ac:dyDescent="0.25">
      <c r="A662" s="5">
        <v>45810.40625</v>
      </c>
      <c r="B662">
        <v>23</v>
      </c>
      <c r="C662" t="s">
        <v>29</v>
      </c>
      <c r="D662" t="s">
        <v>30</v>
      </c>
      <c r="E662">
        <v>1.43</v>
      </c>
      <c r="F662">
        <v>4.0199999999999996</v>
      </c>
      <c r="G662" s="8">
        <f t="shared" si="10"/>
        <v>21.343283582089555</v>
      </c>
    </row>
    <row r="663" spans="1:7" x14ac:dyDescent="0.25">
      <c r="A663" s="5">
        <v>45810.40625</v>
      </c>
      <c r="B663">
        <v>24</v>
      </c>
      <c r="C663" t="s">
        <v>30</v>
      </c>
      <c r="D663" t="s">
        <v>31</v>
      </c>
      <c r="E663">
        <v>1.52</v>
      </c>
      <c r="F663">
        <v>3.27</v>
      </c>
      <c r="G663" s="8">
        <f t="shared" si="10"/>
        <v>27.889908256880734</v>
      </c>
    </row>
    <row r="664" spans="1:7" x14ac:dyDescent="0.25">
      <c r="A664" s="5">
        <v>45810.40625</v>
      </c>
      <c r="B664">
        <v>25</v>
      </c>
      <c r="C664" t="s">
        <v>31</v>
      </c>
      <c r="D664" t="s">
        <v>32</v>
      </c>
      <c r="E664">
        <v>1.52</v>
      </c>
      <c r="F664">
        <v>3.32</v>
      </c>
      <c r="G664" s="8">
        <f t="shared" si="10"/>
        <v>27.46987951807229</v>
      </c>
    </row>
    <row r="665" spans="1:7" x14ac:dyDescent="0.25">
      <c r="A665" s="5">
        <v>45810.40625</v>
      </c>
      <c r="B665">
        <v>26</v>
      </c>
      <c r="C665" t="s">
        <v>32</v>
      </c>
      <c r="D665" t="s">
        <v>33</v>
      </c>
      <c r="E665">
        <v>1.49</v>
      </c>
      <c r="F665">
        <v>4.75</v>
      </c>
      <c r="G665" s="8">
        <f t="shared" si="10"/>
        <v>18.821052631578947</v>
      </c>
    </row>
    <row r="666" spans="1:7" x14ac:dyDescent="0.25">
      <c r="A666" s="5">
        <v>45810.40625</v>
      </c>
      <c r="B666">
        <v>27</v>
      </c>
      <c r="C666" t="s">
        <v>33</v>
      </c>
      <c r="D666" t="s">
        <v>34</v>
      </c>
      <c r="E666">
        <v>1.53</v>
      </c>
      <c r="F666">
        <v>5.85</v>
      </c>
      <c r="G666" s="8">
        <f t="shared" si="10"/>
        <v>15.692307692307693</v>
      </c>
    </row>
    <row r="667" spans="1:7" x14ac:dyDescent="0.25">
      <c r="A667" s="5">
        <v>45810.40625</v>
      </c>
      <c r="B667">
        <v>28</v>
      </c>
      <c r="C667" t="s">
        <v>34</v>
      </c>
      <c r="D667" t="s">
        <v>35</v>
      </c>
      <c r="E667">
        <v>1.51</v>
      </c>
      <c r="F667">
        <v>4.2</v>
      </c>
      <c r="G667" s="8">
        <f t="shared" si="10"/>
        <v>21.571428571428569</v>
      </c>
    </row>
    <row r="668" spans="1:7" x14ac:dyDescent="0.25">
      <c r="A668" s="5">
        <v>45810.40625</v>
      </c>
      <c r="B668">
        <v>29</v>
      </c>
      <c r="C668" t="s">
        <v>36</v>
      </c>
      <c r="D668" t="s">
        <v>37</v>
      </c>
      <c r="E668">
        <v>1.57</v>
      </c>
      <c r="F668">
        <v>4.63</v>
      </c>
      <c r="G668" s="8">
        <f t="shared" si="10"/>
        <v>20.345572354211665</v>
      </c>
    </row>
    <row r="669" spans="1:7" x14ac:dyDescent="0.25">
      <c r="A669" s="5">
        <v>45810.40625</v>
      </c>
      <c r="B669">
        <v>30</v>
      </c>
      <c r="C669" t="s">
        <v>37</v>
      </c>
      <c r="D669" t="s">
        <v>38</v>
      </c>
      <c r="E669">
        <v>1.57</v>
      </c>
      <c r="F669">
        <v>5.78</v>
      </c>
      <c r="G669" s="8">
        <f t="shared" si="10"/>
        <v>16.297577854671282</v>
      </c>
    </row>
    <row r="670" spans="1:7" x14ac:dyDescent="0.25">
      <c r="A670" s="5">
        <v>45810.40625</v>
      </c>
      <c r="B670">
        <v>31</v>
      </c>
      <c r="C670" t="s">
        <v>38</v>
      </c>
      <c r="D670" t="s">
        <v>39</v>
      </c>
      <c r="E670">
        <v>1.52</v>
      </c>
      <c r="F670">
        <v>2.93</v>
      </c>
      <c r="G670" s="8">
        <f t="shared" si="10"/>
        <v>31.126279863481226</v>
      </c>
    </row>
    <row r="671" spans="1:7" x14ac:dyDescent="0.25">
      <c r="A671" s="5">
        <v>45810.40625</v>
      </c>
      <c r="B671">
        <v>32</v>
      </c>
      <c r="C671" t="s">
        <v>39</v>
      </c>
      <c r="D671" t="s">
        <v>40</v>
      </c>
      <c r="E671">
        <v>1.5</v>
      </c>
      <c r="F671">
        <v>1.8</v>
      </c>
      <c r="G671" s="8">
        <f t="shared" si="10"/>
        <v>50</v>
      </c>
    </row>
    <row r="672" spans="1:7" x14ac:dyDescent="0.25">
      <c r="A672" s="5">
        <v>45810.40625</v>
      </c>
      <c r="B672">
        <v>33</v>
      </c>
      <c r="C672" t="s">
        <v>40</v>
      </c>
      <c r="D672" t="s">
        <v>41</v>
      </c>
      <c r="E672">
        <v>1.51</v>
      </c>
      <c r="F672">
        <v>1.77</v>
      </c>
      <c r="G672" s="8">
        <f t="shared" si="10"/>
        <v>51.186440677966097</v>
      </c>
    </row>
    <row r="673" spans="1:7" x14ac:dyDescent="0.25">
      <c r="A673" s="5">
        <v>45810.40625</v>
      </c>
      <c r="B673">
        <v>34</v>
      </c>
      <c r="C673" t="s">
        <v>41</v>
      </c>
      <c r="D673" t="s">
        <v>42</v>
      </c>
      <c r="E673">
        <v>1.5</v>
      </c>
      <c r="F673">
        <v>1.93</v>
      </c>
      <c r="G673" s="8">
        <f t="shared" si="10"/>
        <v>46.632124352331608</v>
      </c>
    </row>
    <row r="674" spans="1:7" x14ac:dyDescent="0.25">
      <c r="A674" s="5">
        <v>45810.40625</v>
      </c>
      <c r="B674">
        <v>35</v>
      </c>
      <c r="C674" t="s">
        <v>43</v>
      </c>
      <c r="D674" t="s">
        <v>44</v>
      </c>
      <c r="E674">
        <v>1.55</v>
      </c>
      <c r="F674">
        <v>4.9800000000000004</v>
      </c>
      <c r="G674" s="8">
        <f t="shared" si="10"/>
        <v>18.674698795180721</v>
      </c>
    </row>
    <row r="675" spans="1:7" x14ac:dyDescent="0.25">
      <c r="A675" s="5">
        <v>45810.40625</v>
      </c>
      <c r="B675">
        <v>36</v>
      </c>
      <c r="C675" t="s">
        <v>44</v>
      </c>
      <c r="D675" t="s">
        <v>45</v>
      </c>
      <c r="E675">
        <v>1.5</v>
      </c>
      <c r="F675">
        <v>3.05</v>
      </c>
      <c r="G675" s="8">
        <f t="shared" si="10"/>
        <v>29.508196721311478</v>
      </c>
    </row>
    <row r="676" spans="1:7" x14ac:dyDescent="0.25">
      <c r="A676" s="5">
        <v>45810.40625</v>
      </c>
      <c r="B676">
        <v>37</v>
      </c>
      <c r="C676" t="s">
        <v>45</v>
      </c>
      <c r="D676" t="s">
        <v>46</v>
      </c>
      <c r="E676">
        <v>1.38</v>
      </c>
      <c r="F676">
        <v>3.83</v>
      </c>
      <c r="G676" s="8">
        <f t="shared" si="10"/>
        <v>21.618798955613578</v>
      </c>
    </row>
    <row r="677" spans="1:7" x14ac:dyDescent="0.25">
      <c r="A677" s="5">
        <v>45810.40625</v>
      </c>
      <c r="B677">
        <v>38</v>
      </c>
      <c r="C677" t="s">
        <v>46</v>
      </c>
      <c r="D677" t="s">
        <v>47</v>
      </c>
      <c r="E677">
        <v>1.61</v>
      </c>
      <c r="F677">
        <v>3.88</v>
      </c>
      <c r="G677" s="8">
        <f t="shared" si="10"/>
        <v>24.896907216494849</v>
      </c>
    </row>
    <row r="678" spans="1:7" x14ac:dyDescent="0.25">
      <c r="A678" s="5">
        <v>45810.40625</v>
      </c>
      <c r="B678">
        <v>39</v>
      </c>
      <c r="C678" t="s">
        <v>47</v>
      </c>
      <c r="D678" t="s">
        <v>48</v>
      </c>
      <c r="E678">
        <v>1.55</v>
      </c>
      <c r="F678">
        <v>3.42</v>
      </c>
      <c r="G678" s="8">
        <f t="shared" si="10"/>
        <v>27.192982456140353</v>
      </c>
    </row>
    <row r="679" spans="1:7" x14ac:dyDescent="0.25">
      <c r="A679" s="5">
        <v>45810.40625</v>
      </c>
      <c r="B679">
        <v>40</v>
      </c>
      <c r="C679" t="s">
        <v>48</v>
      </c>
      <c r="D679" t="s">
        <v>49</v>
      </c>
      <c r="E679">
        <v>1.39</v>
      </c>
      <c r="F679">
        <v>2.82</v>
      </c>
      <c r="G679" s="8">
        <f t="shared" si="10"/>
        <v>29.574468085106382</v>
      </c>
    </row>
    <row r="680" spans="1:7" x14ac:dyDescent="0.25">
      <c r="A680" s="5">
        <v>45810.40625</v>
      </c>
      <c r="B680">
        <v>41</v>
      </c>
      <c r="C680" t="s">
        <v>50</v>
      </c>
      <c r="D680" t="s">
        <v>51</v>
      </c>
      <c r="E680">
        <v>1.56</v>
      </c>
      <c r="F680">
        <v>4.6500000000000004</v>
      </c>
      <c r="G680" s="8">
        <f t="shared" si="10"/>
        <v>20.129032258064516</v>
      </c>
    </row>
    <row r="681" spans="1:7" x14ac:dyDescent="0.25">
      <c r="A681" s="5">
        <v>45810.40625</v>
      </c>
      <c r="B681">
        <v>42</v>
      </c>
      <c r="C681" t="s">
        <v>51</v>
      </c>
      <c r="D681" t="s">
        <v>52</v>
      </c>
      <c r="E681">
        <v>1.56</v>
      </c>
      <c r="F681">
        <v>3.83</v>
      </c>
      <c r="G681" s="8">
        <f t="shared" si="10"/>
        <v>24.438642297650134</v>
      </c>
    </row>
    <row r="682" spans="1:7" x14ac:dyDescent="0.25">
      <c r="A682" s="5">
        <v>45810.40625</v>
      </c>
      <c r="B682">
        <v>43</v>
      </c>
      <c r="C682" t="s">
        <v>52</v>
      </c>
      <c r="D682" t="s">
        <v>53</v>
      </c>
      <c r="E682">
        <v>1.51</v>
      </c>
      <c r="F682">
        <v>3.57</v>
      </c>
      <c r="G682" s="8">
        <f t="shared" si="10"/>
        <v>25.3781512605042</v>
      </c>
    </row>
    <row r="683" spans="1:7" x14ac:dyDescent="0.25">
      <c r="A683" s="5">
        <v>45810.40625</v>
      </c>
      <c r="B683">
        <v>44</v>
      </c>
      <c r="C683" t="s">
        <v>54</v>
      </c>
      <c r="D683" t="s">
        <v>55</v>
      </c>
      <c r="E683">
        <v>1.51</v>
      </c>
      <c r="F683">
        <v>4.67</v>
      </c>
      <c r="G683" s="8">
        <f t="shared" si="10"/>
        <v>19.400428265524624</v>
      </c>
    </row>
    <row r="684" spans="1:7" x14ac:dyDescent="0.25">
      <c r="A684" s="5">
        <v>45810.40625</v>
      </c>
      <c r="B684">
        <v>45</v>
      </c>
      <c r="C684" t="s">
        <v>55</v>
      </c>
      <c r="D684" t="s">
        <v>56</v>
      </c>
      <c r="E684">
        <v>1.49</v>
      </c>
      <c r="F684">
        <v>3.47</v>
      </c>
      <c r="G684" s="8">
        <f t="shared" si="10"/>
        <v>25.763688760806918</v>
      </c>
    </row>
    <row r="685" spans="1:7" x14ac:dyDescent="0.25">
      <c r="A685" s="5">
        <v>45810.40625</v>
      </c>
      <c r="B685">
        <v>46</v>
      </c>
      <c r="C685" t="s">
        <v>56</v>
      </c>
      <c r="D685" t="s">
        <v>57</v>
      </c>
      <c r="E685">
        <v>1.52</v>
      </c>
      <c r="F685">
        <v>3.85</v>
      </c>
      <c r="G685" s="8">
        <f t="shared" si="10"/>
        <v>23.688311688311689</v>
      </c>
    </row>
    <row r="686" spans="1:7" x14ac:dyDescent="0.25">
      <c r="A686" s="5">
        <v>45810.40625</v>
      </c>
      <c r="B686">
        <v>47</v>
      </c>
      <c r="C686" t="s">
        <v>58</v>
      </c>
      <c r="D686" t="s">
        <v>59</v>
      </c>
      <c r="E686">
        <v>1.52</v>
      </c>
      <c r="F686">
        <v>4.8</v>
      </c>
      <c r="G686" s="8">
        <f t="shared" si="10"/>
        <v>19</v>
      </c>
    </row>
    <row r="687" spans="1:7" x14ac:dyDescent="0.25">
      <c r="A687" s="5">
        <v>45810.40625</v>
      </c>
      <c r="B687">
        <v>48</v>
      </c>
      <c r="C687" t="s">
        <v>59</v>
      </c>
      <c r="D687" t="s">
        <v>60</v>
      </c>
      <c r="E687">
        <v>1.5</v>
      </c>
      <c r="F687">
        <v>3.75</v>
      </c>
      <c r="G687" s="8">
        <f t="shared" si="10"/>
        <v>24</v>
      </c>
    </row>
    <row r="688" spans="1:7" x14ac:dyDescent="0.25">
      <c r="A688" s="5">
        <v>45810.40625</v>
      </c>
      <c r="B688">
        <v>49</v>
      </c>
      <c r="C688" t="s">
        <v>60</v>
      </c>
      <c r="D688" t="s">
        <v>61</v>
      </c>
      <c r="E688">
        <v>1.54</v>
      </c>
      <c r="F688">
        <v>4.72</v>
      </c>
      <c r="G688" s="8">
        <f t="shared" si="10"/>
        <v>19.576271186440682</v>
      </c>
    </row>
    <row r="689" spans="1:7" x14ac:dyDescent="0.25">
      <c r="A689" s="5">
        <v>45810.40625</v>
      </c>
      <c r="B689">
        <v>50</v>
      </c>
      <c r="C689" t="s">
        <v>62</v>
      </c>
      <c r="D689" t="s">
        <v>63</v>
      </c>
      <c r="E689">
        <v>1.38</v>
      </c>
      <c r="F689">
        <v>3.03</v>
      </c>
      <c r="G689" s="8">
        <f t="shared" si="10"/>
        <v>27.326732673267326</v>
      </c>
    </row>
    <row r="690" spans="1:7" x14ac:dyDescent="0.25">
      <c r="A690" s="5">
        <v>45810.40625</v>
      </c>
      <c r="B690">
        <v>51</v>
      </c>
      <c r="C690" t="s">
        <v>63</v>
      </c>
      <c r="D690" t="s">
        <v>64</v>
      </c>
      <c r="E690">
        <v>2.79</v>
      </c>
      <c r="F690">
        <v>5.6</v>
      </c>
      <c r="G690" s="8">
        <f t="shared" si="10"/>
        <v>29.892857142857146</v>
      </c>
    </row>
    <row r="691" spans="1:7" x14ac:dyDescent="0.25">
      <c r="A691" s="5">
        <v>45810.40625</v>
      </c>
      <c r="B691">
        <v>52</v>
      </c>
      <c r="C691" t="s">
        <v>64</v>
      </c>
      <c r="D691" t="s">
        <v>65</v>
      </c>
      <c r="E691">
        <v>1.5</v>
      </c>
      <c r="F691">
        <v>2.82</v>
      </c>
      <c r="G691" s="8">
        <f t="shared" si="10"/>
        <v>31.914893617021278</v>
      </c>
    </row>
    <row r="692" spans="1:7" x14ac:dyDescent="0.25">
      <c r="A692" s="5">
        <v>45810.40625</v>
      </c>
      <c r="B692">
        <v>53</v>
      </c>
      <c r="C692" t="s">
        <v>65</v>
      </c>
      <c r="D692" t="s">
        <v>66</v>
      </c>
      <c r="E692">
        <v>1.46</v>
      </c>
      <c r="F692">
        <v>3.72</v>
      </c>
      <c r="G692" s="8">
        <f t="shared" si="10"/>
        <v>23.548387096774192</v>
      </c>
    </row>
    <row r="693" spans="1:7" x14ac:dyDescent="0.25">
      <c r="A693" s="5">
        <v>45810.40625</v>
      </c>
      <c r="B693">
        <v>54</v>
      </c>
      <c r="C693" t="s">
        <v>67</v>
      </c>
      <c r="D693" t="s">
        <v>68</v>
      </c>
      <c r="E693">
        <v>1.46</v>
      </c>
      <c r="F693">
        <v>4.3</v>
      </c>
      <c r="G693" s="8">
        <f t="shared" si="10"/>
        <v>20.372093023255815</v>
      </c>
    </row>
    <row r="694" spans="1:7" x14ac:dyDescent="0.25">
      <c r="A694" s="5">
        <v>45810.40625</v>
      </c>
      <c r="B694">
        <v>55</v>
      </c>
      <c r="C694" t="s">
        <v>68</v>
      </c>
      <c r="D694" t="s">
        <v>69</v>
      </c>
      <c r="E694">
        <v>1.5</v>
      </c>
      <c r="F694">
        <v>2.17</v>
      </c>
      <c r="G694" s="8">
        <f t="shared" si="10"/>
        <v>41.474654377880185</v>
      </c>
    </row>
    <row r="695" spans="1:7" x14ac:dyDescent="0.25">
      <c r="A695" s="5">
        <v>45810.40625</v>
      </c>
      <c r="B695">
        <v>56</v>
      </c>
      <c r="C695" t="s">
        <v>70</v>
      </c>
      <c r="D695" t="s">
        <v>71</v>
      </c>
      <c r="E695">
        <v>1.51</v>
      </c>
      <c r="F695">
        <v>6.72</v>
      </c>
      <c r="G695" s="8">
        <f t="shared" si="10"/>
        <v>13.482142857142858</v>
      </c>
    </row>
    <row r="696" spans="1:7" x14ac:dyDescent="0.25">
      <c r="A696" s="5">
        <v>45810.40625</v>
      </c>
      <c r="B696">
        <v>57</v>
      </c>
      <c r="C696" t="s">
        <v>71</v>
      </c>
      <c r="D696" t="s">
        <v>72</v>
      </c>
      <c r="E696">
        <v>1.52</v>
      </c>
      <c r="F696">
        <v>4.4000000000000004</v>
      </c>
      <c r="G696" s="8">
        <f t="shared" si="10"/>
        <v>20.727272727272727</v>
      </c>
    </row>
    <row r="697" spans="1:7" x14ac:dyDescent="0.25">
      <c r="A697" s="5">
        <v>45810.40625</v>
      </c>
      <c r="B697">
        <v>58</v>
      </c>
      <c r="C697" t="s">
        <v>72</v>
      </c>
      <c r="D697" t="s">
        <v>73</v>
      </c>
      <c r="E697">
        <v>1.5</v>
      </c>
      <c r="F697">
        <v>3.97</v>
      </c>
      <c r="G697" s="8">
        <f t="shared" si="10"/>
        <v>22.670025188916874</v>
      </c>
    </row>
    <row r="698" spans="1:7" x14ac:dyDescent="0.25">
      <c r="A698" s="5">
        <v>45810.416666666664</v>
      </c>
      <c r="B698">
        <v>1</v>
      </c>
      <c r="C698" t="s">
        <v>6</v>
      </c>
      <c r="D698" t="s">
        <v>7</v>
      </c>
      <c r="E698">
        <v>1.53</v>
      </c>
      <c r="F698">
        <v>3.1</v>
      </c>
      <c r="G698" s="8">
        <f t="shared" si="10"/>
        <v>29.612903225806448</v>
      </c>
    </row>
    <row r="699" spans="1:7" x14ac:dyDescent="0.25">
      <c r="A699" s="5">
        <v>45810.416666666664</v>
      </c>
      <c r="B699">
        <v>2</v>
      </c>
      <c r="C699" t="s">
        <v>7</v>
      </c>
      <c r="D699" t="s">
        <v>8</v>
      </c>
      <c r="E699">
        <v>1.57</v>
      </c>
      <c r="F699">
        <v>5.07</v>
      </c>
      <c r="G699" s="8">
        <f t="shared" si="10"/>
        <v>18.579881656804734</v>
      </c>
    </row>
    <row r="700" spans="1:7" x14ac:dyDescent="0.25">
      <c r="A700" s="5">
        <v>45810.416666666664</v>
      </c>
      <c r="B700">
        <v>3</v>
      </c>
      <c r="C700" t="s">
        <v>8</v>
      </c>
      <c r="D700" t="s">
        <v>9</v>
      </c>
      <c r="E700">
        <v>1.5</v>
      </c>
      <c r="F700">
        <v>2.93</v>
      </c>
      <c r="G700" s="8">
        <f t="shared" si="10"/>
        <v>30.716723549488052</v>
      </c>
    </row>
    <row r="701" spans="1:7" x14ac:dyDescent="0.25">
      <c r="A701" s="5">
        <v>45810.416666666664</v>
      </c>
      <c r="B701">
        <v>4</v>
      </c>
      <c r="C701" t="s">
        <v>9</v>
      </c>
      <c r="D701" t="s">
        <v>10</v>
      </c>
      <c r="E701">
        <v>1.5</v>
      </c>
      <c r="F701">
        <v>2.88</v>
      </c>
      <c r="G701" s="8">
        <f t="shared" si="10"/>
        <v>31.25</v>
      </c>
    </row>
    <row r="702" spans="1:7" x14ac:dyDescent="0.25">
      <c r="A702" s="5">
        <v>45810.416666666664</v>
      </c>
      <c r="B702">
        <v>5</v>
      </c>
      <c r="C702" t="s">
        <v>10</v>
      </c>
      <c r="D702" t="s">
        <v>11</v>
      </c>
      <c r="E702">
        <v>1.52</v>
      </c>
      <c r="F702">
        <v>3.53</v>
      </c>
      <c r="G702" s="8">
        <f t="shared" si="10"/>
        <v>25.835694050991503</v>
      </c>
    </row>
    <row r="703" spans="1:7" x14ac:dyDescent="0.25">
      <c r="A703" s="5">
        <v>45810.416666666664</v>
      </c>
      <c r="B703">
        <v>6</v>
      </c>
      <c r="C703" t="s">
        <v>11</v>
      </c>
      <c r="D703" t="s">
        <v>12</v>
      </c>
      <c r="E703">
        <v>1.5</v>
      </c>
      <c r="F703">
        <v>2.68</v>
      </c>
      <c r="G703" s="8">
        <f t="shared" si="10"/>
        <v>33.582089552238806</v>
      </c>
    </row>
    <row r="704" spans="1:7" x14ac:dyDescent="0.25">
      <c r="A704" s="5">
        <v>45810.416666666664</v>
      </c>
      <c r="B704">
        <v>7</v>
      </c>
      <c r="C704" t="s">
        <v>12</v>
      </c>
      <c r="D704" t="s">
        <v>13</v>
      </c>
      <c r="E704">
        <v>1.54</v>
      </c>
      <c r="F704">
        <v>2.7</v>
      </c>
      <c r="G704" s="8">
        <f t="shared" si="10"/>
        <v>34.222222222222221</v>
      </c>
    </row>
    <row r="705" spans="1:7" x14ac:dyDescent="0.25">
      <c r="A705" s="5">
        <v>45810.416666666664</v>
      </c>
      <c r="B705">
        <v>8</v>
      </c>
      <c r="C705" t="s">
        <v>13</v>
      </c>
      <c r="D705" t="s">
        <v>14</v>
      </c>
      <c r="E705">
        <v>1.54</v>
      </c>
      <c r="F705">
        <v>3.22</v>
      </c>
      <c r="G705" s="8">
        <f t="shared" si="10"/>
        <v>28.695652173913043</v>
      </c>
    </row>
    <row r="706" spans="1:7" x14ac:dyDescent="0.25">
      <c r="A706" s="5">
        <v>45810.416666666664</v>
      </c>
      <c r="B706">
        <v>9</v>
      </c>
      <c r="C706" t="s">
        <v>14</v>
      </c>
      <c r="D706" t="s">
        <v>15</v>
      </c>
      <c r="E706">
        <v>1.52</v>
      </c>
      <c r="F706">
        <v>5.82</v>
      </c>
      <c r="G706" s="8">
        <f t="shared" si="10"/>
        <v>15.670103092783505</v>
      </c>
    </row>
    <row r="707" spans="1:7" x14ac:dyDescent="0.25">
      <c r="A707" s="5">
        <v>45810.416666666664</v>
      </c>
      <c r="B707">
        <v>10</v>
      </c>
      <c r="C707" t="s">
        <v>15</v>
      </c>
      <c r="D707" t="s">
        <v>16</v>
      </c>
      <c r="E707">
        <v>1.5</v>
      </c>
      <c r="F707">
        <v>4.42</v>
      </c>
      <c r="G707" s="8">
        <f t="shared" ref="G707:G770" si="11">E707*60/F707</f>
        <v>20.361990950226243</v>
      </c>
    </row>
    <row r="708" spans="1:7" x14ac:dyDescent="0.25">
      <c r="A708" s="5">
        <v>45810.416666666664</v>
      </c>
      <c r="B708">
        <v>11</v>
      </c>
      <c r="C708" t="s">
        <v>16</v>
      </c>
      <c r="D708" t="s">
        <v>17</v>
      </c>
      <c r="E708">
        <v>1.48</v>
      </c>
      <c r="F708">
        <v>2.7</v>
      </c>
      <c r="G708" s="8">
        <f t="shared" si="11"/>
        <v>32.888888888888886</v>
      </c>
    </row>
    <row r="709" spans="1:7" x14ac:dyDescent="0.25">
      <c r="A709" s="5">
        <v>45810.416666666664</v>
      </c>
      <c r="B709">
        <v>12</v>
      </c>
      <c r="C709" t="s">
        <v>17</v>
      </c>
      <c r="D709" t="s">
        <v>18</v>
      </c>
      <c r="E709">
        <v>1.46</v>
      </c>
      <c r="F709">
        <v>7.73</v>
      </c>
      <c r="G709" s="8">
        <f t="shared" si="11"/>
        <v>11.33247089262613</v>
      </c>
    </row>
    <row r="710" spans="1:7" x14ac:dyDescent="0.25">
      <c r="A710" s="5">
        <v>45810.416666666664</v>
      </c>
      <c r="B710">
        <v>13</v>
      </c>
      <c r="C710" t="s">
        <v>18</v>
      </c>
      <c r="D710" t="s">
        <v>19</v>
      </c>
      <c r="E710">
        <v>1.52</v>
      </c>
      <c r="F710">
        <v>5.95</v>
      </c>
      <c r="G710" s="8">
        <f t="shared" si="11"/>
        <v>15.327731092436975</v>
      </c>
    </row>
    <row r="711" spans="1:7" x14ac:dyDescent="0.25">
      <c r="A711" s="5">
        <v>45810.416666666664</v>
      </c>
      <c r="B711">
        <v>14</v>
      </c>
      <c r="C711" t="s">
        <v>19</v>
      </c>
      <c r="D711" t="s">
        <v>20</v>
      </c>
      <c r="E711">
        <v>1.51</v>
      </c>
      <c r="F711">
        <v>3.92</v>
      </c>
      <c r="G711" s="8">
        <f t="shared" si="11"/>
        <v>23.112244897959183</v>
      </c>
    </row>
    <row r="712" spans="1:7" x14ac:dyDescent="0.25">
      <c r="A712" s="5">
        <v>45810.416666666664</v>
      </c>
      <c r="B712">
        <v>15</v>
      </c>
      <c r="C712" t="s">
        <v>20</v>
      </c>
      <c r="D712" t="s">
        <v>21</v>
      </c>
      <c r="E712">
        <v>1.47</v>
      </c>
      <c r="F712">
        <v>2.93</v>
      </c>
      <c r="G712" s="8">
        <f t="shared" si="11"/>
        <v>30.102389078498295</v>
      </c>
    </row>
    <row r="713" spans="1:7" x14ac:dyDescent="0.25">
      <c r="A713" s="5">
        <v>45810.416666666664</v>
      </c>
      <c r="B713">
        <v>16</v>
      </c>
      <c r="C713" t="s">
        <v>21</v>
      </c>
      <c r="D713" t="s">
        <v>22</v>
      </c>
      <c r="E713">
        <v>1.5</v>
      </c>
      <c r="F713">
        <v>1.93</v>
      </c>
      <c r="G713" s="8">
        <f t="shared" si="11"/>
        <v>46.632124352331608</v>
      </c>
    </row>
    <row r="714" spans="1:7" x14ac:dyDescent="0.25">
      <c r="A714" s="5">
        <v>45810.416666666664</v>
      </c>
      <c r="B714">
        <v>17</v>
      </c>
      <c r="C714" t="s">
        <v>22</v>
      </c>
      <c r="D714" t="s">
        <v>23</v>
      </c>
      <c r="E714">
        <v>1.51</v>
      </c>
      <c r="F714">
        <v>3.03</v>
      </c>
      <c r="G714" s="8">
        <f t="shared" si="11"/>
        <v>29.900990099009903</v>
      </c>
    </row>
    <row r="715" spans="1:7" x14ac:dyDescent="0.25">
      <c r="A715" s="5">
        <v>45810.416666666664</v>
      </c>
      <c r="B715">
        <v>18</v>
      </c>
      <c r="C715" t="s">
        <v>23</v>
      </c>
      <c r="D715" t="s">
        <v>24</v>
      </c>
      <c r="E715">
        <v>1.51</v>
      </c>
      <c r="F715">
        <v>3.15</v>
      </c>
      <c r="G715" s="8">
        <f t="shared" si="11"/>
        <v>28.761904761904759</v>
      </c>
    </row>
    <row r="716" spans="1:7" x14ac:dyDescent="0.25">
      <c r="A716" s="5">
        <v>45810.416666666664</v>
      </c>
      <c r="B716">
        <v>19</v>
      </c>
      <c r="C716" t="s">
        <v>25</v>
      </c>
      <c r="D716" t="s">
        <v>26</v>
      </c>
      <c r="E716">
        <v>1.5</v>
      </c>
      <c r="F716">
        <v>4.13</v>
      </c>
      <c r="G716" s="8">
        <f t="shared" si="11"/>
        <v>21.791767554479421</v>
      </c>
    </row>
    <row r="717" spans="1:7" x14ac:dyDescent="0.25">
      <c r="A717" s="5">
        <v>45810.416666666664</v>
      </c>
      <c r="B717">
        <v>20</v>
      </c>
      <c r="C717" t="s">
        <v>26</v>
      </c>
      <c r="D717" t="s">
        <v>27</v>
      </c>
      <c r="E717">
        <v>1.48</v>
      </c>
      <c r="F717">
        <v>3.8</v>
      </c>
      <c r="G717" s="8">
        <f t="shared" si="11"/>
        <v>23.368421052631579</v>
      </c>
    </row>
    <row r="718" spans="1:7" x14ac:dyDescent="0.25">
      <c r="A718" s="5">
        <v>45810.416666666664</v>
      </c>
      <c r="B718">
        <v>21</v>
      </c>
      <c r="C718" t="s">
        <v>27</v>
      </c>
      <c r="D718" t="s">
        <v>28</v>
      </c>
      <c r="E718">
        <v>1.51</v>
      </c>
      <c r="F718">
        <v>3.98</v>
      </c>
      <c r="G718" s="8">
        <f t="shared" si="11"/>
        <v>22.763819095477384</v>
      </c>
    </row>
    <row r="719" spans="1:7" x14ac:dyDescent="0.25">
      <c r="A719" s="5">
        <v>45810.416666666664</v>
      </c>
      <c r="B719">
        <v>22</v>
      </c>
      <c r="C719" t="s">
        <v>28</v>
      </c>
      <c r="D719" t="s">
        <v>29</v>
      </c>
      <c r="E719">
        <v>1.57</v>
      </c>
      <c r="F719">
        <v>3.8</v>
      </c>
      <c r="G719" s="8">
        <f t="shared" si="11"/>
        <v>24.789473684210527</v>
      </c>
    </row>
    <row r="720" spans="1:7" x14ac:dyDescent="0.25">
      <c r="A720" s="5">
        <v>45810.416666666664</v>
      </c>
      <c r="B720">
        <v>23</v>
      </c>
      <c r="C720" t="s">
        <v>29</v>
      </c>
      <c r="D720" t="s">
        <v>30</v>
      </c>
      <c r="E720">
        <v>1.43</v>
      </c>
      <c r="F720">
        <v>6.18</v>
      </c>
      <c r="G720" s="8">
        <f t="shared" si="11"/>
        <v>13.883495145631068</v>
      </c>
    </row>
    <row r="721" spans="1:7" x14ac:dyDescent="0.25">
      <c r="A721" s="5">
        <v>45810.416666666664</v>
      </c>
      <c r="B721">
        <v>24</v>
      </c>
      <c r="C721" t="s">
        <v>30</v>
      </c>
      <c r="D721" t="s">
        <v>31</v>
      </c>
      <c r="E721">
        <v>1.52</v>
      </c>
      <c r="F721">
        <v>3.45</v>
      </c>
      <c r="G721" s="8">
        <f t="shared" si="11"/>
        <v>26.434782608695652</v>
      </c>
    </row>
    <row r="722" spans="1:7" x14ac:dyDescent="0.25">
      <c r="A722" s="5">
        <v>45810.416666666664</v>
      </c>
      <c r="B722">
        <v>25</v>
      </c>
      <c r="C722" t="s">
        <v>31</v>
      </c>
      <c r="D722" t="s">
        <v>32</v>
      </c>
      <c r="E722">
        <v>1.52</v>
      </c>
      <c r="F722">
        <v>3.42</v>
      </c>
      <c r="G722" s="8">
        <f t="shared" si="11"/>
        <v>26.666666666666668</v>
      </c>
    </row>
    <row r="723" spans="1:7" x14ac:dyDescent="0.25">
      <c r="A723" s="5">
        <v>45810.416666666664</v>
      </c>
      <c r="B723">
        <v>26</v>
      </c>
      <c r="C723" t="s">
        <v>32</v>
      </c>
      <c r="D723" t="s">
        <v>33</v>
      </c>
      <c r="E723">
        <v>1.49</v>
      </c>
      <c r="F723">
        <v>3.87</v>
      </c>
      <c r="G723" s="8">
        <f t="shared" si="11"/>
        <v>23.100775193798452</v>
      </c>
    </row>
    <row r="724" spans="1:7" x14ac:dyDescent="0.25">
      <c r="A724" s="5">
        <v>45810.416666666664</v>
      </c>
      <c r="B724">
        <v>27</v>
      </c>
      <c r="C724" t="s">
        <v>33</v>
      </c>
      <c r="D724" t="s">
        <v>34</v>
      </c>
      <c r="E724">
        <v>1.53</v>
      </c>
      <c r="F724">
        <v>5.67</v>
      </c>
      <c r="G724" s="8">
        <f t="shared" si="11"/>
        <v>16.19047619047619</v>
      </c>
    </row>
    <row r="725" spans="1:7" x14ac:dyDescent="0.25">
      <c r="A725" s="5">
        <v>45810.416666666664</v>
      </c>
      <c r="B725">
        <v>28</v>
      </c>
      <c r="C725" t="s">
        <v>34</v>
      </c>
      <c r="D725" t="s">
        <v>35</v>
      </c>
      <c r="E725">
        <v>1.51</v>
      </c>
      <c r="F725">
        <v>4.12</v>
      </c>
      <c r="G725" s="8">
        <f t="shared" si="11"/>
        <v>21.990291262135919</v>
      </c>
    </row>
    <row r="726" spans="1:7" x14ac:dyDescent="0.25">
      <c r="A726" s="5">
        <v>45810.416666666664</v>
      </c>
      <c r="B726">
        <v>29</v>
      </c>
      <c r="C726" t="s">
        <v>36</v>
      </c>
      <c r="D726" t="s">
        <v>37</v>
      </c>
      <c r="E726">
        <v>1.57</v>
      </c>
      <c r="F726">
        <v>4.5999999999999996</v>
      </c>
      <c r="G726" s="8">
        <f t="shared" si="11"/>
        <v>20.478260869565219</v>
      </c>
    </row>
    <row r="727" spans="1:7" x14ac:dyDescent="0.25">
      <c r="A727" s="5">
        <v>45810.416666666664</v>
      </c>
      <c r="B727">
        <v>30</v>
      </c>
      <c r="C727" t="s">
        <v>37</v>
      </c>
      <c r="D727" t="s">
        <v>38</v>
      </c>
      <c r="E727">
        <v>1.57</v>
      </c>
      <c r="F727">
        <v>5.72</v>
      </c>
      <c r="G727" s="8">
        <f t="shared" si="11"/>
        <v>16.46853146853147</v>
      </c>
    </row>
    <row r="728" spans="1:7" x14ac:dyDescent="0.25">
      <c r="A728" s="5">
        <v>45810.416666666664</v>
      </c>
      <c r="B728">
        <v>31</v>
      </c>
      <c r="C728" t="s">
        <v>38</v>
      </c>
      <c r="D728" t="s">
        <v>39</v>
      </c>
      <c r="E728">
        <v>1.52</v>
      </c>
      <c r="F728">
        <v>2.72</v>
      </c>
      <c r="G728" s="8">
        <f t="shared" si="11"/>
        <v>33.529411764705884</v>
      </c>
    </row>
    <row r="729" spans="1:7" x14ac:dyDescent="0.25">
      <c r="A729" s="5">
        <v>45810.416666666664</v>
      </c>
      <c r="B729">
        <v>32</v>
      </c>
      <c r="C729" t="s">
        <v>39</v>
      </c>
      <c r="D729" t="s">
        <v>40</v>
      </c>
      <c r="E729">
        <v>1.5</v>
      </c>
      <c r="F729">
        <v>1.8</v>
      </c>
      <c r="G729" s="8">
        <f t="shared" si="11"/>
        <v>50</v>
      </c>
    </row>
    <row r="730" spans="1:7" x14ac:dyDescent="0.25">
      <c r="A730" s="5">
        <v>45810.416666666664</v>
      </c>
      <c r="B730">
        <v>33</v>
      </c>
      <c r="C730" t="s">
        <v>40</v>
      </c>
      <c r="D730" t="s">
        <v>41</v>
      </c>
      <c r="E730">
        <v>1.51</v>
      </c>
      <c r="F730">
        <v>1.83</v>
      </c>
      <c r="G730" s="8">
        <f t="shared" si="11"/>
        <v>49.508196721311471</v>
      </c>
    </row>
    <row r="731" spans="1:7" x14ac:dyDescent="0.25">
      <c r="A731" s="5">
        <v>45810.416666666664</v>
      </c>
      <c r="B731">
        <v>34</v>
      </c>
      <c r="C731" t="s">
        <v>41</v>
      </c>
      <c r="D731" t="s">
        <v>42</v>
      </c>
      <c r="E731">
        <v>1.5</v>
      </c>
      <c r="F731">
        <v>1.85</v>
      </c>
      <c r="G731" s="8">
        <f t="shared" si="11"/>
        <v>48.648648648648646</v>
      </c>
    </row>
    <row r="732" spans="1:7" x14ac:dyDescent="0.25">
      <c r="A732" s="5">
        <v>45810.416666666664</v>
      </c>
      <c r="B732">
        <v>35</v>
      </c>
      <c r="C732" t="s">
        <v>43</v>
      </c>
      <c r="D732" t="s">
        <v>44</v>
      </c>
      <c r="E732">
        <v>1.55</v>
      </c>
      <c r="F732">
        <v>4.08</v>
      </c>
      <c r="G732" s="8">
        <f t="shared" si="11"/>
        <v>22.794117647058822</v>
      </c>
    </row>
    <row r="733" spans="1:7" x14ac:dyDescent="0.25">
      <c r="A733" s="5">
        <v>45810.416666666664</v>
      </c>
      <c r="B733">
        <v>36</v>
      </c>
      <c r="C733" t="s">
        <v>44</v>
      </c>
      <c r="D733" t="s">
        <v>45</v>
      </c>
      <c r="E733">
        <v>1.5</v>
      </c>
      <c r="F733">
        <v>3.02</v>
      </c>
      <c r="G733" s="8">
        <f t="shared" si="11"/>
        <v>29.801324503311257</v>
      </c>
    </row>
    <row r="734" spans="1:7" x14ac:dyDescent="0.25">
      <c r="A734" s="5">
        <v>45810.416666666664</v>
      </c>
      <c r="B734">
        <v>37</v>
      </c>
      <c r="C734" t="s">
        <v>45</v>
      </c>
      <c r="D734" t="s">
        <v>46</v>
      </c>
      <c r="E734">
        <v>1.38</v>
      </c>
      <c r="F734">
        <v>3.98</v>
      </c>
      <c r="G734" s="8">
        <f t="shared" si="11"/>
        <v>20.804020100502512</v>
      </c>
    </row>
    <row r="735" spans="1:7" x14ac:dyDescent="0.25">
      <c r="A735" s="5">
        <v>45810.416666666664</v>
      </c>
      <c r="B735">
        <v>38</v>
      </c>
      <c r="C735" t="s">
        <v>46</v>
      </c>
      <c r="D735" t="s">
        <v>47</v>
      </c>
      <c r="E735">
        <v>1.61</v>
      </c>
      <c r="F735">
        <v>3.82</v>
      </c>
      <c r="G735" s="8">
        <f t="shared" si="11"/>
        <v>25.287958115183251</v>
      </c>
    </row>
    <row r="736" spans="1:7" x14ac:dyDescent="0.25">
      <c r="A736" s="5">
        <v>45810.416666666664</v>
      </c>
      <c r="B736">
        <v>39</v>
      </c>
      <c r="C736" t="s">
        <v>47</v>
      </c>
      <c r="D736" t="s">
        <v>48</v>
      </c>
      <c r="E736">
        <v>1.55</v>
      </c>
      <c r="F736">
        <v>3.47</v>
      </c>
      <c r="G736" s="8">
        <f t="shared" si="11"/>
        <v>26.801152737752158</v>
      </c>
    </row>
    <row r="737" spans="1:7" x14ac:dyDescent="0.25">
      <c r="A737" s="5">
        <v>45810.416666666664</v>
      </c>
      <c r="B737">
        <v>40</v>
      </c>
      <c r="C737" t="s">
        <v>48</v>
      </c>
      <c r="D737" t="s">
        <v>49</v>
      </c>
      <c r="E737">
        <v>1.39</v>
      </c>
      <c r="F737">
        <v>2.77</v>
      </c>
      <c r="G737" s="8">
        <f t="shared" si="11"/>
        <v>30.108303249097471</v>
      </c>
    </row>
    <row r="738" spans="1:7" x14ac:dyDescent="0.25">
      <c r="A738" s="5">
        <v>45810.416666666664</v>
      </c>
      <c r="B738">
        <v>41</v>
      </c>
      <c r="C738" t="s">
        <v>50</v>
      </c>
      <c r="D738" t="s">
        <v>51</v>
      </c>
      <c r="E738">
        <v>1.56</v>
      </c>
      <c r="F738">
        <v>4.62</v>
      </c>
      <c r="G738" s="8">
        <f t="shared" si="11"/>
        <v>20.259740259740262</v>
      </c>
    </row>
    <row r="739" spans="1:7" x14ac:dyDescent="0.25">
      <c r="A739" s="5">
        <v>45810.416666666664</v>
      </c>
      <c r="B739">
        <v>42</v>
      </c>
      <c r="C739" t="s">
        <v>51</v>
      </c>
      <c r="D739" t="s">
        <v>52</v>
      </c>
      <c r="E739">
        <v>1.56</v>
      </c>
      <c r="F739">
        <v>3.92</v>
      </c>
      <c r="G739" s="8">
        <f t="shared" si="11"/>
        <v>23.877551020408166</v>
      </c>
    </row>
    <row r="740" spans="1:7" x14ac:dyDescent="0.25">
      <c r="A740" s="5">
        <v>45810.416666666664</v>
      </c>
      <c r="B740">
        <v>43</v>
      </c>
      <c r="C740" t="s">
        <v>52</v>
      </c>
      <c r="D740" t="s">
        <v>53</v>
      </c>
      <c r="E740">
        <v>1.51</v>
      </c>
      <c r="F740">
        <v>3.42</v>
      </c>
      <c r="G740" s="8">
        <f t="shared" si="11"/>
        <v>26.491228070175438</v>
      </c>
    </row>
    <row r="741" spans="1:7" x14ac:dyDescent="0.25">
      <c r="A741" s="5">
        <v>45810.416666666664</v>
      </c>
      <c r="B741">
        <v>44</v>
      </c>
      <c r="C741" t="s">
        <v>54</v>
      </c>
      <c r="D741" t="s">
        <v>55</v>
      </c>
      <c r="E741">
        <v>1.51</v>
      </c>
      <c r="F741">
        <v>4.62</v>
      </c>
      <c r="G741" s="8">
        <f t="shared" si="11"/>
        <v>19.61038961038961</v>
      </c>
    </row>
    <row r="742" spans="1:7" x14ac:dyDescent="0.25">
      <c r="A742" s="5">
        <v>45810.416666666664</v>
      </c>
      <c r="B742">
        <v>45</v>
      </c>
      <c r="C742" t="s">
        <v>55</v>
      </c>
      <c r="D742" t="s">
        <v>56</v>
      </c>
      <c r="E742">
        <v>1.49</v>
      </c>
      <c r="F742">
        <v>3.45</v>
      </c>
      <c r="G742" s="8">
        <f t="shared" si="11"/>
        <v>25.913043478260871</v>
      </c>
    </row>
    <row r="743" spans="1:7" x14ac:dyDescent="0.25">
      <c r="A743" s="5">
        <v>45810.416666666664</v>
      </c>
      <c r="B743">
        <v>46</v>
      </c>
      <c r="C743" t="s">
        <v>56</v>
      </c>
      <c r="D743" t="s">
        <v>57</v>
      </c>
      <c r="E743">
        <v>1.52</v>
      </c>
      <c r="F743">
        <v>3.75</v>
      </c>
      <c r="G743" s="8">
        <f t="shared" si="11"/>
        <v>24.32</v>
      </c>
    </row>
    <row r="744" spans="1:7" x14ac:dyDescent="0.25">
      <c r="A744" s="5">
        <v>45810.416666666664</v>
      </c>
      <c r="B744">
        <v>47</v>
      </c>
      <c r="C744" t="s">
        <v>58</v>
      </c>
      <c r="D744" t="s">
        <v>59</v>
      </c>
      <c r="E744">
        <v>1.52</v>
      </c>
      <c r="F744">
        <v>5.43</v>
      </c>
      <c r="G744" s="8">
        <f t="shared" si="11"/>
        <v>16.795580110497237</v>
      </c>
    </row>
    <row r="745" spans="1:7" x14ac:dyDescent="0.25">
      <c r="A745" s="5">
        <v>45810.416666666664</v>
      </c>
      <c r="B745">
        <v>48</v>
      </c>
      <c r="C745" t="s">
        <v>59</v>
      </c>
      <c r="D745" t="s">
        <v>60</v>
      </c>
      <c r="E745">
        <v>1.5</v>
      </c>
      <c r="F745">
        <v>3.68</v>
      </c>
      <c r="G745" s="8">
        <f t="shared" si="11"/>
        <v>24.456521739130434</v>
      </c>
    </row>
    <row r="746" spans="1:7" x14ac:dyDescent="0.25">
      <c r="A746" s="5">
        <v>45810.416666666664</v>
      </c>
      <c r="B746">
        <v>49</v>
      </c>
      <c r="C746" t="s">
        <v>60</v>
      </c>
      <c r="D746" t="s">
        <v>61</v>
      </c>
      <c r="E746">
        <v>1.54</v>
      </c>
      <c r="F746">
        <v>3.92</v>
      </c>
      <c r="G746" s="8">
        <f t="shared" si="11"/>
        <v>23.571428571428573</v>
      </c>
    </row>
    <row r="747" spans="1:7" x14ac:dyDescent="0.25">
      <c r="A747" s="5">
        <v>45810.416666666664</v>
      </c>
      <c r="B747">
        <v>50</v>
      </c>
      <c r="C747" t="s">
        <v>62</v>
      </c>
      <c r="D747" t="s">
        <v>63</v>
      </c>
      <c r="E747">
        <v>1.38</v>
      </c>
      <c r="F747">
        <v>3.02</v>
      </c>
      <c r="G747" s="8">
        <f t="shared" si="11"/>
        <v>27.417218543046356</v>
      </c>
    </row>
    <row r="748" spans="1:7" x14ac:dyDescent="0.25">
      <c r="A748" s="5">
        <v>45810.416666666664</v>
      </c>
      <c r="B748">
        <v>51</v>
      </c>
      <c r="C748" t="s">
        <v>63</v>
      </c>
      <c r="D748" t="s">
        <v>64</v>
      </c>
      <c r="E748">
        <v>2.79</v>
      </c>
      <c r="F748">
        <v>5.75</v>
      </c>
      <c r="G748" s="8">
        <f t="shared" si="11"/>
        <v>29.11304347826087</v>
      </c>
    </row>
    <row r="749" spans="1:7" x14ac:dyDescent="0.25">
      <c r="A749" s="5">
        <v>45810.416666666664</v>
      </c>
      <c r="B749">
        <v>52</v>
      </c>
      <c r="C749" t="s">
        <v>64</v>
      </c>
      <c r="D749" t="s">
        <v>65</v>
      </c>
      <c r="E749">
        <v>1.5</v>
      </c>
      <c r="F749">
        <v>2.9</v>
      </c>
      <c r="G749" s="8">
        <f t="shared" si="11"/>
        <v>31.03448275862069</v>
      </c>
    </row>
    <row r="750" spans="1:7" x14ac:dyDescent="0.25">
      <c r="A750" s="5">
        <v>45810.416666666664</v>
      </c>
      <c r="B750">
        <v>53</v>
      </c>
      <c r="C750" t="s">
        <v>65</v>
      </c>
      <c r="D750" t="s">
        <v>66</v>
      </c>
      <c r="E750">
        <v>1.46</v>
      </c>
      <c r="F750">
        <v>4.05</v>
      </c>
      <c r="G750" s="8">
        <f t="shared" si="11"/>
        <v>21.62962962962963</v>
      </c>
    </row>
    <row r="751" spans="1:7" x14ac:dyDescent="0.25">
      <c r="A751" s="5">
        <v>45810.416666666664</v>
      </c>
      <c r="B751">
        <v>54</v>
      </c>
      <c r="C751" t="s">
        <v>67</v>
      </c>
      <c r="D751" t="s">
        <v>68</v>
      </c>
      <c r="E751">
        <v>1.46</v>
      </c>
      <c r="F751">
        <v>4.43</v>
      </c>
      <c r="G751" s="8">
        <f t="shared" si="11"/>
        <v>19.774266365688487</v>
      </c>
    </row>
    <row r="752" spans="1:7" x14ac:dyDescent="0.25">
      <c r="A752" s="5">
        <v>45810.416666666664</v>
      </c>
      <c r="B752">
        <v>55</v>
      </c>
      <c r="C752" t="s">
        <v>68</v>
      </c>
      <c r="D752" t="s">
        <v>69</v>
      </c>
      <c r="E752">
        <v>1.5</v>
      </c>
      <c r="F752">
        <v>2.27</v>
      </c>
      <c r="G752" s="8">
        <f t="shared" si="11"/>
        <v>39.647577092511014</v>
      </c>
    </row>
    <row r="753" spans="1:7" x14ac:dyDescent="0.25">
      <c r="A753" s="5">
        <v>45810.416666666664</v>
      </c>
      <c r="B753">
        <v>56</v>
      </c>
      <c r="C753" t="s">
        <v>70</v>
      </c>
      <c r="D753" t="s">
        <v>71</v>
      </c>
      <c r="E753">
        <v>1.51</v>
      </c>
      <c r="F753">
        <v>5.67</v>
      </c>
      <c r="G753" s="8">
        <f t="shared" si="11"/>
        <v>15.978835978835978</v>
      </c>
    </row>
    <row r="754" spans="1:7" x14ac:dyDescent="0.25">
      <c r="A754" s="5">
        <v>45810.416666666664</v>
      </c>
      <c r="B754">
        <v>57</v>
      </c>
      <c r="C754" t="s">
        <v>71</v>
      </c>
      <c r="D754" t="s">
        <v>72</v>
      </c>
      <c r="E754">
        <v>1.52</v>
      </c>
      <c r="F754">
        <v>4.55</v>
      </c>
      <c r="G754" s="8">
        <f t="shared" si="11"/>
        <v>20.043956043956044</v>
      </c>
    </row>
    <row r="755" spans="1:7" x14ac:dyDescent="0.25">
      <c r="A755" s="5">
        <v>45810.416666666664</v>
      </c>
      <c r="B755">
        <v>58</v>
      </c>
      <c r="C755" t="s">
        <v>72</v>
      </c>
      <c r="D755" t="s">
        <v>73</v>
      </c>
      <c r="E755">
        <v>1.5</v>
      </c>
      <c r="F755">
        <v>4.17</v>
      </c>
      <c r="G755" s="8">
        <f t="shared" si="11"/>
        <v>21.582733812949641</v>
      </c>
    </row>
    <row r="756" spans="1:7" s="3" customFormat="1" x14ac:dyDescent="0.25">
      <c r="A756" s="5">
        <v>45810.666666666664</v>
      </c>
      <c r="B756" s="3">
        <v>1</v>
      </c>
      <c r="C756" s="3" t="s">
        <v>6</v>
      </c>
      <c r="D756" s="3" t="s">
        <v>7</v>
      </c>
      <c r="E756" s="3">
        <v>1.53</v>
      </c>
      <c r="F756" s="3">
        <v>3.25</v>
      </c>
      <c r="G756" s="8">
        <f t="shared" si="11"/>
        <v>28.246153846153845</v>
      </c>
    </row>
    <row r="757" spans="1:7" x14ac:dyDescent="0.25">
      <c r="A757" s="5">
        <v>45810.666666666664</v>
      </c>
      <c r="B757">
        <v>2</v>
      </c>
      <c r="C757" t="s">
        <v>7</v>
      </c>
      <c r="D757" t="s">
        <v>8</v>
      </c>
      <c r="E757">
        <v>1.57</v>
      </c>
      <c r="F757">
        <v>5.88</v>
      </c>
      <c r="G757" s="8">
        <f t="shared" si="11"/>
        <v>16.020408163265309</v>
      </c>
    </row>
    <row r="758" spans="1:7" x14ac:dyDescent="0.25">
      <c r="A758" s="5">
        <v>45810.666666666701</v>
      </c>
      <c r="B758">
        <v>3</v>
      </c>
      <c r="C758" t="s">
        <v>8</v>
      </c>
      <c r="D758" t="s">
        <v>9</v>
      </c>
      <c r="E758">
        <v>1.5</v>
      </c>
      <c r="F758">
        <v>3.2</v>
      </c>
      <c r="G758" s="8">
        <f t="shared" si="11"/>
        <v>28.125</v>
      </c>
    </row>
    <row r="759" spans="1:7" x14ac:dyDescent="0.25">
      <c r="A759" s="5">
        <v>45810.666666666701</v>
      </c>
      <c r="B759">
        <v>4</v>
      </c>
      <c r="C759" t="s">
        <v>9</v>
      </c>
      <c r="D759" t="s">
        <v>10</v>
      </c>
      <c r="E759">
        <v>1.5</v>
      </c>
      <c r="F759">
        <v>3.2</v>
      </c>
      <c r="G759" s="8">
        <f t="shared" si="11"/>
        <v>28.125</v>
      </c>
    </row>
    <row r="760" spans="1:7" x14ac:dyDescent="0.25">
      <c r="A760" s="5">
        <v>45810.666666666701</v>
      </c>
      <c r="B760">
        <v>5</v>
      </c>
      <c r="C760" t="s">
        <v>10</v>
      </c>
      <c r="D760" t="s">
        <v>11</v>
      </c>
      <c r="E760">
        <v>1.52</v>
      </c>
      <c r="F760">
        <v>3.65</v>
      </c>
      <c r="G760" s="8">
        <f t="shared" si="11"/>
        <v>24.986301369863014</v>
      </c>
    </row>
    <row r="761" spans="1:7" x14ac:dyDescent="0.25">
      <c r="A761" s="5">
        <v>45810.666666666701</v>
      </c>
      <c r="B761">
        <v>6</v>
      </c>
      <c r="C761" t="s">
        <v>11</v>
      </c>
      <c r="D761" t="s">
        <v>12</v>
      </c>
      <c r="E761">
        <v>1.5</v>
      </c>
      <c r="F761">
        <v>2.73</v>
      </c>
      <c r="G761" s="8">
        <f t="shared" si="11"/>
        <v>32.967032967032971</v>
      </c>
    </row>
    <row r="762" spans="1:7" x14ac:dyDescent="0.25">
      <c r="A762" s="5">
        <v>45810.666666666701</v>
      </c>
      <c r="B762">
        <v>7</v>
      </c>
      <c r="C762" t="s">
        <v>12</v>
      </c>
      <c r="D762" t="s">
        <v>13</v>
      </c>
      <c r="E762">
        <v>1.54</v>
      </c>
      <c r="F762">
        <v>2.77</v>
      </c>
      <c r="G762" s="8">
        <f t="shared" si="11"/>
        <v>33.357400722021666</v>
      </c>
    </row>
    <row r="763" spans="1:7" x14ac:dyDescent="0.25">
      <c r="A763" s="5">
        <v>45810.666666666701</v>
      </c>
      <c r="B763">
        <v>8</v>
      </c>
      <c r="C763" t="s">
        <v>13</v>
      </c>
      <c r="D763" t="s">
        <v>14</v>
      </c>
      <c r="E763">
        <v>1.54</v>
      </c>
      <c r="F763">
        <v>3.27</v>
      </c>
      <c r="G763" s="8">
        <f t="shared" si="11"/>
        <v>28.256880733944957</v>
      </c>
    </row>
    <row r="764" spans="1:7" x14ac:dyDescent="0.25">
      <c r="A764" s="5">
        <v>45810.666666666701</v>
      </c>
      <c r="B764">
        <v>9</v>
      </c>
      <c r="C764" t="s">
        <v>14</v>
      </c>
      <c r="D764" t="s">
        <v>15</v>
      </c>
      <c r="E764">
        <v>1.52</v>
      </c>
      <c r="F764">
        <v>4.47</v>
      </c>
      <c r="G764" s="8">
        <f t="shared" si="11"/>
        <v>20.402684563758392</v>
      </c>
    </row>
    <row r="765" spans="1:7" x14ac:dyDescent="0.25">
      <c r="A765" s="5">
        <v>45810.666666666701</v>
      </c>
      <c r="B765">
        <v>10</v>
      </c>
      <c r="C765" t="s">
        <v>15</v>
      </c>
      <c r="D765" t="s">
        <v>16</v>
      </c>
      <c r="E765">
        <v>1.5</v>
      </c>
      <c r="F765">
        <v>4.3499999999999996</v>
      </c>
      <c r="G765" s="8">
        <f t="shared" si="11"/>
        <v>20.689655172413794</v>
      </c>
    </row>
    <row r="766" spans="1:7" x14ac:dyDescent="0.25">
      <c r="A766" s="5">
        <v>45810.666666666701</v>
      </c>
      <c r="B766">
        <v>11</v>
      </c>
      <c r="C766" t="s">
        <v>16</v>
      </c>
      <c r="D766" t="s">
        <v>17</v>
      </c>
      <c r="E766">
        <v>1.48</v>
      </c>
      <c r="F766">
        <v>2.83</v>
      </c>
      <c r="G766" s="8">
        <f t="shared" si="11"/>
        <v>31.378091872791519</v>
      </c>
    </row>
    <row r="767" spans="1:7" x14ac:dyDescent="0.25">
      <c r="A767" s="5">
        <v>45810.666666666701</v>
      </c>
      <c r="B767">
        <v>12</v>
      </c>
      <c r="C767" t="s">
        <v>17</v>
      </c>
      <c r="D767" t="s">
        <v>18</v>
      </c>
      <c r="E767">
        <v>1.46</v>
      </c>
      <c r="F767">
        <v>4.7300000000000004</v>
      </c>
      <c r="G767" s="8">
        <f t="shared" si="11"/>
        <v>18.520084566596193</v>
      </c>
    </row>
    <row r="768" spans="1:7" x14ac:dyDescent="0.25">
      <c r="A768" s="5">
        <v>45810.666666666701</v>
      </c>
      <c r="B768">
        <v>13</v>
      </c>
      <c r="C768" t="s">
        <v>18</v>
      </c>
      <c r="D768" t="s">
        <v>19</v>
      </c>
      <c r="E768">
        <v>1.52</v>
      </c>
      <c r="F768">
        <v>4.6500000000000004</v>
      </c>
      <c r="G768" s="8">
        <f t="shared" si="11"/>
        <v>19.612903225806452</v>
      </c>
    </row>
    <row r="769" spans="1:7" x14ac:dyDescent="0.25">
      <c r="A769" s="5">
        <v>45810.666666666701</v>
      </c>
      <c r="B769">
        <v>14</v>
      </c>
      <c r="C769" t="s">
        <v>19</v>
      </c>
      <c r="D769" t="s">
        <v>20</v>
      </c>
      <c r="E769">
        <v>1.51</v>
      </c>
      <c r="F769">
        <v>3.87</v>
      </c>
      <c r="G769" s="8">
        <f t="shared" si="11"/>
        <v>23.410852713178294</v>
      </c>
    </row>
    <row r="770" spans="1:7" x14ac:dyDescent="0.25">
      <c r="A770" s="5">
        <v>45810.666666666701</v>
      </c>
      <c r="B770">
        <v>15</v>
      </c>
      <c r="C770" t="s">
        <v>20</v>
      </c>
      <c r="D770" t="s">
        <v>21</v>
      </c>
      <c r="E770">
        <v>1.47</v>
      </c>
      <c r="F770">
        <v>3.07</v>
      </c>
      <c r="G770" s="8">
        <f t="shared" si="11"/>
        <v>28.729641693811079</v>
      </c>
    </row>
    <row r="771" spans="1:7" x14ac:dyDescent="0.25">
      <c r="A771" s="5">
        <v>45810.666666666701</v>
      </c>
      <c r="B771">
        <v>16</v>
      </c>
      <c r="C771" t="s">
        <v>21</v>
      </c>
      <c r="D771" t="s">
        <v>22</v>
      </c>
      <c r="E771">
        <v>1.5</v>
      </c>
      <c r="F771">
        <v>2.15</v>
      </c>
      <c r="G771" s="8">
        <f t="shared" ref="G771:G834" si="12">E771*60/F771</f>
        <v>41.860465116279073</v>
      </c>
    </row>
    <row r="772" spans="1:7" x14ac:dyDescent="0.25">
      <c r="A772" s="5">
        <v>45810.666666666701</v>
      </c>
      <c r="B772">
        <v>17</v>
      </c>
      <c r="C772" t="s">
        <v>22</v>
      </c>
      <c r="D772" t="s">
        <v>23</v>
      </c>
      <c r="E772">
        <v>1.51</v>
      </c>
      <c r="F772">
        <v>3.58</v>
      </c>
      <c r="G772" s="8">
        <f t="shared" si="12"/>
        <v>25.3072625698324</v>
      </c>
    </row>
    <row r="773" spans="1:7" x14ac:dyDescent="0.25">
      <c r="A773" s="5">
        <v>45810.666666666701</v>
      </c>
      <c r="B773">
        <v>18</v>
      </c>
      <c r="C773" t="s">
        <v>23</v>
      </c>
      <c r="D773" t="s">
        <v>24</v>
      </c>
      <c r="E773">
        <v>1.51</v>
      </c>
      <c r="F773">
        <v>3.8</v>
      </c>
      <c r="G773" s="8">
        <f t="shared" si="12"/>
        <v>23.842105263157894</v>
      </c>
    </row>
    <row r="774" spans="1:7" x14ac:dyDescent="0.25">
      <c r="A774" s="5">
        <v>45810.666666666701</v>
      </c>
      <c r="B774">
        <v>19</v>
      </c>
      <c r="C774" t="s">
        <v>25</v>
      </c>
      <c r="D774" t="s">
        <v>26</v>
      </c>
      <c r="E774">
        <v>1.5</v>
      </c>
      <c r="F774">
        <v>3.9</v>
      </c>
      <c r="G774" s="8">
        <f t="shared" si="12"/>
        <v>23.076923076923077</v>
      </c>
    </row>
    <row r="775" spans="1:7" x14ac:dyDescent="0.25">
      <c r="A775" s="5">
        <v>45810.666666666701</v>
      </c>
      <c r="B775">
        <v>20</v>
      </c>
      <c r="C775" t="s">
        <v>26</v>
      </c>
      <c r="D775" t="s">
        <v>27</v>
      </c>
      <c r="E775">
        <v>1.48</v>
      </c>
      <c r="F775">
        <v>3.85</v>
      </c>
      <c r="G775" s="8">
        <f t="shared" si="12"/>
        <v>23.064935064935064</v>
      </c>
    </row>
    <row r="776" spans="1:7" x14ac:dyDescent="0.25">
      <c r="A776" s="5">
        <v>45810.666666666701</v>
      </c>
      <c r="B776">
        <v>21</v>
      </c>
      <c r="C776" t="s">
        <v>27</v>
      </c>
      <c r="D776" t="s">
        <v>28</v>
      </c>
      <c r="E776">
        <v>1.51</v>
      </c>
      <c r="F776">
        <v>3.48</v>
      </c>
      <c r="G776" s="8">
        <f t="shared" si="12"/>
        <v>26.034482758620687</v>
      </c>
    </row>
    <row r="777" spans="1:7" x14ac:dyDescent="0.25">
      <c r="A777" s="5">
        <v>45810.666666666701</v>
      </c>
      <c r="B777">
        <v>22</v>
      </c>
      <c r="C777" t="s">
        <v>28</v>
      </c>
      <c r="D777" t="s">
        <v>29</v>
      </c>
      <c r="E777">
        <v>1.57</v>
      </c>
      <c r="F777">
        <v>3.77</v>
      </c>
      <c r="G777" s="8">
        <f t="shared" si="12"/>
        <v>24.986737400530505</v>
      </c>
    </row>
    <row r="778" spans="1:7" x14ac:dyDescent="0.25">
      <c r="A778" s="5">
        <v>45810.666666666701</v>
      </c>
      <c r="B778">
        <v>23</v>
      </c>
      <c r="C778" t="s">
        <v>29</v>
      </c>
      <c r="D778" t="s">
        <v>30</v>
      </c>
      <c r="E778">
        <v>1.43</v>
      </c>
      <c r="F778">
        <v>5.08</v>
      </c>
      <c r="G778" s="8">
        <f t="shared" si="12"/>
        <v>16.889763779527559</v>
      </c>
    </row>
    <row r="779" spans="1:7" x14ac:dyDescent="0.25">
      <c r="A779" s="5">
        <v>45810.666666666701</v>
      </c>
      <c r="B779">
        <v>24</v>
      </c>
      <c r="C779" t="s">
        <v>30</v>
      </c>
      <c r="D779" t="s">
        <v>31</v>
      </c>
      <c r="E779">
        <v>1.52</v>
      </c>
      <c r="F779">
        <v>3.7</v>
      </c>
      <c r="G779" s="8">
        <f t="shared" si="12"/>
        <v>24.648648648648649</v>
      </c>
    </row>
    <row r="780" spans="1:7" x14ac:dyDescent="0.25">
      <c r="A780" s="5">
        <v>45810.666666666701</v>
      </c>
      <c r="B780">
        <v>25</v>
      </c>
      <c r="C780" t="s">
        <v>31</v>
      </c>
      <c r="D780" t="s">
        <v>32</v>
      </c>
      <c r="E780">
        <v>1.52</v>
      </c>
      <c r="F780">
        <v>3.68</v>
      </c>
      <c r="G780" s="8">
        <f t="shared" si="12"/>
        <v>24.782608695652172</v>
      </c>
    </row>
    <row r="781" spans="1:7" x14ac:dyDescent="0.25">
      <c r="A781" s="5">
        <v>45810.666666666701</v>
      </c>
      <c r="B781">
        <v>26</v>
      </c>
      <c r="C781" t="s">
        <v>32</v>
      </c>
      <c r="D781" t="s">
        <v>33</v>
      </c>
      <c r="E781">
        <v>1.49</v>
      </c>
      <c r="F781">
        <v>4.55</v>
      </c>
      <c r="G781" s="8">
        <f t="shared" si="12"/>
        <v>19.64835164835165</v>
      </c>
    </row>
    <row r="782" spans="1:7" x14ac:dyDescent="0.25">
      <c r="A782" s="5">
        <v>45810.666666666701</v>
      </c>
      <c r="B782">
        <v>27</v>
      </c>
      <c r="C782" t="s">
        <v>33</v>
      </c>
      <c r="D782" t="s">
        <v>34</v>
      </c>
      <c r="E782">
        <v>1.53</v>
      </c>
      <c r="F782">
        <v>5.6</v>
      </c>
      <c r="G782" s="8">
        <f t="shared" si="12"/>
        <v>16.392857142857142</v>
      </c>
    </row>
    <row r="783" spans="1:7" x14ac:dyDescent="0.25">
      <c r="A783" s="5">
        <v>45810.666666666701</v>
      </c>
      <c r="B783">
        <v>28</v>
      </c>
      <c r="C783" t="s">
        <v>34</v>
      </c>
      <c r="D783" t="s">
        <v>35</v>
      </c>
      <c r="E783">
        <v>1.51</v>
      </c>
      <c r="F783">
        <v>4.78</v>
      </c>
      <c r="G783" s="8">
        <f t="shared" si="12"/>
        <v>18.953974895397486</v>
      </c>
    </row>
    <row r="784" spans="1:7" x14ac:dyDescent="0.25">
      <c r="A784" s="5">
        <v>45810.666666666701</v>
      </c>
      <c r="B784">
        <v>29</v>
      </c>
      <c r="C784" t="s">
        <v>36</v>
      </c>
      <c r="D784" t="s">
        <v>37</v>
      </c>
      <c r="E784">
        <v>1.57</v>
      </c>
      <c r="F784">
        <v>4.3</v>
      </c>
      <c r="G784" s="8">
        <f t="shared" si="12"/>
        <v>21.906976744186046</v>
      </c>
    </row>
    <row r="785" spans="1:7" x14ac:dyDescent="0.25">
      <c r="A785" s="5">
        <v>45810.666666666701</v>
      </c>
      <c r="B785">
        <v>30</v>
      </c>
      <c r="C785" t="s">
        <v>37</v>
      </c>
      <c r="D785" t="s">
        <v>38</v>
      </c>
      <c r="E785">
        <v>1.57</v>
      </c>
      <c r="F785">
        <v>4.6500000000000004</v>
      </c>
      <c r="G785" s="8">
        <f t="shared" si="12"/>
        <v>20.258064516129032</v>
      </c>
    </row>
    <row r="786" spans="1:7" x14ac:dyDescent="0.25">
      <c r="A786" s="5">
        <v>45810.666666666701</v>
      </c>
      <c r="B786">
        <v>31</v>
      </c>
      <c r="C786" t="s">
        <v>38</v>
      </c>
      <c r="D786" t="s">
        <v>39</v>
      </c>
      <c r="E786">
        <v>1.52</v>
      </c>
      <c r="F786">
        <v>3</v>
      </c>
      <c r="G786" s="8">
        <f t="shared" si="12"/>
        <v>30.400000000000002</v>
      </c>
    </row>
    <row r="787" spans="1:7" x14ac:dyDescent="0.25">
      <c r="A787" s="5">
        <v>45810.666666666701</v>
      </c>
      <c r="B787">
        <v>32</v>
      </c>
      <c r="C787" t="s">
        <v>39</v>
      </c>
      <c r="D787" t="s">
        <v>40</v>
      </c>
      <c r="E787">
        <v>1.5</v>
      </c>
      <c r="F787">
        <v>1.82</v>
      </c>
      <c r="G787" s="8">
        <f t="shared" si="12"/>
        <v>49.450549450549445</v>
      </c>
    </row>
    <row r="788" spans="1:7" x14ac:dyDescent="0.25">
      <c r="A788" s="5">
        <v>45810.666666666701</v>
      </c>
      <c r="B788">
        <v>33</v>
      </c>
      <c r="C788" t="s">
        <v>40</v>
      </c>
      <c r="D788" t="s">
        <v>41</v>
      </c>
      <c r="E788">
        <v>1.51</v>
      </c>
      <c r="F788">
        <v>1.85</v>
      </c>
      <c r="G788" s="8">
        <f t="shared" si="12"/>
        <v>48.972972972972968</v>
      </c>
    </row>
    <row r="789" spans="1:7" x14ac:dyDescent="0.25">
      <c r="A789" s="5">
        <v>45810.666666666701</v>
      </c>
      <c r="B789">
        <v>34</v>
      </c>
      <c r="C789" t="s">
        <v>41</v>
      </c>
      <c r="D789" t="s">
        <v>42</v>
      </c>
      <c r="E789">
        <v>1.5</v>
      </c>
      <c r="F789">
        <v>1.97</v>
      </c>
      <c r="G789" s="8">
        <f t="shared" si="12"/>
        <v>45.685279187817258</v>
      </c>
    </row>
    <row r="790" spans="1:7" x14ac:dyDescent="0.25">
      <c r="A790" s="5">
        <v>45810.666666666701</v>
      </c>
      <c r="B790">
        <v>35</v>
      </c>
      <c r="C790" t="s">
        <v>43</v>
      </c>
      <c r="D790" t="s">
        <v>44</v>
      </c>
      <c r="E790">
        <v>1.55</v>
      </c>
      <c r="F790">
        <v>3.8</v>
      </c>
      <c r="G790" s="8">
        <f t="shared" si="12"/>
        <v>24.473684210526319</v>
      </c>
    </row>
    <row r="791" spans="1:7" x14ac:dyDescent="0.25">
      <c r="A791" s="5">
        <v>45810.666666666701</v>
      </c>
      <c r="B791">
        <v>36</v>
      </c>
      <c r="C791" t="s">
        <v>44</v>
      </c>
      <c r="D791" t="s">
        <v>45</v>
      </c>
      <c r="E791">
        <v>1.5</v>
      </c>
      <c r="F791">
        <v>3.33</v>
      </c>
      <c r="G791" s="8">
        <f t="shared" si="12"/>
        <v>27.027027027027028</v>
      </c>
    </row>
    <row r="792" spans="1:7" x14ac:dyDescent="0.25">
      <c r="A792" s="5">
        <v>45810.666666666701</v>
      </c>
      <c r="B792">
        <v>37</v>
      </c>
      <c r="C792" t="s">
        <v>45</v>
      </c>
      <c r="D792" t="s">
        <v>46</v>
      </c>
      <c r="E792">
        <v>1.38</v>
      </c>
      <c r="F792">
        <v>4.28</v>
      </c>
      <c r="G792" s="8">
        <f t="shared" si="12"/>
        <v>19.345794392523363</v>
      </c>
    </row>
    <row r="793" spans="1:7" x14ac:dyDescent="0.25">
      <c r="A793" s="5">
        <v>45810.666666666701</v>
      </c>
      <c r="B793">
        <v>38</v>
      </c>
      <c r="C793" t="s">
        <v>46</v>
      </c>
      <c r="D793" t="s">
        <v>47</v>
      </c>
      <c r="E793">
        <v>1.61</v>
      </c>
      <c r="F793">
        <v>4.2699999999999996</v>
      </c>
      <c r="G793" s="8">
        <f t="shared" si="12"/>
        <v>22.622950819672134</v>
      </c>
    </row>
    <row r="794" spans="1:7" x14ac:dyDescent="0.25">
      <c r="A794" s="5">
        <v>45810.666666666701</v>
      </c>
      <c r="B794">
        <v>39</v>
      </c>
      <c r="C794" t="s">
        <v>47</v>
      </c>
      <c r="D794" t="s">
        <v>48</v>
      </c>
      <c r="E794">
        <v>1.55</v>
      </c>
      <c r="F794">
        <v>4.03</v>
      </c>
      <c r="G794" s="8">
        <f t="shared" si="12"/>
        <v>23.076923076923077</v>
      </c>
    </row>
    <row r="795" spans="1:7" x14ac:dyDescent="0.25">
      <c r="A795" s="5">
        <v>45810.666666666701</v>
      </c>
      <c r="B795">
        <v>40</v>
      </c>
      <c r="C795" t="s">
        <v>48</v>
      </c>
      <c r="D795" t="s">
        <v>49</v>
      </c>
      <c r="E795">
        <v>1.39</v>
      </c>
      <c r="F795">
        <v>2.92</v>
      </c>
      <c r="G795" s="8">
        <f t="shared" si="12"/>
        <v>28.561643835616437</v>
      </c>
    </row>
    <row r="796" spans="1:7" x14ac:dyDescent="0.25">
      <c r="A796" s="5">
        <v>45810.666666666701</v>
      </c>
      <c r="B796">
        <v>41</v>
      </c>
      <c r="C796" t="s">
        <v>50</v>
      </c>
      <c r="D796" t="s">
        <v>51</v>
      </c>
      <c r="E796">
        <v>1.56</v>
      </c>
      <c r="F796">
        <v>4.75</v>
      </c>
      <c r="G796" s="8">
        <f t="shared" si="12"/>
        <v>19.705263157894738</v>
      </c>
    </row>
    <row r="797" spans="1:7" x14ac:dyDescent="0.25">
      <c r="A797" s="5">
        <v>45810.666666666701</v>
      </c>
      <c r="B797">
        <v>42</v>
      </c>
      <c r="C797" t="s">
        <v>51</v>
      </c>
      <c r="D797" t="s">
        <v>52</v>
      </c>
      <c r="E797">
        <v>1.56</v>
      </c>
      <c r="F797">
        <v>4.62</v>
      </c>
      <c r="G797" s="8">
        <f t="shared" si="12"/>
        <v>20.259740259740262</v>
      </c>
    </row>
    <row r="798" spans="1:7" x14ac:dyDescent="0.25">
      <c r="A798" s="5">
        <v>45810.666666666701</v>
      </c>
      <c r="B798">
        <v>43</v>
      </c>
      <c r="C798" t="s">
        <v>52</v>
      </c>
      <c r="D798" t="s">
        <v>53</v>
      </c>
      <c r="E798">
        <v>1.51</v>
      </c>
      <c r="F798">
        <v>3.72</v>
      </c>
      <c r="G798" s="8">
        <f t="shared" si="12"/>
        <v>24.354838709677416</v>
      </c>
    </row>
    <row r="799" spans="1:7" x14ac:dyDescent="0.25">
      <c r="A799" s="5">
        <v>45810.666666666701</v>
      </c>
      <c r="B799">
        <v>44</v>
      </c>
      <c r="C799" t="s">
        <v>54</v>
      </c>
      <c r="D799" t="s">
        <v>55</v>
      </c>
      <c r="E799">
        <v>1.51</v>
      </c>
      <c r="F799">
        <v>4.63</v>
      </c>
      <c r="G799" s="8">
        <f t="shared" si="12"/>
        <v>19.568034557235421</v>
      </c>
    </row>
    <row r="800" spans="1:7" x14ac:dyDescent="0.25">
      <c r="A800" s="5">
        <v>45810.666666666701</v>
      </c>
      <c r="B800">
        <v>45</v>
      </c>
      <c r="C800" t="s">
        <v>55</v>
      </c>
      <c r="D800" t="s">
        <v>56</v>
      </c>
      <c r="E800">
        <v>1.49</v>
      </c>
      <c r="F800">
        <v>3.78</v>
      </c>
      <c r="G800" s="8">
        <f t="shared" si="12"/>
        <v>23.650793650793652</v>
      </c>
    </row>
    <row r="801" spans="1:7" x14ac:dyDescent="0.25">
      <c r="A801" s="5">
        <v>45810.666666666701</v>
      </c>
      <c r="B801">
        <v>46</v>
      </c>
      <c r="C801" t="s">
        <v>56</v>
      </c>
      <c r="D801" t="s">
        <v>57</v>
      </c>
      <c r="E801">
        <v>1.52</v>
      </c>
      <c r="F801">
        <v>4.0199999999999996</v>
      </c>
      <c r="G801" s="8">
        <f t="shared" si="12"/>
        <v>22.686567164179106</v>
      </c>
    </row>
    <row r="802" spans="1:7" x14ac:dyDescent="0.25">
      <c r="A802" s="5">
        <v>45810.666666666701</v>
      </c>
      <c r="B802">
        <v>47</v>
      </c>
      <c r="C802" t="s">
        <v>58</v>
      </c>
      <c r="D802" t="s">
        <v>59</v>
      </c>
      <c r="E802">
        <v>1.52</v>
      </c>
      <c r="F802">
        <v>4.5999999999999996</v>
      </c>
      <c r="G802" s="8">
        <f t="shared" si="12"/>
        <v>19.826086956521742</v>
      </c>
    </row>
    <row r="803" spans="1:7" x14ac:dyDescent="0.25">
      <c r="A803" s="5">
        <v>45810.666666666701</v>
      </c>
      <c r="B803">
        <v>48</v>
      </c>
      <c r="C803" t="s">
        <v>59</v>
      </c>
      <c r="D803" t="s">
        <v>60</v>
      </c>
      <c r="E803">
        <v>1.5</v>
      </c>
      <c r="F803">
        <v>3.85</v>
      </c>
      <c r="G803" s="8">
        <f t="shared" si="12"/>
        <v>23.376623376623375</v>
      </c>
    </row>
    <row r="804" spans="1:7" x14ac:dyDescent="0.25">
      <c r="A804" s="5">
        <v>45810.666666666701</v>
      </c>
      <c r="B804">
        <v>49</v>
      </c>
      <c r="C804" t="s">
        <v>60</v>
      </c>
      <c r="D804" t="s">
        <v>61</v>
      </c>
      <c r="E804">
        <v>1.54</v>
      </c>
      <c r="F804">
        <v>4.2300000000000004</v>
      </c>
      <c r="G804" s="8">
        <f t="shared" si="12"/>
        <v>21.843971631205672</v>
      </c>
    </row>
    <row r="805" spans="1:7" x14ac:dyDescent="0.25">
      <c r="A805" s="5">
        <v>45810.666666666701</v>
      </c>
      <c r="B805">
        <v>50</v>
      </c>
      <c r="C805" t="s">
        <v>62</v>
      </c>
      <c r="D805" t="s">
        <v>63</v>
      </c>
      <c r="E805">
        <v>1.38</v>
      </c>
      <c r="F805">
        <v>3.27</v>
      </c>
      <c r="G805" s="8">
        <f t="shared" si="12"/>
        <v>25.321100917431192</v>
      </c>
    </row>
    <row r="806" spans="1:7" x14ac:dyDescent="0.25">
      <c r="A806" s="5">
        <v>45810.666666666701</v>
      </c>
      <c r="B806">
        <v>51</v>
      </c>
      <c r="C806" t="s">
        <v>63</v>
      </c>
      <c r="D806" t="s">
        <v>64</v>
      </c>
      <c r="E806">
        <v>2.79</v>
      </c>
      <c r="F806">
        <v>6.42</v>
      </c>
      <c r="G806" s="8">
        <f t="shared" si="12"/>
        <v>26.074766355140188</v>
      </c>
    </row>
    <row r="807" spans="1:7" x14ac:dyDescent="0.25">
      <c r="A807" s="5">
        <v>45810.666666666701</v>
      </c>
      <c r="B807">
        <v>52</v>
      </c>
      <c r="C807" t="s">
        <v>64</v>
      </c>
      <c r="D807" t="s">
        <v>65</v>
      </c>
      <c r="E807">
        <v>1.5</v>
      </c>
      <c r="F807">
        <v>2.88</v>
      </c>
      <c r="G807" s="8">
        <f t="shared" si="12"/>
        <v>31.25</v>
      </c>
    </row>
    <row r="808" spans="1:7" x14ac:dyDescent="0.25">
      <c r="A808" s="5">
        <v>45810.666666666701</v>
      </c>
      <c r="B808">
        <v>53</v>
      </c>
      <c r="C808" t="s">
        <v>65</v>
      </c>
      <c r="D808" t="s">
        <v>66</v>
      </c>
      <c r="E808">
        <v>1.46</v>
      </c>
      <c r="F808">
        <v>3.68</v>
      </c>
      <c r="G808" s="8">
        <f t="shared" si="12"/>
        <v>23.804347826086953</v>
      </c>
    </row>
    <row r="809" spans="1:7" x14ac:dyDescent="0.25">
      <c r="A809" s="5">
        <v>45810.666666666701</v>
      </c>
      <c r="B809">
        <v>54</v>
      </c>
      <c r="C809" t="s">
        <v>67</v>
      </c>
      <c r="D809" t="s">
        <v>68</v>
      </c>
      <c r="E809">
        <v>1.46</v>
      </c>
      <c r="F809">
        <v>3.3</v>
      </c>
      <c r="G809" s="8">
        <f t="shared" si="12"/>
        <v>26.545454545454547</v>
      </c>
    </row>
    <row r="810" spans="1:7" x14ac:dyDescent="0.25">
      <c r="A810" s="5">
        <v>45810.666666666701</v>
      </c>
      <c r="B810">
        <v>55</v>
      </c>
      <c r="C810" t="s">
        <v>68</v>
      </c>
      <c r="D810" t="s">
        <v>69</v>
      </c>
      <c r="E810">
        <v>1.5</v>
      </c>
      <c r="F810">
        <v>2.2999999999999998</v>
      </c>
      <c r="G810" s="8">
        <f t="shared" si="12"/>
        <v>39.130434782608695</v>
      </c>
    </row>
    <row r="811" spans="1:7" x14ac:dyDescent="0.25">
      <c r="A811" s="5">
        <v>45810.666666666701</v>
      </c>
      <c r="B811">
        <v>56</v>
      </c>
      <c r="C811" t="s">
        <v>70</v>
      </c>
      <c r="D811" t="s">
        <v>71</v>
      </c>
      <c r="E811">
        <v>1.51</v>
      </c>
      <c r="F811">
        <v>4.8499999999999996</v>
      </c>
      <c r="G811" s="8">
        <f t="shared" si="12"/>
        <v>18.680412371134022</v>
      </c>
    </row>
    <row r="812" spans="1:7" x14ac:dyDescent="0.25">
      <c r="A812" s="5">
        <v>45810.666666666701</v>
      </c>
      <c r="B812">
        <v>57</v>
      </c>
      <c r="C812" t="s">
        <v>71</v>
      </c>
      <c r="D812" t="s">
        <v>72</v>
      </c>
      <c r="E812">
        <v>1.52</v>
      </c>
      <c r="F812">
        <v>4.6500000000000004</v>
      </c>
      <c r="G812" s="8">
        <f t="shared" si="12"/>
        <v>19.612903225806452</v>
      </c>
    </row>
    <row r="813" spans="1:7" x14ac:dyDescent="0.25">
      <c r="A813" s="5">
        <v>45810.666666666701</v>
      </c>
      <c r="B813">
        <v>58</v>
      </c>
      <c r="C813" t="s">
        <v>72</v>
      </c>
      <c r="D813" t="s">
        <v>73</v>
      </c>
      <c r="E813">
        <v>1.5</v>
      </c>
      <c r="F813">
        <v>4.28</v>
      </c>
      <c r="G813" s="8">
        <f t="shared" si="12"/>
        <v>21.028037383177569</v>
      </c>
    </row>
    <row r="814" spans="1:7" x14ac:dyDescent="0.25">
      <c r="A814" s="5">
        <v>45810.677083333336</v>
      </c>
      <c r="B814">
        <v>1</v>
      </c>
      <c r="C814" t="s">
        <v>6</v>
      </c>
      <c r="D814" t="s">
        <v>7</v>
      </c>
      <c r="E814">
        <v>1.53</v>
      </c>
      <c r="F814">
        <v>3.6</v>
      </c>
      <c r="G814" s="8">
        <f t="shared" si="12"/>
        <v>25.5</v>
      </c>
    </row>
    <row r="815" spans="1:7" x14ac:dyDescent="0.25">
      <c r="A815" s="5">
        <v>45810.677083333336</v>
      </c>
      <c r="B815">
        <v>2</v>
      </c>
      <c r="C815" t="s">
        <v>7</v>
      </c>
      <c r="D815" t="s">
        <v>8</v>
      </c>
      <c r="E815">
        <v>1.57</v>
      </c>
      <c r="F815">
        <v>6.02</v>
      </c>
      <c r="G815" s="8">
        <f t="shared" si="12"/>
        <v>15.647840531561464</v>
      </c>
    </row>
    <row r="816" spans="1:7" x14ac:dyDescent="0.25">
      <c r="A816" s="5">
        <v>45810.677083333336</v>
      </c>
      <c r="B816">
        <v>3</v>
      </c>
      <c r="C816" t="s">
        <v>8</v>
      </c>
      <c r="D816" t="s">
        <v>9</v>
      </c>
      <c r="E816">
        <v>1.5</v>
      </c>
      <c r="F816">
        <v>3.47</v>
      </c>
      <c r="G816" s="8">
        <f t="shared" si="12"/>
        <v>25.936599423631122</v>
      </c>
    </row>
    <row r="817" spans="1:7" x14ac:dyDescent="0.25">
      <c r="A817" s="5">
        <v>45810.677083333336</v>
      </c>
      <c r="B817">
        <v>4</v>
      </c>
      <c r="C817" t="s">
        <v>9</v>
      </c>
      <c r="D817" t="s">
        <v>10</v>
      </c>
      <c r="E817">
        <v>1.5</v>
      </c>
      <c r="F817">
        <v>3.48</v>
      </c>
      <c r="G817" s="8">
        <f t="shared" si="12"/>
        <v>25.862068965517242</v>
      </c>
    </row>
    <row r="818" spans="1:7" x14ac:dyDescent="0.25">
      <c r="A818" s="5">
        <v>45810.677083333336</v>
      </c>
      <c r="B818">
        <v>5</v>
      </c>
      <c r="C818" t="s">
        <v>10</v>
      </c>
      <c r="D818" t="s">
        <v>11</v>
      </c>
      <c r="E818">
        <v>1.52</v>
      </c>
      <c r="F818">
        <v>3.95</v>
      </c>
      <c r="G818" s="8">
        <f t="shared" si="12"/>
        <v>23.088607594936708</v>
      </c>
    </row>
    <row r="819" spans="1:7" x14ac:dyDescent="0.25">
      <c r="A819" s="5">
        <v>45810.677083333336</v>
      </c>
      <c r="B819">
        <v>6</v>
      </c>
      <c r="C819" t="s">
        <v>11</v>
      </c>
      <c r="D819" t="s">
        <v>12</v>
      </c>
      <c r="E819">
        <v>1.5</v>
      </c>
      <c r="F819">
        <v>2.87</v>
      </c>
      <c r="G819" s="8">
        <f t="shared" si="12"/>
        <v>31.358885017421603</v>
      </c>
    </row>
    <row r="820" spans="1:7" x14ac:dyDescent="0.25">
      <c r="A820" s="5">
        <v>45810.677083333336</v>
      </c>
      <c r="B820">
        <v>7</v>
      </c>
      <c r="C820" t="s">
        <v>12</v>
      </c>
      <c r="D820" t="s">
        <v>13</v>
      </c>
      <c r="E820">
        <v>1.54</v>
      </c>
      <c r="F820">
        <v>2.78</v>
      </c>
      <c r="G820" s="8">
        <f t="shared" si="12"/>
        <v>33.237410071942449</v>
      </c>
    </row>
    <row r="821" spans="1:7" x14ac:dyDescent="0.25">
      <c r="A821" s="5">
        <v>45810.677083333336</v>
      </c>
      <c r="B821">
        <v>8</v>
      </c>
      <c r="C821" t="s">
        <v>13</v>
      </c>
      <c r="D821" t="s">
        <v>14</v>
      </c>
      <c r="E821">
        <v>1.54</v>
      </c>
      <c r="F821">
        <v>3.45</v>
      </c>
      <c r="G821" s="8">
        <f t="shared" si="12"/>
        <v>26.782608695652176</v>
      </c>
    </row>
    <row r="822" spans="1:7" x14ac:dyDescent="0.25">
      <c r="A822" s="5">
        <v>45810.677083333336</v>
      </c>
      <c r="B822">
        <v>9</v>
      </c>
      <c r="C822" t="s">
        <v>14</v>
      </c>
      <c r="D822" t="s">
        <v>15</v>
      </c>
      <c r="E822">
        <v>1.52</v>
      </c>
      <c r="F822">
        <v>5.28</v>
      </c>
      <c r="G822" s="8">
        <f t="shared" si="12"/>
        <v>17.272727272727273</v>
      </c>
    </row>
    <row r="823" spans="1:7" x14ac:dyDescent="0.25">
      <c r="A823" s="5">
        <v>45810.677083333336</v>
      </c>
      <c r="B823">
        <v>10</v>
      </c>
      <c r="C823" t="s">
        <v>15</v>
      </c>
      <c r="D823" t="s">
        <v>16</v>
      </c>
      <c r="E823">
        <v>1.5</v>
      </c>
      <c r="F823">
        <v>4.82</v>
      </c>
      <c r="G823" s="8">
        <f t="shared" si="12"/>
        <v>18.672199170124479</v>
      </c>
    </row>
    <row r="824" spans="1:7" x14ac:dyDescent="0.25">
      <c r="A824" s="5">
        <v>45810.677083333336</v>
      </c>
      <c r="B824">
        <v>11</v>
      </c>
      <c r="C824" t="s">
        <v>16</v>
      </c>
      <c r="D824" t="s">
        <v>17</v>
      </c>
      <c r="E824">
        <v>1.48</v>
      </c>
      <c r="F824">
        <v>2.65</v>
      </c>
      <c r="G824" s="8">
        <f t="shared" si="12"/>
        <v>33.509433962264154</v>
      </c>
    </row>
    <row r="825" spans="1:7" x14ac:dyDescent="0.25">
      <c r="A825" s="5">
        <v>45810.677083333336</v>
      </c>
      <c r="B825">
        <v>12</v>
      </c>
      <c r="C825" t="s">
        <v>17</v>
      </c>
      <c r="D825" t="s">
        <v>18</v>
      </c>
      <c r="E825">
        <v>1.46</v>
      </c>
      <c r="F825">
        <v>4.5</v>
      </c>
      <c r="G825" s="8">
        <f t="shared" si="12"/>
        <v>19.466666666666665</v>
      </c>
    </row>
    <row r="826" spans="1:7" x14ac:dyDescent="0.25">
      <c r="A826" s="5">
        <v>45810.677083333336</v>
      </c>
      <c r="B826">
        <v>13</v>
      </c>
      <c r="C826" t="s">
        <v>18</v>
      </c>
      <c r="D826" t="s">
        <v>19</v>
      </c>
      <c r="E826">
        <v>1.52</v>
      </c>
      <c r="F826">
        <v>4.92</v>
      </c>
      <c r="G826" s="8">
        <f t="shared" si="12"/>
        <v>18.536585365853661</v>
      </c>
    </row>
    <row r="827" spans="1:7" x14ac:dyDescent="0.25">
      <c r="A827" s="5">
        <v>45810.677083333336</v>
      </c>
      <c r="B827">
        <v>14</v>
      </c>
      <c r="C827" t="s">
        <v>19</v>
      </c>
      <c r="D827" t="s">
        <v>20</v>
      </c>
      <c r="E827">
        <v>1.51</v>
      </c>
      <c r="F827">
        <v>4.0999999999999996</v>
      </c>
      <c r="G827" s="8">
        <f t="shared" si="12"/>
        <v>22.097560975609756</v>
      </c>
    </row>
    <row r="828" spans="1:7" x14ac:dyDescent="0.25">
      <c r="A828" s="5">
        <v>45810.677083333336</v>
      </c>
      <c r="B828">
        <v>15</v>
      </c>
      <c r="C828" t="s">
        <v>20</v>
      </c>
      <c r="D828" t="s">
        <v>21</v>
      </c>
      <c r="E828">
        <v>1.47</v>
      </c>
      <c r="F828">
        <v>2.58</v>
      </c>
      <c r="G828" s="8">
        <f t="shared" si="12"/>
        <v>34.186046511627907</v>
      </c>
    </row>
    <row r="829" spans="1:7" x14ac:dyDescent="0.25">
      <c r="A829" s="5">
        <v>45810.677083333336</v>
      </c>
      <c r="B829">
        <v>16</v>
      </c>
      <c r="C829" t="s">
        <v>21</v>
      </c>
      <c r="D829" t="s">
        <v>22</v>
      </c>
      <c r="E829">
        <v>1.5</v>
      </c>
      <c r="F829">
        <v>1.82</v>
      </c>
      <c r="G829" s="8">
        <f t="shared" si="12"/>
        <v>49.450549450549445</v>
      </c>
    </row>
    <row r="830" spans="1:7" x14ac:dyDescent="0.25">
      <c r="A830" s="5">
        <v>45810.677083333336</v>
      </c>
      <c r="B830">
        <v>17</v>
      </c>
      <c r="C830" t="s">
        <v>22</v>
      </c>
      <c r="D830" t="s">
        <v>23</v>
      </c>
      <c r="E830">
        <v>1.51</v>
      </c>
      <c r="F830">
        <v>3.23</v>
      </c>
      <c r="G830" s="8">
        <f t="shared" si="12"/>
        <v>28.049535603715167</v>
      </c>
    </row>
    <row r="831" spans="1:7" x14ac:dyDescent="0.25">
      <c r="A831" s="5">
        <v>45810.677083333336</v>
      </c>
      <c r="B831">
        <v>18</v>
      </c>
      <c r="C831" t="s">
        <v>23</v>
      </c>
      <c r="D831" t="s">
        <v>24</v>
      </c>
      <c r="E831">
        <v>1.51</v>
      </c>
      <c r="F831">
        <v>3.78</v>
      </c>
      <c r="G831" s="8">
        <f t="shared" si="12"/>
        <v>23.968253968253968</v>
      </c>
    </row>
    <row r="832" spans="1:7" x14ac:dyDescent="0.25">
      <c r="A832" s="5">
        <v>45810.677083333336</v>
      </c>
      <c r="B832">
        <v>19</v>
      </c>
      <c r="C832" t="s">
        <v>25</v>
      </c>
      <c r="D832" t="s">
        <v>26</v>
      </c>
      <c r="E832">
        <v>1.5</v>
      </c>
      <c r="F832">
        <v>4.38</v>
      </c>
      <c r="G832" s="8">
        <f t="shared" si="12"/>
        <v>20.547945205479454</v>
      </c>
    </row>
    <row r="833" spans="1:7" x14ac:dyDescent="0.25">
      <c r="A833" s="5">
        <v>45810.677083333336</v>
      </c>
      <c r="B833">
        <v>20</v>
      </c>
      <c r="C833" t="s">
        <v>26</v>
      </c>
      <c r="D833" t="s">
        <v>27</v>
      </c>
      <c r="E833">
        <v>1.48</v>
      </c>
      <c r="F833">
        <v>3.92</v>
      </c>
      <c r="G833" s="8">
        <f t="shared" si="12"/>
        <v>22.653061224489797</v>
      </c>
    </row>
    <row r="834" spans="1:7" x14ac:dyDescent="0.25">
      <c r="A834" s="5">
        <v>45810.677083333336</v>
      </c>
      <c r="B834">
        <v>21</v>
      </c>
      <c r="C834" t="s">
        <v>27</v>
      </c>
      <c r="D834" t="s">
        <v>28</v>
      </c>
      <c r="E834">
        <v>1.51</v>
      </c>
      <c r="F834">
        <v>3.53</v>
      </c>
      <c r="G834" s="8">
        <f t="shared" si="12"/>
        <v>25.665722379603398</v>
      </c>
    </row>
    <row r="835" spans="1:7" x14ac:dyDescent="0.25">
      <c r="A835" s="5">
        <v>45810.677083333336</v>
      </c>
      <c r="B835">
        <v>22</v>
      </c>
      <c r="C835" t="s">
        <v>28</v>
      </c>
      <c r="D835" t="s">
        <v>29</v>
      </c>
      <c r="E835">
        <v>1.57</v>
      </c>
      <c r="F835">
        <v>3.67</v>
      </c>
      <c r="G835" s="8">
        <f t="shared" ref="G835:G898" si="13">E835*60/F835</f>
        <v>25.667574931880111</v>
      </c>
    </row>
    <row r="836" spans="1:7" x14ac:dyDescent="0.25">
      <c r="A836" s="5">
        <v>45810.677083333336</v>
      </c>
      <c r="B836">
        <v>23</v>
      </c>
      <c r="C836" t="s">
        <v>29</v>
      </c>
      <c r="D836" t="s">
        <v>30</v>
      </c>
      <c r="E836">
        <v>1.43</v>
      </c>
      <c r="F836">
        <v>5.23</v>
      </c>
      <c r="G836" s="8">
        <f t="shared" si="13"/>
        <v>16.40535372848948</v>
      </c>
    </row>
    <row r="837" spans="1:7" x14ac:dyDescent="0.25">
      <c r="A837" s="5">
        <v>45810.677083333336</v>
      </c>
      <c r="B837">
        <v>24</v>
      </c>
      <c r="C837" t="s">
        <v>30</v>
      </c>
      <c r="D837" t="s">
        <v>31</v>
      </c>
      <c r="E837">
        <v>1.52</v>
      </c>
      <c r="F837">
        <v>3.7</v>
      </c>
      <c r="G837" s="8">
        <f t="shared" si="13"/>
        <v>24.648648648648649</v>
      </c>
    </row>
    <row r="838" spans="1:7" x14ac:dyDescent="0.25">
      <c r="A838" s="5">
        <v>45810.677083333336</v>
      </c>
      <c r="B838">
        <v>25</v>
      </c>
      <c r="C838" t="s">
        <v>31</v>
      </c>
      <c r="D838" t="s">
        <v>32</v>
      </c>
      <c r="E838">
        <v>1.52</v>
      </c>
      <c r="F838">
        <v>3.82</v>
      </c>
      <c r="G838" s="8">
        <f t="shared" si="13"/>
        <v>23.874345549738223</v>
      </c>
    </row>
    <row r="839" spans="1:7" x14ac:dyDescent="0.25">
      <c r="A839" s="5">
        <v>45810.677083333336</v>
      </c>
      <c r="B839">
        <v>26</v>
      </c>
      <c r="C839" t="s">
        <v>32</v>
      </c>
      <c r="D839" t="s">
        <v>33</v>
      </c>
      <c r="E839">
        <v>1.49</v>
      </c>
      <c r="F839">
        <v>5.23</v>
      </c>
      <c r="G839" s="8">
        <f t="shared" si="13"/>
        <v>17.093690248565967</v>
      </c>
    </row>
    <row r="840" spans="1:7" x14ac:dyDescent="0.25">
      <c r="A840" s="5">
        <v>45810.677083333336</v>
      </c>
      <c r="B840">
        <v>27</v>
      </c>
      <c r="C840" t="s">
        <v>33</v>
      </c>
      <c r="D840" t="s">
        <v>34</v>
      </c>
      <c r="E840">
        <v>1.53</v>
      </c>
      <c r="F840">
        <v>5.45</v>
      </c>
      <c r="G840" s="8">
        <f t="shared" si="13"/>
        <v>16.844036697247706</v>
      </c>
    </row>
    <row r="841" spans="1:7" x14ac:dyDescent="0.25">
      <c r="A841" s="5">
        <v>45810.677083333336</v>
      </c>
      <c r="B841">
        <v>28</v>
      </c>
      <c r="C841" t="s">
        <v>34</v>
      </c>
      <c r="D841" t="s">
        <v>35</v>
      </c>
      <c r="E841">
        <v>1.51</v>
      </c>
      <c r="F841">
        <v>4.8499999999999996</v>
      </c>
      <c r="G841" s="8">
        <f t="shared" si="13"/>
        <v>18.680412371134022</v>
      </c>
    </row>
    <row r="842" spans="1:7" x14ac:dyDescent="0.25">
      <c r="A842" s="5">
        <v>45810.677083333336</v>
      </c>
      <c r="B842">
        <v>29</v>
      </c>
      <c r="C842" t="s">
        <v>36</v>
      </c>
      <c r="D842" t="s">
        <v>37</v>
      </c>
      <c r="E842">
        <v>1.57</v>
      </c>
      <c r="F842">
        <v>4.25</v>
      </c>
      <c r="G842" s="8">
        <f t="shared" si="13"/>
        <v>22.164705882352941</v>
      </c>
    </row>
    <row r="843" spans="1:7" x14ac:dyDescent="0.25">
      <c r="A843" s="5">
        <v>45810.677083333336</v>
      </c>
      <c r="B843">
        <v>30</v>
      </c>
      <c r="C843" t="s">
        <v>37</v>
      </c>
      <c r="D843" t="s">
        <v>38</v>
      </c>
      <c r="E843">
        <v>1.57</v>
      </c>
      <c r="F843">
        <v>4.72</v>
      </c>
      <c r="G843" s="8">
        <f t="shared" si="13"/>
        <v>19.957627118644069</v>
      </c>
    </row>
    <row r="844" spans="1:7" x14ac:dyDescent="0.25">
      <c r="A844" s="5">
        <v>45810.677083333336</v>
      </c>
      <c r="B844">
        <v>31</v>
      </c>
      <c r="C844" t="s">
        <v>38</v>
      </c>
      <c r="D844" t="s">
        <v>39</v>
      </c>
      <c r="E844">
        <v>1.52</v>
      </c>
      <c r="F844">
        <v>3.18</v>
      </c>
      <c r="G844" s="8">
        <f t="shared" si="13"/>
        <v>28.679245283018869</v>
      </c>
    </row>
    <row r="845" spans="1:7" x14ac:dyDescent="0.25">
      <c r="A845" s="5">
        <v>45810.677083333336</v>
      </c>
      <c r="B845">
        <v>32</v>
      </c>
      <c r="C845" t="s">
        <v>39</v>
      </c>
      <c r="D845" t="s">
        <v>40</v>
      </c>
      <c r="E845">
        <v>1.5</v>
      </c>
      <c r="F845">
        <v>1.93</v>
      </c>
      <c r="G845" s="8">
        <f t="shared" si="13"/>
        <v>46.632124352331608</v>
      </c>
    </row>
    <row r="846" spans="1:7" x14ac:dyDescent="0.25">
      <c r="A846" s="5">
        <v>45810.677083333336</v>
      </c>
      <c r="B846">
        <v>33</v>
      </c>
      <c r="C846" t="s">
        <v>40</v>
      </c>
      <c r="D846" t="s">
        <v>41</v>
      </c>
      <c r="E846">
        <v>1.51</v>
      </c>
      <c r="F846">
        <v>1.88</v>
      </c>
      <c r="G846" s="8">
        <f t="shared" si="13"/>
        <v>48.191489361702125</v>
      </c>
    </row>
    <row r="847" spans="1:7" x14ac:dyDescent="0.25">
      <c r="A847" s="5">
        <v>45810.677083333336</v>
      </c>
      <c r="B847">
        <v>34</v>
      </c>
      <c r="C847" t="s">
        <v>41</v>
      </c>
      <c r="D847" t="s">
        <v>42</v>
      </c>
      <c r="E847">
        <v>1.5</v>
      </c>
      <c r="F847">
        <v>2.23</v>
      </c>
      <c r="G847" s="8">
        <f t="shared" si="13"/>
        <v>40.358744394618832</v>
      </c>
    </row>
    <row r="848" spans="1:7" x14ac:dyDescent="0.25">
      <c r="A848" s="5">
        <v>45810.677083333336</v>
      </c>
      <c r="B848">
        <v>35</v>
      </c>
      <c r="C848" t="s">
        <v>43</v>
      </c>
      <c r="D848" t="s">
        <v>44</v>
      </c>
      <c r="E848">
        <v>1.55</v>
      </c>
      <c r="F848">
        <v>3.78</v>
      </c>
      <c r="G848" s="8">
        <f t="shared" si="13"/>
        <v>24.603174603174605</v>
      </c>
    </row>
    <row r="849" spans="1:7" x14ac:dyDescent="0.25">
      <c r="A849" s="5">
        <v>45810.677083333336</v>
      </c>
      <c r="B849">
        <v>36</v>
      </c>
      <c r="C849" t="s">
        <v>44</v>
      </c>
      <c r="D849" t="s">
        <v>45</v>
      </c>
      <c r="E849">
        <v>1.5</v>
      </c>
      <c r="F849">
        <v>3.38</v>
      </c>
      <c r="G849" s="8">
        <f t="shared" si="13"/>
        <v>26.627218934911244</v>
      </c>
    </row>
    <row r="850" spans="1:7" x14ac:dyDescent="0.25">
      <c r="A850" s="5">
        <v>45810.677083333336</v>
      </c>
      <c r="B850">
        <v>37</v>
      </c>
      <c r="C850" t="s">
        <v>45</v>
      </c>
      <c r="D850" t="s">
        <v>46</v>
      </c>
      <c r="E850">
        <v>1.38</v>
      </c>
      <c r="F850">
        <v>4.63</v>
      </c>
      <c r="G850" s="8">
        <f t="shared" si="13"/>
        <v>17.883369330453565</v>
      </c>
    </row>
    <row r="851" spans="1:7" x14ac:dyDescent="0.25">
      <c r="A851" s="5">
        <v>45810.677083333336</v>
      </c>
      <c r="B851">
        <v>38</v>
      </c>
      <c r="C851" t="s">
        <v>46</v>
      </c>
      <c r="D851" t="s">
        <v>47</v>
      </c>
      <c r="E851">
        <v>1.61</v>
      </c>
      <c r="F851">
        <v>4.53</v>
      </c>
      <c r="G851" s="8">
        <f t="shared" si="13"/>
        <v>21.32450331125828</v>
      </c>
    </row>
    <row r="852" spans="1:7" x14ac:dyDescent="0.25">
      <c r="A852" s="5">
        <v>45810.677083333336</v>
      </c>
      <c r="B852">
        <v>39</v>
      </c>
      <c r="C852" t="s">
        <v>47</v>
      </c>
      <c r="D852" t="s">
        <v>48</v>
      </c>
      <c r="E852">
        <v>1.55</v>
      </c>
      <c r="F852">
        <v>3.38</v>
      </c>
      <c r="G852" s="8">
        <f t="shared" si="13"/>
        <v>27.514792899408285</v>
      </c>
    </row>
    <row r="853" spans="1:7" x14ac:dyDescent="0.25">
      <c r="A853" s="5">
        <v>45810.677083333336</v>
      </c>
      <c r="B853">
        <v>40</v>
      </c>
      <c r="C853" t="s">
        <v>48</v>
      </c>
      <c r="D853" t="s">
        <v>49</v>
      </c>
      <c r="E853">
        <v>1.39</v>
      </c>
      <c r="F853">
        <v>3.05</v>
      </c>
      <c r="G853" s="8">
        <f t="shared" si="13"/>
        <v>27.344262295081965</v>
      </c>
    </row>
    <row r="854" spans="1:7" x14ac:dyDescent="0.25">
      <c r="A854" s="5">
        <v>45810.677083333336</v>
      </c>
      <c r="B854">
        <v>41</v>
      </c>
      <c r="C854" t="s">
        <v>50</v>
      </c>
      <c r="D854" t="s">
        <v>51</v>
      </c>
      <c r="E854">
        <v>1.56</v>
      </c>
      <c r="F854">
        <v>4.87</v>
      </c>
      <c r="G854" s="8">
        <f t="shared" si="13"/>
        <v>19.219712525667351</v>
      </c>
    </row>
    <row r="855" spans="1:7" x14ac:dyDescent="0.25">
      <c r="A855" s="5">
        <v>45810.677083333336</v>
      </c>
      <c r="B855">
        <v>42</v>
      </c>
      <c r="C855" t="s">
        <v>51</v>
      </c>
      <c r="D855" t="s">
        <v>52</v>
      </c>
      <c r="E855">
        <v>1.56</v>
      </c>
      <c r="F855">
        <v>6.63</v>
      </c>
      <c r="G855" s="8">
        <f t="shared" si="13"/>
        <v>14.117647058823531</v>
      </c>
    </row>
    <row r="856" spans="1:7" x14ac:dyDescent="0.25">
      <c r="A856" s="5">
        <v>45810.677083333336</v>
      </c>
      <c r="B856">
        <v>43</v>
      </c>
      <c r="C856" t="s">
        <v>52</v>
      </c>
      <c r="D856" t="s">
        <v>53</v>
      </c>
      <c r="E856">
        <v>1.51</v>
      </c>
      <c r="F856">
        <v>3.7</v>
      </c>
      <c r="G856" s="8">
        <f t="shared" si="13"/>
        <v>24.486486486486484</v>
      </c>
    </row>
    <row r="857" spans="1:7" x14ac:dyDescent="0.25">
      <c r="A857" s="5">
        <v>45810.677083333336</v>
      </c>
      <c r="B857">
        <v>44</v>
      </c>
      <c r="C857" t="s">
        <v>54</v>
      </c>
      <c r="D857" t="s">
        <v>55</v>
      </c>
      <c r="E857">
        <v>1.51</v>
      </c>
      <c r="F857">
        <v>4.5</v>
      </c>
      <c r="G857" s="8">
        <f t="shared" si="13"/>
        <v>20.133333333333333</v>
      </c>
    </row>
    <row r="858" spans="1:7" x14ac:dyDescent="0.25">
      <c r="A858" s="5">
        <v>45810.677083333336</v>
      </c>
      <c r="B858">
        <v>45</v>
      </c>
      <c r="C858" t="s">
        <v>55</v>
      </c>
      <c r="D858" t="s">
        <v>56</v>
      </c>
      <c r="E858">
        <v>1.49</v>
      </c>
      <c r="F858">
        <v>3.8</v>
      </c>
      <c r="G858" s="8">
        <f t="shared" si="13"/>
        <v>23.526315789473689</v>
      </c>
    </row>
    <row r="859" spans="1:7" x14ac:dyDescent="0.25">
      <c r="A859" s="5">
        <v>45810.677083333336</v>
      </c>
      <c r="B859">
        <v>46</v>
      </c>
      <c r="C859" t="s">
        <v>56</v>
      </c>
      <c r="D859" t="s">
        <v>57</v>
      </c>
      <c r="E859">
        <v>1.52</v>
      </c>
      <c r="F859">
        <v>3.95</v>
      </c>
      <c r="G859" s="8">
        <f t="shared" si="13"/>
        <v>23.088607594936708</v>
      </c>
    </row>
    <row r="860" spans="1:7" x14ac:dyDescent="0.25">
      <c r="A860" s="5">
        <v>45810.677083333336</v>
      </c>
      <c r="B860">
        <v>47</v>
      </c>
      <c r="C860" t="s">
        <v>58</v>
      </c>
      <c r="D860" t="s">
        <v>59</v>
      </c>
      <c r="E860">
        <v>1.52</v>
      </c>
      <c r="F860">
        <v>4.57</v>
      </c>
      <c r="G860" s="8">
        <f t="shared" si="13"/>
        <v>19.956236323851204</v>
      </c>
    </row>
    <row r="861" spans="1:7" x14ac:dyDescent="0.25">
      <c r="A861" s="5">
        <v>45810.677083333336</v>
      </c>
      <c r="B861">
        <v>48</v>
      </c>
      <c r="C861" t="s">
        <v>59</v>
      </c>
      <c r="D861" t="s">
        <v>60</v>
      </c>
      <c r="E861">
        <v>1.5</v>
      </c>
      <c r="F861">
        <v>4.12</v>
      </c>
      <c r="G861" s="8">
        <f t="shared" si="13"/>
        <v>21.844660194174757</v>
      </c>
    </row>
    <row r="862" spans="1:7" x14ac:dyDescent="0.25">
      <c r="A862" s="5">
        <v>45810.677083333336</v>
      </c>
      <c r="B862">
        <v>49</v>
      </c>
      <c r="C862" t="s">
        <v>60</v>
      </c>
      <c r="D862" t="s">
        <v>61</v>
      </c>
      <c r="E862">
        <v>1.54</v>
      </c>
      <c r="F862">
        <v>5.05</v>
      </c>
      <c r="G862" s="8">
        <f t="shared" si="13"/>
        <v>18.297029702970299</v>
      </c>
    </row>
    <row r="863" spans="1:7" x14ac:dyDescent="0.25">
      <c r="A863" s="5">
        <v>45810.677083333336</v>
      </c>
      <c r="B863">
        <v>50</v>
      </c>
      <c r="C863" t="s">
        <v>62</v>
      </c>
      <c r="D863" t="s">
        <v>63</v>
      </c>
      <c r="E863">
        <v>1.38</v>
      </c>
      <c r="F863">
        <v>3.33</v>
      </c>
      <c r="G863" s="8">
        <f t="shared" si="13"/>
        <v>24.864864864864863</v>
      </c>
    </row>
    <row r="864" spans="1:7" x14ac:dyDescent="0.25">
      <c r="A864" s="5">
        <v>45810.677083333336</v>
      </c>
      <c r="B864">
        <v>51</v>
      </c>
      <c r="C864" t="s">
        <v>63</v>
      </c>
      <c r="D864" t="s">
        <v>64</v>
      </c>
      <c r="E864">
        <v>2.79</v>
      </c>
      <c r="F864">
        <v>6.57</v>
      </c>
      <c r="G864" s="8">
        <f t="shared" si="13"/>
        <v>25.479452054794521</v>
      </c>
    </row>
    <row r="865" spans="1:7" x14ac:dyDescent="0.25">
      <c r="A865" s="5">
        <v>45810.677083333336</v>
      </c>
      <c r="B865">
        <v>52</v>
      </c>
      <c r="C865" t="s">
        <v>64</v>
      </c>
      <c r="D865" t="s">
        <v>65</v>
      </c>
      <c r="E865">
        <v>1.5</v>
      </c>
      <c r="F865">
        <v>2.98</v>
      </c>
      <c r="G865" s="8">
        <f t="shared" si="13"/>
        <v>30.201342281879196</v>
      </c>
    </row>
    <row r="866" spans="1:7" x14ac:dyDescent="0.25">
      <c r="A866" s="5">
        <v>45810.677083333336</v>
      </c>
      <c r="B866">
        <v>53</v>
      </c>
      <c r="C866" t="s">
        <v>65</v>
      </c>
      <c r="D866" t="s">
        <v>66</v>
      </c>
      <c r="E866">
        <v>1.46</v>
      </c>
      <c r="F866">
        <v>4.05</v>
      </c>
      <c r="G866" s="8">
        <f t="shared" si="13"/>
        <v>21.62962962962963</v>
      </c>
    </row>
    <row r="867" spans="1:7" x14ac:dyDescent="0.25">
      <c r="A867" s="5">
        <v>45810.677083333336</v>
      </c>
      <c r="B867">
        <v>54</v>
      </c>
      <c r="C867" t="s">
        <v>67</v>
      </c>
      <c r="D867" t="s">
        <v>68</v>
      </c>
      <c r="E867">
        <v>1.46</v>
      </c>
      <c r="F867">
        <v>3.8</v>
      </c>
      <c r="G867" s="8">
        <f t="shared" si="13"/>
        <v>23.052631578947366</v>
      </c>
    </row>
    <row r="868" spans="1:7" x14ac:dyDescent="0.25">
      <c r="A868" s="5">
        <v>45810.677083333336</v>
      </c>
      <c r="B868">
        <v>55</v>
      </c>
      <c r="C868" t="s">
        <v>68</v>
      </c>
      <c r="D868" t="s">
        <v>69</v>
      </c>
      <c r="E868">
        <v>1.5</v>
      </c>
      <c r="F868">
        <v>2.4</v>
      </c>
      <c r="G868" s="8">
        <f t="shared" si="13"/>
        <v>37.5</v>
      </c>
    </row>
    <row r="869" spans="1:7" x14ac:dyDescent="0.25">
      <c r="A869" s="5">
        <v>45810.677083333336</v>
      </c>
      <c r="B869">
        <v>56</v>
      </c>
      <c r="C869" t="s">
        <v>70</v>
      </c>
      <c r="D869" t="s">
        <v>71</v>
      </c>
      <c r="E869">
        <v>1.51</v>
      </c>
      <c r="F869">
        <v>5.73</v>
      </c>
      <c r="G869" s="8">
        <f t="shared" si="13"/>
        <v>15.811518324607327</v>
      </c>
    </row>
    <row r="870" spans="1:7" x14ac:dyDescent="0.25">
      <c r="A870" s="5">
        <v>45810.677083333336</v>
      </c>
      <c r="B870">
        <v>57</v>
      </c>
      <c r="C870" t="s">
        <v>71</v>
      </c>
      <c r="D870" t="s">
        <v>72</v>
      </c>
      <c r="E870">
        <v>1.52</v>
      </c>
      <c r="F870">
        <v>4.7</v>
      </c>
      <c r="G870" s="8">
        <f t="shared" si="13"/>
        <v>19.404255319148938</v>
      </c>
    </row>
    <row r="871" spans="1:7" x14ac:dyDescent="0.25">
      <c r="A871" s="5">
        <v>45810.677083333336</v>
      </c>
      <c r="B871">
        <v>58</v>
      </c>
      <c r="C871" t="s">
        <v>72</v>
      </c>
      <c r="D871" t="s">
        <v>73</v>
      </c>
      <c r="E871">
        <v>1.5</v>
      </c>
      <c r="F871">
        <v>4.3499999999999996</v>
      </c>
      <c r="G871" s="8">
        <f t="shared" si="13"/>
        <v>20.689655172413794</v>
      </c>
    </row>
    <row r="872" spans="1:7" x14ac:dyDescent="0.25">
      <c r="A872" s="5">
        <v>45810.6875</v>
      </c>
      <c r="B872">
        <v>1</v>
      </c>
      <c r="C872" t="s">
        <v>6</v>
      </c>
      <c r="D872" t="s">
        <v>7</v>
      </c>
      <c r="E872">
        <v>1.53</v>
      </c>
      <c r="F872">
        <v>3.32</v>
      </c>
      <c r="G872" s="8">
        <f t="shared" si="13"/>
        <v>27.650602409638555</v>
      </c>
    </row>
    <row r="873" spans="1:7" x14ac:dyDescent="0.25">
      <c r="A873" s="5">
        <v>45810.6875</v>
      </c>
      <c r="B873">
        <v>2</v>
      </c>
      <c r="C873" t="s">
        <v>7</v>
      </c>
      <c r="D873" t="s">
        <v>8</v>
      </c>
      <c r="E873">
        <v>1.57</v>
      </c>
      <c r="F873">
        <v>5.73</v>
      </c>
      <c r="G873" s="8">
        <f t="shared" si="13"/>
        <v>16.439790575916231</v>
      </c>
    </row>
    <row r="874" spans="1:7" x14ac:dyDescent="0.25">
      <c r="A874" s="5">
        <v>45810.6875</v>
      </c>
      <c r="B874">
        <v>3</v>
      </c>
      <c r="C874" t="s">
        <v>8</v>
      </c>
      <c r="D874" t="s">
        <v>9</v>
      </c>
      <c r="E874">
        <v>1.5</v>
      </c>
      <c r="F874">
        <v>3.3</v>
      </c>
      <c r="G874" s="8">
        <f t="shared" si="13"/>
        <v>27.272727272727273</v>
      </c>
    </row>
    <row r="875" spans="1:7" x14ac:dyDescent="0.25">
      <c r="A875" s="5">
        <v>45810.6875</v>
      </c>
      <c r="B875">
        <v>4</v>
      </c>
      <c r="C875" t="s">
        <v>9</v>
      </c>
      <c r="D875" t="s">
        <v>10</v>
      </c>
      <c r="E875">
        <v>1.5</v>
      </c>
      <c r="F875">
        <v>3.1</v>
      </c>
      <c r="G875" s="8">
        <f t="shared" si="13"/>
        <v>29.032258064516128</v>
      </c>
    </row>
    <row r="876" spans="1:7" x14ac:dyDescent="0.25">
      <c r="A876" s="5">
        <v>45810.6875</v>
      </c>
      <c r="B876">
        <v>5</v>
      </c>
      <c r="C876" t="s">
        <v>10</v>
      </c>
      <c r="D876" t="s">
        <v>11</v>
      </c>
      <c r="E876">
        <v>1.52</v>
      </c>
      <c r="F876">
        <v>3.78</v>
      </c>
      <c r="G876" s="8">
        <f t="shared" si="13"/>
        <v>24.12698412698413</v>
      </c>
    </row>
    <row r="877" spans="1:7" x14ac:dyDescent="0.25">
      <c r="A877" s="5">
        <v>45810.6875</v>
      </c>
      <c r="B877">
        <v>6</v>
      </c>
      <c r="C877" t="s">
        <v>11</v>
      </c>
      <c r="D877" t="s">
        <v>12</v>
      </c>
      <c r="E877">
        <v>1.5</v>
      </c>
      <c r="F877">
        <v>2.83</v>
      </c>
      <c r="G877" s="8">
        <f t="shared" si="13"/>
        <v>31.802120141342755</v>
      </c>
    </row>
    <row r="878" spans="1:7" x14ac:dyDescent="0.25">
      <c r="A878" s="5">
        <v>45810.6875</v>
      </c>
      <c r="B878">
        <v>7</v>
      </c>
      <c r="C878" t="s">
        <v>12</v>
      </c>
      <c r="D878" t="s">
        <v>13</v>
      </c>
      <c r="E878">
        <v>1.54</v>
      </c>
      <c r="F878">
        <v>2.73</v>
      </c>
      <c r="G878" s="8">
        <f t="shared" si="13"/>
        <v>33.846153846153847</v>
      </c>
    </row>
    <row r="879" spans="1:7" x14ac:dyDescent="0.25">
      <c r="A879" s="5">
        <v>45810.6875</v>
      </c>
      <c r="B879">
        <v>8</v>
      </c>
      <c r="C879" t="s">
        <v>13</v>
      </c>
      <c r="D879" t="s">
        <v>14</v>
      </c>
      <c r="E879">
        <v>1.54</v>
      </c>
      <c r="F879">
        <v>3.43</v>
      </c>
      <c r="G879" s="8">
        <f t="shared" si="13"/>
        <v>26.938775510204081</v>
      </c>
    </row>
    <row r="880" spans="1:7" x14ac:dyDescent="0.25">
      <c r="A880" s="5">
        <v>45810.6875</v>
      </c>
      <c r="B880">
        <v>9</v>
      </c>
      <c r="C880" t="s">
        <v>14</v>
      </c>
      <c r="D880" t="s">
        <v>15</v>
      </c>
      <c r="E880">
        <v>1.52</v>
      </c>
      <c r="F880">
        <v>5.15</v>
      </c>
      <c r="G880" s="8">
        <f t="shared" si="13"/>
        <v>17.708737864077669</v>
      </c>
    </row>
    <row r="881" spans="1:7" x14ac:dyDescent="0.25">
      <c r="A881" s="5">
        <v>45810.6875</v>
      </c>
      <c r="B881">
        <v>10</v>
      </c>
      <c r="C881" t="s">
        <v>15</v>
      </c>
      <c r="D881" t="s">
        <v>16</v>
      </c>
      <c r="E881">
        <v>1.5</v>
      </c>
      <c r="F881">
        <v>5.03</v>
      </c>
      <c r="G881" s="8">
        <f t="shared" si="13"/>
        <v>17.892644135188867</v>
      </c>
    </row>
    <row r="882" spans="1:7" x14ac:dyDescent="0.25">
      <c r="A882" s="5">
        <v>45810.6875</v>
      </c>
      <c r="B882">
        <v>11</v>
      </c>
      <c r="C882" t="s">
        <v>16</v>
      </c>
      <c r="D882" t="s">
        <v>17</v>
      </c>
      <c r="E882">
        <v>1.48</v>
      </c>
      <c r="F882">
        <v>2.72</v>
      </c>
      <c r="G882" s="8">
        <f t="shared" si="13"/>
        <v>32.647058823529406</v>
      </c>
    </row>
    <row r="883" spans="1:7" x14ac:dyDescent="0.25">
      <c r="A883" s="5">
        <v>45810.6875</v>
      </c>
      <c r="B883">
        <v>12</v>
      </c>
      <c r="C883" t="s">
        <v>17</v>
      </c>
      <c r="D883" t="s">
        <v>18</v>
      </c>
      <c r="E883">
        <v>1.46</v>
      </c>
      <c r="F883">
        <v>5.22</v>
      </c>
      <c r="G883" s="8">
        <f t="shared" si="13"/>
        <v>16.7816091954023</v>
      </c>
    </row>
    <row r="884" spans="1:7" x14ac:dyDescent="0.25">
      <c r="A884" s="5">
        <v>45810.6875</v>
      </c>
      <c r="B884">
        <v>13</v>
      </c>
      <c r="C884" t="s">
        <v>18</v>
      </c>
      <c r="D884" t="s">
        <v>19</v>
      </c>
      <c r="E884">
        <v>1.52</v>
      </c>
      <c r="F884">
        <v>5.18</v>
      </c>
      <c r="G884" s="8">
        <f t="shared" si="13"/>
        <v>17.606177606177607</v>
      </c>
    </row>
    <row r="885" spans="1:7" x14ac:dyDescent="0.25">
      <c r="A885" s="5">
        <v>45810.6875</v>
      </c>
      <c r="B885">
        <v>14</v>
      </c>
      <c r="C885" t="s">
        <v>19</v>
      </c>
      <c r="D885" t="s">
        <v>20</v>
      </c>
      <c r="E885">
        <v>1.51</v>
      </c>
      <c r="F885">
        <v>4.92</v>
      </c>
      <c r="G885" s="8">
        <f t="shared" si="13"/>
        <v>18.414634146341463</v>
      </c>
    </row>
    <row r="886" spans="1:7" x14ac:dyDescent="0.25">
      <c r="A886" s="5">
        <v>45810.6875</v>
      </c>
      <c r="B886">
        <v>15</v>
      </c>
      <c r="C886" t="s">
        <v>20</v>
      </c>
      <c r="D886" t="s">
        <v>21</v>
      </c>
      <c r="E886">
        <v>1.47</v>
      </c>
      <c r="F886">
        <v>2.78</v>
      </c>
      <c r="G886" s="8">
        <f t="shared" si="13"/>
        <v>31.726618705035975</v>
      </c>
    </row>
    <row r="887" spans="1:7" x14ac:dyDescent="0.25">
      <c r="A887" s="5">
        <v>45810.6875</v>
      </c>
      <c r="B887">
        <v>16</v>
      </c>
      <c r="C887" t="s">
        <v>21</v>
      </c>
      <c r="D887" t="s">
        <v>22</v>
      </c>
      <c r="E887">
        <v>1.5</v>
      </c>
      <c r="F887">
        <v>1.93</v>
      </c>
      <c r="G887" s="8">
        <f t="shared" si="13"/>
        <v>46.632124352331608</v>
      </c>
    </row>
    <row r="888" spans="1:7" x14ac:dyDescent="0.25">
      <c r="A888" s="5">
        <v>45810.6875</v>
      </c>
      <c r="B888">
        <v>17</v>
      </c>
      <c r="C888" t="s">
        <v>22</v>
      </c>
      <c r="D888" t="s">
        <v>23</v>
      </c>
      <c r="E888">
        <v>1.51</v>
      </c>
      <c r="F888">
        <v>3.22</v>
      </c>
      <c r="G888" s="8">
        <f t="shared" si="13"/>
        <v>28.136645962732917</v>
      </c>
    </row>
    <row r="889" spans="1:7" x14ac:dyDescent="0.25">
      <c r="A889" s="5">
        <v>45810.6875</v>
      </c>
      <c r="B889">
        <v>18</v>
      </c>
      <c r="C889" t="s">
        <v>23</v>
      </c>
      <c r="D889" t="s">
        <v>24</v>
      </c>
      <c r="E889">
        <v>1.51</v>
      </c>
      <c r="F889">
        <v>3.62</v>
      </c>
      <c r="G889" s="8">
        <f t="shared" si="13"/>
        <v>25.027624309392262</v>
      </c>
    </row>
    <row r="890" spans="1:7" x14ac:dyDescent="0.25">
      <c r="A890" s="5">
        <v>45810.6875</v>
      </c>
      <c r="B890">
        <v>19</v>
      </c>
      <c r="C890" t="s">
        <v>25</v>
      </c>
      <c r="D890" t="s">
        <v>26</v>
      </c>
      <c r="E890">
        <v>1.5</v>
      </c>
      <c r="F890">
        <v>4.18</v>
      </c>
      <c r="G890" s="8">
        <f t="shared" si="13"/>
        <v>21.5311004784689</v>
      </c>
    </row>
    <row r="891" spans="1:7" x14ac:dyDescent="0.25">
      <c r="A891" s="5">
        <v>45810.6875</v>
      </c>
      <c r="B891">
        <v>20</v>
      </c>
      <c r="C891" t="s">
        <v>26</v>
      </c>
      <c r="D891" t="s">
        <v>27</v>
      </c>
      <c r="E891">
        <v>1.48</v>
      </c>
      <c r="F891">
        <v>3.93</v>
      </c>
      <c r="G891" s="8">
        <f t="shared" si="13"/>
        <v>22.595419847328241</v>
      </c>
    </row>
    <row r="892" spans="1:7" x14ac:dyDescent="0.25">
      <c r="A892" s="5">
        <v>45810.6875</v>
      </c>
      <c r="B892">
        <v>21</v>
      </c>
      <c r="C892" t="s">
        <v>27</v>
      </c>
      <c r="D892" t="s">
        <v>28</v>
      </c>
      <c r="E892">
        <v>1.51</v>
      </c>
      <c r="F892">
        <v>3.58</v>
      </c>
      <c r="G892" s="8">
        <f t="shared" si="13"/>
        <v>25.3072625698324</v>
      </c>
    </row>
    <row r="893" spans="1:7" x14ac:dyDescent="0.25">
      <c r="A893" s="5">
        <v>45810.6875</v>
      </c>
      <c r="B893">
        <v>22</v>
      </c>
      <c r="C893" t="s">
        <v>28</v>
      </c>
      <c r="D893" t="s">
        <v>29</v>
      </c>
      <c r="E893">
        <v>1.57</v>
      </c>
      <c r="F893">
        <v>3.55</v>
      </c>
      <c r="G893" s="8">
        <f t="shared" si="13"/>
        <v>26.535211267605636</v>
      </c>
    </row>
    <row r="894" spans="1:7" x14ac:dyDescent="0.25">
      <c r="A894" s="5">
        <v>45810.6875</v>
      </c>
      <c r="B894">
        <v>23</v>
      </c>
      <c r="C894" t="s">
        <v>29</v>
      </c>
      <c r="D894" t="s">
        <v>30</v>
      </c>
      <c r="E894">
        <v>1.43</v>
      </c>
      <c r="F894">
        <v>4.7</v>
      </c>
      <c r="G894" s="8">
        <f t="shared" si="13"/>
        <v>18.25531914893617</v>
      </c>
    </row>
    <row r="895" spans="1:7" x14ac:dyDescent="0.25">
      <c r="A895" s="5">
        <v>45810.6875</v>
      </c>
      <c r="B895">
        <v>24</v>
      </c>
      <c r="C895" t="s">
        <v>30</v>
      </c>
      <c r="D895" t="s">
        <v>31</v>
      </c>
      <c r="E895">
        <v>1.52</v>
      </c>
      <c r="F895">
        <v>3.87</v>
      </c>
      <c r="G895" s="8">
        <f t="shared" si="13"/>
        <v>23.565891472868216</v>
      </c>
    </row>
    <row r="896" spans="1:7" x14ac:dyDescent="0.25">
      <c r="A896" s="5">
        <v>45810.6875</v>
      </c>
      <c r="B896">
        <v>25</v>
      </c>
      <c r="C896" t="s">
        <v>31</v>
      </c>
      <c r="D896" t="s">
        <v>32</v>
      </c>
      <c r="E896">
        <v>1.52</v>
      </c>
      <c r="F896">
        <v>3.95</v>
      </c>
      <c r="G896" s="8">
        <f t="shared" si="13"/>
        <v>23.088607594936708</v>
      </c>
    </row>
    <row r="897" spans="1:7" x14ac:dyDescent="0.25">
      <c r="A897" s="5">
        <v>45810.6875</v>
      </c>
      <c r="B897">
        <v>26</v>
      </c>
      <c r="C897" t="s">
        <v>32</v>
      </c>
      <c r="D897" t="s">
        <v>33</v>
      </c>
      <c r="E897">
        <v>1.49</v>
      </c>
      <c r="F897">
        <v>4.58</v>
      </c>
      <c r="G897" s="8">
        <f t="shared" si="13"/>
        <v>19.519650655021834</v>
      </c>
    </row>
    <row r="898" spans="1:7" x14ac:dyDescent="0.25">
      <c r="A898" s="5">
        <v>45810.6875</v>
      </c>
      <c r="B898">
        <v>27</v>
      </c>
      <c r="C898" t="s">
        <v>33</v>
      </c>
      <c r="D898" t="s">
        <v>34</v>
      </c>
      <c r="E898">
        <v>1.53</v>
      </c>
      <c r="F898">
        <v>6</v>
      </c>
      <c r="G898" s="8">
        <f t="shared" si="13"/>
        <v>15.299999999999999</v>
      </c>
    </row>
    <row r="899" spans="1:7" x14ac:dyDescent="0.25">
      <c r="A899" s="5">
        <v>45810.6875</v>
      </c>
      <c r="B899">
        <v>28</v>
      </c>
      <c r="C899" t="s">
        <v>34</v>
      </c>
      <c r="D899" t="s">
        <v>35</v>
      </c>
      <c r="E899">
        <v>1.51</v>
      </c>
      <c r="F899">
        <v>4.7</v>
      </c>
      <c r="G899" s="8">
        <f t="shared" ref="G899:G962" si="14">E899*60/F899</f>
        <v>19.276595744680851</v>
      </c>
    </row>
    <row r="900" spans="1:7" x14ac:dyDescent="0.25">
      <c r="A900" s="5">
        <v>45810.6875</v>
      </c>
      <c r="B900">
        <v>29</v>
      </c>
      <c r="C900" t="s">
        <v>36</v>
      </c>
      <c r="D900" t="s">
        <v>37</v>
      </c>
      <c r="E900">
        <v>1.57</v>
      </c>
      <c r="F900">
        <v>4.38</v>
      </c>
      <c r="G900" s="8">
        <f t="shared" si="14"/>
        <v>21.506849315068493</v>
      </c>
    </row>
    <row r="901" spans="1:7" x14ac:dyDescent="0.25">
      <c r="A901" s="5">
        <v>45810.6875</v>
      </c>
      <c r="B901">
        <v>30</v>
      </c>
      <c r="C901" t="s">
        <v>37</v>
      </c>
      <c r="D901" t="s">
        <v>38</v>
      </c>
      <c r="E901">
        <v>1.57</v>
      </c>
      <c r="F901">
        <v>4.13</v>
      </c>
      <c r="G901" s="8">
        <f t="shared" si="14"/>
        <v>22.808716707021794</v>
      </c>
    </row>
    <row r="902" spans="1:7" x14ac:dyDescent="0.25">
      <c r="A902" s="5">
        <v>45810.6875</v>
      </c>
      <c r="B902">
        <v>31</v>
      </c>
      <c r="C902" t="s">
        <v>38</v>
      </c>
      <c r="D902" t="s">
        <v>39</v>
      </c>
      <c r="E902">
        <v>1.52</v>
      </c>
      <c r="F902">
        <v>3.17</v>
      </c>
      <c r="G902" s="8">
        <f t="shared" si="14"/>
        <v>28.769716088328078</v>
      </c>
    </row>
    <row r="903" spans="1:7" x14ac:dyDescent="0.25">
      <c r="A903" s="5">
        <v>45810.6875</v>
      </c>
      <c r="B903">
        <v>32</v>
      </c>
      <c r="C903" t="s">
        <v>39</v>
      </c>
      <c r="D903" t="s">
        <v>40</v>
      </c>
      <c r="E903">
        <v>1.5</v>
      </c>
      <c r="F903">
        <v>1.98</v>
      </c>
      <c r="G903" s="8">
        <f t="shared" si="14"/>
        <v>45.454545454545453</v>
      </c>
    </row>
    <row r="904" spans="1:7" x14ac:dyDescent="0.25">
      <c r="A904" s="5">
        <v>45810.6875</v>
      </c>
      <c r="B904">
        <v>33</v>
      </c>
      <c r="C904" t="s">
        <v>40</v>
      </c>
      <c r="D904" t="s">
        <v>41</v>
      </c>
      <c r="E904">
        <v>1.51</v>
      </c>
      <c r="F904">
        <v>1.9</v>
      </c>
      <c r="G904" s="8">
        <f t="shared" si="14"/>
        <v>47.684210526315788</v>
      </c>
    </row>
    <row r="905" spans="1:7" x14ac:dyDescent="0.25">
      <c r="A905" s="5">
        <v>45810.6875</v>
      </c>
      <c r="B905">
        <v>34</v>
      </c>
      <c r="C905" t="s">
        <v>41</v>
      </c>
      <c r="D905" t="s">
        <v>42</v>
      </c>
      <c r="E905">
        <v>1.5</v>
      </c>
      <c r="F905">
        <v>2.2999999999999998</v>
      </c>
      <c r="G905" s="8">
        <f t="shared" si="14"/>
        <v>39.130434782608695</v>
      </c>
    </row>
    <row r="906" spans="1:7" x14ac:dyDescent="0.25">
      <c r="A906" s="5">
        <v>45810.6875</v>
      </c>
      <c r="B906">
        <v>35</v>
      </c>
      <c r="C906" t="s">
        <v>43</v>
      </c>
      <c r="D906" t="s">
        <v>44</v>
      </c>
      <c r="E906">
        <v>1.55</v>
      </c>
      <c r="F906">
        <v>4.08</v>
      </c>
      <c r="G906" s="8">
        <f t="shared" si="14"/>
        <v>22.794117647058822</v>
      </c>
    </row>
    <row r="907" spans="1:7" x14ac:dyDescent="0.25">
      <c r="A907" s="5">
        <v>45810.6875</v>
      </c>
      <c r="B907">
        <v>36</v>
      </c>
      <c r="C907" t="s">
        <v>44</v>
      </c>
      <c r="D907" t="s">
        <v>45</v>
      </c>
      <c r="E907">
        <v>1.5</v>
      </c>
      <c r="F907">
        <v>3.25</v>
      </c>
      <c r="G907" s="8">
        <f t="shared" si="14"/>
        <v>27.692307692307693</v>
      </c>
    </row>
    <row r="908" spans="1:7" x14ac:dyDescent="0.25">
      <c r="A908" s="5">
        <v>45810.6875</v>
      </c>
      <c r="B908">
        <v>37</v>
      </c>
      <c r="C908" t="s">
        <v>45</v>
      </c>
      <c r="D908" t="s">
        <v>46</v>
      </c>
      <c r="E908">
        <v>1.38</v>
      </c>
      <c r="F908">
        <v>4.28</v>
      </c>
      <c r="G908" s="8">
        <f t="shared" si="14"/>
        <v>19.345794392523363</v>
      </c>
    </row>
    <row r="909" spans="1:7" x14ac:dyDescent="0.25">
      <c r="A909" s="5">
        <v>45810.6875</v>
      </c>
      <c r="B909">
        <v>38</v>
      </c>
      <c r="C909" t="s">
        <v>46</v>
      </c>
      <c r="D909" t="s">
        <v>47</v>
      </c>
      <c r="E909">
        <v>1.61</v>
      </c>
      <c r="F909">
        <v>4.5</v>
      </c>
      <c r="G909" s="8">
        <f t="shared" si="14"/>
        <v>21.466666666666669</v>
      </c>
    </row>
    <row r="910" spans="1:7" x14ac:dyDescent="0.25">
      <c r="A910" s="5">
        <v>45810.6875</v>
      </c>
      <c r="B910">
        <v>39</v>
      </c>
      <c r="C910" t="s">
        <v>47</v>
      </c>
      <c r="D910" t="s">
        <v>48</v>
      </c>
      <c r="E910">
        <v>1.55</v>
      </c>
      <c r="F910">
        <v>3.57</v>
      </c>
      <c r="G910" s="8">
        <f t="shared" si="14"/>
        <v>26.050420168067227</v>
      </c>
    </row>
    <row r="911" spans="1:7" x14ac:dyDescent="0.25">
      <c r="A911" s="5">
        <v>45810.6875</v>
      </c>
      <c r="B911">
        <v>40</v>
      </c>
      <c r="C911" t="s">
        <v>48</v>
      </c>
      <c r="D911" t="s">
        <v>49</v>
      </c>
      <c r="E911">
        <v>1.39</v>
      </c>
      <c r="F911">
        <v>3.15</v>
      </c>
      <c r="G911" s="8">
        <f t="shared" si="14"/>
        <v>26.476190476190474</v>
      </c>
    </row>
    <row r="912" spans="1:7" x14ac:dyDescent="0.25">
      <c r="A912" s="5">
        <v>45810.6875</v>
      </c>
      <c r="B912">
        <v>41</v>
      </c>
      <c r="C912" t="s">
        <v>50</v>
      </c>
      <c r="D912" t="s">
        <v>51</v>
      </c>
      <c r="E912">
        <v>1.56</v>
      </c>
      <c r="F912">
        <v>4.8</v>
      </c>
      <c r="G912" s="8">
        <f t="shared" si="14"/>
        <v>19.500000000000004</v>
      </c>
    </row>
    <row r="913" spans="1:7" x14ac:dyDescent="0.25">
      <c r="A913" s="5">
        <v>45810.6875</v>
      </c>
      <c r="B913">
        <v>42</v>
      </c>
      <c r="C913" t="s">
        <v>51</v>
      </c>
      <c r="D913" t="s">
        <v>52</v>
      </c>
      <c r="E913">
        <v>1.56</v>
      </c>
      <c r="F913">
        <v>4.9000000000000004</v>
      </c>
      <c r="G913" s="8">
        <f t="shared" si="14"/>
        <v>19.102040816326532</v>
      </c>
    </row>
    <row r="914" spans="1:7" x14ac:dyDescent="0.25">
      <c r="A914" s="5">
        <v>45810.6875</v>
      </c>
      <c r="B914">
        <v>43</v>
      </c>
      <c r="C914" t="s">
        <v>52</v>
      </c>
      <c r="D914" t="s">
        <v>53</v>
      </c>
      <c r="E914">
        <v>1.51</v>
      </c>
      <c r="F914">
        <v>3.63</v>
      </c>
      <c r="G914" s="8">
        <f t="shared" si="14"/>
        <v>24.958677685950413</v>
      </c>
    </row>
    <row r="915" spans="1:7" x14ac:dyDescent="0.25">
      <c r="A915" s="5">
        <v>45810.6875</v>
      </c>
      <c r="B915">
        <v>44</v>
      </c>
      <c r="C915" t="s">
        <v>54</v>
      </c>
      <c r="D915" t="s">
        <v>55</v>
      </c>
      <c r="E915">
        <v>1.51</v>
      </c>
      <c r="F915">
        <v>4.7</v>
      </c>
      <c r="G915" s="8">
        <f t="shared" si="14"/>
        <v>19.276595744680851</v>
      </c>
    </row>
    <row r="916" spans="1:7" x14ac:dyDescent="0.25">
      <c r="A916" s="5">
        <v>45810.6875</v>
      </c>
      <c r="B916">
        <v>45</v>
      </c>
      <c r="C916" t="s">
        <v>55</v>
      </c>
      <c r="D916" t="s">
        <v>56</v>
      </c>
      <c r="E916">
        <v>1.49</v>
      </c>
      <c r="F916">
        <v>3.9</v>
      </c>
      <c r="G916" s="8">
        <f t="shared" si="14"/>
        <v>22.923076923076923</v>
      </c>
    </row>
    <row r="917" spans="1:7" x14ac:dyDescent="0.25">
      <c r="A917" s="5">
        <v>45810.6875</v>
      </c>
      <c r="B917">
        <v>46</v>
      </c>
      <c r="C917" t="s">
        <v>56</v>
      </c>
      <c r="D917" t="s">
        <v>57</v>
      </c>
      <c r="E917">
        <v>1.52</v>
      </c>
      <c r="F917">
        <v>3.97</v>
      </c>
      <c r="G917" s="8">
        <f t="shared" si="14"/>
        <v>22.972292191435766</v>
      </c>
    </row>
    <row r="918" spans="1:7" x14ac:dyDescent="0.25">
      <c r="A918" s="5">
        <v>45810.6875</v>
      </c>
      <c r="B918">
        <v>47</v>
      </c>
      <c r="C918" t="s">
        <v>58</v>
      </c>
      <c r="D918" t="s">
        <v>59</v>
      </c>
      <c r="E918">
        <v>1.52</v>
      </c>
      <c r="F918">
        <v>4.87</v>
      </c>
      <c r="G918" s="8">
        <f t="shared" si="14"/>
        <v>18.726899383983572</v>
      </c>
    </row>
    <row r="919" spans="1:7" x14ac:dyDescent="0.25">
      <c r="A919" s="5">
        <v>45810.6875</v>
      </c>
      <c r="B919">
        <v>48</v>
      </c>
      <c r="C919" t="s">
        <v>59</v>
      </c>
      <c r="D919" t="s">
        <v>60</v>
      </c>
      <c r="E919">
        <v>1.5</v>
      </c>
      <c r="F919">
        <v>4.33</v>
      </c>
      <c r="G919" s="8">
        <f t="shared" si="14"/>
        <v>20.785219399538107</v>
      </c>
    </row>
    <row r="920" spans="1:7" x14ac:dyDescent="0.25">
      <c r="A920" s="5">
        <v>45810.6875</v>
      </c>
      <c r="B920">
        <v>49</v>
      </c>
      <c r="C920" t="s">
        <v>60</v>
      </c>
      <c r="D920" t="s">
        <v>61</v>
      </c>
      <c r="E920">
        <v>1.54</v>
      </c>
      <c r="F920">
        <v>4.5</v>
      </c>
      <c r="G920" s="8">
        <f t="shared" si="14"/>
        <v>20.533333333333335</v>
      </c>
    </row>
    <row r="921" spans="1:7" x14ac:dyDescent="0.25">
      <c r="A921" s="5">
        <v>45810.6875</v>
      </c>
      <c r="B921">
        <v>50</v>
      </c>
      <c r="C921" t="s">
        <v>62</v>
      </c>
      <c r="D921" t="s">
        <v>63</v>
      </c>
      <c r="E921">
        <v>1.38</v>
      </c>
      <c r="F921">
        <v>3.42</v>
      </c>
      <c r="G921" s="8">
        <f t="shared" si="14"/>
        <v>24.210526315789473</v>
      </c>
    </row>
    <row r="922" spans="1:7" x14ac:dyDescent="0.25">
      <c r="A922" s="5">
        <v>45810.6875</v>
      </c>
      <c r="B922">
        <v>51</v>
      </c>
      <c r="C922" t="s">
        <v>63</v>
      </c>
      <c r="D922" t="s">
        <v>64</v>
      </c>
      <c r="E922">
        <v>2.79</v>
      </c>
      <c r="F922">
        <v>6.13</v>
      </c>
      <c r="G922" s="8">
        <f t="shared" si="14"/>
        <v>27.308319738988583</v>
      </c>
    </row>
    <row r="923" spans="1:7" x14ac:dyDescent="0.25">
      <c r="A923" s="5">
        <v>45810.6875</v>
      </c>
      <c r="B923">
        <v>52</v>
      </c>
      <c r="C923" t="s">
        <v>64</v>
      </c>
      <c r="D923" t="s">
        <v>65</v>
      </c>
      <c r="E923">
        <v>1.5</v>
      </c>
      <c r="F923">
        <v>2.97</v>
      </c>
      <c r="G923" s="8">
        <f t="shared" si="14"/>
        <v>30.303030303030301</v>
      </c>
    </row>
    <row r="924" spans="1:7" x14ac:dyDescent="0.25">
      <c r="A924" s="5">
        <v>45810.6875</v>
      </c>
      <c r="B924">
        <v>53</v>
      </c>
      <c r="C924" t="s">
        <v>65</v>
      </c>
      <c r="D924" t="s">
        <v>66</v>
      </c>
      <c r="E924">
        <v>1.46</v>
      </c>
      <c r="F924">
        <v>4.2300000000000004</v>
      </c>
      <c r="G924" s="8">
        <f t="shared" si="14"/>
        <v>20.709219858156025</v>
      </c>
    </row>
    <row r="925" spans="1:7" x14ac:dyDescent="0.25">
      <c r="A925" s="5">
        <v>45810.6875</v>
      </c>
      <c r="B925">
        <v>54</v>
      </c>
      <c r="C925" t="s">
        <v>67</v>
      </c>
      <c r="D925" t="s">
        <v>68</v>
      </c>
      <c r="E925">
        <v>1.46</v>
      </c>
      <c r="F925">
        <v>4.05</v>
      </c>
      <c r="G925" s="8">
        <f t="shared" si="14"/>
        <v>21.62962962962963</v>
      </c>
    </row>
    <row r="926" spans="1:7" x14ac:dyDescent="0.25">
      <c r="A926" s="5">
        <v>45810.6875</v>
      </c>
      <c r="B926">
        <v>55</v>
      </c>
      <c r="C926" t="s">
        <v>68</v>
      </c>
      <c r="D926" t="s">
        <v>69</v>
      </c>
      <c r="E926">
        <v>1.5</v>
      </c>
      <c r="F926">
        <v>2.2799999999999998</v>
      </c>
      <c r="G926" s="8">
        <f t="shared" si="14"/>
        <v>39.473684210526322</v>
      </c>
    </row>
    <row r="927" spans="1:7" x14ac:dyDescent="0.25">
      <c r="A927" s="5">
        <v>45810.6875</v>
      </c>
      <c r="B927">
        <v>56</v>
      </c>
      <c r="C927" t="s">
        <v>70</v>
      </c>
      <c r="D927" t="s">
        <v>71</v>
      </c>
      <c r="E927">
        <v>1.51</v>
      </c>
      <c r="F927">
        <v>5</v>
      </c>
      <c r="G927" s="8">
        <f t="shared" si="14"/>
        <v>18.119999999999997</v>
      </c>
    </row>
    <row r="928" spans="1:7" x14ac:dyDescent="0.25">
      <c r="A928" s="5">
        <v>45810.6875</v>
      </c>
      <c r="B928">
        <v>57</v>
      </c>
      <c r="C928" t="s">
        <v>71</v>
      </c>
      <c r="D928" t="s">
        <v>72</v>
      </c>
      <c r="E928">
        <v>1.52</v>
      </c>
      <c r="F928">
        <v>4.67</v>
      </c>
      <c r="G928" s="8">
        <f t="shared" si="14"/>
        <v>19.528907922912207</v>
      </c>
    </row>
    <row r="929" spans="1:7" x14ac:dyDescent="0.25">
      <c r="A929" s="5">
        <v>45810.6875</v>
      </c>
      <c r="B929">
        <v>58</v>
      </c>
      <c r="C929" t="s">
        <v>72</v>
      </c>
      <c r="D929" t="s">
        <v>73</v>
      </c>
      <c r="E929">
        <v>1.5</v>
      </c>
      <c r="F929">
        <v>4.3499999999999996</v>
      </c>
      <c r="G929" s="8">
        <f t="shared" si="14"/>
        <v>20.689655172413794</v>
      </c>
    </row>
    <row r="930" spans="1:7" x14ac:dyDescent="0.25">
      <c r="A930" s="5">
        <v>45810.697916666664</v>
      </c>
      <c r="B930">
        <v>1</v>
      </c>
      <c r="C930" t="s">
        <v>6</v>
      </c>
      <c r="D930" t="s">
        <v>7</v>
      </c>
      <c r="E930">
        <v>1.53</v>
      </c>
      <c r="F930">
        <v>3.68</v>
      </c>
      <c r="G930" s="8">
        <f t="shared" si="14"/>
        <v>24.945652173913043</v>
      </c>
    </row>
    <row r="931" spans="1:7" x14ac:dyDescent="0.25">
      <c r="A931" s="5">
        <v>45810.697916666664</v>
      </c>
      <c r="B931">
        <v>2</v>
      </c>
      <c r="C931" t="s">
        <v>7</v>
      </c>
      <c r="D931" t="s">
        <v>8</v>
      </c>
      <c r="E931">
        <v>1.57</v>
      </c>
      <c r="F931">
        <v>6.02</v>
      </c>
      <c r="G931" s="8">
        <f t="shared" si="14"/>
        <v>15.647840531561464</v>
      </c>
    </row>
    <row r="932" spans="1:7" x14ac:dyDescent="0.25">
      <c r="A932" s="5">
        <v>45810.697916666664</v>
      </c>
      <c r="B932">
        <v>3</v>
      </c>
      <c r="C932" t="s">
        <v>8</v>
      </c>
      <c r="D932" t="s">
        <v>9</v>
      </c>
      <c r="E932">
        <v>1.5</v>
      </c>
      <c r="F932">
        <v>3.4</v>
      </c>
      <c r="G932" s="8">
        <f t="shared" si="14"/>
        <v>26.47058823529412</v>
      </c>
    </row>
    <row r="933" spans="1:7" x14ac:dyDescent="0.25">
      <c r="A933" s="5">
        <v>45810.697916666664</v>
      </c>
      <c r="B933">
        <v>4</v>
      </c>
      <c r="C933" t="s">
        <v>9</v>
      </c>
      <c r="D933" t="s">
        <v>10</v>
      </c>
      <c r="E933">
        <v>1.5</v>
      </c>
      <c r="F933">
        <v>3.57</v>
      </c>
      <c r="G933" s="8">
        <f t="shared" si="14"/>
        <v>25.210084033613448</v>
      </c>
    </row>
    <row r="934" spans="1:7" x14ac:dyDescent="0.25">
      <c r="A934" s="5">
        <v>45810.697916666664</v>
      </c>
      <c r="B934">
        <v>5</v>
      </c>
      <c r="C934" t="s">
        <v>10</v>
      </c>
      <c r="D934" t="s">
        <v>11</v>
      </c>
      <c r="E934">
        <v>1.52</v>
      </c>
      <c r="F934">
        <v>4.03</v>
      </c>
      <c r="G934" s="8">
        <f t="shared" si="14"/>
        <v>22.630272952853598</v>
      </c>
    </row>
    <row r="935" spans="1:7" x14ac:dyDescent="0.25">
      <c r="A935" s="5">
        <v>45810.697916666664</v>
      </c>
      <c r="B935">
        <v>6</v>
      </c>
      <c r="C935" t="s">
        <v>11</v>
      </c>
      <c r="D935" t="s">
        <v>12</v>
      </c>
      <c r="E935">
        <v>1.5</v>
      </c>
      <c r="F935">
        <v>2.78</v>
      </c>
      <c r="G935" s="8">
        <f t="shared" si="14"/>
        <v>32.374100719424462</v>
      </c>
    </row>
    <row r="936" spans="1:7" x14ac:dyDescent="0.25">
      <c r="A936" s="5">
        <v>45810.697916666664</v>
      </c>
      <c r="B936">
        <v>7</v>
      </c>
      <c r="C936" t="s">
        <v>12</v>
      </c>
      <c r="D936" t="s">
        <v>13</v>
      </c>
      <c r="E936">
        <v>1.54</v>
      </c>
      <c r="F936">
        <v>2.73</v>
      </c>
      <c r="G936" s="8">
        <f t="shared" si="14"/>
        <v>33.846153846153847</v>
      </c>
    </row>
    <row r="937" spans="1:7" x14ac:dyDescent="0.25">
      <c r="A937" s="5">
        <v>45810.697916666664</v>
      </c>
      <c r="B937">
        <v>8</v>
      </c>
      <c r="C937" t="s">
        <v>13</v>
      </c>
      <c r="D937" t="s">
        <v>14</v>
      </c>
      <c r="E937">
        <v>1.54</v>
      </c>
      <c r="F937">
        <v>3.58</v>
      </c>
      <c r="G937" s="8">
        <f t="shared" si="14"/>
        <v>25.81005586592179</v>
      </c>
    </row>
    <row r="938" spans="1:7" x14ac:dyDescent="0.25">
      <c r="A938" s="5">
        <v>45810.697916666664</v>
      </c>
      <c r="B938">
        <v>9</v>
      </c>
      <c r="C938" t="s">
        <v>14</v>
      </c>
      <c r="D938" t="s">
        <v>15</v>
      </c>
      <c r="E938">
        <v>1.52</v>
      </c>
      <c r="F938">
        <v>5.73</v>
      </c>
      <c r="G938" s="8">
        <f t="shared" si="14"/>
        <v>15.916230366492146</v>
      </c>
    </row>
    <row r="939" spans="1:7" x14ac:dyDescent="0.25">
      <c r="A939" s="5">
        <v>45810.697916666664</v>
      </c>
      <c r="B939">
        <v>10</v>
      </c>
      <c r="C939" t="s">
        <v>15</v>
      </c>
      <c r="D939" t="s">
        <v>16</v>
      </c>
      <c r="E939">
        <v>1.5</v>
      </c>
      <c r="F939">
        <v>4.97</v>
      </c>
      <c r="G939" s="8">
        <f t="shared" si="14"/>
        <v>18.108651911468815</v>
      </c>
    </row>
    <row r="940" spans="1:7" x14ac:dyDescent="0.25">
      <c r="A940" s="5">
        <v>45810.697916666664</v>
      </c>
      <c r="B940">
        <v>11</v>
      </c>
      <c r="C940" t="s">
        <v>16</v>
      </c>
      <c r="D940" t="s">
        <v>17</v>
      </c>
      <c r="E940">
        <v>1.48</v>
      </c>
      <c r="F940">
        <v>2.75</v>
      </c>
      <c r="G940" s="8">
        <f t="shared" si="14"/>
        <v>32.290909090909089</v>
      </c>
    </row>
    <row r="941" spans="1:7" x14ac:dyDescent="0.25">
      <c r="A941" s="5">
        <v>45810.697916666664</v>
      </c>
      <c r="B941">
        <v>12</v>
      </c>
      <c r="C941" t="s">
        <v>17</v>
      </c>
      <c r="D941" t="s">
        <v>18</v>
      </c>
      <c r="E941">
        <v>1.46</v>
      </c>
      <c r="F941">
        <v>4.88</v>
      </c>
      <c r="G941" s="8">
        <f t="shared" si="14"/>
        <v>17.950819672131146</v>
      </c>
    </row>
    <row r="942" spans="1:7" x14ac:dyDescent="0.25">
      <c r="A942" s="5">
        <v>45810.697916666664</v>
      </c>
      <c r="B942">
        <v>13</v>
      </c>
      <c r="C942" t="s">
        <v>18</v>
      </c>
      <c r="D942" t="s">
        <v>19</v>
      </c>
      <c r="E942">
        <v>1.52</v>
      </c>
      <c r="F942">
        <v>4.57</v>
      </c>
      <c r="G942" s="8">
        <f t="shared" si="14"/>
        <v>19.956236323851204</v>
      </c>
    </row>
    <row r="943" spans="1:7" x14ac:dyDescent="0.25">
      <c r="A943" s="5">
        <v>45810.697916666664</v>
      </c>
      <c r="B943">
        <v>14</v>
      </c>
      <c r="C943" t="s">
        <v>19</v>
      </c>
      <c r="D943" t="s">
        <v>20</v>
      </c>
      <c r="E943">
        <v>1.51</v>
      </c>
      <c r="F943">
        <v>4.72</v>
      </c>
      <c r="G943" s="8">
        <f t="shared" si="14"/>
        <v>19.194915254237287</v>
      </c>
    </row>
    <row r="944" spans="1:7" x14ac:dyDescent="0.25">
      <c r="A944" s="5">
        <v>45810.697916666664</v>
      </c>
      <c r="B944">
        <v>15</v>
      </c>
      <c r="C944" t="s">
        <v>20</v>
      </c>
      <c r="D944" t="s">
        <v>21</v>
      </c>
      <c r="E944">
        <v>1.47</v>
      </c>
      <c r="F944">
        <v>3.1</v>
      </c>
      <c r="G944" s="8">
        <f t="shared" si="14"/>
        <v>28.451612903225808</v>
      </c>
    </row>
    <row r="945" spans="1:7" x14ac:dyDescent="0.25">
      <c r="A945" s="5">
        <v>45810.697916666664</v>
      </c>
      <c r="B945">
        <v>16</v>
      </c>
      <c r="C945" t="s">
        <v>21</v>
      </c>
      <c r="D945" t="s">
        <v>22</v>
      </c>
      <c r="E945">
        <v>1.5</v>
      </c>
      <c r="F945">
        <v>2.15</v>
      </c>
      <c r="G945" s="8">
        <f t="shared" si="14"/>
        <v>41.860465116279073</v>
      </c>
    </row>
    <row r="946" spans="1:7" x14ac:dyDescent="0.25">
      <c r="A946" s="5">
        <v>45810.697916666664</v>
      </c>
      <c r="B946">
        <v>17</v>
      </c>
      <c r="C946" t="s">
        <v>22</v>
      </c>
      <c r="D946" t="s">
        <v>23</v>
      </c>
      <c r="E946">
        <v>1.51</v>
      </c>
      <c r="F946">
        <v>3.8</v>
      </c>
      <c r="G946" s="8">
        <f t="shared" si="14"/>
        <v>23.842105263157894</v>
      </c>
    </row>
    <row r="947" spans="1:7" x14ac:dyDescent="0.25">
      <c r="A947" s="5">
        <v>45810.697916666664</v>
      </c>
      <c r="B947">
        <v>18</v>
      </c>
      <c r="C947" t="s">
        <v>23</v>
      </c>
      <c r="D947" t="s">
        <v>24</v>
      </c>
      <c r="E947">
        <v>1.51</v>
      </c>
      <c r="F947">
        <v>3.75</v>
      </c>
      <c r="G947" s="8">
        <f t="shared" si="14"/>
        <v>24.16</v>
      </c>
    </row>
    <row r="948" spans="1:7" x14ac:dyDescent="0.25">
      <c r="A948" s="5">
        <v>45810.697916666664</v>
      </c>
      <c r="B948">
        <v>19</v>
      </c>
      <c r="C948" t="s">
        <v>25</v>
      </c>
      <c r="D948" t="s">
        <v>26</v>
      </c>
      <c r="E948">
        <v>1.5</v>
      </c>
      <c r="F948">
        <v>4.0199999999999996</v>
      </c>
      <c r="G948" s="8">
        <f t="shared" si="14"/>
        <v>22.388059701492541</v>
      </c>
    </row>
    <row r="949" spans="1:7" x14ac:dyDescent="0.25">
      <c r="A949" s="5">
        <v>45810.697916666664</v>
      </c>
      <c r="B949">
        <v>20</v>
      </c>
      <c r="C949" t="s">
        <v>26</v>
      </c>
      <c r="D949" t="s">
        <v>27</v>
      </c>
      <c r="E949">
        <v>1.48</v>
      </c>
      <c r="F949">
        <v>3.8</v>
      </c>
      <c r="G949" s="8">
        <f t="shared" si="14"/>
        <v>23.368421052631579</v>
      </c>
    </row>
    <row r="950" spans="1:7" x14ac:dyDescent="0.25">
      <c r="A950" s="5">
        <v>45810.697916666664</v>
      </c>
      <c r="B950">
        <v>21</v>
      </c>
      <c r="C950" t="s">
        <v>27</v>
      </c>
      <c r="D950" t="s">
        <v>28</v>
      </c>
      <c r="E950">
        <v>1.51</v>
      </c>
      <c r="F950">
        <v>3.95</v>
      </c>
      <c r="G950" s="8">
        <f t="shared" si="14"/>
        <v>22.936708860759492</v>
      </c>
    </row>
    <row r="951" spans="1:7" x14ac:dyDescent="0.25">
      <c r="A951" s="5">
        <v>45810.697916666664</v>
      </c>
      <c r="B951">
        <v>22</v>
      </c>
      <c r="C951" t="s">
        <v>28</v>
      </c>
      <c r="D951" t="s">
        <v>29</v>
      </c>
      <c r="E951">
        <v>1.57</v>
      </c>
      <c r="F951">
        <v>3.97</v>
      </c>
      <c r="G951" s="8">
        <f t="shared" si="14"/>
        <v>23.727959697732999</v>
      </c>
    </row>
    <row r="952" spans="1:7" x14ac:dyDescent="0.25">
      <c r="A952" s="5">
        <v>45810.697916666664</v>
      </c>
      <c r="B952">
        <v>23</v>
      </c>
      <c r="C952" t="s">
        <v>29</v>
      </c>
      <c r="D952" t="s">
        <v>30</v>
      </c>
      <c r="E952">
        <v>1.43</v>
      </c>
      <c r="F952">
        <v>4.82</v>
      </c>
      <c r="G952" s="8">
        <f t="shared" si="14"/>
        <v>17.800829875518669</v>
      </c>
    </row>
    <row r="953" spans="1:7" x14ac:dyDescent="0.25">
      <c r="A953" s="5">
        <v>45810.697916666664</v>
      </c>
      <c r="B953">
        <v>24</v>
      </c>
      <c r="C953" t="s">
        <v>30</v>
      </c>
      <c r="D953" t="s">
        <v>31</v>
      </c>
      <c r="E953">
        <v>1.52</v>
      </c>
      <c r="F953">
        <v>4.37</v>
      </c>
      <c r="G953" s="8">
        <f t="shared" si="14"/>
        <v>20.869565217391305</v>
      </c>
    </row>
    <row r="954" spans="1:7" x14ac:dyDescent="0.25">
      <c r="A954" s="5">
        <v>45810.697916666664</v>
      </c>
      <c r="B954">
        <v>25</v>
      </c>
      <c r="C954" t="s">
        <v>31</v>
      </c>
      <c r="D954" t="s">
        <v>32</v>
      </c>
      <c r="E954">
        <v>1.52</v>
      </c>
      <c r="F954">
        <v>3.58</v>
      </c>
      <c r="G954" s="8">
        <f t="shared" si="14"/>
        <v>25.47486033519553</v>
      </c>
    </row>
    <row r="955" spans="1:7" x14ac:dyDescent="0.25">
      <c r="A955" s="5">
        <v>45810.697916666664</v>
      </c>
      <c r="B955">
        <v>26</v>
      </c>
      <c r="C955" t="s">
        <v>32</v>
      </c>
      <c r="D955" t="s">
        <v>33</v>
      </c>
      <c r="E955">
        <v>1.49</v>
      </c>
      <c r="F955">
        <v>4.57</v>
      </c>
      <c r="G955" s="8">
        <f t="shared" si="14"/>
        <v>19.562363238512035</v>
      </c>
    </row>
    <row r="956" spans="1:7" x14ac:dyDescent="0.25">
      <c r="A956" s="5">
        <v>45810.697916666664</v>
      </c>
      <c r="B956">
        <v>27</v>
      </c>
      <c r="C956" t="s">
        <v>33</v>
      </c>
      <c r="D956" t="s">
        <v>34</v>
      </c>
      <c r="E956">
        <v>1.53</v>
      </c>
      <c r="F956">
        <v>5.52</v>
      </c>
      <c r="G956" s="8">
        <f t="shared" si="14"/>
        <v>16.630434782608695</v>
      </c>
    </row>
    <row r="957" spans="1:7" x14ac:dyDescent="0.25">
      <c r="A957" s="5">
        <v>45810.697916666664</v>
      </c>
      <c r="B957">
        <v>28</v>
      </c>
      <c r="C957" t="s">
        <v>34</v>
      </c>
      <c r="D957" t="s">
        <v>35</v>
      </c>
      <c r="E957">
        <v>1.51</v>
      </c>
      <c r="F957">
        <v>4.7</v>
      </c>
      <c r="G957" s="8">
        <f t="shared" si="14"/>
        <v>19.276595744680851</v>
      </c>
    </row>
    <row r="958" spans="1:7" x14ac:dyDescent="0.25">
      <c r="A958" s="5">
        <v>45810.697916666664</v>
      </c>
      <c r="B958">
        <v>29</v>
      </c>
      <c r="C958" t="s">
        <v>36</v>
      </c>
      <c r="D958" t="s">
        <v>37</v>
      </c>
      <c r="E958">
        <v>1.57</v>
      </c>
      <c r="F958">
        <v>4.75</v>
      </c>
      <c r="G958" s="8">
        <f t="shared" si="14"/>
        <v>19.831578947368421</v>
      </c>
    </row>
    <row r="959" spans="1:7" x14ac:dyDescent="0.25">
      <c r="A959" s="5">
        <v>45810.697916666664</v>
      </c>
      <c r="B959">
        <v>30</v>
      </c>
      <c r="C959" t="s">
        <v>37</v>
      </c>
      <c r="D959" t="s">
        <v>38</v>
      </c>
      <c r="E959">
        <v>1.57</v>
      </c>
      <c r="F959">
        <v>4.28</v>
      </c>
      <c r="G959" s="8">
        <f t="shared" si="14"/>
        <v>22.009345794392523</v>
      </c>
    </row>
    <row r="960" spans="1:7" x14ac:dyDescent="0.25">
      <c r="A960" s="5">
        <v>45810.697916666664</v>
      </c>
      <c r="B960">
        <v>31</v>
      </c>
      <c r="C960" t="s">
        <v>38</v>
      </c>
      <c r="D960" t="s">
        <v>39</v>
      </c>
      <c r="E960">
        <v>1.52</v>
      </c>
      <c r="F960">
        <v>3.58</v>
      </c>
      <c r="G960" s="8">
        <f t="shared" si="14"/>
        <v>25.47486033519553</v>
      </c>
    </row>
    <row r="961" spans="1:7" x14ac:dyDescent="0.25">
      <c r="A961" s="5">
        <v>45810.697916666664</v>
      </c>
      <c r="B961">
        <v>32</v>
      </c>
      <c r="C961" t="s">
        <v>39</v>
      </c>
      <c r="D961" t="s">
        <v>40</v>
      </c>
      <c r="E961">
        <v>1.5</v>
      </c>
      <c r="F961">
        <v>1.95</v>
      </c>
      <c r="G961" s="8">
        <f t="shared" si="14"/>
        <v>46.153846153846153</v>
      </c>
    </row>
    <row r="962" spans="1:7" x14ac:dyDescent="0.25">
      <c r="A962" s="5">
        <v>45810.697916666664</v>
      </c>
      <c r="B962">
        <v>33</v>
      </c>
      <c r="C962" t="s">
        <v>40</v>
      </c>
      <c r="D962" t="s">
        <v>41</v>
      </c>
      <c r="E962">
        <v>1.51</v>
      </c>
      <c r="F962">
        <v>1.97</v>
      </c>
      <c r="G962" s="8">
        <f t="shared" si="14"/>
        <v>45.98984771573604</v>
      </c>
    </row>
    <row r="963" spans="1:7" x14ac:dyDescent="0.25">
      <c r="A963" s="5">
        <v>45810.697916666664</v>
      </c>
      <c r="B963">
        <v>34</v>
      </c>
      <c r="C963" t="s">
        <v>41</v>
      </c>
      <c r="D963" t="s">
        <v>42</v>
      </c>
      <c r="E963">
        <v>1.5</v>
      </c>
      <c r="F963">
        <v>2.12</v>
      </c>
      <c r="G963" s="8">
        <f t="shared" ref="G963:G1026" si="15">E963*60/F963</f>
        <v>42.452830188679243</v>
      </c>
    </row>
    <row r="964" spans="1:7" x14ac:dyDescent="0.25">
      <c r="A964" s="5">
        <v>45810.697916666664</v>
      </c>
      <c r="B964">
        <v>35</v>
      </c>
      <c r="C964" t="s">
        <v>43</v>
      </c>
      <c r="D964" t="s">
        <v>44</v>
      </c>
      <c r="E964">
        <v>1.55</v>
      </c>
      <c r="F964">
        <v>3.95</v>
      </c>
      <c r="G964" s="8">
        <f t="shared" si="15"/>
        <v>23.544303797468352</v>
      </c>
    </row>
    <row r="965" spans="1:7" x14ac:dyDescent="0.25">
      <c r="A965" s="5">
        <v>45810.697916666664</v>
      </c>
      <c r="B965">
        <v>36</v>
      </c>
      <c r="C965" t="s">
        <v>44</v>
      </c>
      <c r="D965" t="s">
        <v>45</v>
      </c>
      <c r="E965">
        <v>1.5</v>
      </c>
      <c r="F965">
        <v>3.4</v>
      </c>
      <c r="G965" s="8">
        <f t="shared" si="15"/>
        <v>26.47058823529412</v>
      </c>
    </row>
    <row r="966" spans="1:7" x14ac:dyDescent="0.25">
      <c r="A966" s="5">
        <v>45810.697916666664</v>
      </c>
      <c r="B966">
        <v>37</v>
      </c>
      <c r="C966" t="s">
        <v>45</v>
      </c>
      <c r="D966" t="s">
        <v>46</v>
      </c>
      <c r="E966">
        <v>1.38</v>
      </c>
      <c r="F966">
        <v>5.25</v>
      </c>
      <c r="G966" s="8">
        <f t="shared" si="15"/>
        <v>15.77142857142857</v>
      </c>
    </row>
    <row r="967" spans="1:7" x14ac:dyDescent="0.25">
      <c r="A967" s="5">
        <v>45810.697916666664</v>
      </c>
      <c r="B967">
        <v>38</v>
      </c>
      <c r="C967" t="s">
        <v>46</v>
      </c>
      <c r="D967" t="s">
        <v>47</v>
      </c>
      <c r="E967">
        <v>1.61</v>
      </c>
      <c r="F967">
        <v>4.4800000000000004</v>
      </c>
      <c r="G967" s="8">
        <f t="shared" si="15"/>
        <v>21.5625</v>
      </c>
    </row>
    <row r="968" spans="1:7" x14ac:dyDescent="0.25">
      <c r="A968" s="5">
        <v>45810.697916666664</v>
      </c>
      <c r="B968">
        <v>39</v>
      </c>
      <c r="C968" t="s">
        <v>47</v>
      </c>
      <c r="D968" t="s">
        <v>48</v>
      </c>
      <c r="E968">
        <v>1.55</v>
      </c>
      <c r="F968">
        <v>3.67</v>
      </c>
      <c r="G968" s="8">
        <f t="shared" si="15"/>
        <v>25.340599455040874</v>
      </c>
    </row>
    <row r="969" spans="1:7" x14ac:dyDescent="0.25">
      <c r="A969" s="5">
        <v>45810.697916666664</v>
      </c>
      <c r="B969">
        <v>40</v>
      </c>
      <c r="C969" t="s">
        <v>48</v>
      </c>
      <c r="D969" t="s">
        <v>49</v>
      </c>
      <c r="E969">
        <v>1.39</v>
      </c>
      <c r="F969">
        <v>3.33</v>
      </c>
      <c r="G969" s="8">
        <f t="shared" si="15"/>
        <v>25.045045045045043</v>
      </c>
    </row>
    <row r="970" spans="1:7" x14ac:dyDescent="0.25">
      <c r="A970" s="5">
        <v>45810.697916666664</v>
      </c>
      <c r="B970">
        <v>41</v>
      </c>
      <c r="C970" t="s">
        <v>50</v>
      </c>
      <c r="D970" t="s">
        <v>51</v>
      </c>
      <c r="E970">
        <v>1.56</v>
      </c>
      <c r="F970">
        <v>4.8</v>
      </c>
      <c r="G970" s="8">
        <f t="shared" si="15"/>
        <v>19.500000000000004</v>
      </c>
    </row>
    <row r="971" spans="1:7" x14ac:dyDescent="0.25">
      <c r="A971" s="5">
        <v>45810.697916666664</v>
      </c>
      <c r="B971">
        <v>42</v>
      </c>
      <c r="C971" t="s">
        <v>51</v>
      </c>
      <c r="D971" t="s">
        <v>52</v>
      </c>
      <c r="E971">
        <v>1.56</v>
      </c>
      <c r="F971">
        <v>4.67</v>
      </c>
      <c r="G971" s="8">
        <f t="shared" si="15"/>
        <v>20.042826552462529</v>
      </c>
    </row>
    <row r="972" spans="1:7" x14ac:dyDescent="0.25">
      <c r="A972" s="5">
        <v>45810.697916666664</v>
      </c>
      <c r="B972">
        <v>43</v>
      </c>
      <c r="C972" t="s">
        <v>52</v>
      </c>
      <c r="D972" t="s">
        <v>53</v>
      </c>
      <c r="E972">
        <v>1.51</v>
      </c>
      <c r="F972">
        <v>3.98</v>
      </c>
      <c r="G972" s="8">
        <f t="shared" si="15"/>
        <v>22.763819095477384</v>
      </c>
    </row>
    <row r="973" spans="1:7" x14ac:dyDescent="0.25">
      <c r="A973" s="5">
        <v>45810.697916666664</v>
      </c>
      <c r="B973">
        <v>44</v>
      </c>
      <c r="C973" t="s">
        <v>54</v>
      </c>
      <c r="D973" t="s">
        <v>55</v>
      </c>
      <c r="E973">
        <v>1.51</v>
      </c>
      <c r="F973">
        <v>4.67</v>
      </c>
      <c r="G973" s="8">
        <f t="shared" si="15"/>
        <v>19.400428265524624</v>
      </c>
    </row>
    <row r="974" spans="1:7" x14ac:dyDescent="0.25">
      <c r="A974" s="5">
        <v>45810.697916666664</v>
      </c>
      <c r="B974">
        <v>45</v>
      </c>
      <c r="C974" t="s">
        <v>55</v>
      </c>
      <c r="D974" t="s">
        <v>56</v>
      </c>
      <c r="E974">
        <v>1.49</v>
      </c>
      <c r="F974">
        <v>4.07</v>
      </c>
      <c r="G974" s="8">
        <f t="shared" si="15"/>
        <v>21.965601965601966</v>
      </c>
    </row>
    <row r="975" spans="1:7" x14ac:dyDescent="0.25">
      <c r="A975" s="5">
        <v>45810.697916666664</v>
      </c>
      <c r="B975">
        <v>46</v>
      </c>
      <c r="C975" t="s">
        <v>56</v>
      </c>
      <c r="D975" t="s">
        <v>57</v>
      </c>
      <c r="E975">
        <v>1.52</v>
      </c>
      <c r="F975">
        <v>4.0999999999999996</v>
      </c>
      <c r="G975" s="8">
        <f t="shared" si="15"/>
        <v>22.243902439024392</v>
      </c>
    </row>
    <row r="976" spans="1:7" x14ac:dyDescent="0.25">
      <c r="A976" s="5">
        <v>45810.697916666664</v>
      </c>
      <c r="B976">
        <v>47</v>
      </c>
      <c r="C976" t="s">
        <v>58</v>
      </c>
      <c r="D976" t="s">
        <v>59</v>
      </c>
      <c r="E976">
        <v>1.52</v>
      </c>
      <c r="F976">
        <v>5.23</v>
      </c>
      <c r="G976" s="8">
        <f t="shared" si="15"/>
        <v>17.437858508604204</v>
      </c>
    </row>
    <row r="977" spans="1:7" x14ac:dyDescent="0.25">
      <c r="A977" s="5">
        <v>45810.697916666664</v>
      </c>
      <c r="B977">
        <v>48</v>
      </c>
      <c r="C977" t="s">
        <v>59</v>
      </c>
      <c r="D977" t="s">
        <v>60</v>
      </c>
      <c r="E977">
        <v>1.5</v>
      </c>
      <c r="F977">
        <v>4.2699999999999996</v>
      </c>
      <c r="G977" s="8">
        <f t="shared" si="15"/>
        <v>21.077283372365343</v>
      </c>
    </row>
    <row r="978" spans="1:7" x14ac:dyDescent="0.25">
      <c r="A978" s="5">
        <v>45810.697916666664</v>
      </c>
      <c r="B978">
        <v>49</v>
      </c>
      <c r="C978" t="s">
        <v>60</v>
      </c>
      <c r="D978" t="s">
        <v>61</v>
      </c>
      <c r="E978">
        <v>1.54</v>
      </c>
      <c r="F978">
        <v>4.6500000000000004</v>
      </c>
      <c r="G978" s="8">
        <f t="shared" si="15"/>
        <v>19.870967741935484</v>
      </c>
    </row>
    <row r="979" spans="1:7" x14ac:dyDescent="0.25">
      <c r="A979" s="5">
        <v>45810.697916666664</v>
      </c>
      <c r="B979">
        <v>50</v>
      </c>
      <c r="C979" t="s">
        <v>62</v>
      </c>
      <c r="D979" t="s">
        <v>63</v>
      </c>
      <c r="E979">
        <v>1.38</v>
      </c>
      <c r="F979">
        <v>3.6</v>
      </c>
      <c r="G979" s="8">
        <f t="shared" si="15"/>
        <v>23</v>
      </c>
    </row>
    <row r="980" spans="1:7" x14ac:dyDescent="0.25">
      <c r="A980" s="5">
        <v>45810.697916666664</v>
      </c>
      <c r="B980">
        <v>51</v>
      </c>
      <c r="C980" t="s">
        <v>63</v>
      </c>
      <c r="D980" t="s">
        <v>64</v>
      </c>
      <c r="E980">
        <v>2.79</v>
      </c>
      <c r="F980">
        <v>6.45</v>
      </c>
      <c r="G980" s="8">
        <f t="shared" si="15"/>
        <v>25.953488372093023</v>
      </c>
    </row>
    <row r="981" spans="1:7" x14ac:dyDescent="0.25">
      <c r="A981" s="5">
        <v>45810.697916666664</v>
      </c>
      <c r="B981">
        <v>52</v>
      </c>
      <c r="C981" t="s">
        <v>64</v>
      </c>
      <c r="D981" t="s">
        <v>65</v>
      </c>
      <c r="E981">
        <v>1.5</v>
      </c>
      <c r="F981">
        <v>3.1</v>
      </c>
      <c r="G981" s="8">
        <f t="shared" si="15"/>
        <v>29.032258064516128</v>
      </c>
    </row>
    <row r="982" spans="1:7" x14ac:dyDescent="0.25">
      <c r="A982" s="5">
        <v>45810.697916666664</v>
      </c>
      <c r="B982">
        <v>53</v>
      </c>
      <c r="C982" t="s">
        <v>65</v>
      </c>
      <c r="D982" t="s">
        <v>66</v>
      </c>
      <c r="E982">
        <v>1.46</v>
      </c>
      <c r="F982">
        <v>4.5199999999999996</v>
      </c>
      <c r="G982" s="8">
        <f t="shared" si="15"/>
        <v>19.380530973451329</v>
      </c>
    </row>
    <row r="983" spans="1:7" x14ac:dyDescent="0.25">
      <c r="A983" s="5">
        <v>45810.697916666664</v>
      </c>
      <c r="B983">
        <v>54</v>
      </c>
      <c r="C983" t="s">
        <v>67</v>
      </c>
      <c r="D983" t="s">
        <v>68</v>
      </c>
      <c r="E983">
        <v>1.46</v>
      </c>
      <c r="F983">
        <v>3.57</v>
      </c>
      <c r="G983" s="8">
        <f t="shared" si="15"/>
        <v>24.537815126050418</v>
      </c>
    </row>
    <row r="984" spans="1:7" x14ac:dyDescent="0.25">
      <c r="A984" s="5">
        <v>45810.697916666664</v>
      </c>
      <c r="B984">
        <v>55</v>
      </c>
      <c r="C984" t="s">
        <v>68</v>
      </c>
      <c r="D984" t="s">
        <v>69</v>
      </c>
      <c r="E984">
        <v>1.5</v>
      </c>
      <c r="F984">
        <v>2.35</v>
      </c>
      <c r="G984" s="8">
        <f t="shared" si="15"/>
        <v>38.297872340425528</v>
      </c>
    </row>
    <row r="985" spans="1:7" x14ac:dyDescent="0.25">
      <c r="A985" s="5">
        <v>45810.697916666664</v>
      </c>
      <c r="B985">
        <v>56</v>
      </c>
      <c r="C985" t="s">
        <v>70</v>
      </c>
      <c r="D985" t="s">
        <v>71</v>
      </c>
      <c r="E985">
        <v>1.51</v>
      </c>
      <c r="F985">
        <v>4.4000000000000004</v>
      </c>
      <c r="G985" s="8">
        <f t="shared" si="15"/>
        <v>20.590909090909086</v>
      </c>
    </row>
    <row r="986" spans="1:7" x14ac:dyDescent="0.25">
      <c r="A986" s="5">
        <v>45810.697916666664</v>
      </c>
      <c r="B986">
        <v>57</v>
      </c>
      <c r="C986" t="s">
        <v>71</v>
      </c>
      <c r="D986" t="s">
        <v>72</v>
      </c>
      <c r="E986">
        <v>1.52</v>
      </c>
      <c r="F986">
        <v>4.78</v>
      </c>
      <c r="G986" s="8">
        <f t="shared" si="15"/>
        <v>19.07949790794979</v>
      </c>
    </row>
    <row r="987" spans="1:7" x14ac:dyDescent="0.25">
      <c r="A987" s="5">
        <v>45810.697916666664</v>
      </c>
      <c r="B987">
        <v>58</v>
      </c>
      <c r="C987" t="s">
        <v>72</v>
      </c>
      <c r="D987" t="s">
        <v>73</v>
      </c>
      <c r="E987">
        <v>1.5</v>
      </c>
      <c r="F987">
        <v>4.57</v>
      </c>
      <c r="G987" s="8">
        <f t="shared" si="15"/>
        <v>19.693654266958422</v>
      </c>
    </row>
    <row r="988" spans="1:7" x14ac:dyDescent="0.25">
      <c r="A988" s="5">
        <v>45810.708333333336</v>
      </c>
      <c r="B988">
        <v>1</v>
      </c>
      <c r="C988" t="s">
        <v>6</v>
      </c>
      <c r="D988" t="s">
        <v>7</v>
      </c>
      <c r="E988">
        <v>1.53</v>
      </c>
      <c r="F988">
        <v>3.7</v>
      </c>
      <c r="G988" s="8">
        <f t="shared" si="15"/>
        <v>24.810810810810811</v>
      </c>
    </row>
    <row r="989" spans="1:7" x14ac:dyDescent="0.25">
      <c r="A989" s="5">
        <v>45810.708333333336</v>
      </c>
      <c r="B989">
        <v>2</v>
      </c>
      <c r="C989" t="s">
        <v>7</v>
      </c>
      <c r="D989" t="s">
        <v>8</v>
      </c>
      <c r="E989">
        <v>1.57</v>
      </c>
      <c r="F989">
        <v>6.78</v>
      </c>
      <c r="G989" s="8">
        <f t="shared" si="15"/>
        <v>13.893805309734514</v>
      </c>
    </row>
    <row r="990" spans="1:7" x14ac:dyDescent="0.25">
      <c r="A990" s="5">
        <v>45810.708333333336</v>
      </c>
      <c r="B990">
        <v>3</v>
      </c>
      <c r="C990" t="s">
        <v>8</v>
      </c>
      <c r="D990" t="s">
        <v>9</v>
      </c>
      <c r="E990">
        <v>1.5</v>
      </c>
      <c r="F990">
        <v>3.43</v>
      </c>
      <c r="G990" s="8">
        <f t="shared" si="15"/>
        <v>26.239067055393583</v>
      </c>
    </row>
    <row r="991" spans="1:7" x14ac:dyDescent="0.25">
      <c r="A991" s="5">
        <v>45810.708333333336</v>
      </c>
      <c r="B991">
        <v>4</v>
      </c>
      <c r="C991" t="s">
        <v>9</v>
      </c>
      <c r="D991" t="s">
        <v>10</v>
      </c>
      <c r="E991">
        <v>1.5</v>
      </c>
      <c r="F991">
        <v>3.37</v>
      </c>
      <c r="G991" s="8">
        <f t="shared" si="15"/>
        <v>26.706231454005934</v>
      </c>
    </row>
    <row r="992" spans="1:7" x14ac:dyDescent="0.25">
      <c r="A992" s="5">
        <v>45810.708333333336</v>
      </c>
      <c r="B992">
        <v>5</v>
      </c>
      <c r="C992" t="s">
        <v>10</v>
      </c>
      <c r="D992" t="s">
        <v>11</v>
      </c>
      <c r="E992">
        <v>1.52</v>
      </c>
      <c r="F992">
        <v>3.4</v>
      </c>
      <c r="G992" s="8">
        <f t="shared" si="15"/>
        <v>26.823529411764707</v>
      </c>
    </row>
    <row r="993" spans="1:7" x14ac:dyDescent="0.25">
      <c r="A993" s="5">
        <v>45810.708333333336</v>
      </c>
      <c r="B993">
        <v>6</v>
      </c>
      <c r="C993" t="s">
        <v>11</v>
      </c>
      <c r="D993" t="s">
        <v>12</v>
      </c>
      <c r="E993">
        <v>1.5</v>
      </c>
      <c r="F993">
        <v>2.73</v>
      </c>
      <c r="G993" s="8">
        <f t="shared" si="15"/>
        <v>32.967032967032971</v>
      </c>
    </row>
    <row r="994" spans="1:7" x14ac:dyDescent="0.25">
      <c r="A994" s="5">
        <v>45810.708333333336</v>
      </c>
      <c r="B994">
        <v>7</v>
      </c>
      <c r="C994" t="s">
        <v>12</v>
      </c>
      <c r="D994" t="s">
        <v>13</v>
      </c>
      <c r="E994">
        <v>1.54</v>
      </c>
      <c r="F994">
        <v>3</v>
      </c>
      <c r="G994" s="8">
        <f t="shared" si="15"/>
        <v>30.8</v>
      </c>
    </row>
    <row r="995" spans="1:7" x14ac:dyDescent="0.25">
      <c r="A995" s="5">
        <v>45810.708333333336</v>
      </c>
      <c r="B995">
        <v>8</v>
      </c>
      <c r="C995" t="s">
        <v>13</v>
      </c>
      <c r="D995" t="s">
        <v>14</v>
      </c>
      <c r="E995">
        <v>1.54</v>
      </c>
      <c r="F995">
        <v>3.52</v>
      </c>
      <c r="G995" s="8">
        <f t="shared" si="15"/>
        <v>26.25</v>
      </c>
    </row>
    <row r="996" spans="1:7" x14ac:dyDescent="0.25">
      <c r="A996" s="5">
        <v>45810.708333333336</v>
      </c>
      <c r="B996">
        <v>9</v>
      </c>
      <c r="C996" t="s">
        <v>14</v>
      </c>
      <c r="D996" t="s">
        <v>15</v>
      </c>
      <c r="E996">
        <v>1.52</v>
      </c>
      <c r="F996">
        <v>5.08</v>
      </c>
      <c r="G996" s="8">
        <f t="shared" si="15"/>
        <v>17.952755905511811</v>
      </c>
    </row>
    <row r="997" spans="1:7" x14ac:dyDescent="0.25">
      <c r="A997" s="5">
        <v>45810.708333333336</v>
      </c>
      <c r="B997">
        <v>10</v>
      </c>
      <c r="C997" t="s">
        <v>15</v>
      </c>
      <c r="D997" t="s">
        <v>16</v>
      </c>
      <c r="E997">
        <v>1.5</v>
      </c>
      <c r="F997">
        <v>4.7</v>
      </c>
      <c r="G997" s="8">
        <f t="shared" si="15"/>
        <v>19.148936170212764</v>
      </c>
    </row>
    <row r="998" spans="1:7" x14ac:dyDescent="0.25">
      <c r="A998" s="5">
        <v>45810.708333333336</v>
      </c>
      <c r="B998">
        <v>11</v>
      </c>
      <c r="C998" t="s">
        <v>16</v>
      </c>
      <c r="D998" t="s">
        <v>17</v>
      </c>
      <c r="E998">
        <v>1.48</v>
      </c>
      <c r="F998">
        <v>2.8</v>
      </c>
      <c r="G998" s="8">
        <f t="shared" si="15"/>
        <v>31.714285714285715</v>
      </c>
    </row>
    <row r="999" spans="1:7" x14ac:dyDescent="0.25">
      <c r="A999" s="5">
        <v>45810.708333333336</v>
      </c>
      <c r="B999">
        <v>12</v>
      </c>
      <c r="C999" t="s">
        <v>17</v>
      </c>
      <c r="D999" t="s">
        <v>18</v>
      </c>
      <c r="E999">
        <v>1.46</v>
      </c>
      <c r="F999">
        <v>4.9800000000000004</v>
      </c>
      <c r="G999" s="8">
        <f t="shared" si="15"/>
        <v>17.590361445783131</v>
      </c>
    </row>
    <row r="1000" spans="1:7" x14ac:dyDescent="0.25">
      <c r="A1000" s="5">
        <v>45810.708333333336</v>
      </c>
      <c r="B1000">
        <v>13</v>
      </c>
      <c r="C1000" t="s">
        <v>18</v>
      </c>
      <c r="D1000" t="s">
        <v>19</v>
      </c>
      <c r="E1000">
        <v>1.52</v>
      </c>
      <c r="F1000">
        <v>5.67</v>
      </c>
      <c r="G1000" s="8">
        <f t="shared" si="15"/>
        <v>16.084656084656086</v>
      </c>
    </row>
    <row r="1001" spans="1:7" x14ac:dyDescent="0.25">
      <c r="A1001" s="5">
        <v>45810.708333333336</v>
      </c>
      <c r="B1001">
        <v>14</v>
      </c>
      <c r="C1001" t="s">
        <v>19</v>
      </c>
      <c r="D1001" t="s">
        <v>20</v>
      </c>
      <c r="E1001">
        <v>1.51</v>
      </c>
      <c r="F1001">
        <v>4.4800000000000004</v>
      </c>
      <c r="G1001" s="8">
        <f t="shared" si="15"/>
        <v>20.223214285714281</v>
      </c>
    </row>
    <row r="1002" spans="1:7" x14ac:dyDescent="0.25">
      <c r="A1002" s="5">
        <v>45810.708333333336</v>
      </c>
      <c r="B1002">
        <v>15</v>
      </c>
      <c r="C1002" t="s">
        <v>20</v>
      </c>
      <c r="D1002" t="s">
        <v>21</v>
      </c>
      <c r="E1002">
        <v>1.47</v>
      </c>
      <c r="F1002">
        <v>2.82</v>
      </c>
      <c r="G1002" s="8">
        <f t="shared" si="15"/>
        <v>31.276595744680854</v>
      </c>
    </row>
    <row r="1003" spans="1:7" x14ac:dyDescent="0.25">
      <c r="A1003" s="5">
        <v>45810.708333333336</v>
      </c>
      <c r="B1003">
        <v>16</v>
      </c>
      <c r="C1003" t="s">
        <v>21</v>
      </c>
      <c r="D1003" t="s">
        <v>22</v>
      </c>
      <c r="E1003">
        <v>1.5</v>
      </c>
      <c r="F1003">
        <v>2.57</v>
      </c>
      <c r="G1003" s="8">
        <f t="shared" si="15"/>
        <v>35.019455252918291</v>
      </c>
    </row>
    <row r="1004" spans="1:7" x14ac:dyDescent="0.25">
      <c r="A1004" s="5">
        <v>45810.708333333336</v>
      </c>
      <c r="B1004">
        <v>17</v>
      </c>
      <c r="C1004" t="s">
        <v>22</v>
      </c>
      <c r="D1004" t="s">
        <v>23</v>
      </c>
      <c r="E1004">
        <v>1.51</v>
      </c>
      <c r="F1004">
        <v>4.08</v>
      </c>
      <c r="G1004" s="8">
        <f t="shared" si="15"/>
        <v>22.205882352941174</v>
      </c>
    </row>
    <row r="1005" spans="1:7" x14ac:dyDescent="0.25">
      <c r="A1005" s="5">
        <v>45810.708333333336</v>
      </c>
      <c r="B1005">
        <v>18</v>
      </c>
      <c r="C1005" t="s">
        <v>23</v>
      </c>
      <c r="D1005" t="s">
        <v>24</v>
      </c>
      <c r="E1005">
        <v>1.51</v>
      </c>
      <c r="F1005">
        <v>3.87</v>
      </c>
      <c r="G1005" s="8">
        <f t="shared" si="15"/>
        <v>23.410852713178294</v>
      </c>
    </row>
    <row r="1006" spans="1:7" x14ac:dyDescent="0.25">
      <c r="A1006" s="5">
        <v>45810.708333333336</v>
      </c>
      <c r="B1006">
        <v>19</v>
      </c>
      <c r="C1006" t="s">
        <v>25</v>
      </c>
      <c r="D1006" t="s">
        <v>26</v>
      </c>
      <c r="E1006">
        <v>1.5</v>
      </c>
      <c r="F1006">
        <v>4.13</v>
      </c>
      <c r="G1006" s="8">
        <f t="shared" si="15"/>
        <v>21.791767554479421</v>
      </c>
    </row>
    <row r="1007" spans="1:7" x14ac:dyDescent="0.25">
      <c r="A1007" s="5">
        <v>45810.708333333336</v>
      </c>
      <c r="B1007">
        <v>20</v>
      </c>
      <c r="C1007" t="s">
        <v>26</v>
      </c>
      <c r="D1007" t="s">
        <v>27</v>
      </c>
      <c r="E1007">
        <v>1.48</v>
      </c>
      <c r="F1007">
        <v>3.57</v>
      </c>
      <c r="G1007" s="8">
        <f t="shared" si="15"/>
        <v>24.873949579831933</v>
      </c>
    </row>
    <row r="1008" spans="1:7" x14ac:dyDescent="0.25">
      <c r="A1008" s="5">
        <v>45810.708333333336</v>
      </c>
      <c r="B1008">
        <v>21</v>
      </c>
      <c r="C1008" t="s">
        <v>27</v>
      </c>
      <c r="D1008" t="s">
        <v>28</v>
      </c>
      <c r="E1008">
        <v>1.51</v>
      </c>
      <c r="F1008">
        <v>4.45</v>
      </c>
      <c r="G1008" s="8">
        <f t="shared" si="15"/>
        <v>20.35955056179775</v>
      </c>
    </row>
    <row r="1009" spans="1:7" x14ac:dyDescent="0.25">
      <c r="A1009" s="5">
        <v>45810.708333333336</v>
      </c>
      <c r="B1009">
        <v>22</v>
      </c>
      <c r="C1009" t="s">
        <v>28</v>
      </c>
      <c r="D1009" t="s">
        <v>29</v>
      </c>
      <c r="E1009">
        <v>1.57</v>
      </c>
      <c r="F1009">
        <v>3.83</v>
      </c>
      <c r="G1009" s="8">
        <f t="shared" si="15"/>
        <v>24.595300261096607</v>
      </c>
    </row>
    <row r="1010" spans="1:7" x14ac:dyDescent="0.25">
      <c r="A1010" s="5">
        <v>45810.708333333336</v>
      </c>
      <c r="B1010">
        <v>23</v>
      </c>
      <c r="C1010" t="s">
        <v>29</v>
      </c>
      <c r="D1010" t="s">
        <v>30</v>
      </c>
      <c r="E1010">
        <v>1.43</v>
      </c>
      <c r="F1010">
        <v>4.88</v>
      </c>
      <c r="G1010" s="8">
        <f t="shared" si="15"/>
        <v>17.581967213114755</v>
      </c>
    </row>
    <row r="1011" spans="1:7" x14ac:dyDescent="0.25">
      <c r="A1011" s="5">
        <v>45810.708333333336</v>
      </c>
      <c r="B1011">
        <v>24</v>
      </c>
      <c r="C1011" t="s">
        <v>30</v>
      </c>
      <c r="D1011" t="s">
        <v>31</v>
      </c>
      <c r="E1011">
        <v>1.52</v>
      </c>
      <c r="F1011">
        <v>4.43</v>
      </c>
      <c r="G1011" s="8">
        <f t="shared" si="15"/>
        <v>20.586907449209935</v>
      </c>
    </row>
    <row r="1012" spans="1:7" x14ac:dyDescent="0.25">
      <c r="A1012" s="5">
        <v>45810.708333333336</v>
      </c>
      <c r="B1012">
        <v>25</v>
      </c>
      <c r="C1012" t="s">
        <v>31</v>
      </c>
      <c r="D1012" t="s">
        <v>32</v>
      </c>
      <c r="E1012">
        <v>1.52</v>
      </c>
      <c r="F1012">
        <v>3.57</v>
      </c>
      <c r="G1012" s="8">
        <f t="shared" si="15"/>
        <v>25.54621848739496</v>
      </c>
    </row>
    <row r="1013" spans="1:7" x14ac:dyDescent="0.25">
      <c r="A1013" s="5">
        <v>45810.708333333336</v>
      </c>
      <c r="B1013">
        <v>26</v>
      </c>
      <c r="C1013" t="s">
        <v>32</v>
      </c>
      <c r="D1013" t="s">
        <v>33</v>
      </c>
      <c r="E1013">
        <v>1.49</v>
      </c>
      <c r="F1013">
        <v>5.12</v>
      </c>
      <c r="G1013" s="8">
        <f t="shared" si="15"/>
        <v>17.4609375</v>
      </c>
    </row>
    <row r="1014" spans="1:7" x14ac:dyDescent="0.25">
      <c r="A1014" s="5">
        <v>45810.708333333336</v>
      </c>
      <c r="B1014">
        <v>27</v>
      </c>
      <c r="C1014" t="s">
        <v>33</v>
      </c>
      <c r="D1014" t="s">
        <v>34</v>
      </c>
      <c r="E1014">
        <v>1.53</v>
      </c>
      <c r="F1014">
        <v>5.83</v>
      </c>
      <c r="G1014" s="8">
        <f t="shared" si="15"/>
        <v>15.746140651801028</v>
      </c>
    </row>
    <row r="1015" spans="1:7" x14ac:dyDescent="0.25">
      <c r="A1015" s="5">
        <v>45810.708333333336</v>
      </c>
      <c r="B1015">
        <v>28</v>
      </c>
      <c r="C1015" t="s">
        <v>34</v>
      </c>
      <c r="D1015" t="s">
        <v>35</v>
      </c>
      <c r="E1015">
        <v>1.51</v>
      </c>
      <c r="F1015">
        <v>4.6500000000000004</v>
      </c>
      <c r="G1015" s="8">
        <f t="shared" si="15"/>
        <v>19.483870967741932</v>
      </c>
    </row>
    <row r="1016" spans="1:7" x14ac:dyDescent="0.25">
      <c r="A1016" s="5">
        <v>45810.708333333336</v>
      </c>
      <c r="B1016">
        <v>29</v>
      </c>
      <c r="C1016" t="s">
        <v>36</v>
      </c>
      <c r="D1016" t="s">
        <v>37</v>
      </c>
      <c r="E1016">
        <v>1.57</v>
      </c>
      <c r="F1016">
        <v>4.42</v>
      </c>
      <c r="G1016" s="8">
        <f t="shared" si="15"/>
        <v>21.312217194570138</v>
      </c>
    </row>
    <row r="1017" spans="1:7" x14ac:dyDescent="0.25">
      <c r="A1017" s="5">
        <v>45810.708333333336</v>
      </c>
      <c r="B1017">
        <v>30</v>
      </c>
      <c r="C1017" t="s">
        <v>37</v>
      </c>
      <c r="D1017" t="s">
        <v>38</v>
      </c>
      <c r="E1017">
        <v>1.57</v>
      </c>
      <c r="F1017">
        <v>4.43</v>
      </c>
      <c r="G1017" s="8">
        <f t="shared" si="15"/>
        <v>21.264108352144472</v>
      </c>
    </row>
    <row r="1018" spans="1:7" x14ac:dyDescent="0.25">
      <c r="A1018" s="5">
        <v>45810.708333333336</v>
      </c>
      <c r="B1018">
        <v>31</v>
      </c>
      <c r="C1018" t="s">
        <v>38</v>
      </c>
      <c r="D1018" t="s">
        <v>39</v>
      </c>
      <c r="E1018">
        <v>1.52</v>
      </c>
      <c r="F1018">
        <v>3.22</v>
      </c>
      <c r="G1018" s="8">
        <f t="shared" si="15"/>
        <v>28.322981366459626</v>
      </c>
    </row>
    <row r="1019" spans="1:7" x14ac:dyDescent="0.25">
      <c r="A1019" s="5">
        <v>45810.708333333336</v>
      </c>
      <c r="B1019">
        <v>32</v>
      </c>
      <c r="C1019" t="s">
        <v>39</v>
      </c>
      <c r="D1019" t="s">
        <v>40</v>
      </c>
      <c r="E1019">
        <v>1.5</v>
      </c>
      <c r="F1019">
        <v>1.95</v>
      </c>
      <c r="G1019" s="8">
        <f t="shared" si="15"/>
        <v>46.153846153846153</v>
      </c>
    </row>
    <row r="1020" spans="1:7" x14ac:dyDescent="0.25">
      <c r="A1020" s="5">
        <v>45810.708333333336</v>
      </c>
      <c r="B1020">
        <v>33</v>
      </c>
      <c r="C1020" t="s">
        <v>40</v>
      </c>
      <c r="D1020" t="s">
        <v>41</v>
      </c>
      <c r="E1020">
        <v>1.51</v>
      </c>
      <c r="F1020">
        <v>2.15</v>
      </c>
      <c r="G1020" s="8">
        <f t="shared" si="15"/>
        <v>42.139534883720927</v>
      </c>
    </row>
    <row r="1021" spans="1:7" x14ac:dyDescent="0.25">
      <c r="A1021" s="5">
        <v>45810.708333333336</v>
      </c>
      <c r="B1021">
        <v>34</v>
      </c>
      <c r="C1021" t="s">
        <v>41</v>
      </c>
      <c r="D1021" t="s">
        <v>42</v>
      </c>
      <c r="E1021">
        <v>1.5</v>
      </c>
      <c r="F1021">
        <v>2.4700000000000002</v>
      </c>
      <c r="G1021" s="8">
        <f t="shared" si="15"/>
        <v>36.43724696356275</v>
      </c>
    </row>
    <row r="1022" spans="1:7" x14ac:dyDescent="0.25">
      <c r="A1022" s="5">
        <v>45810.708333333336</v>
      </c>
      <c r="B1022">
        <v>35</v>
      </c>
      <c r="C1022" t="s">
        <v>43</v>
      </c>
      <c r="D1022" t="s">
        <v>44</v>
      </c>
      <c r="E1022">
        <v>1.55</v>
      </c>
      <c r="F1022">
        <v>3.95</v>
      </c>
      <c r="G1022" s="8">
        <f t="shared" si="15"/>
        <v>23.544303797468352</v>
      </c>
    </row>
    <row r="1023" spans="1:7" x14ac:dyDescent="0.25">
      <c r="A1023" s="5">
        <v>45810.708333333336</v>
      </c>
      <c r="B1023">
        <v>36</v>
      </c>
      <c r="C1023" t="s">
        <v>44</v>
      </c>
      <c r="D1023" t="s">
        <v>45</v>
      </c>
      <c r="E1023">
        <v>1.5</v>
      </c>
      <c r="F1023">
        <v>3.3</v>
      </c>
      <c r="G1023" s="8">
        <f t="shared" si="15"/>
        <v>27.272727272727273</v>
      </c>
    </row>
    <row r="1024" spans="1:7" x14ac:dyDescent="0.25">
      <c r="A1024" s="5">
        <v>45810.708333333336</v>
      </c>
      <c r="B1024">
        <v>37</v>
      </c>
      <c r="C1024" t="s">
        <v>45</v>
      </c>
      <c r="D1024" t="s">
        <v>46</v>
      </c>
      <c r="E1024">
        <v>1.38</v>
      </c>
      <c r="F1024">
        <v>4.88</v>
      </c>
      <c r="G1024" s="8">
        <f t="shared" si="15"/>
        <v>16.967213114754099</v>
      </c>
    </row>
    <row r="1025" spans="1:7" x14ac:dyDescent="0.25">
      <c r="A1025" s="5">
        <v>45810.708333333336</v>
      </c>
      <c r="B1025">
        <v>38</v>
      </c>
      <c r="C1025" t="s">
        <v>46</v>
      </c>
      <c r="D1025" t="s">
        <v>47</v>
      </c>
      <c r="E1025">
        <v>1.61</v>
      </c>
      <c r="F1025">
        <v>4.53</v>
      </c>
      <c r="G1025" s="8">
        <f t="shared" si="15"/>
        <v>21.32450331125828</v>
      </c>
    </row>
    <row r="1026" spans="1:7" x14ac:dyDescent="0.25">
      <c r="A1026" s="5">
        <v>45810.708333333336</v>
      </c>
      <c r="B1026">
        <v>39</v>
      </c>
      <c r="C1026" t="s">
        <v>47</v>
      </c>
      <c r="D1026" t="s">
        <v>48</v>
      </c>
      <c r="E1026">
        <v>1.55</v>
      </c>
      <c r="F1026">
        <v>4.42</v>
      </c>
      <c r="G1026" s="8">
        <f t="shared" si="15"/>
        <v>21.040723981900452</v>
      </c>
    </row>
    <row r="1027" spans="1:7" x14ac:dyDescent="0.25">
      <c r="A1027" s="5">
        <v>45810.708333333336</v>
      </c>
      <c r="B1027">
        <v>40</v>
      </c>
      <c r="C1027" t="s">
        <v>48</v>
      </c>
      <c r="D1027" t="s">
        <v>49</v>
      </c>
      <c r="E1027">
        <v>1.39</v>
      </c>
      <c r="F1027">
        <v>3.45</v>
      </c>
      <c r="G1027" s="8">
        <f t="shared" ref="G1027:G1090" si="16">E1027*60/F1027</f>
        <v>24.173913043478258</v>
      </c>
    </row>
    <row r="1028" spans="1:7" x14ac:dyDescent="0.25">
      <c r="A1028" s="5">
        <v>45810.708333333336</v>
      </c>
      <c r="B1028">
        <v>41</v>
      </c>
      <c r="C1028" t="s">
        <v>50</v>
      </c>
      <c r="D1028" t="s">
        <v>51</v>
      </c>
      <c r="E1028">
        <v>1.56</v>
      </c>
      <c r="F1028">
        <v>4.53</v>
      </c>
      <c r="G1028" s="8">
        <f t="shared" si="16"/>
        <v>20.662251655629142</v>
      </c>
    </row>
    <row r="1029" spans="1:7" x14ac:dyDescent="0.25">
      <c r="A1029" s="5">
        <v>45810.708333333336</v>
      </c>
      <c r="B1029">
        <v>42</v>
      </c>
      <c r="C1029" t="s">
        <v>51</v>
      </c>
      <c r="D1029" t="s">
        <v>52</v>
      </c>
      <c r="E1029">
        <v>1.56</v>
      </c>
      <c r="F1029">
        <v>4.3</v>
      </c>
      <c r="G1029" s="8">
        <f t="shared" si="16"/>
        <v>21.767441860465119</v>
      </c>
    </row>
    <row r="1030" spans="1:7" x14ac:dyDescent="0.25">
      <c r="A1030" s="5">
        <v>45810.708333333336</v>
      </c>
      <c r="B1030">
        <v>43</v>
      </c>
      <c r="C1030" t="s">
        <v>52</v>
      </c>
      <c r="D1030" t="s">
        <v>53</v>
      </c>
      <c r="E1030">
        <v>1.51</v>
      </c>
      <c r="F1030">
        <v>3.9</v>
      </c>
      <c r="G1030" s="8">
        <f t="shared" si="16"/>
        <v>23.23076923076923</v>
      </c>
    </row>
    <row r="1031" spans="1:7" x14ac:dyDescent="0.25">
      <c r="A1031" s="5">
        <v>45810.708333333336</v>
      </c>
      <c r="B1031">
        <v>44</v>
      </c>
      <c r="C1031" t="s">
        <v>54</v>
      </c>
      <c r="D1031" t="s">
        <v>55</v>
      </c>
      <c r="E1031">
        <v>1.51</v>
      </c>
      <c r="F1031">
        <v>4.5999999999999996</v>
      </c>
      <c r="G1031" s="8">
        <f t="shared" si="16"/>
        <v>19.695652173913043</v>
      </c>
    </row>
    <row r="1032" spans="1:7" x14ac:dyDescent="0.25">
      <c r="A1032" s="5">
        <v>45810.708333333336</v>
      </c>
      <c r="B1032">
        <v>45</v>
      </c>
      <c r="C1032" t="s">
        <v>55</v>
      </c>
      <c r="D1032" t="s">
        <v>56</v>
      </c>
      <c r="E1032">
        <v>1.49</v>
      </c>
      <c r="F1032">
        <v>4.3</v>
      </c>
      <c r="G1032" s="8">
        <f t="shared" si="16"/>
        <v>20.790697674418606</v>
      </c>
    </row>
    <row r="1033" spans="1:7" x14ac:dyDescent="0.25">
      <c r="A1033" s="5">
        <v>45810.708333333336</v>
      </c>
      <c r="B1033">
        <v>46</v>
      </c>
      <c r="C1033" t="s">
        <v>56</v>
      </c>
      <c r="D1033" t="s">
        <v>57</v>
      </c>
      <c r="E1033">
        <v>1.52</v>
      </c>
      <c r="F1033">
        <v>4.0199999999999996</v>
      </c>
      <c r="G1033" s="8">
        <f t="shared" si="16"/>
        <v>22.686567164179106</v>
      </c>
    </row>
    <row r="1034" spans="1:7" x14ac:dyDescent="0.25">
      <c r="A1034" s="5">
        <v>45810.708333333336</v>
      </c>
      <c r="B1034">
        <v>47</v>
      </c>
      <c r="C1034" t="s">
        <v>58</v>
      </c>
      <c r="D1034" t="s">
        <v>59</v>
      </c>
      <c r="E1034">
        <v>1.52</v>
      </c>
      <c r="F1034">
        <v>5.28</v>
      </c>
      <c r="G1034" s="8">
        <f t="shared" si="16"/>
        <v>17.272727272727273</v>
      </c>
    </row>
    <row r="1035" spans="1:7" x14ac:dyDescent="0.25">
      <c r="A1035" s="5">
        <v>45810.708333333336</v>
      </c>
      <c r="B1035">
        <v>48</v>
      </c>
      <c r="C1035" t="s">
        <v>59</v>
      </c>
      <c r="D1035" t="s">
        <v>60</v>
      </c>
      <c r="E1035">
        <v>1.5</v>
      </c>
      <c r="F1035">
        <v>4.4000000000000004</v>
      </c>
      <c r="G1035" s="8">
        <f t="shared" si="16"/>
        <v>20.454545454545453</v>
      </c>
    </row>
    <row r="1036" spans="1:7" x14ac:dyDescent="0.25">
      <c r="A1036" s="5">
        <v>45810.708333333336</v>
      </c>
      <c r="B1036">
        <v>49</v>
      </c>
      <c r="C1036" t="s">
        <v>60</v>
      </c>
      <c r="D1036" t="s">
        <v>61</v>
      </c>
      <c r="E1036">
        <v>1.54</v>
      </c>
      <c r="F1036">
        <v>4.95</v>
      </c>
      <c r="G1036" s="8">
        <f t="shared" si="16"/>
        <v>18.666666666666668</v>
      </c>
    </row>
    <row r="1037" spans="1:7" x14ac:dyDescent="0.25">
      <c r="A1037" s="5">
        <v>45810.708333333336</v>
      </c>
      <c r="B1037">
        <v>50</v>
      </c>
      <c r="C1037" t="s">
        <v>62</v>
      </c>
      <c r="D1037" t="s">
        <v>63</v>
      </c>
      <c r="E1037">
        <v>1.38</v>
      </c>
      <c r="F1037">
        <v>3.45</v>
      </c>
      <c r="G1037" s="8">
        <f t="shared" si="16"/>
        <v>23.999999999999996</v>
      </c>
    </row>
    <row r="1038" spans="1:7" x14ac:dyDescent="0.25">
      <c r="A1038" s="5">
        <v>45810.708333333336</v>
      </c>
      <c r="B1038">
        <v>51</v>
      </c>
      <c r="C1038" t="s">
        <v>63</v>
      </c>
      <c r="D1038" t="s">
        <v>64</v>
      </c>
      <c r="E1038">
        <v>2.79</v>
      </c>
      <c r="F1038">
        <v>6.25</v>
      </c>
      <c r="G1038" s="8">
        <f t="shared" si="16"/>
        <v>26.784000000000002</v>
      </c>
    </row>
    <row r="1039" spans="1:7" x14ac:dyDescent="0.25">
      <c r="A1039" s="5">
        <v>45810.708333333336</v>
      </c>
      <c r="B1039">
        <v>52</v>
      </c>
      <c r="C1039" t="s">
        <v>64</v>
      </c>
      <c r="D1039" t="s">
        <v>65</v>
      </c>
      <c r="E1039">
        <v>1.5</v>
      </c>
      <c r="F1039">
        <v>2.92</v>
      </c>
      <c r="G1039" s="8">
        <f t="shared" si="16"/>
        <v>30.82191780821918</v>
      </c>
    </row>
    <row r="1040" spans="1:7" x14ac:dyDescent="0.25">
      <c r="A1040" s="5">
        <v>45810.708333333336</v>
      </c>
      <c r="B1040">
        <v>53</v>
      </c>
      <c r="C1040" t="s">
        <v>65</v>
      </c>
      <c r="D1040" t="s">
        <v>66</v>
      </c>
      <c r="E1040">
        <v>1.46</v>
      </c>
      <c r="F1040">
        <v>3.95</v>
      </c>
      <c r="G1040" s="8">
        <f t="shared" si="16"/>
        <v>22.177215189873415</v>
      </c>
    </row>
    <row r="1041" spans="1:7" x14ac:dyDescent="0.25">
      <c r="A1041" s="5">
        <v>45810.708333333336</v>
      </c>
      <c r="B1041">
        <v>54</v>
      </c>
      <c r="C1041" t="s">
        <v>67</v>
      </c>
      <c r="D1041" t="s">
        <v>68</v>
      </c>
      <c r="E1041">
        <v>1.46</v>
      </c>
      <c r="F1041">
        <v>3.78</v>
      </c>
      <c r="G1041" s="8">
        <f t="shared" si="16"/>
        <v>23.174603174603174</v>
      </c>
    </row>
    <row r="1042" spans="1:7" x14ac:dyDescent="0.25">
      <c r="A1042" s="5">
        <v>45810.708333333336</v>
      </c>
      <c r="B1042">
        <v>55</v>
      </c>
      <c r="C1042" t="s">
        <v>68</v>
      </c>
      <c r="D1042" t="s">
        <v>69</v>
      </c>
      <c r="E1042">
        <v>1.5</v>
      </c>
      <c r="F1042">
        <v>2.33</v>
      </c>
      <c r="G1042" s="8">
        <f t="shared" si="16"/>
        <v>38.626609442060087</v>
      </c>
    </row>
    <row r="1043" spans="1:7" x14ac:dyDescent="0.25">
      <c r="A1043" s="5">
        <v>45810.708333333336</v>
      </c>
      <c r="B1043">
        <v>56</v>
      </c>
      <c r="C1043" t="s">
        <v>70</v>
      </c>
      <c r="D1043" t="s">
        <v>71</v>
      </c>
      <c r="E1043">
        <v>1.51</v>
      </c>
      <c r="F1043">
        <v>6.55</v>
      </c>
      <c r="G1043" s="8">
        <f t="shared" si="16"/>
        <v>13.83206106870229</v>
      </c>
    </row>
    <row r="1044" spans="1:7" x14ac:dyDescent="0.25">
      <c r="A1044" s="5">
        <v>45810.708333333336</v>
      </c>
      <c r="B1044">
        <v>57</v>
      </c>
      <c r="C1044" t="s">
        <v>71</v>
      </c>
      <c r="D1044" t="s">
        <v>72</v>
      </c>
      <c r="E1044">
        <v>1.52</v>
      </c>
      <c r="F1044">
        <v>4.5999999999999996</v>
      </c>
      <c r="G1044" s="8">
        <f t="shared" si="16"/>
        <v>19.826086956521742</v>
      </c>
    </row>
    <row r="1045" spans="1:7" x14ac:dyDescent="0.25">
      <c r="A1045" s="5">
        <v>45810.708333333336</v>
      </c>
      <c r="B1045">
        <v>58</v>
      </c>
      <c r="C1045" t="s">
        <v>72</v>
      </c>
      <c r="D1045" t="s">
        <v>73</v>
      </c>
      <c r="E1045">
        <v>1.5</v>
      </c>
      <c r="F1045">
        <v>4.53</v>
      </c>
      <c r="G1045" s="8">
        <f t="shared" si="16"/>
        <v>19.867549668874172</v>
      </c>
    </row>
    <row r="1046" spans="1:7" x14ac:dyDescent="0.25">
      <c r="A1046" s="5">
        <v>45810.71875</v>
      </c>
      <c r="B1046">
        <v>1</v>
      </c>
      <c r="C1046" t="s">
        <v>6</v>
      </c>
      <c r="D1046" t="s">
        <v>7</v>
      </c>
      <c r="E1046">
        <v>1.53</v>
      </c>
      <c r="F1046">
        <v>3.45</v>
      </c>
      <c r="G1046" s="8">
        <f t="shared" si="16"/>
        <v>26.60869565217391</v>
      </c>
    </row>
    <row r="1047" spans="1:7" x14ac:dyDescent="0.25">
      <c r="A1047" s="5">
        <v>45810.71875</v>
      </c>
      <c r="B1047">
        <v>2</v>
      </c>
      <c r="C1047" t="s">
        <v>7</v>
      </c>
      <c r="D1047" t="s">
        <v>8</v>
      </c>
      <c r="E1047">
        <v>1.57</v>
      </c>
      <c r="F1047">
        <v>5.77</v>
      </c>
      <c r="G1047" s="8">
        <f t="shared" si="16"/>
        <v>16.325823223570193</v>
      </c>
    </row>
    <row r="1048" spans="1:7" x14ac:dyDescent="0.25">
      <c r="A1048" s="5">
        <v>45810.71875</v>
      </c>
      <c r="B1048">
        <v>3</v>
      </c>
      <c r="C1048" t="s">
        <v>8</v>
      </c>
      <c r="D1048" t="s">
        <v>9</v>
      </c>
      <c r="E1048">
        <v>1.5</v>
      </c>
      <c r="F1048">
        <v>3.27</v>
      </c>
      <c r="G1048" s="8">
        <f t="shared" si="16"/>
        <v>27.522935779816514</v>
      </c>
    </row>
    <row r="1049" spans="1:7" x14ac:dyDescent="0.25">
      <c r="A1049" s="5">
        <v>45810.71875</v>
      </c>
      <c r="B1049">
        <v>4</v>
      </c>
      <c r="C1049" t="s">
        <v>9</v>
      </c>
      <c r="D1049" t="s">
        <v>10</v>
      </c>
      <c r="E1049">
        <v>1.5</v>
      </c>
      <c r="F1049">
        <v>3.37</v>
      </c>
      <c r="G1049" s="8">
        <f t="shared" si="16"/>
        <v>26.706231454005934</v>
      </c>
    </row>
    <row r="1050" spans="1:7" x14ac:dyDescent="0.25">
      <c r="A1050" s="5">
        <v>45810.71875</v>
      </c>
      <c r="B1050">
        <v>5</v>
      </c>
      <c r="C1050" t="s">
        <v>10</v>
      </c>
      <c r="D1050" t="s">
        <v>11</v>
      </c>
      <c r="E1050">
        <v>1.52</v>
      </c>
      <c r="F1050">
        <v>3.88</v>
      </c>
      <c r="G1050" s="8">
        <f t="shared" si="16"/>
        <v>23.505154639175259</v>
      </c>
    </row>
    <row r="1051" spans="1:7" x14ac:dyDescent="0.25">
      <c r="A1051" s="5">
        <v>45810.71875</v>
      </c>
      <c r="B1051">
        <v>6</v>
      </c>
      <c r="C1051" t="s">
        <v>11</v>
      </c>
      <c r="D1051" t="s">
        <v>12</v>
      </c>
      <c r="E1051">
        <v>1.5</v>
      </c>
      <c r="F1051">
        <v>2.8</v>
      </c>
      <c r="G1051" s="8">
        <f t="shared" si="16"/>
        <v>32.142857142857146</v>
      </c>
    </row>
    <row r="1052" spans="1:7" x14ac:dyDescent="0.25">
      <c r="A1052" s="5">
        <v>45810.71875</v>
      </c>
      <c r="B1052">
        <v>7</v>
      </c>
      <c r="C1052" t="s">
        <v>12</v>
      </c>
      <c r="D1052" t="s">
        <v>13</v>
      </c>
      <c r="E1052">
        <v>1.54</v>
      </c>
      <c r="F1052">
        <v>2.72</v>
      </c>
      <c r="G1052" s="8">
        <f t="shared" si="16"/>
        <v>33.970588235294116</v>
      </c>
    </row>
    <row r="1053" spans="1:7" x14ac:dyDescent="0.25">
      <c r="A1053" s="5">
        <v>45810.71875</v>
      </c>
      <c r="B1053">
        <v>8</v>
      </c>
      <c r="C1053" t="s">
        <v>13</v>
      </c>
      <c r="D1053" t="s">
        <v>14</v>
      </c>
      <c r="E1053">
        <v>1.54</v>
      </c>
      <c r="F1053">
        <v>3.37</v>
      </c>
      <c r="G1053" s="8">
        <f t="shared" si="16"/>
        <v>27.41839762611276</v>
      </c>
    </row>
    <row r="1054" spans="1:7" x14ac:dyDescent="0.25">
      <c r="A1054" s="5">
        <v>45810.71875</v>
      </c>
      <c r="B1054">
        <v>9</v>
      </c>
      <c r="C1054" t="s">
        <v>14</v>
      </c>
      <c r="D1054" t="s">
        <v>15</v>
      </c>
      <c r="E1054">
        <v>1.52</v>
      </c>
      <c r="F1054">
        <v>5</v>
      </c>
      <c r="G1054" s="8">
        <f t="shared" si="16"/>
        <v>18.240000000000002</v>
      </c>
    </row>
    <row r="1055" spans="1:7" x14ac:dyDescent="0.25">
      <c r="A1055" s="5">
        <v>45810.71875</v>
      </c>
      <c r="B1055">
        <v>10</v>
      </c>
      <c r="C1055" t="s">
        <v>15</v>
      </c>
      <c r="D1055" t="s">
        <v>16</v>
      </c>
      <c r="E1055">
        <v>1.5</v>
      </c>
      <c r="F1055">
        <v>5.27</v>
      </c>
      <c r="G1055" s="8">
        <f t="shared" si="16"/>
        <v>17.077798861480076</v>
      </c>
    </row>
    <row r="1056" spans="1:7" x14ac:dyDescent="0.25">
      <c r="A1056" s="5">
        <v>45810.71875</v>
      </c>
      <c r="B1056">
        <v>11</v>
      </c>
      <c r="C1056" t="s">
        <v>16</v>
      </c>
      <c r="D1056" t="s">
        <v>17</v>
      </c>
      <c r="E1056">
        <v>1.48</v>
      </c>
      <c r="F1056">
        <v>4.4000000000000004</v>
      </c>
      <c r="G1056" s="8">
        <f t="shared" si="16"/>
        <v>20.18181818181818</v>
      </c>
    </row>
    <row r="1057" spans="1:7" x14ac:dyDescent="0.25">
      <c r="A1057" s="5">
        <v>45810.71875</v>
      </c>
      <c r="B1057">
        <v>12</v>
      </c>
      <c r="C1057" t="s">
        <v>17</v>
      </c>
      <c r="D1057" t="s">
        <v>18</v>
      </c>
      <c r="E1057">
        <v>1.46</v>
      </c>
      <c r="F1057">
        <v>5.27</v>
      </c>
      <c r="G1057" s="8">
        <f t="shared" si="16"/>
        <v>16.622390891840606</v>
      </c>
    </row>
    <row r="1058" spans="1:7" x14ac:dyDescent="0.25">
      <c r="A1058" s="5">
        <v>45810.71875</v>
      </c>
      <c r="B1058">
        <v>13</v>
      </c>
      <c r="C1058" t="s">
        <v>18</v>
      </c>
      <c r="D1058" t="s">
        <v>19</v>
      </c>
      <c r="E1058">
        <v>1.52</v>
      </c>
      <c r="F1058">
        <v>4.78</v>
      </c>
      <c r="G1058" s="8">
        <f t="shared" si="16"/>
        <v>19.07949790794979</v>
      </c>
    </row>
    <row r="1059" spans="1:7" x14ac:dyDescent="0.25">
      <c r="A1059" s="5">
        <v>45810.71875</v>
      </c>
      <c r="B1059">
        <v>14</v>
      </c>
      <c r="C1059" t="s">
        <v>19</v>
      </c>
      <c r="D1059" t="s">
        <v>20</v>
      </c>
      <c r="E1059">
        <v>1.51</v>
      </c>
      <c r="F1059">
        <v>5.33</v>
      </c>
      <c r="G1059" s="8">
        <f t="shared" si="16"/>
        <v>16.998123827392117</v>
      </c>
    </row>
    <row r="1060" spans="1:7" x14ac:dyDescent="0.25">
      <c r="A1060" s="5">
        <v>45810.71875</v>
      </c>
      <c r="B1060">
        <v>15</v>
      </c>
      <c r="C1060" t="s">
        <v>20</v>
      </c>
      <c r="D1060" t="s">
        <v>21</v>
      </c>
      <c r="E1060">
        <v>1.47</v>
      </c>
      <c r="F1060">
        <v>2.48</v>
      </c>
      <c r="G1060" s="8">
        <f t="shared" si="16"/>
        <v>35.564516129032256</v>
      </c>
    </row>
    <row r="1061" spans="1:7" x14ac:dyDescent="0.25">
      <c r="A1061" s="5">
        <v>45810.71875</v>
      </c>
      <c r="B1061">
        <v>16</v>
      </c>
      <c r="C1061" t="s">
        <v>21</v>
      </c>
      <c r="D1061" t="s">
        <v>22</v>
      </c>
      <c r="E1061">
        <v>1.5</v>
      </c>
      <c r="F1061">
        <v>2.1800000000000002</v>
      </c>
      <c r="G1061" s="8">
        <f t="shared" si="16"/>
        <v>41.284403669724767</v>
      </c>
    </row>
    <row r="1062" spans="1:7" x14ac:dyDescent="0.25">
      <c r="A1062" s="5">
        <v>45810.71875</v>
      </c>
      <c r="B1062">
        <v>17</v>
      </c>
      <c r="C1062" t="s">
        <v>22</v>
      </c>
      <c r="D1062" t="s">
        <v>23</v>
      </c>
      <c r="E1062">
        <v>1.51</v>
      </c>
      <c r="F1062">
        <v>3.5</v>
      </c>
      <c r="G1062" s="8">
        <f t="shared" si="16"/>
        <v>25.885714285714283</v>
      </c>
    </row>
    <row r="1063" spans="1:7" x14ac:dyDescent="0.25">
      <c r="A1063" s="5">
        <v>45810.71875</v>
      </c>
      <c r="B1063">
        <v>18</v>
      </c>
      <c r="C1063" t="s">
        <v>23</v>
      </c>
      <c r="D1063" t="s">
        <v>24</v>
      </c>
      <c r="E1063">
        <v>1.51</v>
      </c>
      <c r="F1063">
        <v>3.65</v>
      </c>
      <c r="G1063" s="8">
        <f t="shared" si="16"/>
        <v>24.821917808219176</v>
      </c>
    </row>
    <row r="1064" spans="1:7" x14ac:dyDescent="0.25">
      <c r="A1064" s="5">
        <v>45810.71875</v>
      </c>
      <c r="B1064">
        <v>19</v>
      </c>
      <c r="C1064" t="s">
        <v>25</v>
      </c>
      <c r="D1064" t="s">
        <v>26</v>
      </c>
      <c r="E1064">
        <v>1.5</v>
      </c>
      <c r="F1064">
        <v>3.83</v>
      </c>
      <c r="G1064" s="8">
        <f t="shared" si="16"/>
        <v>23.49869451697128</v>
      </c>
    </row>
    <row r="1065" spans="1:7" x14ac:dyDescent="0.25">
      <c r="A1065" s="5">
        <v>45810.71875</v>
      </c>
      <c r="B1065">
        <v>20</v>
      </c>
      <c r="C1065" t="s">
        <v>26</v>
      </c>
      <c r="D1065" t="s">
        <v>27</v>
      </c>
      <c r="E1065">
        <v>1.48</v>
      </c>
      <c r="F1065">
        <v>3.33</v>
      </c>
      <c r="G1065" s="8">
        <f t="shared" si="16"/>
        <v>26.666666666666664</v>
      </c>
    </row>
    <row r="1066" spans="1:7" x14ac:dyDescent="0.25">
      <c r="A1066" s="5">
        <v>45810.71875</v>
      </c>
      <c r="B1066">
        <v>21</v>
      </c>
      <c r="C1066" t="s">
        <v>27</v>
      </c>
      <c r="D1066" t="s">
        <v>28</v>
      </c>
      <c r="E1066">
        <v>1.51</v>
      </c>
      <c r="F1066">
        <v>3.38</v>
      </c>
      <c r="G1066" s="8">
        <f t="shared" si="16"/>
        <v>26.80473372781065</v>
      </c>
    </row>
    <row r="1067" spans="1:7" x14ac:dyDescent="0.25">
      <c r="A1067" s="5">
        <v>45810.71875</v>
      </c>
      <c r="B1067">
        <v>22</v>
      </c>
      <c r="C1067" t="s">
        <v>28</v>
      </c>
      <c r="D1067" t="s">
        <v>29</v>
      </c>
      <c r="E1067">
        <v>1.57</v>
      </c>
      <c r="F1067">
        <v>3.97</v>
      </c>
      <c r="G1067" s="8">
        <f t="shared" si="16"/>
        <v>23.727959697732999</v>
      </c>
    </row>
    <row r="1068" spans="1:7" x14ac:dyDescent="0.25">
      <c r="A1068" s="5">
        <v>45810.71875</v>
      </c>
      <c r="B1068">
        <v>23</v>
      </c>
      <c r="C1068" t="s">
        <v>29</v>
      </c>
      <c r="D1068" t="s">
        <v>30</v>
      </c>
      <c r="E1068">
        <v>1.43</v>
      </c>
      <c r="F1068">
        <v>5.05</v>
      </c>
      <c r="G1068" s="8">
        <f t="shared" si="16"/>
        <v>16.990099009900991</v>
      </c>
    </row>
    <row r="1069" spans="1:7" x14ac:dyDescent="0.25">
      <c r="A1069" s="5">
        <v>45810.71875</v>
      </c>
      <c r="B1069">
        <v>24</v>
      </c>
      <c r="C1069" t="s">
        <v>30</v>
      </c>
      <c r="D1069" t="s">
        <v>31</v>
      </c>
      <c r="E1069">
        <v>1.52</v>
      </c>
      <c r="F1069">
        <v>4.13</v>
      </c>
      <c r="G1069" s="8">
        <f t="shared" si="16"/>
        <v>22.082324455205811</v>
      </c>
    </row>
    <row r="1070" spans="1:7" x14ac:dyDescent="0.25">
      <c r="A1070" s="5">
        <v>45810.71875</v>
      </c>
      <c r="B1070">
        <v>25</v>
      </c>
      <c r="C1070" t="s">
        <v>31</v>
      </c>
      <c r="D1070" t="s">
        <v>32</v>
      </c>
      <c r="E1070">
        <v>1.52</v>
      </c>
      <c r="F1070">
        <v>3.25</v>
      </c>
      <c r="G1070" s="8">
        <f t="shared" si="16"/>
        <v>28.061538461538461</v>
      </c>
    </row>
    <row r="1071" spans="1:7" x14ac:dyDescent="0.25">
      <c r="A1071" s="5">
        <v>45810.71875</v>
      </c>
      <c r="B1071">
        <v>26</v>
      </c>
      <c r="C1071" t="s">
        <v>32</v>
      </c>
      <c r="D1071" t="s">
        <v>33</v>
      </c>
      <c r="E1071">
        <v>1.49</v>
      </c>
      <c r="F1071">
        <v>5.0199999999999996</v>
      </c>
      <c r="G1071" s="8">
        <f t="shared" si="16"/>
        <v>17.808764940239048</v>
      </c>
    </row>
    <row r="1072" spans="1:7" x14ac:dyDescent="0.25">
      <c r="A1072" s="5">
        <v>45810.71875</v>
      </c>
      <c r="B1072">
        <v>27</v>
      </c>
      <c r="C1072" t="s">
        <v>33</v>
      </c>
      <c r="D1072" t="s">
        <v>34</v>
      </c>
      <c r="E1072">
        <v>1.53</v>
      </c>
      <c r="F1072">
        <v>6.38</v>
      </c>
      <c r="G1072" s="8">
        <f t="shared" si="16"/>
        <v>14.388714733542319</v>
      </c>
    </row>
    <row r="1073" spans="1:7" x14ac:dyDescent="0.25">
      <c r="A1073" s="5">
        <v>45810.71875</v>
      </c>
      <c r="B1073">
        <v>28</v>
      </c>
      <c r="C1073" t="s">
        <v>34</v>
      </c>
      <c r="D1073" t="s">
        <v>35</v>
      </c>
      <c r="E1073">
        <v>1.51</v>
      </c>
      <c r="F1073">
        <v>4.55</v>
      </c>
      <c r="G1073" s="8">
        <f t="shared" si="16"/>
        <v>19.912087912087912</v>
      </c>
    </row>
    <row r="1074" spans="1:7" x14ac:dyDescent="0.25">
      <c r="A1074" s="5">
        <v>45810.71875</v>
      </c>
      <c r="B1074">
        <v>29</v>
      </c>
      <c r="C1074" t="s">
        <v>36</v>
      </c>
      <c r="D1074" t="s">
        <v>37</v>
      </c>
      <c r="E1074">
        <v>1.57</v>
      </c>
      <c r="F1074">
        <v>4.7300000000000004</v>
      </c>
      <c r="G1074" s="8">
        <f t="shared" si="16"/>
        <v>19.915433403805494</v>
      </c>
    </row>
    <row r="1075" spans="1:7" x14ac:dyDescent="0.25">
      <c r="A1075" s="5">
        <v>45810.71875</v>
      </c>
      <c r="B1075">
        <v>30</v>
      </c>
      <c r="C1075" t="s">
        <v>37</v>
      </c>
      <c r="D1075" t="s">
        <v>38</v>
      </c>
      <c r="E1075">
        <v>1.57</v>
      </c>
      <c r="F1075">
        <v>3.95</v>
      </c>
      <c r="G1075" s="8">
        <f t="shared" si="16"/>
        <v>23.848101265822784</v>
      </c>
    </row>
    <row r="1076" spans="1:7" x14ac:dyDescent="0.25">
      <c r="A1076" s="5">
        <v>45810.71875</v>
      </c>
      <c r="B1076">
        <v>31</v>
      </c>
      <c r="C1076" t="s">
        <v>38</v>
      </c>
      <c r="D1076" t="s">
        <v>39</v>
      </c>
      <c r="E1076">
        <v>1.52</v>
      </c>
      <c r="F1076">
        <v>3.88</v>
      </c>
      <c r="G1076" s="8">
        <f t="shared" si="16"/>
        <v>23.505154639175259</v>
      </c>
    </row>
    <row r="1077" spans="1:7" x14ac:dyDescent="0.25">
      <c r="A1077" s="5">
        <v>45810.71875</v>
      </c>
      <c r="B1077">
        <v>32</v>
      </c>
      <c r="C1077" t="s">
        <v>39</v>
      </c>
      <c r="D1077" t="s">
        <v>40</v>
      </c>
      <c r="E1077">
        <v>1.5</v>
      </c>
      <c r="F1077">
        <v>1.93</v>
      </c>
      <c r="G1077" s="8">
        <f t="shared" si="16"/>
        <v>46.632124352331608</v>
      </c>
    </row>
    <row r="1078" spans="1:7" x14ac:dyDescent="0.25">
      <c r="A1078" s="5">
        <v>45810.71875</v>
      </c>
      <c r="B1078">
        <v>33</v>
      </c>
      <c r="C1078" t="s">
        <v>40</v>
      </c>
      <c r="D1078" t="s">
        <v>41</v>
      </c>
      <c r="E1078">
        <v>1.51</v>
      </c>
      <c r="F1078">
        <v>1.98</v>
      </c>
      <c r="G1078" s="8">
        <f t="shared" si="16"/>
        <v>45.757575757575758</v>
      </c>
    </row>
    <row r="1079" spans="1:7" x14ac:dyDescent="0.25">
      <c r="A1079" s="5">
        <v>45810.71875</v>
      </c>
      <c r="B1079">
        <v>34</v>
      </c>
      <c r="C1079" t="s">
        <v>41</v>
      </c>
      <c r="D1079" t="s">
        <v>42</v>
      </c>
      <c r="E1079">
        <v>1.5</v>
      </c>
      <c r="F1079">
        <v>2.23</v>
      </c>
      <c r="G1079" s="8">
        <f t="shared" si="16"/>
        <v>40.358744394618832</v>
      </c>
    </row>
    <row r="1080" spans="1:7" x14ac:dyDescent="0.25">
      <c r="A1080" s="5">
        <v>45810.71875</v>
      </c>
      <c r="B1080">
        <v>35</v>
      </c>
      <c r="C1080" t="s">
        <v>43</v>
      </c>
      <c r="D1080" t="s">
        <v>44</v>
      </c>
      <c r="E1080">
        <v>1.55</v>
      </c>
      <c r="F1080">
        <v>3.85</v>
      </c>
      <c r="G1080" s="8">
        <f t="shared" si="16"/>
        <v>24.155844155844154</v>
      </c>
    </row>
    <row r="1081" spans="1:7" x14ac:dyDescent="0.25">
      <c r="A1081" s="5">
        <v>45810.71875</v>
      </c>
      <c r="B1081">
        <v>36</v>
      </c>
      <c r="C1081" t="s">
        <v>44</v>
      </c>
      <c r="D1081" t="s">
        <v>45</v>
      </c>
      <c r="E1081">
        <v>1.5</v>
      </c>
      <c r="F1081">
        <v>3.43</v>
      </c>
      <c r="G1081" s="8">
        <f t="shared" si="16"/>
        <v>26.239067055393583</v>
      </c>
    </row>
    <row r="1082" spans="1:7" x14ac:dyDescent="0.25">
      <c r="A1082" s="5">
        <v>45810.71875</v>
      </c>
      <c r="B1082">
        <v>37</v>
      </c>
      <c r="C1082" t="s">
        <v>45</v>
      </c>
      <c r="D1082" t="s">
        <v>46</v>
      </c>
      <c r="E1082">
        <v>1.38</v>
      </c>
      <c r="F1082">
        <v>4.83</v>
      </c>
      <c r="G1082" s="8">
        <f t="shared" si="16"/>
        <v>17.142857142857142</v>
      </c>
    </row>
    <row r="1083" spans="1:7" x14ac:dyDescent="0.25">
      <c r="A1083" s="5">
        <v>45810.71875</v>
      </c>
      <c r="B1083">
        <v>38</v>
      </c>
      <c r="C1083" t="s">
        <v>46</v>
      </c>
      <c r="D1083" t="s">
        <v>47</v>
      </c>
      <c r="E1083">
        <v>1.61</v>
      </c>
      <c r="F1083">
        <v>4.68</v>
      </c>
      <c r="G1083" s="8">
        <f t="shared" si="16"/>
        <v>20.641025641025646</v>
      </c>
    </row>
    <row r="1084" spans="1:7" x14ac:dyDescent="0.25">
      <c r="A1084" s="5">
        <v>45810.71875</v>
      </c>
      <c r="B1084">
        <v>39</v>
      </c>
      <c r="C1084" t="s">
        <v>47</v>
      </c>
      <c r="D1084" t="s">
        <v>48</v>
      </c>
      <c r="E1084">
        <v>1.55</v>
      </c>
      <c r="F1084">
        <v>3.77</v>
      </c>
      <c r="G1084" s="8">
        <f t="shared" si="16"/>
        <v>24.668435013262599</v>
      </c>
    </row>
    <row r="1085" spans="1:7" x14ac:dyDescent="0.25">
      <c r="A1085" s="5">
        <v>45810.71875</v>
      </c>
      <c r="B1085">
        <v>40</v>
      </c>
      <c r="C1085" t="s">
        <v>48</v>
      </c>
      <c r="D1085" t="s">
        <v>49</v>
      </c>
      <c r="E1085">
        <v>1.39</v>
      </c>
      <c r="F1085">
        <v>3.43</v>
      </c>
      <c r="G1085" s="8">
        <f t="shared" si="16"/>
        <v>24.314868804664719</v>
      </c>
    </row>
    <row r="1086" spans="1:7" x14ac:dyDescent="0.25">
      <c r="A1086" s="5">
        <v>45810.71875</v>
      </c>
      <c r="B1086">
        <v>41</v>
      </c>
      <c r="C1086" t="s">
        <v>50</v>
      </c>
      <c r="D1086" t="s">
        <v>51</v>
      </c>
      <c r="E1086">
        <v>1.56</v>
      </c>
      <c r="F1086">
        <v>4.67</v>
      </c>
      <c r="G1086" s="8">
        <f t="shared" si="16"/>
        <v>20.042826552462529</v>
      </c>
    </row>
    <row r="1087" spans="1:7" x14ac:dyDescent="0.25">
      <c r="A1087" s="5">
        <v>45810.71875</v>
      </c>
      <c r="B1087">
        <v>42</v>
      </c>
      <c r="C1087" t="s">
        <v>51</v>
      </c>
      <c r="D1087" t="s">
        <v>52</v>
      </c>
      <c r="E1087">
        <v>1.56</v>
      </c>
      <c r="F1087">
        <v>4.0199999999999996</v>
      </c>
      <c r="G1087" s="8">
        <f t="shared" si="16"/>
        <v>23.283582089552244</v>
      </c>
    </row>
    <row r="1088" spans="1:7" x14ac:dyDescent="0.25">
      <c r="A1088" s="5">
        <v>45810.71875</v>
      </c>
      <c r="B1088">
        <v>43</v>
      </c>
      <c r="C1088" t="s">
        <v>52</v>
      </c>
      <c r="D1088" t="s">
        <v>53</v>
      </c>
      <c r="E1088">
        <v>1.51</v>
      </c>
      <c r="F1088">
        <v>3.83</v>
      </c>
      <c r="G1088" s="8">
        <f t="shared" si="16"/>
        <v>23.655352480417754</v>
      </c>
    </row>
    <row r="1089" spans="1:7" x14ac:dyDescent="0.25">
      <c r="A1089" s="5">
        <v>45810.71875</v>
      </c>
      <c r="B1089">
        <v>44</v>
      </c>
      <c r="C1089" t="s">
        <v>54</v>
      </c>
      <c r="D1089" t="s">
        <v>55</v>
      </c>
      <c r="E1089">
        <v>1.51</v>
      </c>
      <c r="F1089">
        <v>4.32</v>
      </c>
      <c r="G1089" s="8">
        <f t="shared" si="16"/>
        <v>20.972222222222218</v>
      </c>
    </row>
    <row r="1090" spans="1:7" x14ac:dyDescent="0.25">
      <c r="A1090" s="5">
        <v>45810.71875</v>
      </c>
      <c r="B1090">
        <v>45</v>
      </c>
      <c r="C1090" t="s">
        <v>55</v>
      </c>
      <c r="D1090" t="s">
        <v>56</v>
      </c>
      <c r="E1090">
        <v>1.49</v>
      </c>
      <c r="F1090">
        <v>3.48</v>
      </c>
      <c r="G1090" s="8">
        <f t="shared" si="16"/>
        <v>25.689655172413794</v>
      </c>
    </row>
    <row r="1091" spans="1:7" x14ac:dyDescent="0.25">
      <c r="A1091" s="5">
        <v>45810.71875</v>
      </c>
      <c r="B1091">
        <v>46</v>
      </c>
      <c r="C1091" t="s">
        <v>56</v>
      </c>
      <c r="D1091" t="s">
        <v>57</v>
      </c>
      <c r="E1091">
        <v>1.52</v>
      </c>
      <c r="F1091">
        <v>4.12</v>
      </c>
      <c r="G1091" s="8">
        <f t="shared" ref="G1091:G1154" si="17">E1091*60/F1091</f>
        <v>22.135922330097088</v>
      </c>
    </row>
    <row r="1092" spans="1:7" x14ac:dyDescent="0.25">
      <c r="A1092" s="5">
        <v>45810.71875</v>
      </c>
      <c r="B1092">
        <v>47</v>
      </c>
      <c r="C1092" t="s">
        <v>58</v>
      </c>
      <c r="D1092" t="s">
        <v>59</v>
      </c>
      <c r="E1092">
        <v>1.52</v>
      </c>
      <c r="F1092">
        <v>5.17</v>
      </c>
      <c r="G1092" s="8">
        <f t="shared" si="17"/>
        <v>17.640232108317214</v>
      </c>
    </row>
    <row r="1093" spans="1:7" x14ac:dyDescent="0.25">
      <c r="A1093" s="5">
        <v>45810.71875</v>
      </c>
      <c r="B1093">
        <v>48</v>
      </c>
      <c r="C1093" t="s">
        <v>59</v>
      </c>
      <c r="D1093" t="s">
        <v>60</v>
      </c>
      <c r="E1093">
        <v>1.5</v>
      </c>
      <c r="F1093">
        <v>4.38</v>
      </c>
      <c r="G1093" s="8">
        <f t="shared" si="17"/>
        <v>20.547945205479454</v>
      </c>
    </row>
    <row r="1094" spans="1:7" x14ac:dyDescent="0.25">
      <c r="A1094" s="5">
        <v>45810.71875</v>
      </c>
      <c r="B1094">
        <v>49</v>
      </c>
      <c r="C1094" t="s">
        <v>60</v>
      </c>
      <c r="D1094" t="s">
        <v>61</v>
      </c>
      <c r="E1094">
        <v>1.54</v>
      </c>
      <c r="F1094">
        <v>5.0999999999999996</v>
      </c>
      <c r="G1094" s="8">
        <f t="shared" si="17"/>
        <v>18.117647058823533</v>
      </c>
    </row>
    <row r="1095" spans="1:7" x14ac:dyDescent="0.25">
      <c r="A1095" s="5">
        <v>45810.71875</v>
      </c>
      <c r="B1095">
        <v>50</v>
      </c>
      <c r="C1095" t="s">
        <v>62</v>
      </c>
      <c r="D1095" t="s">
        <v>63</v>
      </c>
      <c r="E1095">
        <v>1.38</v>
      </c>
      <c r="F1095">
        <v>3.43</v>
      </c>
      <c r="G1095" s="8">
        <f t="shared" si="17"/>
        <v>24.139941690962097</v>
      </c>
    </row>
    <row r="1096" spans="1:7" x14ac:dyDescent="0.25">
      <c r="A1096" s="5">
        <v>45810.71875</v>
      </c>
      <c r="B1096">
        <v>51</v>
      </c>
      <c r="C1096" t="s">
        <v>63</v>
      </c>
      <c r="D1096" t="s">
        <v>64</v>
      </c>
      <c r="E1096">
        <v>2.79</v>
      </c>
      <c r="F1096">
        <v>6.1</v>
      </c>
      <c r="G1096" s="8">
        <f t="shared" si="17"/>
        <v>27.442622950819676</v>
      </c>
    </row>
    <row r="1097" spans="1:7" x14ac:dyDescent="0.25">
      <c r="A1097" s="5">
        <v>45810.71875</v>
      </c>
      <c r="B1097">
        <v>52</v>
      </c>
      <c r="C1097" t="s">
        <v>64</v>
      </c>
      <c r="D1097" t="s">
        <v>65</v>
      </c>
      <c r="E1097">
        <v>1.5</v>
      </c>
      <c r="F1097">
        <v>2.85</v>
      </c>
      <c r="G1097" s="8">
        <f t="shared" si="17"/>
        <v>31.578947368421051</v>
      </c>
    </row>
    <row r="1098" spans="1:7" x14ac:dyDescent="0.25">
      <c r="A1098" s="5">
        <v>45810.71875</v>
      </c>
      <c r="B1098">
        <v>53</v>
      </c>
      <c r="C1098" t="s">
        <v>65</v>
      </c>
      <c r="D1098" t="s">
        <v>66</v>
      </c>
      <c r="E1098">
        <v>1.46</v>
      </c>
      <c r="F1098">
        <v>3.88</v>
      </c>
      <c r="G1098" s="8">
        <f t="shared" si="17"/>
        <v>22.577319587628864</v>
      </c>
    </row>
    <row r="1099" spans="1:7" x14ac:dyDescent="0.25">
      <c r="A1099" s="5">
        <v>45810.71875</v>
      </c>
      <c r="B1099">
        <v>54</v>
      </c>
      <c r="C1099" t="s">
        <v>67</v>
      </c>
      <c r="D1099" t="s">
        <v>68</v>
      </c>
      <c r="E1099">
        <v>1.46</v>
      </c>
      <c r="F1099">
        <v>3.57</v>
      </c>
      <c r="G1099" s="8">
        <f t="shared" si="17"/>
        <v>24.537815126050418</v>
      </c>
    </row>
    <row r="1100" spans="1:7" x14ac:dyDescent="0.25">
      <c r="A1100" s="5">
        <v>45810.71875</v>
      </c>
      <c r="B1100">
        <v>55</v>
      </c>
      <c r="C1100" t="s">
        <v>68</v>
      </c>
      <c r="D1100" t="s">
        <v>69</v>
      </c>
      <c r="E1100">
        <v>1.5</v>
      </c>
      <c r="F1100">
        <v>2.42</v>
      </c>
      <c r="G1100" s="8">
        <f t="shared" si="17"/>
        <v>37.190082644628099</v>
      </c>
    </row>
    <row r="1101" spans="1:7" x14ac:dyDescent="0.25">
      <c r="A1101" s="5">
        <v>45810.71875</v>
      </c>
      <c r="B1101">
        <v>56</v>
      </c>
      <c r="C1101" t="s">
        <v>70</v>
      </c>
      <c r="D1101" t="s">
        <v>71</v>
      </c>
      <c r="E1101">
        <v>1.51</v>
      </c>
      <c r="F1101">
        <v>6.15</v>
      </c>
      <c r="G1101" s="8">
        <f t="shared" si="17"/>
        <v>14.73170731707317</v>
      </c>
    </row>
    <row r="1102" spans="1:7" x14ac:dyDescent="0.25">
      <c r="A1102" s="5">
        <v>45810.71875</v>
      </c>
      <c r="B1102">
        <v>57</v>
      </c>
      <c r="C1102" t="s">
        <v>71</v>
      </c>
      <c r="D1102" t="s">
        <v>72</v>
      </c>
      <c r="E1102">
        <v>1.52</v>
      </c>
      <c r="F1102">
        <v>4.3499999999999996</v>
      </c>
      <c r="G1102" s="8">
        <f t="shared" si="17"/>
        <v>20.965517241379313</v>
      </c>
    </row>
    <row r="1103" spans="1:7" x14ac:dyDescent="0.25">
      <c r="A1103" s="5">
        <v>45810.71875</v>
      </c>
      <c r="B1103">
        <v>58</v>
      </c>
      <c r="C1103" t="s">
        <v>72</v>
      </c>
      <c r="D1103" t="s">
        <v>73</v>
      </c>
      <c r="E1103">
        <v>1.5</v>
      </c>
      <c r="F1103">
        <v>4.43</v>
      </c>
      <c r="G1103" s="8">
        <f t="shared" si="17"/>
        <v>20.316027088036119</v>
      </c>
    </row>
    <row r="1104" spans="1:7" x14ac:dyDescent="0.25">
      <c r="A1104" s="5">
        <v>45810.729166666664</v>
      </c>
      <c r="B1104">
        <v>1</v>
      </c>
      <c r="C1104" t="s">
        <v>6</v>
      </c>
      <c r="D1104" t="s">
        <v>7</v>
      </c>
      <c r="E1104">
        <v>1.53</v>
      </c>
      <c r="F1104">
        <v>3.37</v>
      </c>
      <c r="G1104" s="8">
        <f t="shared" si="17"/>
        <v>27.240356083086052</v>
      </c>
    </row>
    <row r="1105" spans="1:7" x14ac:dyDescent="0.25">
      <c r="A1105" s="5">
        <v>45810.729166666664</v>
      </c>
      <c r="B1105">
        <v>2</v>
      </c>
      <c r="C1105" t="s">
        <v>7</v>
      </c>
      <c r="D1105" t="s">
        <v>8</v>
      </c>
      <c r="E1105">
        <v>1.57</v>
      </c>
      <c r="F1105">
        <v>6.73</v>
      </c>
      <c r="G1105" s="8">
        <f t="shared" si="17"/>
        <v>13.99702823179792</v>
      </c>
    </row>
    <row r="1106" spans="1:7" x14ac:dyDescent="0.25">
      <c r="A1106" s="5">
        <v>45810.729166666664</v>
      </c>
      <c r="B1106">
        <v>3</v>
      </c>
      <c r="C1106" t="s">
        <v>8</v>
      </c>
      <c r="D1106" t="s">
        <v>9</v>
      </c>
      <c r="E1106">
        <v>1.5</v>
      </c>
      <c r="F1106">
        <v>3.22</v>
      </c>
      <c r="G1106" s="8">
        <f t="shared" si="17"/>
        <v>27.950310559006208</v>
      </c>
    </row>
    <row r="1107" spans="1:7" x14ac:dyDescent="0.25">
      <c r="A1107" s="5">
        <v>45810.729166666664</v>
      </c>
      <c r="B1107">
        <v>4</v>
      </c>
      <c r="C1107" t="s">
        <v>9</v>
      </c>
      <c r="D1107" t="s">
        <v>10</v>
      </c>
      <c r="E1107">
        <v>1.5</v>
      </c>
      <c r="F1107">
        <v>2.9</v>
      </c>
      <c r="G1107" s="8">
        <f t="shared" si="17"/>
        <v>31.03448275862069</v>
      </c>
    </row>
    <row r="1108" spans="1:7" x14ac:dyDescent="0.25">
      <c r="A1108" s="5">
        <v>45810.729166666664</v>
      </c>
      <c r="B1108">
        <v>5</v>
      </c>
      <c r="C1108" t="s">
        <v>10</v>
      </c>
      <c r="D1108" t="s">
        <v>11</v>
      </c>
      <c r="E1108">
        <v>1.52</v>
      </c>
      <c r="F1108">
        <v>3.73</v>
      </c>
      <c r="G1108" s="8">
        <f t="shared" si="17"/>
        <v>24.45040214477212</v>
      </c>
    </row>
    <row r="1109" spans="1:7" x14ac:dyDescent="0.25">
      <c r="A1109" s="5">
        <v>45810.729166666664</v>
      </c>
      <c r="B1109">
        <v>6</v>
      </c>
      <c r="C1109" t="s">
        <v>11</v>
      </c>
      <c r="D1109" t="s">
        <v>12</v>
      </c>
      <c r="E1109">
        <v>1.5</v>
      </c>
      <c r="F1109">
        <v>2.77</v>
      </c>
      <c r="G1109" s="8">
        <f t="shared" si="17"/>
        <v>32.490974729241877</v>
      </c>
    </row>
    <row r="1110" spans="1:7" x14ac:dyDescent="0.25">
      <c r="A1110" s="5">
        <v>45810.729166666664</v>
      </c>
      <c r="B1110">
        <v>7</v>
      </c>
      <c r="C1110" t="s">
        <v>12</v>
      </c>
      <c r="D1110" t="s">
        <v>13</v>
      </c>
      <c r="E1110">
        <v>1.54</v>
      </c>
      <c r="F1110">
        <v>2.7</v>
      </c>
      <c r="G1110" s="8">
        <f t="shared" si="17"/>
        <v>34.222222222222221</v>
      </c>
    </row>
    <row r="1111" spans="1:7" x14ac:dyDescent="0.25">
      <c r="A1111" s="5">
        <v>45810.729166666664</v>
      </c>
      <c r="B1111">
        <v>8</v>
      </c>
      <c r="C1111" t="s">
        <v>13</v>
      </c>
      <c r="D1111" t="s">
        <v>14</v>
      </c>
      <c r="E1111">
        <v>1.54</v>
      </c>
      <c r="F1111">
        <v>3.12</v>
      </c>
      <c r="G1111" s="8">
        <f t="shared" si="17"/>
        <v>29.615384615384617</v>
      </c>
    </row>
    <row r="1112" spans="1:7" x14ac:dyDescent="0.25">
      <c r="A1112" s="5">
        <v>45810.729166666664</v>
      </c>
      <c r="B1112">
        <v>9</v>
      </c>
      <c r="C1112" t="s">
        <v>14</v>
      </c>
      <c r="D1112" t="s">
        <v>15</v>
      </c>
      <c r="E1112">
        <v>1.52</v>
      </c>
      <c r="F1112">
        <v>4.18</v>
      </c>
      <c r="G1112" s="8">
        <f t="shared" si="17"/>
        <v>21.81818181818182</v>
      </c>
    </row>
    <row r="1113" spans="1:7" x14ac:dyDescent="0.25">
      <c r="A1113" s="5">
        <v>45810.729166666664</v>
      </c>
      <c r="B1113">
        <v>10</v>
      </c>
      <c r="C1113" t="s">
        <v>15</v>
      </c>
      <c r="D1113" t="s">
        <v>16</v>
      </c>
      <c r="E1113">
        <v>1.5</v>
      </c>
      <c r="F1113">
        <v>4.4000000000000004</v>
      </c>
      <c r="G1113" s="8">
        <f t="shared" si="17"/>
        <v>20.454545454545453</v>
      </c>
    </row>
    <row r="1114" spans="1:7" x14ac:dyDescent="0.25">
      <c r="A1114" s="5">
        <v>45810.729166666664</v>
      </c>
      <c r="B1114">
        <v>11</v>
      </c>
      <c r="C1114" t="s">
        <v>16</v>
      </c>
      <c r="D1114" t="s">
        <v>17</v>
      </c>
      <c r="E1114">
        <v>1.48</v>
      </c>
      <c r="F1114">
        <v>3.27</v>
      </c>
      <c r="G1114" s="8">
        <f t="shared" si="17"/>
        <v>27.155963302752294</v>
      </c>
    </row>
    <row r="1115" spans="1:7" x14ac:dyDescent="0.25">
      <c r="A1115" s="5">
        <v>45810.729166666664</v>
      </c>
      <c r="B1115">
        <v>12</v>
      </c>
      <c r="C1115" t="s">
        <v>17</v>
      </c>
      <c r="D1115" t="s">
        <v>18</v>
      </c>
      <c r="E1115">
        <v>1.46</v>
      </c>
      <c r="F1115">
        <v>4.68</v>
      </c>
      <c r="G1115" s="8">
        <f t="shared" si="17"/>
        <v>18.717948717948719</v>
      </c>
    </row>
    <row r="1116" spans="1:7" x14ac:dyDescent="0.25">
      <c r="A1116" s="5">
        <v>45810.729166666664</v>
      </c>
      <c r="B1116">
        <v>13</v>
      </c>
      <c r="C1116" t="s">
        <v>18</v>
      </c>
      <c r="D1116" t="s">
        <v>19</v>
      </c>
      <c r="E1116">
        <v>1.52</v>
      </c>
      <c r="F1116">
        <v>4.75</v>
      </c>
      <c r="G1116" s="8">
        <f t="shared" si="17"/>
        <v>19.2</v>
      </c>
    </row>
    <row r="1117" spans="1:7" x14ac:dyDescent="0.25">
      <c r="A1117" s="5">
        <v>45810.729166666664</v>
      </c>
      <c r="B1117">
        <v>14</v>
      </c>
      <c r="C1117" t="s">
        <v>19</v>
      </c>
      <c r="D1117" t="s">
        <v>20</v>
      </c>
      <c r="E1117">
        <v>1.51</v>
      </c>
      <c r="F1117">
        <v>4.43</v>
      </c>
      <c r="G1117" s="8">
        <f t="shared" si="17"/>
        <v>20.451467268623023</v>
      </c>
    </row>
    <row r="1118" spans="1:7" x14ac:dyDescent="0.25">
      <c r="A1118" s="5">
        <v>45810.729166666664</v>
      </c>
      <c r="B1118">
        <v>15</v>
      </c>
      <c r="C1118" t="s">
        <v>20</v>
      </c>
      <c r="D1118" t="s">
        <v>21</v>
      </c>
      <c r="E1118">
        <v>1.47</v>
      </c>
      <c r="F1118">
        <v>2.73</v>
      </c>
      <c r="G1118" s="8">
        <f t="shared" si="17"/>
        <v>32.307692307692307</v>
      </c>
    </row>
    <row r="1119" spans="1:7" x14ac:dyDescent="0.25">
      <c r="A1119" s="5">
        <v>45810.729166666664</v>
      </c>
      <c r="B1119">
        <v>16</v>
      </c>
      <c r="C1119" t="s">
        <v>21</v>
      </c>
      <c r="D1119" t="s">
        <v>22</v>
      </c>
      <c r="E1119">
        <v>1.5</v>
      </c>
      <c r="F1119">
        <v>1.87</v>
      </c>
      <c r="G1119" s="8">
        <f t="shared" si="17"/>
        <v>48.128342245989302</v>
      </c>
    </row>
    <row r="1120" spans="1:7" x14ac:dyDescent="0.25">
      <c r="A1120" s="5">
        <v>45810.729166666664</v>
      </c>
      <c r="B1120">
        <v>17</v>
      </c>
      <c r="C1120" t="s">
        <v>22</v>
      </c>
      <c r="D1120" t="s">
        <v>23</v>
      </c>
      <c r="E1120">
        <v>1.51</v>
      </c>
      <c r="F1120">
        <v>3.5</v>
      </c>
      <c r="G1120" s="8">
        <f t="shared" si="17"/>
        <v>25.885714285714283</v>
      </c>
    </row>
    <row r="1121" spans="1:7" x14ac:dyDescent="0.25">
      <c r="A1121" s="5">
        <v>45810.729166666664</v>
      </c>
      <c r="B1121">
        <v>18</v>
      </c>
      <c r="C1121" t="s">
        <v>23</v>
      </c>
      <c r="D1121" t="s">
        <v>24</v>
      </c>
      <c r="E1121">
        <v>1.51</v>
      </c>
      <c r="F1121">
        <v>3.62</v>
      </c>
      <c r="G1121" s="8">
        <f t="shared" si="17"/>
        <v>25.027624309392262</v>
      </c>
    </row>
    <row r="1122" spans="1:7" x14ac:dyDescent="0.25">
      <c r="A1122" s="5">
        <v>45810.729166666664</v>
      </c>
      <c r="B1122">
        <v>19</v>
      </c>
      <c r="C1122" t="s">
        <v>25</v>
      </c>
      <c r="D1122" t="s">
        <v>26</v>
      </c>
      <c r="E1122">
        <v>1.5</v>
      </c>
      <c r="F1122">
        <v>3.8</v>
      </c>
      <c r="G1122" s="8">
        <f t="shared" si="17"/>
        <v>23.684210526315791</v>
      </c>
    </row>
    <row r="1123" spans="1:7" x14ac:dyDescent="0.25">
      <c r="A1123" s="5">
        <v>45810.729166666664</v>
      </c>
      <c r="B1123">
        <v>20</v>
      </c>
      <c r="C1123" t="s">
        <v>26</v>
      </c>
      <c r="D1123" t="s">
        <v>27</v>
      </c>
      <c r="E1123">
        <v>1.48</v>
      </c>
      <c r="F1123">
        <v>3.37</v>
      </c>
      <c r="G1123" s="8">
        <f t="shared" si="17"/>
        <v>26.350148367952521</v>
      </c>
    </row>
    <row r="1124" spans="1:7" x14ac:dyDescent="0.25">
      <c r="A1124" s="5">
        <v>45810.729166666664</v>
      </c>
      <c r="B1124">
        <v>21</v>
      </c>
      <c r="C1124" t="s">
        <v>27</v>
      </c>
      <c r="D1124" t="s">
        <v>28</v>
      </c>
      <c r="E1124">
        <v>1.51</v>
      </c>
      <c r="F1124">
        <v>3.3</v>
      </c>
      <c r="G1124" s="8">
        <f t="shared" si="17"/>
        <v>27.454545454545453</v>
      </c>
    </row>
    <row r="1125" spans="1:7" x14ac:dyDescent="0.25">
      <c r="A1125" s="5">
        <v>45810.729166666664</v>
      </c>
      <c r="B1125">
        <v>22</v>
      </c>
      <c r="C1125" t="s">
        <v>28</v>
      </c>
      <c r="D1125" t="s">
        <v>29</v>
      </c>
      <c r="E1125">
        <v>1.57</v>
      </c>
      <c r="F1125">
        <v>3.33</v>
      </c>
      <c r="G1125" s="8">
        <f t="shared" si="17"/>
        <v>28.288288288288289</v>
      </c>
    </row>
    <row r="1126" spans="1:7" x14ac:dyDescent="0.25">
      <c r="A1126" s="5">
        <v>45810.729166666664</v>
      </c>
      <c r="B1126">
        <v>23</v>
      </c>
      <c r="C1126" t="s">
        <v>29</v>
      </c>
      <c r="D1126" t="s">
        <v>30</v>
      </c>
      <c r="E1126">
        <v>1.43</v>
      </c>
      <c r="F1126">
        <v>4.7</v>
      </c>
      <c r="G1126" s="8">
        <f t="shared" si="17"/>
        <v>18.25531914893617</v>
      </c>
    </row>
    <row r="1127" spans="1:7" x14ac:dyDescent="0.25">
      <c r="A1127" s="5">
        <v>45810.729166666664</v>
      </c>
      <c r="B1127">
        <v>24</v>
      </c>
      <c r="C1127" t="s">
        <v>30</v>
      </c>
      <c r="D1127" t="s">
        <v>31</v>
      </c>
      <c r="E1127">
        <v>1.52</v>
      </c>
      <c r="F1127">
        <v>4.2300000000000004</v>
      </c>
      <c r="G1127" s="8">
        <f t="shared" si="17"/>
        <v>21.560283687943262</v>
      </c>
    </row>
    <row r="1128" spans="1:7" x14ac:dyDescent="0.25">
      <c r="A1128" s="5">
        <v>45810.729166666664</v>
      </c>
      <c r="B1128">
        <v>25</v>
      </c>
      <c r="C1128" t="s">
        <v>31</v>
      </c>
      <c r="D1128" t="s">
        <v>32</v>
      </c>
      <c r="E1128">
        <v>1.52</v>
      </c>
      <c r="F1128">
        <v>3.68</v>
      </c>
      <c r="G1128" s="8">
        <f t="shared" si="17"/>
        <v>24.782608695652172</v>
      </c>
    </row>
    <row r="1129" spans="1:7" x14ac:dyDescent="0.25">
      <c r="A1129" s="5">
        <v>45810.729166666664</v>
      </c>
      <c r="B1129">
        <v>26</v>
      </c>
      <c r="C1129" t="s">
        <v>32</v>
      </c>
      <c r="D1129" t="s">
        <v>33</v>
      </c>
      <c r="E1129">
        <v>1.49</v>
      </c>
      <c r="F1129">
        <v>6.1</v>
      </c>
      <c r="G1129" s="8">
        <f t="shared" si="17"/>
        <v>14.655737704918035</v>
      </c>
    </row>
    <row r="1130" spans="1:7" x14ac:dyDescent="0.25">
      <c r="A1130" s="5">
        <v>45810.729166666664</v>
      </c>
      <c r="B1130">
        <v>27</v>
      </c>
      <c r="C1130" t="s">
        <v>33</v>
      </c>
      <c r="D1130" t="s">
        <v>34</v>
      </c>
      <c r="E1130">
        <v>1.53</v>
      </c>
      <c r="F1130">
        <v>6.75</v>
      </c>
      <c r="G1130" s="8">
        <f t="shared" si="17"/>
        <v>13.6</v>
      </c>
    </row>
    <row r="1131" spans="1:7" x14ac:dyDescent="0.25">
      <c r="A1131" s="5">
        <v>45810.729166666664</v>
      </c>
      <c r="B1131">
        <v>28</v>
      </c>
      <c r="C1131" t="s">
        <v>34</v>
      </c>
      <c r="D1131" t="s">
        <v>35</v>
      </c>
      <c r="E1131">
        <v>1.51</v>
      </c>
      <c r="F1131">
        <v>4.88</v>
      </c>
      <c r="G1131" s="8">
        <f t="shared" si="17"/>
        <v>18.565573770491802</v>
      </c>
    </row>
    <row r="1132" spans="1:7" x14ac:dyDescent="0.25">
      <c r="A1132" s="5">
        <v>45810.729166666664</v>
      </c>
      <c r="B1132">
        <v>29</v>
      </c>
      <c r="C1132" t="s">
        <v>36</v>
      </c>
      <c r="D1132" t="s">
        <v>37</v>
      </c>
      <c r="E1132">
        <v>1.57</v>
      </c>
      <c r="F1132">
        <v>4.67</v>
      </c>
      <c r="G1132" s="8">
        <f t="shared" si="17"/>
        <v>20.171306209850108</v>
      </c>
    </row>
    <row r="1133" spans="1:7" x14ac:dyDescent="0.25">
      <c r="A1133" s="5">
        <v>45810.729166666664</v>
      </c>
      <c r="B1133">
        <v>30</v>
      </c>
      <c r="C1133" t="s">
        <v>37</v>
      </c>
      <c r="D1133" t="s">
        <v>38</v>
      </c>
      <c r="E1133">
        <v>1.57</v>
      </c>
      <c r="F1133">
        <v>4.05</v>
      </c>
      <c r="G1133" s="8">
        <f t="shared" si="17"/>
        <v>23.25925925925926</v>
      </c>
    </row>
    <row r="1134" spans="1:7" x14ac:dyDescent="0.25">
      <c r="A1134" s="5">
        <v>45810.729166666664</v>
      </c>
      <c r="B1134">
        <v>31</v>
      </c>
      <c r="C1134" t="s">
        <v>38</v>
      </c>
      <c r="D1134" t="s">
        <v>39</v>
      </c>
      <c r="E1134">
        <v>1.52</v>
      </c>
      <c r="F1134">
        <v>2.77</v>
      </c>
      <c r="G1134" s="8">
        <f t="shared" si="17"/>
        <v>32.924187725631768</v>
      </c>
    </row>
    <row r="1135" spans="1:7" x14ac:dyDescent="0.25">
      <c r="A1135" s="5">
        <v>45810.729166666664</v>
      </c>
      <c r="B1135">
        <v>32</v>
      </c>
      <c r="C1135" t="s">
        <v>39</v>
      </c>
      <c r="D1135" t="s">
        <v>40</v>
      </c>
      <c r="E1135">
        <v>1.5</v>
      </c>
      <c r="F1135">
        <v>1.87</v>
      </c>
      <c r="G1135" s="8">
        <f t="shared" si="17"/>
        <v>48.128342245989302</v>
      </c>
    </row>
    <row r="1136" spans="1:7" x14ac:dyDescent="0.25">
      <c r="A1136" s="5">
        <v>45810.729166666664</v>
      </c>
      <c r="B1136">
        <v>33</v>
      </c>
      <c r="C1136" t="s">
        <v>40</v>
      </c>
      <c r="D1136" t="s">
        <v>41</v>
      </c>
      <c r="E1136">
        <v>1.51</v>
      </c>
      <c r="F1136">
        <v>1.97</v>
      </c>
      <c r="G1136" s="8">
        <f t="shared" si="17"/>
        <v>45.98984771573604</v>
      </c>
    </row>
    <row r="1137" spans="1:7" x14ac:dyDescent="0.25">
      <c r="A1137" s="5">
        <v>45810.729166666664</v>
      </c>
      <c r="B1137">
        <v>34</v>
      </c>
      <c r="C1137" t="s">
        <v>41</v>
      </c>
      <c r="D1137" t="s">
        <v>42</v>
      </c>
      <c r="E1137">
        <v>1.5</v>
      </c>
      <c r="F1137">
        <v>1.95</v>
      </c>
      <c r="G1137" s="8">
        <f t="shared" si="17"/>
        <v>46.153846153846153</v>
      </c>
    </row>
    <row r="1138" spans="1:7" x14ac:dyDescent="0.25">
      <c r="A1138" s="5">
        <v>45810.729166666664</v>
      </c>
      <c r="B1138">
        <v>35</v>
      </c>
      <c r="C1138" t="s">
        <v>43</v>
      </c>
      <c r="D1138" t="s">
        <v>44</v>
      </c>
      <c r="E1138">
        <v>1.55</v>
      </c>
      <c r="F1138">
        <v>3.93</v>
      </c>
      <c r="G1138" s="8">
        <f t="shared" si="17"/>
        <v>23.664122137404579</v>
      </c>
    </row>
    <row r="1139" spans="1:7" x14ac:dyDescent="0.25">
      <c r="A1139" s="5">
        <v>45810.729166666664</v>
      </c>
      <c r="B1139">
        <v>36</v>
      </c>
      <c r="C1139" t="s">
        <v>44</v>
      </c>
      <c r="D1139" t="s">
        <v>45</v>
      </c>
      <c r="E1139">
        <v>1.5</v>
      </c>
      <c r="F1139">
        <v>3.53</v>
      </c>
      <c r="G1139" s="8">
        <f t="shared" si="17"/>
        <v>25.495750708215297</v>
      </c>
    </row>
    <row r="1140" spans="1:7" x14ac:dyDescent="0.25">
      <c r="A1140" s="5">
        <v>45810.729166666664</v>
      </c>
      <c r="B1140">
        <v>37</v>
      </c>
      <c r="C1140" t="s">
        <v>45</v>
      </c>
      <c r="D1140" t="s">
        <v>46</v>
      </c>
      <c r="E1140">
        <v>1.38</v>
      </c>
      <c r="F1140">
        <v>4.75</v>
      </c>
      <c r="G1140" s="8">
        <f t="shared" si="17"/>
        <v>17.431578947368422</v>
      </c>
    </row>
    <row r="1141" spans="1:7" x14ac:dyDescent="0.25">
      <c r="A1141" s="5">
        <v>45810.729166666664</v>
      </c>
      <c r="B1141">
        <v>38</v>
      </c>
      <c r="C1141" t="s">
        <v>46</v>
      </c>
      <c r="D1141" t="s">
        <v>47</v>
      </c>
      <c r="E1141">
        <v>1.61</v>
      </c>
      <c r="F1141">
        <v>4.4000000000000004</v>
      </c>
      <c r="G1141" s="8">
        <f t="shared" si="17"/>
        <v>21.954545454545453</v>
      </c>
    </row>
    <row r="1142" spans="1:7" x14ac:dyDescent="0.25">
      <c r="A1142" s="5">
        <v>45810.729166666664</v>
      </c>
      <c r="B1142">
        <v>39</v>
      </c>
      <c r="C1142" t="s">
        <v>47</v>
      </c>
      <c r="D1142" t="s">
        <v>48</v>
      </c>
      <c r="E1142">
        <v>1.55</v>
      </c>
      <c r="F1142">
        <v>3.53</v>
      </c>
      <c r="G1142" s="8">
        <f t="shared" si="17"/>
        <v>26.345609065155809</v>
      </c>
    </row>
    <row r="1143" spans="1:7" x14ac:dyDescent="0.25">
      <c r="A1143" s="5">
        <v>45810.729166666664</v>
      </c>
      <c r="B1143">
        <v>40</v>
      </c>
      <c r="C1143" t="s">
        <v>48</v>
      </c>
      <c r="D1143" t="s">
        <v>49</v>
      </c>
      <c r="E1143">
        <v>1.39</v>
      </c>
      <c r="F1143">
        <v>3.25</v>
      </c>
      <c r="G1143" s="8">
        <f t="shared" si="17"/>
        <v>25.661538461538459</v>
      </c>
    </row>
    <row r="1144" spans="1:7" x14ac:dyDescent="0.25">
      <c r="A1144" s="5">
        <v>45810.729166666664</v>
      </c>
      <c r="B1144">
        <v>41</v>
      </c>
      <c r="C1144" t="s">
        <v>50</v>
      </c>
      <c r="D1144" t="s">
        <v>51</v>
      </c>
      <c r="E1144">
        <v>1.56</v>
      </c>
      <c r="F1144">
        <v>5.07</v>
      </c>
      <c r="G1144" s="8">
        <f t="shared" si="17"/>
        <v>18.461538461538463</v>
      </c>
    </row>
    <row r="1145" spans="1:7" x14ac:dyDescent="0.25">
      <c r="A1145" s="5">
        <v>45810.729166666664</v>
      </c>
      <c r="B1145">
        <v>42</v>
      </c>
      <c r="C1145" t="s">
        <v>51</v>
      </c>
      <c r="D1145" t="s">
        <v>52</v>
      </c>
      <c r="E1145">
        <v>1.56</v>
      </c>
      <c r="F1145">
        <v>4.18</v>
      </c>
      <c r="G1145" s="8">
        <f t="shared" si="17"/>
        <v>22.39234449760766</v>
      </c>
    </row>
    <row r="1146" spans="1:7" x14ac:dyDescent="0.25">
      <c r="A1146" s="5">
        <v>45810.729166666664</v>
      </c>
      <c r="B1146">
        <v>43</v>
      </c>
      <c r="C1146" t="s">
        <v>52</v>
      </c>
      <c r="D1146" t="s">
        <v>53</v>
      </c>
      <c r="E1146">
        <v>1.51</v>
      </c>
      <c r="F1146">
        <v>3.82</v>
      </c>
      <c r="G1146" s="8">
        <f t="shared" si="17"/>
        <v>23.717277486910994</v>
      </c>
    </row>
    <row r="1147" spans="1:7" x14ac:dyDescent="0.25">
      <c r="A1147" s="5">
        <v>45810.729166666664</v>
      </c>
      <c r="B1147">
        <v>44</v>
      </c>
      <c r="C1147" t="s">
        <v>54</v>
      </c>
      <c r="D1147" t="s">
        <v>55</v>
      </c>
      <c r="E1147">
        <v>1.51</v>
      </c>
      <c r="F1147">
        <v>4.4000000000000004</v>
      </c>
      <c r="G1147" s="8">
        <f t="shared" si="17"/>
        <v>20.590909090909086</v>
      </c>
    </row>
    <row r="1148" spans="1:7" x14ac:dyDescent="0.25">
      <c r="A1148" s="5">
        <v>45810.729166666664</v>
      </c>
      <c r="B1148">
        <v>45</v>
      </c>
      <c r="C1148" t="s">
        <v>55</v>
      </c>
      <c r="D1148" t="s">
        <v>56</v>
      </c>
      <c r="E1148">
        <v>1.49</v>
      </c>
      <c r="F1148">
        <v>3.88</v>
      </c>
      <c r="G1148" s="8">
        <f t="shared" si="17"/>
        <v>23.041237113402065</v>
      </c>
    </row>
    <row r="1149" spans="1:7" x14ac:dyDescent="0.25">
      <c r="A1149" s="5">
        <v>45810.729166666664</v>
      </c>
      <c r="B1149">
        <v>46</v>
      </c>
      <c r="C1149" t="s">
        <v>56</v>
      </c>
      <c r="D1149" t="s">
        <v>57</v>
      </c>
      <c r="E1149">
        <v>1.52</v>
      </c>
      <c r="F1149">
        <v>4.12</v>
      </c>
      <c r="G1149" s="8">
        <f t="shared" si="17"/>
        <v>22.135922330097088</v>
      </c>
    </row>
    <row r="1150" spans="1:7" x14ac:dyDescent="0.25">
      <c r="A1150" s="5">
        <v>45810.729166666664</v>
      </c>
      <c r="B1150">
        <v>47</v>
      </c>
      <c r="C1150" t="s">
        <v>58</v>
      </c>
      <c r="D1150" t="s">
        <v>59</v>
      </c>
      <c r="E1150">
        <v>1.52</v>
      </c>
      <c r="F1150">
        <v>5.28</v>
      </c>
      <c r="G1150" s="8">
        <f t="shared" si="17"/>
        <v>17.272727272727273</v>
      </c>
    </row>
    <row r="1151" spans="1:7" x14ac:dyDescent="0.25">
      <c r="A1151" s="5">
        <v>45810.729166666664</v>
      </c>
      <c r="B1151">
        <v>48</v>
      </c>
      <c r="C1151" t="s">
        <v>59</v>
      </c>
      <c r="D1151" t="s">
        <v>60</v>
      </c>
      <c r="E1151">
        <v>1.5</v>
      </c>
      <c r="F1151">
        <v>4.67</v>
      </c>
      <c r="G1151" s="8">
        <f t="shared" si="17"/>
        <v>19.271948608137045</v>
      </c>
    </row>
    <row r="1152" spans="1:7" x14ac:dyDescent="0.25">
      <c r="A1152" s="5">
        <v>45810.729166666664</v>
      </c>
      <c r="B1152">
        <v>49</v>
      </c>
      <c r="C1152" t="s">
        <v>60</v>
      </c>
      <c r="D1152" t="s">
        <v>61</v>
      </c>
      <c r="E1152">
        <v>1.54</v>
      </c>
      <c r="F1152">
        <v>4.68</v>
      </c>
      <c r="G1152" s="8">
        <f t="shared" si="17"/>
        <v>19.743589743589745</v>
      </c>
    </row>
    <row r="1153" spans="1:7" x14ac:dyDescent="0.25">
      <c r="A1153" s="5">
        <v>45810.729166666664</v>
      </c>
      <c r="B1153">
        <v>50</v>
      </c>
      <c r="C1153" t="s">
        <v>62</v>
      </c>
      <c r="D1153" t="s">
        <v>63</v>
      </c>
      <c r="E1153">
        <v>1.38</v>
      </c>
      <c r="F1153">
        <v>3.47</v>
      </c>
      <c r="G1153" s="8">
        <f t="shared" si="17"/>
        <v>23.861671469740632</v>
      </c>
    </row>
    <row r="1154" spans="1:7" x14ac:dyDescent="0.25">
      <c r="A1154" s="5">
        <v>45810.729166666664</v>
      </c>
      <c r="B1154">
        <v>51</v>
      </c>
      <c r="C1154" t="s">
        <v>63</v>
      </c>
      <c r="D1154" t="s">
        <v>64</v>
      </c>
      <c r="E1154">
        <v>2.79</v>
      </c>
      <c r="F1154">
        <v>5.88</v>
      </c>
      <c r="G1154" s="8">
        <f t="shared" si="17"/>
        <v>28.469387755102041</v>
      </c>
    </row>
    <row r="1155" spans="1:7" x14ac:dyDescent="0.25">
      <c r="A1155" s="5">
        <v>45810.729166666664</v>
      </c>
      <c r="B1155">
        <v>52</v>
      </c>
      <c r="C1155" t="s">
        <v>64</v>
      </c>
      <c r="D1155" t="s">
        <v>65</v>
      </c>
      <c r="E1155">
        <v>1.5</v>
      </c>
      <c r="F1155">
        <v>2.93</v>
      </c>
      <c r="G1155" s="8">
        <f t="shared" ref="G1155:G1218" si="18">E1155*60/F1155</f>
        <v>30.716723549488052</v>
      </c>
    </row>
    <row r="1156" spans="1:7" x14ac:dyDescent="0.25">
      <c r="A1156" s="5">
        <v>45810.729166666664</v>
      </c>
      <c r="B1156">
        <v>53</v>
      </c>
      <c r="C1156" t="s">
        <v>65</v>
      </c>
      <c r="D1156" t="s">
        <v>66</v>
      </c>
      <c r="E1156">
        <v>1.46</v>
      </c>
      <c r="F1156">
        <v>3.7</v>
      </c>
      <c r="G1156" s="8">
        <f t="shared" si="18"/>
        <v>23.675675675675674</v>
      </c>
    </row>
    <row r="1157" spans="1:7" x14ac:dyDescent="0.25">
      <c r="A1157" s="5">
        <v>45810.729166666664</v>
      </c>
      <c r="B1157">
        <v>54</v>
      </c>
      <c r="C1157" t="s">
        <v>67</v>
      </c>
      <c r="D1157" t="s">
        <v>68</v>
      </c>
      <c r="E1157">
        <v>1.46</v>
      </c>
      <c r="F1157">
        <v>3.05</v>
      </c>
      <c r="G1157" s="8">
        <f t="shared" si="18"/>
        <v>28.721311475409834</v>
      </c>
    </row>
    <row r="1158" spans="1:7" x14ac:dyDescent="0.25">
      <c r="A1158" s="5">
        <v>45810.729166666664</v>
      </c>
      <c r="B1158">
        <v>55</v>
      </c>
      <c r="C1158" t="s">
        <v>68</v>
      </c>
      <c r="D1158" t="s">
        <v>69</v>
      </c>
      <c r="E1158">
        <v>1.5</v>
      </c>
      <c r="F1158">
        <v>2.25</v>
      </c>
      <c r="G1158" s="8">
        <f t="shared" si="18"/>
        <v>40</v>
      </c>
    </row>
    <row r="1159" spans="1:7" x14ac:dyDescent="0.25">
      <c r="A1159" s="5">
        <v>45810.729166666664</v>
      </c>
      <c r="B1159">
        <v>56</v>
      </c>
      <c r="C1159" t="s">
        <v>70</v>
      </c>
      <c r="D1159" t="s">
        <v>71</v>
      </c>
      <c r="E1159">
        <v>1.51</v>
      </c>
      <c r="F1159">
        <v>5.53</v>
      </c>
      <c r="G1159" s="8">
        <f t="shared" si="18"/>
        <v>16.383363471971066</v>
      </c>
    </row>
    <row r="1160" spans="1:7" x14ac:dyDescent="0.25">
      <c r="A1160" s="5">
        <v>45810.729166666664</v>
      </c>
      <c r="B1160">
        <v>57</v>
      </c>
      <c r="C1160" t="s">
        <v>71</v>
      </c>
      <c r="D1160" t="s">
        <v>72</v>
      </c>
      <c r="E1160">
        <v>1.52</v>
      </c>
      <c r="F1160">
        <v>4.4000000000000004</v>
      </c>
      <c r="G1160" s="8">
        <f t="shared" si="18"/>
        <v>20.727272727272727</v>
      </c>
    </row>
    <row r="1161" spans="1:7" x14ac:dyDescent="0.25">
      <c r="A1161" s="5">
        <v>45810.729166666664</v>
      </c>
      <c r="B1161">
        <v>58</v>
      </c>
      <c r="C1161" t="s">
        <v>72</v>
      </c>
      <c r="D1161" t="s">
        <v>73</v>
      </c>
      <c r="E1161">
        <v>1.5</v>
      </c>
      <c r="F1161">
        <v>4.28</v>
      </c>
      <c r="G1161" s="8">
        <f t="shared" si="18"/>
        <v>21.028037383177569</v>
      </c>
    </row>
    <row r="1162" spans="1:7" x14ac:dyDescent="0.25">
      <c r="A1162" s="5">
        <v>45810.739583333336</v>
      </c>
      <c r="B1162">
        <v>1</v>
      </c>
      <c r="C1162" t="s">
        <v>6</v>
      </c>
      <c r="D1162" t="s">
        <v>7</v>
      </c>
      <c r="E1162">
        <v>1.53</v>
      </c>
      <c r="F1162">
        <v>3.77</v>
      </c>
      <c r="G1162" s="8">
        <f t="shared" si="18"/>
        <v>24.350132625994693</v>
      </c>
    </row>
    <row r="1163" spans="1:7" x14ac:dyDescent="0.25">
      <c r="A1163" s="5">
        <v>45810.739583333336</v>
      </c>
      <c r="B1163">
        <v>2</v>
      </c>
      <c r="C1163" t="s">
        <v>7</v>
      </c>
      <c r="D1163" t="s">
        <v>8</v>
      </c>
      <c r="E1163">
        <v>1.57</v>
      </c>
      <c r="F1163">
        <v>8.5500000000000007</v>
      </c>
      <c r="G1163" s="8">
        <f t="shared" si="18"/>
        <v>11.017543859649122</v>
      </c>
    </row>
    <row r="1164" spans="1:7" x14ac:dyDescent="0.25">
      <c r="A1164" s="5">
        <v>45810.739583333336</v>
      </c>
      <c r="B1164">
        <v>3</v>
      </c>
      <c r="C1164" t="s">
        <v>8</v>
      </c>
      <c r="D1164" t="s">
        <v>9</v>
      </c>
      <c r="E1164">
        <v>1.5</v>
      </c>
      <c r="F1164">
        <v>3.45</v>
      </c>
      <c r="G1164" s="8">
        <f t="shared" si="18"/>
        <v>26.086956521739129</v>
      </c>
    </row>
    <row r="1165" spans="1:7" x14ac:dyDescent="0.25">
      <c r="A1165" s="5">
        <v>45810.739583333336</v>
      </c>
      <c r="B1165">
        <v>4</v>
      </c>
      <c r="C1165" t="s">
        <v>9</v>
      </c>
      <c r="D1165" t="s">
        <v>10</v>
      </c>
      <c r="E1165">
        <v>1.5</v>
      </c>
      <c r="F1165">
        <v>3.07</v>
      </c>
      <c r="G1165" s="8">
        <f t="shared" si="18"/>
        <v>29.31596091205212</v>
      </c>
    </row>
    <row r="1166" spans="1:7" x14ac:dyDescent="0.25">
      <c r="A1166" s="5">
        <v>45810.739583333336</v>
      </c>
      <c r="B1166">
        <v>5</v>
      </c>
      <c r="C1166" t="s">
        <v>10</v>
      </c>
      <c r="D1166" t="s">
        <v>11</v>
      </c>
      <c r="E1166">
        <v>1.52</v>
      </c>
      <c r="F1166">
        <v>3.75</v>
      </c>
      <c r="G1166" s="8">
        <f t="shared" si="18"/>
        <v>24.32</v>
      </c>
    </row>
    <row r="1167" spans="1:7" x14ac:dyDescent="0.25">
      <c r="A1167" s="5">
        <v>45810.739583333336</v>
      </c>
      <c r="B1167">
        <v>6</v>
      </c>
      <c r="C1167" t="s">
        <v>11</v>
      </c>
      <c r="D1167" t="s">
        <v>12</v>
      </c>
      <c r="E1167">
        <v>1.5</v>
      </c>
      <c r="F1167">
        <v>2.67</v>
      </c>
      <c r="G1167" s="8">
        <f t="shared" si="18"/>
        <v>33.707865168539328</v>
      </c>
    </row>
    <row r="1168" spans="1:7" x14ac:dyDescent="0.25">
      <c r="A1168" s="5">
        <v>45810.739583333336</v>
      </c>
      <c r="B1168">
        <v>7</v>
      </c>
      <c r="C1168" t="s">
        <v>12</v>
      </c>
      <c r="D1168" t="s">
        <v>13</v>
      </c>
      <c r="E1168">
        <v>1.54</v>
      </c>
      <c r="F1168">
        <v>2.73</v>
      </c>
      <c r="G1168" s="8">
        <f t="shared" si="18"/>
        <v>33.846153846153847</v>
      </c>
    </row>
    <row r="1169" spans="1:7" x14ac:dyDescent="0.25">
      <c r="A1169" s="5">
        <v>45810.739583333336</v>
      </c>
      <c r="B1169">
        <v>8</v>
      </c>
      <c r="C1169" t="s">
        <v>13</v>
      </c>
      <c r="D1169" t="s">
        <v>14</v>
      </c>
      <c r="E1169">
        <v>1.54</v>
      </c>
      <c r="F1169">
        <v>3.43</v>
      </c>
      <c r="G1169" s="8">
        <f t="shared" si="18"/>
        <v>26.938775510204081</v>
      </c>
    </row>
    <row r="1170" spans="1:7" x14ac:dyDescent="0.25">
      <c r="A1170" s="5">
        <v>45810.739583333336</v>
      </c>
      <c r="B1170">
        <v>9</v>
      </c>
      <c r="C1170" t="s">
        <v>14</v>
      </c>
      <c r="D1170" t="s">
        <v>15</v>
      </c>
      <c r="E1170">
        <v>1.52</v>
      </c>
      <c r="F1170">
        <v>5.28</v>
      </c>
      <c r="G1170" s="8">
        <f t="shared" si="18"/>
        <v>17.272727272727273</v>
      </c>
    </row>
    <row r="1171" spans="1:7" x14ac:dyDescent="0.25">
      <c r="A1171" s="5">
        <v>45810.739583333336</v>
      </c>
      <c r="B1171">
        <v>10</v>
      </c>
      <c r="C1171" t="s">
        <v>15</v>
      </c>
      <c r="D1171" t="s">
        <v>16</v>
      </c>
      <c r="E1171">
        <v>1.5</v>
      </c>
      <c r="F1171">
        <v>4.72</v>
      </c>
      <c r="G1171" s="8">
        <f t="shared" si="18"/>
        <v>19.067796610169491</v>
      </c>
    </row>
    <row r="1172" spans="1:7" x14ac:dyDescent="0.25">
      <c r="A1172" s="5">
        <v>45810.739583333336</v>
      </c>
      <c r="B1172">
        <v>11</v>
      </c>
      <c r="C1172" t="s">
        <v>16</v>
      </c>
      <c r="D1172" t="s">
        <v>17</v>
      </c>
      <c r="E1172">
        <v>1.48</v>
      </c>
      <c r="F1172">
        <v>3.77</v>
      </c>
      <c r="G1172" s="8">
        <f t="shared" si="18"/>
        <v>23.554376657824932</v>
      </c>
    </row>
    <row r="1173" spans="1:7" x14ac:dyDescent="0.25">
      <c r="A1173" s="5">
        <v>45810.739583333336</v>
      </c>
      <c r="B1173">
        <v>12</v>
      </c>
      <c r="C1173" t="s">
        <v>17</v>
      </c>
      <c r="D1173" t="s">
        <v>18</v>
      </c>
      <c r="E1173">
        <v>1.46</v>
      </c>
      <c r="F1173">
        <v>5.07</v>
      </c>
      <c r="G1173" s="8">
        <f t="shared" si="18"/>
        <v>17.278106508875737</v>
      </c>
    </row>
    <row r="1174" spans="1:7" x14ac:dyDescent="0.25">
      <c r="A1174" s="5">
        <v>45810.739583333336</v>
      </c>
      <c r="B1174">
        <v>13</v>
      </c>
      <c r="C1174" t="s">
        <v>18</v>
      </c>
      <c r="D1174" t="s">
        <v>19</v>
      </c>
      <c r="E1174">
        <v>1.52</v>
      </c>
      <c r="F1174">
        <v>5.65</v>
      </c>
      <c r="G1174" s="8">
        <f t="shared" si="18"/>
        <v>16.141592920353983</v>
      </c>
    </row>
    <row r="1175" spans="1:7" x14ac:dyDescent="0.25">
      <c r="A1175" s="5">
        <v>45810.739583333336</v>
      </c>
      <c r="B1175">
        <v>14</v>
      </c>
      <c r="C1175" t="s">
        <v>19</v>
      </c>
      <c r="D1175" t="s">
        <v>20</v>
      </c>
      <c r="E1175">
        <v>1.51</v>
      </c>
      <c r="F1175">
        <v>4.97</v>
      </c>
      <c r="G1175" s="8">
        <f t="shared" si="18"/>
        <v>18.229376257545272</v>
      </c>
    </row>
    <row r="1176" spans="1:7" x14ac:dyDescent="0.25">
      <c r="A1176" s="5">
        <v>45810.739583333336</v>
      </c>
      <c r="B1176">
        <v>15</v>
      </c>
      <c r="C1176" t="s">
        <v>20</v>
      </c>
      <c r="D1176" t="s">
        <v>21</v>
      </c>
      <c r="E1176">
        <v>1.47</v>
      </c>
      <c r="F1176">
        <v>3.02</v>
      </c>
      <c r="G1176" s="8">
        <f t="shared" si="18"/>
        <v>29.205298013245034</v>
      </c>
    </row>
    <row r="1177" spans="1:7" x14ac:dyDescent="0.25">
      <c r="A1177" s="5">
        <v>45810.739583333336</v>
      </c>
      <c r="B1177">
        <v>16</v>
      </c>
      <c r="C1177" t="s">
        <v>21</v>
      </c>
      <c r="D1177" t="s">
        <v>22</v>
      </c>
      <c r="E1177">
        <v>1.5</v>
      </c>
      <c r="F1177">
        <v>2.17</v>
      </c>
      <c r="G1177" s="8">
        <f t="shared" si="18"/>
        <v>41.474654377880185</v>
      </c>
    </row>
    <row r="1178" spans="1:7" x14ac:dyDescent="0.25">
      <c r="A1178" s="5">
        <v>45810.739583333336</v>
      </c>
      <c r="B1178">
        <v>17</v>
      </c>
      <c r="C1178" t="s">
        <v>22</v>
      </c>
      <c r="D1178" t="s">
        <v>23</v>
      </c>
      <c r="E1178">
        <v>1.51</v>
      </c>
      <c r="F1178">
        <v>3.72</v>
      </c>
      <c r="G1178" s="8">
        <f t="shared" si="18"/>
        <v>24.354838709677416</v>
      </c>
    </row>
    <row r="1179" spans="1:7" x14ac:dyDescent="0.25">
      <c r="A1179" s="5">
        <v>45810.739583333336</v>
      </c>
      <c r="B1179">
        <v>18</v>
      </c>
      <c r="C1179" t="s">
        <v>23</v>
      </c>
      <c r="D1179" t="s">
        <v>24</v>
      </c>
      <c r="E1179">
        <v>1.51</v>
      </c>
      <c r="F1179">
        <v>4.3499999999999996</v>
      </c>
      <c r="G1179" s="8">
        <f t="shared" si="18"/>
        <v>20.827586206896552</v>
      </c>
    </row>
    <row r="1180" spans="1:7" x14ac:dyDescent="0.25">
      <c r="A1180" s="5">
        <v>45810.739583333336</v>
      </c>
      <c r="B1180">
        <v>19</v>
      </c>
      <c r="C1180" t="s">
        <v>25</v>
      </c>
      <c r="D1180" t="s">
        <v>26</v>
      </c>
      <c r="E1180">
        <v>1.5</v>
      </c>
      <c r="F1180">
        <v>3.58</v>
      </c>
      <c r="G1180" s="8">
        <f t="shared" si="18"/>
        <v>25.139664804469273</v>
      </c>
    </row>
    <row r="1181" spans="1:7" x14ac:dyDescent="0.25">
      <c r="A1181" s="5">
        <v>45810.739583333336</v>
      </c>
      <c r="B1181">
        <v>20</v>
      </c>
      <c r="C1181" t="s">
        <v>26</v>
      </c>
      <c r="D1181" t="s">
        <v>27</v>
      </c>
      <c r="E1181">
        <v>1.48</v>
      </c>
      <c r="F1181">
        <v>3.4</v>
      </c>
      <c r="G1181" s="8">
        <f t="shared" si="18"/>
        <v>26.117647058823529</v>
      </c>
    </row>
    <row r="1182" spans="1:7" x14ac:dyDescent="0.25">
      <c r="A1182" s="5">
        <v>45810.739583333336</v>
      </c>
      <c r="B1182">
        <v>21</v>
      </c>
      <c r="C1182" t="s">
        <v>27</v>
      </c>
      <c r="D1182" t="s">
        <v>28</v>
      </c>
      <c r="E1182">
        <v>1.51</v>
      </c>
      <c r="F1182">
        <v>3.67</v>
      </c>
      <c r="G1182" s="8">
        <f t="shared" si="18"/>
        <v>24.686648501362395</v>
      </c>
    </row>
    <row r="1183" spans="1:7" x14ac:dyDescent="0.25">
      <c r="A1183" s="5">
        <v>45810.739583333336</v>
      </c>
      <c r="B1183">
        <v>22</v>
      </c>
      <c r="C1183" t="s">
        <v>28</v>
      </c>
      <c r="D1183" t="s">
        <v>29</v>
      </c>
      <c r="E1183">
        <v>1.57</v>
      </c>
      <c r="F1183">
        <v>4.1500000000000004</v>
      </c>
      <c r="G1183" s="8">
        <f t="shared" si="18"/>
        <v>22.69879518072289</v>
      </c>
    </row>
    <row r="1184" spans="1:7" x14ac:dyDescent="0.25">
      <c r="A1184" s="5">
        <v>45810.739583333336</v>
      </c>
      <c r="B1184">
        <v>23</v>
      </c>
      <c r="C1184" t="s">
        <v>29</v>
      </c>
      <c r="D1184" t="s">
        <v>30</v>
      </c>
      <c r="E1184">
        <v>1.43</v>
      </c>
      <c r="F1184">
        <v>4.88</v>
      </c>
      <c r="G1184" s="8">
        <f t="shared" si="18"/>
        <v>17.581967213114755</v>
      </c>
    </row>
    <row r="1185" spans="1:7" x14ac:dyDescent="0.25">
      <c r="A1185" s="5">
        <v>45810.739583333336</v>
      </c>
      <c r="B1185">
        <v>24</v>
      </c>
      <c r="C1185" t="s">
        <v>30</v>
      </c>
      <c r="D1185" t="s">
        <v>31</v>
      </c>
      <c r="E1185">
        <v>1.52</v>
      </c>
      <c r="F1185">
        <v>4.57</v>
      </c>
      <c r="G1185" s="8">
        <f t="shared" si="18"/>
        <v>19.956236323851204</v>
      </c>
    </row>
    <row r="1186" spans="1:7" x14ac:dyDescent="0.25">
      <c r="A1186" s="5">
        <v>45810.739583333336</v>
      </c>
      <c r="B1186">
        <v>25</v>
      </c>
      <c r="C1186" t="s">
        <v>31</v>
      </c>
      <c r="D1186" t="s">
        <v>32</v>
      </c>
      <c r="E1186">
        <v>1.52</v>
      </c>
      <c r="F1186">
        <v>3.67</v>
      </c>
      <c r="G1186" s="8">
        <f t="shared" si="18"/>
        <v>24.850136239782017</v>
      </c>
    </row>
    <row r="1187" spans="1:7" x14ac:dyDescent="0.25">
      <c r="A1187" s="5">
        <v>45810.739583333336</v>
      </c>
      <c r="B1187">
        <v>26</v>
      </c>
      <c r="C1187" t="s">
        <v>32</v>
      </c>
      <c r="D1187" t="s">
        <v>33</v>
      </c>
      <c r="E1187">
        <v>1.49</v>
      </c>
      <c r="F1187">
        <v>5.13</v>
      </c>
      <c r="G1187" s="8">
        <f t="shared" si="18"/>
        <v>17.426900584795323</v>
      </c>
    </row>
    <row r="1188" spans="1:7" x14ac:dyDescent="0.25">
      <c r="A1188" s="5">
        <v>45810.739583333336</v>
      </c>
      <c r="B1188">
        <v>27</v>
      </c>
      <c r="C1188" t="s">
        <v>33</v>
      </c>
      <c r="D1188" t="s">
        <v>34</v>
      </c>
      <c r="E1188">
        <v>1.53</v>
      </c>
      <c r="F1188">
        <v>7.62</v>
      </c>
      <c r="G1188" s="8">
        <f t="shared" si="18"/>
        <v>12.047244094488189</v>
      </c>
    </row>
    <row r="1189" spans="1:7" x14ac:dyDescent="0.25">
      <c r="A1189" s="5">
        <v>45810.739583333336</v>
      </c>
      <c r="B1189">
        <v>28</v>
      </c>
      <c r="C1189" t="s">
        <v>34</v>
      </c>
      <c r="D1189" t="s">
        <v>35</v>
      </c>
      <c r="E1189">
        <v>1.51</v>
      </c>
      <c r="F1189">
        <v>4.9000000000000004</v>
      </c>
      <c r="G1189" s="8">
        <f t="shared" si="18"/>
        <v>18.489795918367346</v>
      </c>
    </row>
    <row r="1190" spans="1:7" x14ac:dyDescent="0.25">
      <c r="A1190" s="5">
        <v>45810.739583333336</v>
      </c>
      <c r="B1190">
        <v>29</v>
      </c>
      <c r="C1190" t="s">
        <v>36</v>
      </c>
      <c r="D1190" t="s">
        <v>37</v>
      </c>
      <c r="E1190">
        <v>1.57</v>
      </c>
      <c r="F1190">
        <v>4.55</v>
      </c>
      <c r="G1190" s="8">
        <f t="shared" si="18"/>
        <v>20.703296703296704</v>
      </c>
    </row>
    <row r="1191" spans="1:7" x14ac:dyDescent="0.25">
      <c r="A1191" s="5">
        <v>45810.739583333336</v>
      </c>
      <c r="B1191">
        <v>30</v>
      </c>
      <c r="C1191" t="s">
        <v>37</v>
      </c>
      <c r="D1191" t="s">
        <v>38</v>
      </c>
      <c r="E1191">
        <v>1.57</v>
      </c>
      <c r="F1191">
        <v>4.18</v>
      </c>
      <c r="G1191" s="8">
        <f t="shared" si="18"/>
        <v>22.535885167464116</v>
      </c>
    </row>
    <row r="1192" spans="1:7" x14ac:dyDescent="0.25">
      <c r="A1192" s="5">
        <v>45810.739583333336</v>
      </c>
      <c r="B1192">
        <v>31</v>
      </c>
      <c r="C1192" t="s">
        <v>38</v>
      </c>
      <c r="D1192" t="s">
        <v>39</v>
      </c>
      <c r="E1192">
        <v>1.52</v>
      </c>
      <c r="F1192">
        <v>3.28</v>
      </c>
      <c r="G1192" s="8">
        <f t="shared" si="18"/>
        <v>27.804878048780491</v>
      </c>
    </row>
    <row r="1193" spans="1:7" x14ac:dyDescent="0.25">
      <c r="A1193" s="5">
        <v>45810.739583333336</v>
      </c>
      <c r="B1193">
        <v>32</v>
      </c>
      <c r="C1193" t="s">
        <v>39</v>
      </c>
      <c r="D1193" t="s">
        <v>40</v>
      </c>
      <c r="E1193">
        <v>1.5</v>
      </c>
      <c r="F1193">
        <v>1.92</v>
      </c>
      <c r="G1193" s="8">
        <f t="shared" si="18"/>
        <v>46.875</v>
      </c>
    </row>
    <row r="1194" spans="1:7" x14ac:dyDescent="0.25">
      <c r="A1194" s="5">
        <v>45810.739583333336</v>
      </c>
      <c r="B1194">
        <v>33</v>
      </c>
      <c r="C1194" t="s">
        <v>40</v>
      </c>
      <c r="D1194" t="s">
        <v>41</v>
      </c>
      <c r="E1194">
        <v>1.51</v>
      </c>
      <c r="F1194">
        <v>2.17</v>
      </c>
      <c r="G1194" s="8">
        <f t="shared" si="18"/>
        <v>41.751152073732719</v>
      </c>
    </row>
    <row r="1195" spans="1:7" x14ac:dyDescent="0.25">
      <c r="A1195" s="5">
        <v>45810.739583333336</v>
      </c>
      <c r="B1195">
        <v>34</v>
      </c>
      <c r="C1195" t="s">
        <v>41</v>
      </c>
      <c r="D1195" t="s">
        <v>42</v>
      </c>
      <c r="E1195">
        <v>1.5</v>
      </c>
      <c r="F1195">
        <v>2.12</v>
      </c>
      <c r="G1195" s="8">
        <f t="shared" si="18"/>
        <v>42.452830188679243</v>
      </c>
    </row>
    <row r="1196" spans="1:7" x14ac:dyDescent="0.25">
      <c r="A1196" s="5">
        <v>45810.739583333336</v>
      </c>
      <c r="B1196">
        <v>35</v>
      </c>
      <c r="C1196" t="s">
        <v>43</v>
      </c>
      <c r="D1196" t="s">
        <v>44</v>
      </c>
      <c r="E1196">
        <v>1.55</v>
      </c>
      <c r="F1196">
        <v>4.32</v>
      </c>
      <c r="G1196" s="8">
        <f t="shared" si="18"/>
        <v>21.527777777777775</v>
      </c>
    </row>
    <row r="1197" spans="1:7" x14ac:dyDescent="0.25">
      <c r="A1197" s="5">
        <v>45810.739583333336</v>
      </c>
      <c r="B1197">
        <v>36</v>
      </c>
      <c r="C1197" t="s">
        <v>44</v>
      </c>
      <c r="D1197" t="s">
        <v>45</v>
      </c>
      <c r="E1197">
        <v>1.5</v>
      </c>
      <c r="F1197">
        <v>3.98</v>
      </c>
      <c r="G1197" s="8">
        <f t="shared" si="18"/>
        <v>22.613065326633166</v>
      </c>
    </row>
    <row r="1198" spans="1:7" x14ac:dyDescent="0.25">
      <c r="A1198" s="5">
        <v>45810.739583333336</v>
      </c>
      <c r="B1198">
        <v>37</v>
      </c>
      <c r="C1198" t="s">
        <v>45</v>
      </c>
      <c r="D1198" t="s">
        <v>46</v>
      </c>
      <c r="E1198">
        <v>1.38</v>
      </c>
      <c r="F1198">
        <v>5.68</v>
      </c>
      <c r="G1198" s="8">
        <f t="shared" si="18"/>
        <v>14.577464788732394</v>
      </c>
    </row>
    <row r="1199" spans="1:7" x14ac:dyDescent="0.25">
      <c r="A1199" s="5">
        <v>45810.739583333336</v>
      </c>
      <c r="B1199">
        <v>38</v>
      </c>
      <c r="C1199" t="s">
        <v>46</v>
      </c>
      <c r="D1199" t="s">
        <v>47</v>
      </c>
      <c r="E1199">
        <v>1.61</v>
      </c>
      <c r="F1199">
        <v>4.5199999999999996</v>
      </c>
      <c r="G1199" s="8">
        <f t="shared" si="18"/>
        <v>21.371681415929206</v>
      </c>
    </row>
    <row r="1200" spans="1:7" x14ac:dyDescent="0.25">
      <c r="A1200" s="5">
        <v>45810.739583333336</v>
      </c>
      <c r="B1200">
        <v>39</v>
      </c>
      <c r="C1200" t="s">
        <v>47</v>
      </c>
      <c r="D1200" t="s">
        <v>48</v>
      </c>
      <c r="E1200">
        <v>1.55</v>
      </c>
      <c r="F1200">
        <v>3.48</v>
      </c>
      <c r="G1200" s="8">
        <f t="shared" si="18"/>
        <v>26.724137931034484</v>
      </c>
    </row>
    <row r="1201" spans="1:7" x14ac:dyDescent="0.25">
      <c r="A1201" s="5">
        <v>45810.739583333336</v>
      </c>
      <c r="B1201">
        <v>40</v>
      </c>
      <c r="C1201" t="s">
        <v>48</v>
      </c>
      <c r="D1201" t="s">
        <v>49</v>
      </c>
      <c r="E1201">
        <v>1.39</v>
      </c>
      <c r="F1201">
        <v>3.25</v>
      </c>
      <c r="G1201" s="8">
        <f t="shared" si="18"/>
        <v>25.661538461538459</v>
      </c>
    </row>
    <row r="1202" spans="1:7" x14ac:dyDescent="0.25">
      <c r="A1202" s="5">
        <v>45810.739583333336</v>
      </c>
      <c r="B1202">
        <v>41</v>
      </c>
      <c r="C1202" t="s">
        <v>50</v>
      </c>
      <c r="D1202" t="s">
        <v>51</v>
      </c>
      <c r="E1202">
        <v>1.56</v>
      </c>
      <c r="F1202">
        <v>5.68</v>
      </c>
      <c r="G1202" s="8">
        <f t="shared" si="18"/>
        <v>16.478873239436624</v>
      </c>
    </row>
    <row r="1203" spans="1:7" x14ac:dyDescent="0.25">
      <c r="A1203" s="5">
        <v>45810.739583333336</v>
      </c>
      <c r="B1203">
        <v>42</v>
      </c>
      <c r="C1203" t="s">
        <v>51</v>
      </c>
      <c r="D1203" t="s">
        <v>52</v>
      </c>
      <c r="E1203">
        <v>1.56</v>
      </c>
      <c r="F1203">
        <v>4.87</v>
      </c>
      <c r="G1203" s="8">
        <f t="shared" si="18"/>
        <v>19.219712525667351</v>
      </c>
    </row>
    <row r="1204" spans="1:7" x14ac:dyDescent="0.25">
      <c r="A1204" s="5">
        <v>45810.739583333336</v>
      </c>
      <c r="B1204">
        <v>43</v>
      </c>
      <c r="C1204" t="s">
        <v>52</v>
      </c>
      <c r="D1204" t="s">
        <v>53</v>
      </c>
      <c r="E1204">
        <v>1.51</v>
      </c>
      <c r="F1204">
        <v>4.0999999999999996</v>
      </c>
      <c r="G1204" s="8">
        <f t="shared" si="18"/>
        <v>22.097560975609756</v>
      </c>
    </row>
    <row r="1205" spans="1:7" x14ac:dyDescent="0.25">
      <c r="A1205" s="5">
        <v>45810.739583333336</v>
      </c>
      <c r="B1205">
        <v>44</v>
      </c>
      <c r="C1205" t="s">
        <v>54</v>
      </c>
      <c r="D1205" t="s">
        <v>55</v>
      </c>
      <c r="E1205">
        <v>1.51</v>
      </c>
      <c r="F1205">
        <v>4.78</v>
      </c>
      <c r="G1205" s="8">
        <f t="shared" si="18"/>
        <v>18.953974895397486</v>
      </c>
    </row>
    <row r="1206" spans="1:7" x14ac:dyDescent="0.25">
      <c r="A1206" s="5">
        <v>45810.739583333336</v>
      </c>
      <c r="B1206">
        <v>45</v>
      </c>
      <c r="C1206" t="s">
        <v>55</v>
      </c>
      <c r="D1206" t="s">
        <v>56</v>
      </c>
      <c r="E1206">
        <v>1.49</v>
      </c>
      <c r="F1206">
        <v>4.58</v>
      </c>
      <c r="G1206" s="8">
        <f t="shared" si="18"/>
        <v>19.519650655021834</v>
      </c>
    </row>
    <row r="1207" spans="1:7" x14ac:dyDescent="0.25">
      <c r="A1207" s="5">
        <v>45810.739583333336</v>
      </c>
      <c r="B1207">
        <v>46</v>
      </c>
      <c r="C1207" t="s">
        <v>56</v>
      </c>
      <c r="D1207" t="s">
        <v>57</v>
      </c>
      <c r="E1207">
        <v>1.52</v>
      </c>
      <c r="F1207">
        <v>4.5199999999999996</v>
      </c>
      <c r="G1207" s="8">
        <f t="shared" si="18"/>
        <v>20.176991150442479</v>
      </c>
    </row>
    <row r="1208" spans="1:7" x14ac:dyDescent="0.25">
      <c r="A1208" s="5">
        <v>45810.739583333336</v>
      </c>
      <c r="B1208">
        <v>47</v>
      </c>
      <c r="C1208" t="s">
        <v>58</v>
      </c>
      <c r="D1208" t="s">
        <v>59</v>
      </c>
      <c r="E1208">
        <v>1.52</v>
      </c>
      <c r="F1208">
        <v>6.85</v>
      </c>
      <c r="G1208" s="8">
        <f t="shared" si="18"/>
        <v>13.313868613138688</v>
      </c>
    </row>
    <row r="1209" spans="1:7" x14ac:dyDescent="0.25">
      <c r="A1209" s="5">
        <v>45810.739583333336</v>
      </c>
      <c r="B1209">
        <v>48</v>
      </c>
      <c r="C1209" t="s">
        <v>59</v>
      </c>
      <c r="D1209" t="s">
        <v>60</v>
      </c>
      <c r="E1209">
        <v>1.5</v>
      </c>
      <c r="F1209">
        <v>5.22</v>
      </c>
      <c r="G1209" s="8">
        <f t="shared" si="18"/>
        <v>17.241379310344829</v>
      </c>
    </row>
    <row r="1210" spans="1:7" x14ac:dyDescent="0.25">
      <c r="A1210" s="5">
        <v>45810.739583333336</v>
      </c>
      <c r="B1210">
        <v>49</v>
      </c>
      <c r="C1210" t="s">
        <v>60</v>
      </c>
      <c r="D1210" t="s">
        <v>61</v>
      </c>
      <c r="E1210">
        <v>1.54</v>
      </c>
      <c r="F1210">
        <v>5.25</v>
      </c>
      <c r="G1210" s="8">
        <f t="shared" si="18"/>
        <v>17.600000000000001</v>
      </c>
    </row>
    <row r="1211" spans="1:7" x14ac:dyDescent="0.25">
      <c r="A1211" s="5">
        <v>45810.739583333336</v>
      </c>
      <c r="B1211">
        <v>50</v>
      </c>
      <c r="C1211" t="s">
        <v>62</v>
      </c>
      <c r="D1211" t="s">
        <v>63</v>
      </c>
      <c r="E1211">
        <v>1.38</v>
      </c>
      <c r="F1211">
        <v>3.5</v>
      </c>
      <c r="G1211" s="8">
        <f t="shared" si="18"/>
        <v>23.657142857142855</v>
      </c>
    </row>
    <row r="1212" spans="1:7" x14ac:dyDescent="0.25">
      <c r="A1212" s="5">
        <v>45810.739583333336</v>
      </c>
      <c r="B1212">
        <v>51</v>
      </c>
      <c r="C1212" t="s">
        <v>63</v>
      </c>
      <c r="D1212" t="s">
        <v>64</v>
      </c>
      <c r="E1212">
        <v>2.79</v>
      </c>
      <c r="F1212">
        <v>6.43</v>
      </c>
      <c r="G1212" s="8">
        <f t="shared" si="18"/>
        <v>26.034214618973564</v>
      </c>
    </row>
    <row r="1213" spans="1:7" x14ac:dyDescent="0.25">
      <c r="A1213" s="5">
        <v>45810.739583333336</v>
      </c>
      <c r="B1213">
        <v>52</v>
      </c>
      <c r="C1213" t="s">
        <v>64</v>
      </c>
      <c r="D1213" t="s">
        <v>65</v>
      </c>
      <c r="E1213">
        <v>1.5</v>
      </c>
      <c r="F1213">
        <v>2.88</v>
      </c>
      <c r="G1213" s="8">
        <f t="shared" si="18"/>
        <v>31.25</v>
      </c>
    </row>
    <row r="1214" spans="1:7" x14ac:dyDescent="0.25">
      <c r="A1214" s="5">
        <v>45810.739583333336</v>
      </c>
      <c r="B1214">
        <v>53</v>
      </c>
      <c r="C1214" t="s">
        <v>65</v>
      </c>
      <c r="D1214" t="s">
        <v>66</v>
      </c>
      <c r="E1214">
        <v>1.46</v>
      </c>
      <c r="F1214">
        <v>3.75</v>
      </c>
      <c r="G1214" s="8">
        <f t="shared" si="18"/>
        <v>23.36</v>
      </c>
    </row>
    <row r="1215" spans="1:7" x14ac:dyDescent="0.25">
      <c r="A1215" s="5">
        <v>45810.739583333336</v>
      </c>
      <c r="B1215">
        <v>54</v>
      </c>
      <c r="C1215" t="s">
        <v>67</v>
      </c>
      <c r="D1215" t="s">
        <v>68</v>
      </c>
      <c r="E1215">
        <v>1.46</v>
      </c>
      <c r="F1215">
        <v>5.2</v>
      </c>
      <c r="G1215" s="8">
        <f t="shared" si="18"/>
        <v>16.846153846153843</v>
      </c>
    </row>
    <row r="1216" spans="1:7" x14ac:dyDescent="0.25">
      <c r="A1216" s="5">
        <v>45810.739583333336</v>
      </c>
      <c r="B1216">
        <v>55</v>
      </c>
      <c r="C1216" t="s">
        <v>68</v>
      </c>
      <c r="D1216" t="s">
        <v>69</v>
      </c>
      <c r="E1216">
        <v>1.5</v>
      </c>
      <c r="F1216">
        <v>2.42</v>
      </c>
      <c r="G1216" s="8">
        <f t="shared" si="18"/>
        <v>37.190082644628099</v>
      </c>
    </row>
    <row r="1217" spans="1:7" x14ac:dyDescent="0.25">
      <c r="A1217" s="5">
        <v>45810.739583333336</v>
      </c>
      <c r="B1217">
        <v>56</v>
      </c>
      <c r="C1217" t="s">
        <v>70</v>
      </c>
      <c r="D1217" t="s">
        <v>71</v>
      </c>
      <c r="E1217">
        <v>1.51</v>
      </c>
      <c r="F1217">
        <v>5.75</v>
      </c>
      <c r="G1217" s="8">
        <f t="shared" si="18"/>
        <v>15.756521739130434</v>
      </c>
    </row>
    <row r="1218" spans="1:7" x14ac:dyDescent="0.25">
      <c r="A1218" s="5">
        <v>45810.739583333336</v>
      </c>
      <c r="B1218">
        <v>57</v>
      </c>
      <c r="C1218" t="s">
        <v>71</v>
      </c>
      <c r="D1218" t="s">
        <v>72</v>
      </c>
      <c r="E1218">
        <v>1.52</v>
      </c>
      <c r="F1218">
        <v>4.8</v>
      </c>
      <c r="G1218" s="8">
        <f t="shared" si="18"/>
        <v>19</v>
      </c>
    </row>
    <row r="1219" spans="1:7" x14ac:dyDescent="0.25">
      <c r="A1219" s="5">
        <v>45810.739583333336</v>
      </c>
      <c r="B1219">
        <v>58</v>
      </c>
      <c r="C1219" t="s">
        <v>72</v>
      </c>
      <c r="D1219" t="s">
        <v>73</v>
      </c>
      <c r="E1219">
        <v>1.5</v>
      </c>
      <c r="F1219">
        <v>4.8499999999999996</v>
      </c>
      <c r="G1219" s="8">
        <f t="shared" ref="G1219:G1282" si="19">E1219*60/F1219</f>
        <v>18.556701030927837</v>
      </c>
    </row>
    <row r="1220" spans="1:7" x14ac:dyDescent="0.25">
      <c r="A1220" s="5">
        <v>45810.75</v>
      </c>
      <c r="B1220">
        <v>1</v>
      </c>
      <c r="C1220" t="s">
        <v>6</v>
      </c>
      <c r="D1220" t="s">
        <v>7</v>
      </c>
      <c r="E1220">
        <v>1.53</v>
      </c>
      <c r="F1220">
        <v>3.72</v>
      </c>
      <c r="G1220" s="8">
        <f t="shared" si="19"/>
        <v>24.677419354838708</v>
      </c>
    </row>
    <row r="1221" spans="1:7" x14ac:dyDescent="0.25">
      <c r="A1221" s="5">
        <v>45810.75</v>
      </c>
      <c r="B1221">
        <v>2</v>
      </c>
      <c r="C1221" t="s">
        <v>7</v>
      </c>
      <c r="D1221" t="s">
        <v>8</v>
      </c>
      <c r="E1221">
        <v>1.57</v>
      </c>
      <c r="F1221">
        <v>7.97</v>
      </c>
      <c r="G1221" s="8">
        <f t="shared" si="19"/>
        <v>11.819322459222084</v>
      </c>
    </row>
    <row r="1222" spans="1:7" x14ac:dyDescent="0.25">
      <c r="A1222" s="5">
        <v>45810.75</v>
      </c>
      <c r="B1222">
        <v>3</v>
      </c>
      <c r="C1222" t="s">
        <v>8</v>
      </c>
      <c r="D1222" t="s">
        <v>9</v>
      </c>
      <c r="E1222">
        <v>1.5</v>
      </c>
      <c r="F1222">
        <v>3.95</v>
      </c>
      <c r="G1222" s="8">
        <f t="shared" si="19"/>
        <v>22.784810126582279</v>
      </c>
    </row>
    <row r="1223" spans="1:7" x14ac:dyDescent="0.25">
      <c r="A1223" s="5">
        <v>45810.75</v>
      </c>
      <c r="B1223">
        <v>4</v>
      </c>
      <c r="C1223" t="s">
        <v>9</v>
      </c>
      <c r="D1223" t="s">
        <v>10</v>
      </c>
      <c r="E1223">
        <v>1.5</v>
      </c>
      <c r="F1223">
        <v>3.72</v>
      </c>
      <c r="G1223" s="8">
        <f t="shared" si="19"/>
        <v>24.193548387096772</v>
      </c>
    </row>
    <row r="1224" spans="1:7" x14ac:dyDescent="0.25">
      <c r="A1224" s="5">
        <v>45810.75</v>
      </c>
      <c r="B1224">
        <v>5</v>
      </c>
      <c r="C1224" t="s">
        <v>10</v>
      </c>
      <c r="D1224" t="s">
        <v>11</v>
      </c>
      <c r="E1224">
        <v>1.52</v>
      </c>
      <c r="F1224">
        <v>5.4</v>
      </c>
      <c r="G1224" s="8">
        <f t="shared" si="19"/>
        <v>16.888888888888889</v>
      </c>
    </row>
    <row r="1225" spans="1:7" x14ac:dyDescent="0.25">
      <c r="A1225" s="5">
        <v>45810.75</v>
      </c>
      <c r="B1225">
        <v>6</v>
      </c>
      <c r="C1225" t="s">
        <v>11</v>
      </c>
      <c r="D1225" t="s">
        <v>12</v>
      </c>
      <c r="E1225">
        <v>1.5</v>
      </c>
      <c r="F1225">
        <v>2.8</v>
      </c>
      <c r="G1225" s="8">
        <f t="shared" si="19"/>
        <v>32.142857142857146</v>
      </c>
    </row>
    <row r="1226" spans="1:7" x14ac:dyDescent="0.25">
      <c r="A1226" s="5">
        <v>45810.75</v>
      </c>
      <c r="B1226">
        <v>7</v>
      </c>
      <c r="C1226" t="s">
        <v>12</v>
      </c>
      <c r="D1226" t="s">
        <v>13</v>
      </c>
      <c r="E1226">
        <v>1.54</v>
      </c>
      <c r="F1226">
        <v>2.77</v>
      </c>
      <c r="G1226" s="8">
        <f t="shared" si="19"/>
        <v>33.357400722021666</v>
      </c>
    </row>
    <row r="1227" spans="1:7" x14ac:dyDescent="0.25">
      <c r="A1227" s="5">
        <v>45810.75</v>
      </c>
      <c r="B1227">
        <v>8</v>
      </c>
      <c r="C1227" t="s">
        <v>13</v>
      </c>
      <c r="D1227" t="s">
        <v>14</v>
      </c>
      <c r="E1227">
        <v>1.54</v>
      </c>
      <c r="F1227">
        <v>3.43</v>
      </c>
      <c r="G1227" s="8">
        <f t="shared" si="19"/>
        <v>26.938775510204081</v>
      </c>
    </row>
    <row r="1228" spans="1:7" x14ac:dyDescent="0.25">
      <c r="A1228" s="5">
        <v>45810.75</v>
      </c>
      <c r="B1228">
        <v>9</v>
      </c>
      <c r="C1228" t="s">
        <v>14</v>
      </c>
      <c r="D1228" t="s">
        <v>15</v>
      </c>
      <c r="E1228">
        <v>1.52</v>
      </c>
      <c r="F1228">
        <v>5.28</v>
      </c>
      <c r="G1228" s="8">
        <f t="shared" si="19"/>
        <v>17.272727272727273</v>
      </c>
    </row>
    <row r="1229" spans="1:7" x14ac:dyDescent="0.25">
      <c r="A1229" s="5">
        <v>45810.75</v>
      </c>
      <c r="B1229">
        <v>10</v>
      </c>
      <c r="C1229" t="s">
        <v>15</v>
      </c>
      <c r="D1229" t="s">
        <v>16</v>
      </c>
      <c r="E1229">
        <v>1.5</v>
      </c>
      <c r="F1229">
        <v>4.93</v>
      </c>
      <c r="G1229" s="8">
        <f t="shared" si="19"/>
        <v>18.255578093306291</v>
      </c>
    </row>
    <row r="1230" spans="1:7" x14ac:dyDescent="0.25">
      <c r="A1230" s="5">
        <v>45810.75</v>
      </c>
      <c r="B1230">
        <v>11</v>
      </c>
      <c r="C1230" t="s">
        <v>16</v>
      </c>
      <c r="D1230" t="s">
        <v>17</v>
      </c>
      <c r="E1230">
        <v>1.48</v>
      </c>
      <c r="F1230">
        <v>4.22</v>
      </c>
      <c r="G1230" s="8">
        <f t="shared" si="19"/>
        <v>21.042654028436019</v>
      </c>
    </row>
    <row r="1231" spans="1:7" x14ac:dyDescent="0.25">
      <c r="A1231" s="5">
        <v>45810.75</v>
      </c>
      <c r="B1231">
        <v>12</v>
      </c>
      <c r="C1231" t="s">
        <v>17</v>
      </c>
      <c r="D1231" t="s">
        <v>18</v>
      </c>
      <c r="E1231">
        <v>1.46</v>
      </c>
      <c r="F1231">
        <v>6.65</v>
      </c>
      <c r="G1231" s="8">
        <f t="shared" si="19"/>
        <v>13.172932330827066</v>
      </c>
    </row>
    <row r="1232" spans="1:7" x14ac:dyDescent="0.25">
      <c r="A1232" s="5">
        <v>45810.75</v>
      </c>
      <c r="B1232">
        <v>13</v>
      </c>
      <c r="C1232" t="s">
        <v>18</v>
      </c>
      <c r="D1232" t="s">
        <v>19</v>
      </c>
      <c r="E1232">
        <v>1.52</v>
      </c>
      <c r="F1232">
        <v>6.8</v>
      </c>
      <c r="G1232" s="8">
        <f t="shared" si="19"/>
        <v>13.411764705882353</v>
      </c>
    </row>
    <row r="1233" spans="1:7" x14ac:dyDescent="0.25">
      <c r="A1233" s="5">
        <v>45810.75</v>
      </c>
      <c r="B1233">
        <v>14</v>
      </c>
      <c r="C1233" t="s">
        <v>19</v>
      </c>
      <c r="D1233" t="s">
        <v>20</v>
      </c>
      <c r="E1233">
        <v>1.51</v>
      </c>
      <c r="F1233">
        <v>5.17</v>
      </c>
      <c r="G1233" s="8">
        <f t="shared" si="19"/>
        <v>17.524177949709863</v>
      </c>
    </row>
    <row r="1234" spans="1:7" x14ac:dyDescent="0.25">
      <c r="A1234" s="5">
        <v>45810.75</v>
      </c>
      <c r="B1234">
        <v>15</v>
      </c>
      <c r="C1234" t="s">
        <v>20</v>
      </c>
      <c r="D1234" t="s">
        <v>21</v>
      </c>
      <c r="E1234">
        <v>1.47</v>
      </c>
      <c r="F1234">
        <v>4.18</v>
      </c>
      <c r="G1234" s="8">
        <f t="shared" si="19"/>
        <v>21.100478468899524</v>
      </c>
    </row>
    <row r="1235" spans="1:7" x14ac:dyDescent="0.25">
      <c r="A1235" s="5">
        <v>45810.75</v>
      </c>
      <c r="B1235">
        <v>16</v>
      </c>
      <c r="C1235" t="s">
        <v>21</v>
      </c>
      <c r="D1235" t="s">
        <v>22</v>
      </c>
      <c r="E1235">
        <v>1.5</v>
      </c>
      <c r="F1235">
        <v>5.55</v>
      </c>
      <c r="G1235" s="8">
        <f t="shared" si="19"/>
        <v>16.216216216216218</v>
      </c>
    </row>
    <row r="1236" spans="1:7" x14ac:dyDescent="0.25">
      <c r="A1236" s="5">
        <v>45810.75</v>
      </c>
      <c r="B1236">
        <v>17</v>
      </c>
      <c r="C1236" t="s">
        <v>22</v>
      </c>
      <c r="D1236" t="s">
        <v>23</v>
      </c>
      <c r="E1236">
        <v>1.51</v>
      </c>
      <c r="F1236">
        <v>4.5</v>
      </c>
      <c r="G1236" s="8">
        <f t="shared" si="19"/>
        <v>20.133333333333333</v>
      </c>
    </row>
    <row r="1237" spans="1:7" x14ac:dyDescent="0.25">
      <c r="A1237" s="5">
        <v>45810.75</v>
      </c>
      <c r="B1237">
        <v>18</v>
      </c>
      <c r="C1237" t="s">
        <v>23</v>
      </c>
      <c r="D1237" t="s">
        <v>24</v>
      </c>
      <c r="E1237">
        <v>1.51</v>
      </c>
      <c r="F1237">
        <v>4.47</v>
      </c>
      <c r="G1237" s="8">
        <f t="shared" si="19"/>
        <v>20.268456375838927</v>
      </c>
    </row>
    <row r="1238" spans="1:7" x14ac:dyDescent="0.25">
      <c r="A1238" s="5">
        <v>45810.75</v>
      </c>
      <c r="B1238">
        <v>19</v>
      </c>
      <c r="C1238" t="s">
        <v>25</v>
      </c>
      <c r="D1238" t="s">
        <v>26</v>
      </c>
      <c r="E1238">
        <v>1.5</v>
      </c>
      <c r="F1238">
        <v>3.93</v>
      </c>
      <c r="G1238" s="8">
        <f t="shared" si="19"/>
        <v>22.900763358778626</v>
      </c>
    </row>
    <row r="1239" spans="1:7" x14ac:dyDescent="0.25">
      <c r="A1239" s="5">
        <v>45810.75</v>
      </c>
      <c r="B1239">
        <v>20</v>
      </c>
      <c r="C1239" t="s">
        <v>26</v>
      </c>
      <c r="D1239" t="s">
        <v>27</v>
      </c>
      <c r="E1239">
        <v>1.48</v>
      </c>
      <c r="F1239">
        <v>3.38</v>
      </c>
      <c r="G1239" s="8">
        <f t="shared" si="19"/>
        <v>26.272189349112427</v>
      </c>
    </row>
    <row r="1240" spans="1:7" x14ac:dyDescent="0.25">
      <c r="A1240" s="5">
        <v>45810.75</v>
      </c>
      <c r="B1240">
        <v>21</v>
      </c>
      <c r="C1240" t="s">
        <v>27</v>
      </c>
      <c r="D1240" t="s">
        <v>28</v>
      </c>
      <c r="E1240">
        <v>1.51</v>
      </c>
      <c r="F1240">
        <v>4.2300000000000004</v>
      </c>
      <c r="G1240" s="8">
        <f t="shared" si="19"/>
        <v>21.418439716312054</v>
      </c>
    </row>
    <row r="1241" spans="1:7" x14ac:dyDescent="0.25">
      <c r="A1241" s="5">
        <v>45810.75</v>
      </c>
      <c r="B1241">
        <v>22</v>
      </c>
      <c r="C1241" t="s">
        <v>28</v>
      </c>
      <c r="D1241" t="s">
        <v>29</v>
      </c>
      <c r="E1241">
        <v>1.57</v>
      </c>
      <c r="F1241">
        <v>6.22</v>
      </c>
      <c r="G1241" s="8">
        <f t="shared" si="19"/>
        <v>15.14469453376206</v>
      </c>
    </row>
    <row r="1242" spans="1:7" x14ac:dyDescent="0.25">
      <c r="A1242" s="5">
        <v>45810.75</v>
      </c>
      <c r="B1242">
        <v>23</v>
      </c>
      <c r="C1242" t="s">
        <v>29</v>
      </c>
      <c r="D1242" t="s">
        <v>30</v>
      </c>
      <c r="E1242">
        <v>1.43</v>
      </c>
      <c r="F1242">
        <v>6.33</v>
      </c>
      <c r="G1242" s="8">
        <f t="shared" si="19"/>
        <v>13.554502369668246</v>
      </c>
    </row>
    <row r="1243" spans="1:7" x14ac:dyDescent="0.25">
      <c r="A1243" s="5">
        <v>45810.75</v>
      </c>
      <c r="B1243">
        <v>24</v>
      </c>
      <c r="C1243" t="s">
        <v>30</v>
      </c>
      <c r="D1243" t="s">
        <v>31</v>
      </c>
      <c r="E1243">
        <v>1.52</v>
      </c>
      <c r="F1243">
        <v>4.58</v>
      </c>
      <c r="G1243" s="8">
        <f t="shared" si="19"/>
        <v>19.912663755458517</v>
      </c>
    </row>
    <row r="1244" spans="1:7" x14ac:dyDescent="0.25">
      <c r="A1244" s="5">
        <v>45810.75</v>
      </c>
      <c r="B1244">
        <v>25</v>
      </c>
      <c r="C1244" t="s">
        <v>31</v>
      </c>
      <c r="D1244" t="s">
        <v>32</v>
      </c>
      <c r="E1244">
        <v>1.52</v>
      </c>
      <c r="F1244">
        <v>4.17</v>
      </c>
      <c r="G1244" s="8">
        <f t="shared" si="19"/>
        <v>21.870503597122305</v>
      </c>
    </row>
    <row r="1245" spans="1:7" x14ac:dyDescent="0.25">
      <c r="A1245" s="5">
        <v>45810.75</v>
      </c>
      <c r="B1245">
        <v>26</v>
      </c>
      <c r="C1245" t="s">
        <v>32</v>
      </c>
      <c r="D1245" t="s">
        <v>33</v>
      </c>
      <c r="E1245">
        <v>2</v>
      </c>
      <c r="F1245">
        <v>7.5</v>
      </c>
      <c r="G1245" s="8">
        <f t="shared" si="19"/>
        <v>16</v>
      </c>
    </row>
    <row r="1246" spans="1:7" x14ac:dyDescent="0.25">
      <c r="A1246" s="5">
        <v>45810.75</v>
      </c>
      <c r="B1246">
        <v>27</v>
      </c>
      <c r="C1246" t="s">
        <v>33</v>
      </c>
      <c r="D1246" t="s">
        <v>34</v>
      </c>
      <c r="E1246">
        <v>1.53</v>
      </c>
      <c r="F1246">
        <v>7.08</v>
      </c>
      <c r="G1246" s="8">
        <f t="shared" si="19"/>
        <v>12.966101694915254</v>
      </c>
    </row>
    <row r="1247" spans="1:7" x14ac:dyDescent="0.25">
      <c r="A1247" s="5">
        <v>45810.75</v>
      </c>
      <c r="B1247">
        <v>28</v>
      </c>
      <c r="C1247" t="s">
        <v>34</v>
      </c>
      <c r="D1247" t="s">
        <v>35</v>
      </c>
      <c r="E1247">
        <v>1.51</v>
      </c>
      <c r="F1247">
        <v>4.97</v>
      </c>
      <c r="G1247" s="8">
        <f t="shared" si="19"/>
        <v>18.229376257545272</v>
      </c>
    </row>
    <row r="1248" spans="1:7" x14ac:dyDescent="0.25">
      <c r="A1248" s="5">
        <v>45810.75</v>
      </c>
      <c r="B1248">
        <v>29</v>
      </c>
      <c r="C1248" t="s">
        <v>36</v>
      </c>
      <c r="D1248" t="s">
        <v>37</v>
      </c>
      <c r="E1248">
        <v>1.57</v>
      </c>
      <c r="F1248">
        <v>4.2300000000000004</v>
      </c>
      <c r="G1248" s="8">
        <f t="shared" si="19"/>
        <v>22.269503546099291</v>
      </c>
    </row>
    <row r="1249" spans="1:7" x14ac:dyDescent="0.25">
      <c r="A1249" s="5">
        <v>45810.75</v>
      </c>
      <c r="B1249">
        <v>30</v>
      </c>
      <c r="C1249" t="s">
        <v>37</v>
      </c>
      <c r="D1249" t="s">
        <v>38</v>
      </c>
      <c r="E1249">
        <v>1.57</v>
      </c>
      <c r="F1249">
        <v>4.1500000000000004</v>
      </c>
      <c r="G1249" s="8">
        <f t="shared" si="19"/>
        <v>22.69879518072289</v>
      </c>
    </row>
    <row r="1250" spans="1:7" x14ac:dyDescent="0.25">
      <c r="A1250" s="5">
        <v>45810.75</v>
      </c>
      <c r="B1250">
        <v>31</v>
      </c>
      <c r="C1250" t="s">
        <v>38</v>
      </c>
      <c r="D1250" t="s">
        <v>39</v>
      </c>
      <c r="E1250">
        <v>1.52</v>
      </c>
      <c r="F1250">
        <v>4.08</v>
      </c>
      <c r="G1250" s="8">
        <f t="shared" si="19"/>
        <v>22.352941176470587</v>
      </c>
    </row>
    <row r="1251" spans="1:7" x14ac:dyDescent="0.25">
      <c r="A1251" s="5">
        <v>45810.75</v>
      </c>
      <c r="B1251">
        <v>32</v>
      </c>
      <c r="C1251" t="s">
        <v>39</v>
      </c>
      <c r="D1251" t="s">
        <v>40</v>
      </c>
      <c r="E1251">
        <v>1.5</v>
      </c>
      <c r="F1251">
        <v>2.33</v>
      </c>
      <c r="G1251" s="8">
        <f t="shared" si="19"/>
        <v>38.626609442060087</v>
      </c>
    </row>
    <row r="1252" spans="1:7" x14ac:dyDescent="0.25">
      <c r="A1252" s="5">
        <v>45810.75</v>
      </c>
      <c r="B1252">
        <v>33</v>
      </c>
      <c r="C1252" t="s">
        <v>40</v>
      </c>
      <c r="D1252" t="s">
        <v>41</v>
      </c>
      <c r="E1252">
        <v>1.51</v>
      </c>
      <c r="F1252">
        <v>2.2999999999999998</v>
      </c>
      <c r="G1252" s="8">
        <f t="shared" si="19"/>
        <v>39.391304347826086</v>
      </c>
    </row>
    <row r="1253" spans="1:7" x14ac:dyDescent="0.25">
      <c r="A1253" s="5">
        <v>45810.75</v>
      </c>
      <c r="B1253">
        <v>34</v>
      </c>
      <c r="C1253" t="s">
        <v>41</v>
      </c>
      <c r="D1253" t="s">
        <v>42</v>
      </c>
      <c r="E1253">
        <v>1.5</v>
      </c>
      <c r="F1253">
        <v>2.42</v>
      </c>
      <c r="G1253" s="8">
        <f t="shared" si="19"/>
        <v>37.190082644628099</v>
      </c>
    </row>
    <row r="1254" spans="1:7" x14ac:dyDescent="0.25">
      <c r="A1254" s="5">
        <v>45810.75</v>
      </c>
      <c r="B1254">
        <v>35</v>
      </c>
      <c r="C1254" t="s">
        <v>43</v>
      </c>
      <c r="D1254" t="s">
        <v>44</v>
      </c>
      <c r="E1254">
        <v>1.55</v>
      </c>
      <c r="F1254">
        <v>4.9800000000000004</v>
      </c>
      <c r="G1254" s="8">
        <f t="shared" si="19"/>
        <v>18.674698795180721</v>
      </c>
    </row>
    <row r="1255" spans="1:7" x14ac:dyDescent="0.25">
      <c r="A1255" s="5">
        <v>45810.75</v>
      </c>
      <c r="B1255">
        <v>36</v>
      </c>
      <c r="C1255" t="s">
        <v>44</v>
      </c>
      <c r="D1255" t="s">
        <v>45</v>
      </c>
      <c r="E1255">
        <v>1.5</v>
      </c>
      <c r="F1255">
        <v>4.7699999999999996</v>
      </c>
      <c r="G1255" s="8">
        <f t="shared" si="19"/>
        <v>18.867924528301888</v>
      </c>
    </row>
    <row r="1256" spans="1:7" x14ac:dyDescent="0.25">
      <c r="A1256" s="5">
        <v>45810.75</v>
      </c>
      <c r="B1256">
        <v>37</v>
      </c>
      <c r="C1256" t="s">
        <v>45</v>
      </c>
      <c r="D1256" t="s">
        <v>46</v>
      </c>
      <c r="E1256">
        <v>1.38</v>
      </c>
      <c r="F1256">
        <v>7.02</v>
      </c>
      <c r="G1256" s="8">
        <f t="shared" si="19"/>
        <v>11.794871794871796</v>
      </c>
    </row>
    <row r="1257" spans="1:7" x14ac:dyDescent="0.25">
      <c r="A1257" s="5">
        <v>45810.75</v>
      </c>
      <c r="B1257">
        <v>38</v>
      </c>
      <c r="C1257" t="s">
        <v>46</v>
      </c>
      <c r="D1257" t="s">
        <v>47</v>
      </c>
      <c r="E1257">
        <v>1.61</v>
      </c>
      <c r="F1257">
        <v>4.7300000000000004</v>
      </c>
      <c r="G1257" s="8">
        <f t="shared" si="19"/>
        <v>20.422832980972515</v>
      </c>
    </row>
    <row r="1258" spans="1:7" x14ac:dyDescent="0.25">
      <c r="A1258" s="5">
        <v>45810.75</v>
      </c>
      <c r="B1258">
        <v>39</v>
      </c>
      <c r="C1258" t="s">
        <v>47</v>
      </c>
      <c r="D1258" t="s">
        <v>48</v>
      </c>
      <c r="E1258">
        <v>1.55</v>
      </c>
      <c r="F1258">
        <v>3.87</v>
      </c>
      <c r="G1258" s="8">
        <f t="shared" si="19"/>
        <v>24.031007751937985</v>
      </c>
    </row>
    <row r="1259" spans="1:7" x14ac:dyDescent="0.25">
      <c r="A1259" s="5">
        <v>45810.75</v>
      </c>
      <c r="B1259">
        <v>40</v>
      </c>
      <c r="C1259" t="s">
        <v>48</v>
      </c>
      <c r="D1259" t="s">
        <v>49</v>
      </c>
      <c r="E1259">
        <v>1.39</v>
      </c>
      <c r="F1259">
        <v>3.42</v>
      </c>
      <c r="G1259" s="8">
        <f t="shared" si="19"/>
        <v>24.385964912280699</v>
      </c>
    </row>
    <row r="1260" spans="1:7" x14ac:dyDescent="0.25">
      <c r="A1260" s="5">
        <v>45810.75</v>
      </c>
      <c r="B1260">
        <v>41</v>
      </c>
      <c r="C1260" t="s">
        <v>50</v>
      </c>
      <c r="D1260" t="s">
        <v>51</v>
      </c>
      <c r="E1260">
        <v>1.56</v>
      </c>
      <c r="F1260">
        <v>5.9</v>
      </c>
      <c r="G1260" s="8">
        <f t="shared" si="19"/>
        <v>15.864406779661017</v>
      </c>
    </row>
    <row r="1261" spans="1:7" x14ac:dyDescent="0.25">
      <c r="A1261" s="5">
        <v>45810.75</v>
      </c>
      <c r="B1261">
        <v>42</v>
      </c>
      <c r="C1261" t="s">
        <v>51</v>
      </c>
      <c r="D1261" t="s">
        <v>52</v>
      </c>
      <c r="E1261">
        <v>1.56</v>
      </c>
      <c r="F1261">
        <v>5.5</v>
      </c>
      <c r="G1261" s="8">
        <f t="shared" si="19"/>
        <v>17.018181818181819</v>
      </c>
    </row>
    <row r="1262" spans="1:7" x14ac:dyDescent="0.25">
      <c r="A1262" s="5">
        <v>45810.75</v>
      </c>
      <c r="B1262">
        <v>43</v>
      </c>
      <c r="C1262" t="s">
        <v>52</v>
      </c>
      <c r="D1262" t="s">
        <v>53</v>
      </c>
      <c r="E1262">
        <v>1.51</v>
      </c>
      <c r="F1262">
        <v>4.58</v>
      </c>
      <c r="G1262" s="8">
        <f t="shared" si="19"/>
        <v>19.781659388646286</v>
      </c>
    </row>
    <row r="1263" spans="1:7" x14ac:dyDescent="0.25">
      <c r="A1263" s="5">
        <v>45810.75</v>
      </c>
      <c r="B1263">
        <v>44</v>
      </c>
      <c r="C1263" t="s">
        <v>54</v>
      </c>
      <c r="D1263" t="s">
        <v>55</v>
      </c>
      <c r="E1263">
        <v>1.51</v>
      </c>
      <c r="F1263">
        <v>4.88</v>
      </c>
      <c r="G1263" s="8">
        <f t="shared" si="19"/>
        <v>18.565573770491802</v>
      </c>
    </row>
    <row r="1264" spans="1:7" x14ac:dyDescent="0.25">
      <c r="A1264" s="5">
        <v>45810.75</v>
      </c>
      <c r="B1264">
        <v>45</v>
      </c>
      <c r="C1264" t="s">
        <v>55</v>
      </c>
      <c r="D1264" t="s">
        <v>56</v>
      </c>
      <c r="E1264">
        <v>1.49</v>
      </c>
      <c r="F1264">
        <v>6.12</v>
      </c>
      <c r="G1264" s="8">
        <f t="shared" si="19"/>
        <v>14.607843137254903</v>
      </c>
    </row>
    <row r="1265" spans="1:7" x14ac:dyDescent="0.25">
      <c r="A1265" s="5">
        <v>45810.75</v>
      </c>
      <c r="B1265">
        <v>46</v>
      </c>
      <c r="C1265" t="s">
        <v>56</v>
      </c>
      <c r="D1265" t="s">
        <v>57</v>
      </c>
      <c r="E1265">
        <v>1.52</v>
      </c>
      <c r="F1265">
        <v>5.53</v>
      </c>
      <c r="G1265" s="8">
        <f t="shared" si="19"/>
        <v>16.491862567811935</v>
      </c>
    </row>
    <row r="1266" spans="1:7" x14ac:dyDescent="0.25">
      <c r="A1266" s="5">
        <v>45810.75</v>
      </c>
      <c r="B1266">
        <v>47</v>
      </c>
      <c r="C1266" t="s">
        <v>58</v>
      </c>
      <c r="D1266" t="s">
        <v>59</v>
      </c>
      <c r="E1266">
        <v>1.52</v>
      </c>
      <c r="F1266">
        <v>7.47</v>
      </c>
      <c r="G1266" s="8">
        <f t="shared" si="19"/>
        <v>12.208835341365463</v>
      </c>
    </row>
    <row r="1267" spans="1:7" x14ac:dyDescent="0.25">
      <c r="A1267" s="5">
        <v>45810.75</v>
      </c>
      <c r="B1267">
        <v>48</v>
      </c>
      <c r="C1267" t="s">
        <v>59</v>
      </c>
      <c r="D1267" t="s">
        <v>60</v>
      </c>
      <c r="E1267">
        <v>1.5</v>
      </c>
      <c r="F1267">
        <v>5.68</v>
      </c>
      <c r="G1267" s="8">
        <f t="shared" si="19"/>
        <v>15.845070422535212</v>
      </c>
    </row>
    <row r="1268" spans="1:7" x14ac:dyDescent="0.25">
      <c r="A1268" s="5">
        <v>45810.75</v>
      </c>
      <c r="B1268">
        <v>49</v>
      </c>
      <c r="C1268" t="s">
        <v>60</v>
      </c>
      <c r="D1268" t="s">
        <v>61</v>
      </c>
      <c r="E1268">
        <v>1.54</v>
      </c>
      <c r="F1268">
        <v>6.13</v>
      </c>
      <c r="G1268" s="8">
        <f t="shared" si="19"/>
        <v>15.07340946166395</v>
      </c>
    </row>
    <row r="1269" spans="1:7" x14ac:dyDescent="0.25">
      <c r="A1269" s="5">
        <v>45810.75</v>
      </c>
      <c r="B1269">
        <v>50</v>
      </c>
      <c r="C1269" t="s">
        <v>62</v>
      </c>
      <c r="D1269" t="s">
        <v>63</v>
      </c>
      <c r="E1269">
        <v>1.38</v>
      </c>
      <c r="F1269">
        <v>3.5</v>
      </c>
      <c r="G1269" s="8">
        <f t="shared" si="19"/>
        <v>23.657142857142855</v>
      </c>
    </row>
    <row r="1270" spans="1:7" x14ac:dyDescent="0.25">
      <c r="A1270" s="5">
        <v>45810.75</v>
      </c>
      <c r="B1270">
        <v>51</v>
      </c>
      <c r="C1270" t="s">
        <v>63</v>
      </c>
      <c r="D1270" t="s">
        <v>64</v>
      </c>
      <c r="E1270">
        <v>2.79</v>
      </c>
      <c r="F1270">
        <v>6.87</v>
      </c>
      <c r="G1270" s="8">
        <f t="shared" si="19"/>
        <v>24.366812227074238</v>
      </c>
    </row>
    <row r="1271" spans="1:7" x14ac:dyDescent="0.25">
      <c r="A1271" s="5">
        <v>45810.75</v>
      </c>
      <c r="B1271">
        <v>52</v>
      </c>
      <c r="C1271" t="s">
        <v>64</v>
      </c>
      <c r="D1271" t="s">
        <v>65</v>
      </c>
      <c r="E1271">
        <v>1.5</v>
      </c>
      <c r="F1271">
        <v>2.92</v>
      </c>
      <c r="G1271" s="8">
        <f t="shared" si="19"/>
        <v>30.82191780821918</v>
      </c>
    </row>
    <row r="1272" spans="1:7" x14ac:dyDescent="0.25">
      <c r="A1272" s="5">
        <v>45810.75</v>
      </c>
      <c r="B1272">
        <v>53</v>
      </c>
      <c r="C1272" t="s">
        <v>65</v>
      </c>
      <c r="D1272" t="s">
        <v>66</v>
      </c>
      <c r="E1272">
        <v>1.46</v>
      </c>
      <c r="F1272">
        <v>3.85</v>
      </c>
      <c r="G1272" s="8">
        <f t="shared" si="19"/>
        <v>22.753246753246753</v>
      </c>
    </row>
    <row r="1273" spans="1:7" x14ac:dyDescent="0.25">
      <c r="A1273" s="5">
        <v>45810.75</v>
      </c>
      <c r="B1273">
        <v>54</v>
      </c>
      <c r="C1273" t="s">
        <v>67</v>
      </c>
      <c r="D1273" t="s">
        <v>68</v>
      </c>
      <c r="E1273">
        <v>1.46</v>
      </c>
      <c r="F1273">
        <v>5.3</v>
      </c>
      <c r="G1273" s="8">
        <f t="shared" si="19"/>
        <v>16.528301886792452</v>
      </c>
    </row>
    <row r="1274" spans="1:7" x14ac:dyDescent="0.25">
      <c r="A1274" s="5">
        <v>45810.75</v>
      </c>
      <c r="B1274">
        <v>55</v>
      </c>
      <c r="C1274" t="s">
        <v>68</v>
      </c>
      <c r="D1274" t="s">
        <v>69</v>
      </c>
      <c r="E1274">
        <v>1.5</v>
      </c>
      <c r="F1274">
        <v>2.63</v>
      </c>
      <c r="G1274" s="8">
        <f t="shared" si="19"/>
        <v>34.220532319391637</v>
      </c>
    </row>
    <row r="1275" spans="1:7" x14ac:dyDescent="0.25">
      <c r="A1275" s="5">
        <v>45810.75</v>
      </c>
      <c r="B1275">
        <v>56</v>
      </c>
      <c r="C1275" t="s">
        <v>70</v>
      </c>
      <c r="D1275" t="s">
        <v>71</v>
      </c>
      <c r="E1275">
        <v>1.51</v>
      </c>
      <c r="F1275">
        <v>7.48</v>
      </c>
      <c r="G1275" s="8">
        <f t="shared" si="19"/>
        <v>12.112299465240641</v>
      </c>
    </row>
    <row r="1276" spans="1:7" x14ac:dyDescent="0.25">
      <c r="A1276" s="5">
        <v>45810.75</v>
      </c>
      <c r="B1276">
        <v>57</v>
      </c>
      <c r="C1276" t="s">
        <v>71</v>
      </c>
      <c r="D1276" t="s">
        <v>72</v>
      </c>
      <c r="E1276">
        <v>1.52</v>
      </c>
      <c r="F1276">
        <v>5.63</v>
      </c>
      <c r="G1276" s="8">
        <f t="shared" si="19"/>
        <v>16.198934280639431</v>
      </c>
    </row>
    <row r="1277" spans="1:7" x14ac:dyDescent="0.25">
      <c r="A1277" s="5">
        <v>45810.75</v>
      </c>
      <c r="B1277">
        <v>58</v>
      </c>
      <c r="C1277" t="s">
        <v>72</v>
      </c>
      <c r="D1277" t="s">
        <v>73</v>
      </c>
      <c r="E1277">
        <v>1.5</v>
      </c>
      <c r="F1277">
        <v>5.9</v>
      </c>
      <c r="G1277" s="8">
        <f t="shared" si="19"/>
        <v>15.254237288135592</v>
      </c>
    </row>
    <row r="1278" spans="1:7" x14ac:dyDescent="0.25">
      <c r="A1278" s="5">
        <v>45810.760416666664</v>
      </c>
      <c r="B1278">
        <v>1</v>
      </c>
      <c r="C1278" t="s">
        <v>6</v>
      </c>
      <c r="D1278" t="s">
        <v>7</v>
      </c>
      <c r="E1278">
        <v>1.53</v>
      </c>
      <c r="F1278">
        <v>3.67</v>
      </c>
      <c r="G1278" s="8">
        <f t="shared" si="19"/>
        <v>25.013623978201636</v>
      </c>
    </row>
    <row r="1279" spans="1:7" x14ac:dyDescent="0.25">
      <c r="A1279" s="5">
        <v>45810.760416666664</v>
      </c>
      <c r="B1279">
        <v>2</v>
      </c>
      <c r="C1279" t="s">
        <v>7</v>
      </c>
      <c r="D1279" t="s">
        <v>8</v>
      </c>
      <c r="E1279">
        <v>1.57</v>
      </c>
      <c r="F1279">
        <v>6.6</v>
      </c>
      <c r="G1279" s="8">
        <f t="shared" si="19"/>
        <v>14.272727272727273</v>
      </c>
    </row>
    <row r="1280" spans="1:7" x14ac:dyDescent="0.25">
      <c r="A1280" s="5">
        <v>45810.760416666664</v>
      </c>
      <c r="B1280">
        <v>3</v>
      </c>
      <c r="C1280" t="s">
        <v>8</v>
      </c>
      <c r="D1280" t="s">
        <v>9</v>
      </c>
      <c r="E1280">
        <v>1.5</v>
      </c>
      <c r="F1280">
        <v>4.18</v>
      </c>
      <c r="G1280" s="8">
        <f t="shared" si="19"/>
        <v>21.5311004784689</v>
      </c>
    </row>
    <row r="1281" spans="1:7" x14ac:dyDescent="0.25">
      <c r="A1281" s="5">
        <v>45810.760416666664</v>
      </c>
      <c r="B1281">
        <v>4</v>
      </c>
      <c r="C1281" t="s">
        <v>9</v>
      </c>
      <c r="D1281" t="s">
        <v>10</v>
      </c>
      <c r="E1281">
        <v>1.5</v>
      </c>
      <c r="F1281">
        <v>3.77</v>
      </c>
      <c r="G1281" s="8">
        <f t="shared" si="19"/>
        <v>23.872679045092838</v>
      </c>
    </row>
    <row r="1282" spans="1:7" x14ac:dyDescent="0.25">
      <c r="A1282" s="5">
        <v>45810.760416666664</v>
      </c>
      <c r="B1282">
        <v>5</v>
      </c>
      <c r="C1282" t="s">
        <v>10</v>
      </c>
      <c r="D1282" t="s">
        <v>11</v>
      </c>
      <c r="E1282">
        <v>1.52</v>
      </c>
      <c r="F1282">
        <v>6.58</v>
      </c>
      <c r="G1282" s="8">
        <f t="shared" si="19"/>
        <v>13.860182370820668</v>
      </c>
    </row>
    <row r="1283" spans="1:7" x14ac:dyDescent="0.25">
      <c r="A1283" s="5">
        <v>45810.760416666664</v>
      </c>
      <c r="B1283">
        <v>6</v>
      </c>
      <c r="C1283" t="s">
        <v>11</v>
      </c>
      <c r="D1283" t="s">
        <v>12</v>
      </c>
      <c r="E1283">
        <v>1.5</v>
      </c>
      <c r="F1283">
        <v>2.82</v>
      </c>
      <c r="G1283" s="8">
        <f t="shared" ref="G1283:G1346" si="20">E1283*60/F1283</f>
        <v>31.914893617021278</v>
      </c>
    </row>
    <row r="1284" spans="1:7" x14ac:dyDescent="0.25">
      <c r="A1284" s="5">
        <v>45810.760416666664</v>
      </c>
      <c r="B1284">
        <v>7</v>
      </c>
      <c r="C1284" t="s">
        <v>12</v>
      </c>
      <c r="D1284" t="s">
        <v>13</v>
      </c>
      <c r="E1284">
        <v>1.54</v>
      </c>
      <c r="F1284">
        <v>2.65</v>
      </c>
      <c r="G1284" s="8">
        <f t="shared" si="20"/>
        <v>34.867924528301891</v>
      </c>
    </row>
    <row r="1285" spans="1:7" x14ac:dyDescent="0.25">
      <c r="A1285" s="5">
        <v>45810.760416666664</v>
      </c>
      <c r="B1285">
        <v>8</v>
      </c>
      <c r="C1285" t="s">
        <v>13</v>
      </c>
      <c r="D1285" t="s">
        <v>14</v>
      </c>
      <c r="E1285">
        <v>1.54</v>
      </c>
      <c r="F1285">
        <v>3.27</v>
      </c>
      <c r="G1285" s="8">
        <f t="shared" si="20"/>
        <v>28.256880733944957</v>
      </c>
    </row>
    <row r="1286" spans="1:7" x14ac:dyDescent="0.25">
      <c r="A1286" s="5">
        <v>45810.760416666664</v>
      </c>
      <c r="B1286">
        <v>9</v>
      </c>
      <c r="C1286" t="s">
        <v>14</v>
      </c>
      <c r="D1286" t="s">
        <v>15</v>
      </c>
      <c r="E1286">
        <v>1.52</v>
      </c>
      <c r="F1286">
        <v>5.17</v>
      </c>
      <c r="G1286" s="8">
        <f t="shared" si="20"/>
        <v>17.640232108317214</v>
      </c>
    </row>
    <row r="1287" spans="1:7" x14ac:dyDescent="0.25">
      <c r="A1287" s="5">
        <v>45810.760416666664</v>
      </c>
      <c r="B1287">
        <v>10</v>
      </c>
      <c r="C1287" t="s">
        <v>15</v>
      </c>
      <c r="D1287" t="s">
        <v>16</v>
      </c>
      <c r="E1287">
        <v>1.5</v>
      </c>
      <c r="F1287">
        <v>4.88</v>
      </c>
      <c r="G1287" s="8">
        <f t="shared" si="20"/>
        <v>18.442622950819672</v>
      </c>
    </row>
    <row r="1288" spans="1:7" x14ac:dyDescent="0.25">
      <c r="A1288" s="5">
        <v>45810.760416666664</v>
      </c>
      <c r="B1288">
        <v>11</v>
      </c>
      <c r="C1288" t="s">
        <v>16</v>
      </c>
      <c r="D1288" t="s">
        <v>17</v>
      </c>
      <c r="E1288">
        <v>1.48</v>
      </c>
      <c r="F1288">
        <v>5.27</v>
      </c>
      <c r="G1288" s="8">
        <f t="shared" si="20"/>
        <v>16.850094876660343</v>
      </c>
    </row>
    <row r="1289" spans="1:7" x14ac:dyDescent="0.25">
      <c r="A1289" s="5">
        <v>45810.760416666664</v>
      </c>
      <c r="B1289">
        <v>12</v>
      </c>
      <c r="C1289" t="s">
        <v>17</v>
      </c>
      <c r="D1289" t="s">
        <v>18</v>
      </c>
      <c r="E1289">
        <v>1.46</v>
      </c>
      <c r="F1289">
        <v>6.78</v>
      </c>
      <c r="G1289" s="8">
        <f t="shared" si="20"/>
        <v>12.920353982300883</v>
      </c>
    </row>
    <row r="1290" spans="1:7" x14ac:dyDescent="0.25">
      <c r="A1290" s="5">
        <v>45810.760416666664</v>
      </c>
      <c r="B1290">
        <v>13</v>
      </c>
      <c r="C1290" t="s">
        <v>18</v>
      </c>
      <c r="D1290" t="s">
        <v>19</v>
      </c>
      <c r="E1290">
        <v>1.52</v>
      </c>
      <c r="F1290">
        <v>6.07</v>
      </c>
      <c r="G1290" s="8">
        <f t="shared" si="20"/>
        <v>15.024711696869851</v>
      </c>
    </row>
    <row r="1291" spans="1:7" x14ac:dyDescent="0.25">
      <c r="A1291" s="5">
        <v>45810.760416666664</v>
      </c>
      <c r="B1291">
        <v>14</v>
      </c>
      <c r="C1291" t="s">
        <v>19</v>
      </c>
      <c r="D1291" t="s">
        <v>20</v>
      </c>
      <c r="E1291">
        <v>1.51</v>
      </c>
      <c r="F1291">
        <v>4.95</v>
      </c>
      <c r="G1291" s="8">
        <f t="shared" si="20"/>
        <v>18.303030303030301</v>
      </c>
    </row>
    <row r="1292" spans="1:7" x14ac:dyDescent="0.25">
      <c r="A1292" s="5">
        <v>45810.760416666664</v>
      </c>
      <c r="B1292">
        <v>15</v>
      </c>
      <c r="C1292" t="s">
        <v>20</v>
      </c>
      <c r="D1292" t="s">
        <v>21</v>
      </c>
      <c r="E1292">
        <v>1.47</v>
      </c>
      <c r="F1292">
        <v>3.48</v>
      </c>
      <c r="G1292" s="8">
        <f t="shared" si="20"/>
        <v>25.344827586206897</v>
      </c>
    </row>
    <row r="1293" spans="1:7" x14ac:dyDescent="0.25">
      <c r="A1293" s="5">
        <v>45810.760416666664</v>
      </c>
      <c r="B1293">
        <v>16</v>
      </c>
      <c r="C1293" t="s">
        <v>21</v>
      </c>
      <c r="D1293" t="s">
        <v>22</v>
      </c>
      <c r="E1293">
        <v>1.5</v>
      </c>
      <c r="F1293">
        <v>5.18</v>
      </c>
      <c r="G1293" s="8">
        <f t="shared" si="20"/>
        <v>17.374517374517374</v>
      </c>
    </row>
    <row r="1294" spans="1:7" x14ac:dyDescent="0.25">
      <c r="A1294" s="5">
        <v>45810.760416666664</v>
      </c>
      <c r="B1294">
        <v>17</v>
      </c>
      <c r="C1294" t="s">
        <v>22</v>
      </c>
      <c r="D1294" t="s">
        <v>23</v>
      </c>
      <c r="E1294">
        <v>1.51</v>
      </c>
      <c r="F1294">
        <v>4.4000000000000004</v>
      </c>
      <c r="G1294" s="8">
        <f t="shared" si="20"/>
        <v>20.590909090909086</v>
      </c>
    </row>
    <row r="1295" spans="1:7" x14ac:dyDescent="0.25">
      <c r="A1295" s="5">
        <v>45810.760416666664</v>
      </c>
      <c r="B1295">
        <v>18</v>
      </c>
      <c r="C1295" t="s">
        <v>23</v>
      </c>
      <c r="D1295" t="s">
        <v>24</v>
      </c>
      <c r="E1295">
        <v>1.51</v>
      </c>
      <c r="F1295">
        <v>4.5</v>
      </c>
      <c r="G1295" s="8">
        <f t="shared" si="20"/>
        <v>20.133333333333333</v>
      </c>
    </row>
    <row r="1296" spans="1:7" x14ac:dyDescent="0.25">
      <c r="A1296" s="5">
        <v>45810.760416666664</v>
      </c>
      <c r="B1296">
        <v>19</v>
      </c>
      <c r="C1296" t="s">
        <v>25</v>
      </c>
      <c r="D1296" t="s">
        <v>26</v>
      </c>
      <c r="E1296">
        <v>1.5</v>
      </c>
      <c r="F1296">
        <v>3.95</v>
      </c>
      <c r="G1296" s="8">
        <f t="shared" si="20"/>
        <v>22.784810126582279</v>
      </c>
    </row>
    <row r="1297" spans="1:7" x14ac:dyDescent="0.25">
      <c r="A1297" s="5">
        <v>45810.760416666664</v>
      </c>
      <c r="B1297">
        <v>20</v>
      </c>
      <c r="C1297" t="s">
        <v>26</v>
      </c>
      <c r="D1297" t="s">
        <v>27</v>
      </c>
      <c r="E1297">
        <v>1.48</v>
      </c>
      <c r="F1297">
        <v>3.58</v>
      </c>
      <c r="G1297" s="8">
        <f t="shared" si="20"/>
        <v>24.804469273743017</v>
      </c>
    </row>
    <row r="1298" spans="1:7" x14ac:dyDescent="0.25">
      <c r="A1298" s="5">
        <v>45810.760416666664</v>
      </c>
      <c r="B1298">
        <v>21</v>
      </c>
      <c r="C1298" t="s">
        <v>27</v>
      </c>
      <c r="D1298" t="s">
        <v>28</v>
      </c>
      <c r="E1298">
        <v>1.51</v>
      </c>
      <c r="F1298">
        <v>3.38</v>
      </c>
      <c r="G1298" s="8">
        <f t="shared" si="20"/>
        <v>26.80473372781065</v>
      </c>
    </row>
    <row r="1299" spans="1:7" x14ac:dyDescent="0.25">
      <c r="A1299" s="5">
        <v>45810.760416666664</v>
      </c>
      <c r="B1299">
        <v>22</v>
      </c>
      <c r="C1299" t="s">
        <v>28</v>
      </c>
      <c r="D1299" t="s">
        <v>29</v>
      </c>
      <c r="E1299">
        <v>1.57</v>
      </c>
      <c r="F1299">
        <v>6.68</v>
      </c>
      <c r="G1299" s="8">
        <f t="shared" si="20"/>
        <v>14.101796407185629</v>
      </c>
    </row>
    <row r="1300" spans="1:7" x14ac:dyDescent="0.25">
      <c r="A1300" s="5">
        <v>45810.760416666664</v>
      </c>
      <c r="B1300">
        <v>23</v>
      </c>
      <c r="C1300" t="s">
        <v>29</v>
      </c>
      <c r="D1300" t="s">
        <v>30</v>
      </c>
      <c r="E1300">
        <v>1.43</v>
      </c>
      <c r="F1300">
        <v>6.03</v>
      </c>
      <c r="G1300" s="8">
        <f t="shared" si="20"/>
        <v>14.228855721393034</v>
      </c>
    </row>
    <row r="1301" spans="1:7" x14ac:dyDescent="0.25">
      <c r="A1301" s="5">
        <v>45810.760416666664</v>
      </c>
      <c r="B1301">
        <v>24</v>
      </c>
      <c r="C1301" t="s">
        <v>30</v>
      </c>
      <c r="D1301" t="s">
        <v>31</v>
      </c>
      <c r="E1301">
        <v>1.52</v>
      </c>
      <c r="F1301">
        <v>4.55</v>
      </c>
      <c r="G1301" s="8">
        <f t="shared" si="20"/>
        <v>20.043956043956044</v>
      </c>
    </row>
    <row r="1302" spans="1:7" x14ac:dyDescent="0.25">
      <c r="A1302" s="5">
        <v>45810.760416666664</v>
      </c>
      <c r="B1302">
        <v>25</v>
      </c>
      <c r="C1302" t="s">
        <v>31</v>
      </c>
      <c r="D1302" t="s">
        <v>32</v>
      </c>
      <c r="E1302">
        <v>1.52</v>
      </c>
      <c r="F1302">
        <v>3.8</v>
      </c>
      <c r="G1302" s="8">
        <f t="shared" si="20"/>
        <v>24.000000000000004</v>
      </c>
    </row>
    <row r="1303" spans="1:7" x14ac:dyDescent="0.25">
      <c r="A1303" s="5">
        <v>45810.760416666664</v>
      </c>
      <c r="B1303">
        <v>26</v>
      </c>
      <c r="C1303" t="s">
        <v>32</v>
      </c>
      <c r="D1303" t="s">
        <v>33</v>
      </c>
      <c r="E1303">
        <v>1.49</v>
      </c>
      <c r="F1303">
        <v>7.92</v>
      </c>
      <c r="G1303" s="8">
        <f t="shared" si="20"/>
        <v>11.287878787878789</v>
      </c>
    </row>
    <row r="1304" spans="1:7" x14ac:dyDescent="0.25">
      <c r="A1304" s="5">
        <v>45810.760416666664</v>
      </c>
      <c r="B1304">
        <v>27</v>
      </c>
      <c r="C1304" t="s">
        <v>33</v>
      </c>
      <c r="D1304" t="s">
        <v>34</v>
      </c>
      <c r="E1304">
        <v>1.53</v>
      </c>
      <c r="F1304">
        <v>8.6199999999999992</v>
      </c>
      <c r="G1304" s="8">
        <f t="shared" si="20"/>
        <v>10.649651972157773</v>
      </c>
    </row>
    <row r="1305" spans="1:7" x14ac:dyDescent="0.25">
      <c r="A1305" s="5">
        <v>45810.760416666664</v>
      </c>
      <c r="B1305">
        <v>28</v>
      </c>
      <c r="C1305" t="s">
        <v>34</v>
      </c>
      <c r="D1305" t="s">
        <v>35</v>
      </c>
      <c r="E1305">
        <v>1.51</v>
      </c>
      <c r="F1305">
        <v>4.87</v>
      </c>
      <c r="G1305" s="8">
        <f t="shared" si="20"/>
        <v>18.603696098562626</v>
      </c>
    </row>
    <row r="1306" spans="1:7" x14ac:dyDescent="0.25">
      <c r="A1306" s="5">
        <v>45810.760416666664</v>
      </c>
      <c r="B1306">
        <v>29</v>
      </c>
      <c r="C1306" t="s">
        <v>36</v>
      </c>
      <c r="D1306" t="s">
        <v>37</v>
      </c>
      <c r="E1306">
        <v>1.57</v>
      </c>
      <c r="F1306">
        <v>4.03</v>
      </c>
      <c r="G1306" s="8">
        <f t="shared" si="20"/>
        <v>23.374689826302728</v>
      </c>
    </row>
    <row r="1307" spans="1:7" x14ac:dyDescent="0.25">
      <c r="A1307" s="5">
        <v>45810.760416666664</v>
      </c>
      <c r="B1307">
        <v>30</v>
      </c>
      <c r="C1307" t="s">
        <v>37</v>
      </c>
      <c r="D1307" t="s">
        <v>38</v>
      </c>
      <c r="E1307">
        <v>1.57</v>
      </c>
      <c r="F1307">
        <v>4.3</v>
      </c>
      <c r="G1307" s="8">
        <f t="shared" si="20"/>
        <v>21.906976744186046</v>
      </c>
    </row>
    <row r="1308" spans="1:7" x14ac:dyDescent="0.25">
      <c r="A1308" s="5">
        <v>45810.760416666664</v>
      </c>
      <c r="B1308">
        <v>31</v>
      </c>
      <c r="C1308" t="s">
        <v>38</v>
      </c>
      <c r="D1308" t="s">
        <v>39</v>
      </c>
      <c r="E1308">
        <v>1.52</v>
      </c>
      <c r="F1308">
        <v>6.75</v>
      </c>
      <c r="G1308" s="8">
        <f t="shared" si="20"/>
        <v>13.511111111111111</v>
      </c>
    </row>
    <row r="1309" spans="1:7" x14ac:dyDescent="0.25">
      <c r="A1309" s="5">
        <v>45810.760416666664</v>
      </c>
      <c r="B1309">
        <v>32</v>
      </c>
      <c r="C1309" t="s">
        <v>39</v>
      </c>
      <c r="D1309" t="s">
        <v>40</v>
      </c>
      <c r="E1309">
        <v>1.5</v>
      </c>
      <c r="F1309">
        <v>2.48</v>
      </c>
      <c r="G1309" s="8">
        <f t="shared" si="20"/>
        <v>36.29032258064516</v>
      </c>
    </row>
    <row r="1310" spans="1:7" x14ac:dyDescent="0.25">
      <c r="A1310" s="5">
        <v>45810.760416666664</v>
      </c>
      <c r="B1310">
        <v>33</v>
      </c>
      <c r="C1310" t="s">
        <v>40</v>
      </c>
      <c r="D1310" t="s">
        <v>41</v>
      </c>
      <c r="E1310">
        <v>1.51</v>
      </c>
      <c r="F1310">
        <v>2.63</v>
      </c>
      <c r="G1310" s="8">
        <f t="shared" si="20"/>
        <v>34.448669201520914</v>
      </c>
    </row>
    <row r="1311" spans="1:7" x14ac:dyDescent="0.25">
      <c r="A1311" s="5">
        <v>45810.760416666664</v>
      </c>
      <c r="B1311">
        <v>34</v>
      </c>
      <c r="C1311" t="s">
        <v>41</v>
      </c>
      <c r="D1311" t="s">
        <v>42</v>
      </c>
      <c r="E1311">
        <v>1.5</v>
      </c>
      <c r="F1311">
        <v>3.4</v>
      </c>
      <c r="G1311" s="8">
        <f t="shared" si="20"/>
        <v>26.47058823529412</v>
      </c>
    </row>
    <row r="1312" spans="1:7" x14ac:dyDescent="0.25">
      <c r="A1312" s="5">
        <v>45810.760416666664</v>
      </c>
      <c r="B1312">
        <v>35</v>
      </c>
      <c r="C1312" t="s">
        <v>43</v>
      </c>
      <c r="D1312" t="s">
        <v>44</v>
      </c>
      <c r="E1312">
        <v>1.55</v>
      </c>
      <c r="F1312">
        <v>4.37</v>
      </c>
      <c r="G1312" s="8">
        <f t="shared" si="20"/>
        <v>21.28146453089245</v>
      </c>
    </row>
    <row r="1313" spans="1:7" x14ac:dyDescent="0.25">
      <c r="A1313" s="5">
        <v>45810.760416666664</v>
      </c>
      <c r="B1313">
        <v>36</v>
      </c>
      <c r="C1313" t="s">
        <v>44</v>
      </c>
      <c r="D1313" t="s">
        <v>45</v>
      </c>
      <c r="E1313">
        <v>1.5</v>
      </c>
      <c r="F1313">
        <v>4.55</v>
      </c>
      <c r="G1313" s="8">
        <f t="shared" si="20"/>
        <v>19.780219780219781</v>
      </c>
    </row>
    <row r="1314" spans="1:7" x14ac:dyDescent="0.25">
      <c r="A1314" s="5">
        <v>45810.760416666664</v>
      </c>
      <c r="B1314">
        <v>37</v>
      </c>
      <c r="C1314" t="s">
        <v>45</v>
      </c>
      <c r="D1314" t="s">
        <v>46</v>
      </c>
      <c r="E1314">
        <v>1.38</v>
      </c>
      <c r="F1314">
        <v>6.3</v>
      </c>
      <c r="G1314" s="8">
        <f t="shared" si="20"/>
        <v>13.142857142857142</v>
      </c>
    </row>
    <row r="1315" spans="1:7" x14ac:dyDescent="0.25">
      <c r="A1315" s="5">
        <v>45810.760416666664</v>
      </c>
      <c r="B1315">
        <v>38</v>
      </c>
      <c r="C1315" t="s">
        <v>46</v>
      </c>
      <c r="D1315" t="s">
        <v>47</v>
      </c>
      <c r="E1315">
        <v>1.61</v>
      </c>
      <c r="F1315">
        <v>4.7699999999999996</v>
      </c>
      <c r="G1315" s="8">
        <f t="shared" si="20"/>
        <v>20.25157232704403</v>
      </c>
    </row>
    <row r="1316" spans="1:7" x14ac:dyDescent="0.25">
      <c r="A1316" s="5">
        <v>45810.760416666664</v>
      </c>
      <c r="B1316">
        <v>39</v>
      </c>
      <c r="C1316" t="s">
        <v>47</v>
      </c>
      <c r="D1316" t="s">
        <v>48</v>
      </c>
      <c r="E1316">
        <v>1.55</v>
      </c>
      <c r="F1316">
        <v>3.82</v>
      </c>
      <c r="G1316" s="8">
        <f t="shared" si="20"/>
        <v>24.345549738219898</v>
      </c>
    </row>
    <row r="1317" spans="1:7" x14ac:dyDescent="0.25">
      <c r="A1317" s="5">
        <v>45810.760416666664</v>
      </c>
      <c r="B1317">
        <v>40</v>
      </c>
      <c r="C1317" t="s">
        <v>48</v>
      </c>
      <c r="D1317" t="s">
        <v>49</v>
      </c>
      <c r="E1317">
        <v>1.39</v>
      </c>
      <c r="F1317">
        <v>3.27</v>
      </c>
      <c r="G1317" s="8">
        <f t="shared" si="20"/>
        <v>25.5045871559633</v>
      </c>
    </row>
    <row r="1318" spans="1:7" x14ac:dyDescent="0.25">
      <c r="A1318" s="5">
        <v>45810.760416666664</v>
      </c>
      <c r="B1318">
        <v>41</v>
      </c>
      <c r="C1318" t="s">
        <v>50</v>
      </c>
      <c r="D1318" t="s">
        <v>51</v>
      </c>
      <c r="E1318">
        <v>1.56</v>
      </c>
      <c r="F1318">
        <v>7.02</v>
      </c>
      <c r="G1318" s="8">
        <f t="shared" si="20"/>
        <v>13.333333333333336</v>
      </c>
    </row>
    <row r="1319" spans="1:7" x14ac:dyDescent="0.25">
      <c r="A1319" s="5">
        <v>45810.760416666664</v>
      </c>
      <c r="B1319">
        <v>42</v>
      </c>
      <c r="C1319" t="s">
        <v>51</v>
      </c>
      <c r="D1319" t="s">
        <v>52</v>
      </c>
      <c r="E1319">
        <v>1.56</v>
      </c>
      <c r="F1319">
        <v>5.12</v>
      </c>
      <c r="G1319" s="8">
        <f t="shared" si="20"/>
        <v>18.28125</v>
      </c>
    </row>
    <row r="1320" spans="1:7" x14ac:dyDescent="0.25">
      <c r="A1320" s="5">
        <v>45810.760416666664</v>
      </c>
      <c r="B1320">
        <v>43</v>
      </c>
      <c r="C1320" t="s">
        <v>52</v>
      </c>
      <c r="D1320" t="s">
        <v>53</v>
      </c>
      <c r="E1320">
        <v>1.51</v>
      </c>
      <c r="F1320">
        <v>4.08</v>
      </c>
      <c r="G1320" s="8">
        <f t="shared" si="20"/>
        <v>22.205882352941174</v>
      </c>
    </row>
    <row r="1321" spans="1:7" x14ac:dyDescent="0.25">
      <c r="A1321" s="5">
        <v>45810.760416666664</v>
      </c>
      <c r="B1321">
        <v>44</v>
      </c>
      <c r="C1321" t="s">
        <v>54</v>
      </c>
      <c r="D1321" t="s">
        <v>55</v>
      </c>
      <c r="E1321">
        <v>1.51</v>
      </c>
      <c r="F1321">
        <v>4.42</v>
      </c>
      <c r="G1321" s="8">
        <f t="shared" si="20"/>
        <v>20.497737556561084</v>
      </c>
    </row>
    <row r="1322" spans="1:7" x14ac:dyDescent="0.25">
      <c r="A1322" s="5">
        <v>45810.760416666664</v>
      </c>
      <c r="B1322">
        <v>45</v>
      </c>
      <c r="C1322" t="s">
        <v>55</v>
      </c>
      <c r="D1322" t="s">
        <v>56</v>
      </c>
      <c r="E1322">
        <v>1.49</v>
      </c>
      <c r="F1322">
        <v>4.67</v>
      </c>
      <c r="G1322" s="8">
        <f t="shared" si="20"/>
        <v>19.143468950749465</v>
      </c>
    </row>
    <row r="1323" spans="1:7" x14ac:dyDescent="0.25">
      <c r="A1323" s="5">
        <v>45810.760416666664</v>
      </c>
      <c r="B1323">
        <v>46</v>
      </c>
      <c r="C1323" t="s">
        <v>56</v>
      </c>
      <c r="D1323" t="s">
        <v>57</v>
      </c>
      <c r="E1323">
        <v>1.52</v>
      </c>
      <c r="F1323">
        <v>5.57</v>
      </c>
      <c r="G1323" s="8">
        <f t="shared" si="20"/>
        <v>16.373429084380611</v>
      </c>
    </row>
    <row r="1324" spans="1:7" x14ac:dyDescent="0.25">
      <c r="A1324" s="5">
        <v>45810.760416666664</v>
      </c>
      <c r="B1324">
        <v>47</v>
      </c>
      <c r="C1324" t="s">
        <v>58</v>
      </c>
      <c r="D1324" t="s">
        <v>59</v>
      </c>
      <c r="E1324">
        <v>1.52</v>
      </c>
      <c r="F1324">
        <v>6.02</v>
      </c>
      <c r="G1324" s="8">
        <f t="shared" si="20"/>
        <v>15.14950166112957</v>
      </c>
    </row>
    <row r="1325" spans="1:7" x14ac:dyDescent="0.25">
      <c r="A1325" s="5">
        <v>45810.760416666664</v>
      </c>
      <c r="B1325">
        <v>48</v>
      </c>
      <c r="C1325" t="s">
        <v>59</v>
      </c>
      <c r="D1325" t="s">
        <v>60</v>
      </c>
      <c r="E1325">
        <v>1.5</v>
      </c>
      <c r="F1325">
        <v>6.25</v>
      </c>
      <c r="G1325" s="8">
        <f t="shared" si="20"/>
        <v>14.4</v>
      </c>
    </row>
    <row r="1326" spans="1:7" x14ac:dyDescent="0.25">
      <c r="A1326" s="5">
        <v>45810.760416666664</v>
      </c>
      <c r="B1326">
        <v>49</v>
      </c>
      <c r="C1326" t="s">
        <v>60</v>
      </c>
      <c r="D1326" t="s">
        <v>61</v>
      </c>
      <c r="E1326">
        <v>1.54</v>
      </c>
      <c r="F1326">
        <v>8.3699999999999992</v>
      </c>
      <c r="G1326" s="8">
        <f t="shared" si="20"/>
        <v>11.039426523297493</v>
      </c>
    </row>
    <row r="1327" spans="1:7" x14ac:dyDescent="0.25">
      <c r="A1327" s="5">
        <v>45810.760416666664</v>
      </c>
      <c r="B1327">
        <v>50</v>
      </c>
      <c r="C1327" t="s">
        <v>62</v>
      </c>
      <c r="D1327" t="s">
        <v>63</v>
      </c>
      <c r="E1327">
        <v>1.38</v>
      </c>
      <c r="F1327">
        <v>3.32</v>
      </c>
      <c r="G1327" s="8">
        <f t="shared" si="20"/>
        <v>24.939759036144579</v>
      </c>
    </row>
    <row r="1328" spans="1:7" x14ac:dyDescent="0.25">
      <c r="A1328" s="5">
        <v>45810.760416666664</v>
      </c>
      <c r="B1328">
        <v>51</v>
      </c>
      <c r="C1328" t="s">
        <v>63</v>
      </c>
      <c r="D1328" t="s">
        <v>64</v>
      </c>
      <c r="E1328">
        <v>2.79</v>
      </c>
      <c r="F1328">
        <v>6.5</v>
      </c>
      <c r="G1328" s="8">
        <f t="shared" si="20"/>
        <v>25.753846153846155</v>
      </c>
    </row>
    <row r="1329" spans="1:7" x14ac:dyDescent="0.25">
      <c r="A1329" s="5">
        <v>45810.760416666664</v>
      </c>
      <c r="B1329">
        <v>52</v>
      </c>
      <c r="C1329" t="s">
        <v>64</v>
      </c>
      <c r="D1329" t="s">
        <v>65</v>
      </c>
      <c r="E1329">
        <v>1.5</v>
      </c>
      <c r="F1329">
        <v>2.9</v>
      </c>
      <c r="G1329" s="8">
        <f t="shared" si="20"/>
        <v>31.03448275862069</v>
      </c>
    </row>
    <row r="1330" spans="1:7" x14ac:dyDescent="0.25">
      <c r="A1330" s="5">
        <v>45810.760416666664</v>
      </c>
      <c r="B1330">
        <v>53</v>
      </c>
      <c r="C1330" t="s">
        <v>65</v>
      </c>
      <c r="D1330" t="s">
        <v>66</v>
      </c>
      <c r="E1330">
        <v>1.46</v>
      </c>
      <c r="F1330">
        <v>3.85</v>
      </c>
      <c r="G1330" s="8">
        <f t="shared" si="20"/>
        <v>22.753246753246753</v>
      </c>
    </row>
    <row r="1331" spans="1:7" x14ac:dyDescent="0.25">
      <c r="A1331" s="5">
        <v>45810.760416666664</v>
      </c>
      <c r="B1331">
        <v>54</v>
      </c>
      <c r="C1331" t="s">
        <v>67</v>
      </c>
      <c r="D1331" t="s">
        <v>68</v>
      </c>
      <c r="E1331">
        <v>1.46</v>
      </c>
      <c r="F1331">
        <v>4.37</v>
      </c>
      <c r="G1331" s="8">
        <f t="shared" si="20"/>
        <v>20.045766590389015</v>
      </c>
    </row>
    <row r="1332" spans="1:7" x14ac:dyDescent="0.25">
      <c r="A1332" s="5">
        <v>45810.760416666664</v>
      </c>
      <c r="B1332">
        <v>55</v>
      </c>
      <c r="C1332" t="s">
        <v>68</v>
      </c>
      <c r="D1332" t="s">
        <v>69</v>
      </c>
      <c r="E1332">
        <v>1.5</v>
      </c>
      <c r="F1332">
        <v>2.33</v>
      </c>
      <c r="G1332" s="8">
        <f t="shared" si="20"/>
        <v>38.626609442060087</v>
      </c>
    </row>
    <row r="1333" spans="1:7" x14ac:dyDescent="0.25">
      <c r="A1333" s="5">
        <v>45810.760416666664</v>
      </c>
      <c r="B1333">
        <v>56</v>
      </c>
      <c r="C1333" t="s">
        <v>70</v>
      </c>
      <c r="D1333" t="s">
        <v>71</v>
      </c>
      <c r="E1333">
        <v>1.51</v>
      </c>
      <c r="F1333">
        <v>6.52</v>
      </c>
      <c r="G1333" s="8">
        <f t="shared" si="20"/>
        <v>13.895705521472392</v>
      </c>
    </row>
    <row r="1334" spans="1:7" x14ac:dyDescent="0.25">
      <c r="A1334" s="5">
        <v>45810.760416666664</v>
      </c>
      <c r="B1334">
        <v>57</v>
      </c>
      <c r="C1334" t="s">
        <v>71</v>
      </c>
      <c r="D1334" t="s">
        <v>72</v>
      </c>
      <c r="E1334">
        <v>1.52</v>
      </c>
      <c r="F1334">
        <v>5.52</v>
      </c>
      <c r="G1334" s="8">
        <f t="shared" si="20"/>
        <v>16.521739130434785</v>
      </c>
    </row>
    <row r="1335" spans="1:7" x14ac:dyDescent="0.25">
      <c r="A1335" s="5">
        <v>45810.760416666664</v>
      </c>
      <c r="B1335">
        <v>58</v>
      </c>
      <c r="C1335" t="s">
        <v>72</v>
      </c>
      <c r="D1335" t="s">
        <v>73</v>
      </c>
      <c r="E1335">
        <v>1.5</v>
      </c>
      <c r="F1335">
        <v>5.52</v>
      </c>
      <c r="G1335" s="8">
        <f t="shared" si="20"/>
        <v>16.304347826086957</v>
      </c>
    </row>
    <row r="1336" spans="1:7" x14ac:dyDescent="0.25">
      <c r="A1336" s="5">
        <v>45810.770833333336</v>
      </c>
      <c r="B1336">
        <v>1</v>
      </c>
      <c r="C1336" t="s">
        <v>6</v>
      </c>
      <c r="D1336" t="s">
        <v>7</v>
      </c>
      <c r="E1336">
        <v>1.53</v>
      </c>
      <c r="F1336">
        <v>3.42</v>
      </c>
      <c r="G1336" s="8">
        <f t="shared" si="20"/>
        <v>26.842105263157894</v>
      </c>
    </row>
    <row r="1337" spans="1:7" x14ac:dyDescent="0.25">
      <c r="A1337" s="5">
        <v>45810.770833333336</v>
      </c>
      <c r="B1337">
        <v>2</v>
      </c>
      <c r="C1337" t="s">
        <v>7</v>
      </c>
      <c r="D1337" t="s">
        <v>8</v>
      </c>
      <c r="E1337">
        <v>1.57</v>
      </c>
      <c r="F1337">
        <v>6.28</v>
      </c>
      <c r="G1337" s="8">
        <f t="shared" si="20"/>
        <v>15</v>
      </c>
    </row>
    <row r="1338" spans="1:7" x14ac:dyDescent="0.25">
      <c r="A1338" s="5">
        <v>45810.770833333336</v>
      </c>
      <c r="B1338">
        <v>3</v>
      </c>
      <c r="C1338" t="s">
        <v>8</v>
      </c>
      <c r="D1338" t="s">
        <v>9</v>
      </c>
      <c r="E1338">
        <v>1.5</v>
      </c>
      <c r="F1338">
        <v>4.03</v>
      </c>
      <c r="G1338" s="8">
        <f t="shared" si="20"/>
        <v>22.332506203473944</v>
      </c>
    </row>
    <row r="1339" spans="1:7" x14ac:dyDescent="0.25">
      <c r="A1339" s="5">
        <v>45810.770833333336</v>
      </c>
      <c r="B1339">
        <v>4</v>
      </c>
      <c r="C1339" t="s">
        <v>9</v>
      </c>
      <c r="D1339" t="s">
        <v>10</v>
      </c>
      <c r="E1339">
        <v>1.5</v>
      </c>
      <c r="F1339">
        <v>3.75</v>
      </c>
      <c r="G1339" s="8">
        <f t="shared" si="20"/>
        <v>24</v>
      </c>
    </row>
    <row r="1340" spans="1:7" x14ac:dyDescent="0.25">
      <c r="A1340" s="5">
        <v>45810.770833333336</v>
      </c>
      <c r="B1340">
        <v>5</v>
      </c>
      <c r="C1340" t="s">
        <v>10</v>
      </c>
      <c r="D1340" t="s">
        <v>11</v>
      </c>
      <c r="E1340">
        <v>1.52</v>
      </c>
      <c r="F1340">
        <v>7.78</v>
      </c>
      <c r="G1340" s="8">
        <f t="shared" si="20"/>
        <v>11.722365038560412</v>
      </c>
    </row>
    <row r="1341" spans="1:7" x14ac:dyDescent="0.25">
      <c r="A1341" s="5">
        <v>45810.770833333336</v>
      </c>
      <c r="B1341">
        <v>6</v>
      </c>
      <c r="C1341" t="s">
        <v>11</v>
      </c>
      <c r="D1341" t="s">
        <v>12</v>
      </c>
      <c r="E1341">
        <v>1.5</v>
      </c>
      <c r="F1341">
        <v>2.62</v>
      </c>
      <c r="G1341" s="8">
        <f t="shared" si="20"/>
        <v>34.351145038167935</v>
      </c>
    </row>
    <row r="1342" spans="1:7" x14ac:dyDescent="0.25">
      <c r="A1342" s="5">
        <v>45810.770833333336</v>
      </c>
      <c r="B1342">
        <v>7</v>
      </c>
      <c r="C1342" t="s">
        <v>12</v>
      </c>
      <c r="D1342" t="s">
        <v>13</v>
      </c>
      <c r="E1342">
        <v>1.54</v>
      </c>
      <c r="F1342">
        <v>2.72</v>
      </c>
      <c r="G1342" s="8">
        <f t="shared" si="20"/>
        <v>33.970588235294116</v>
      </c>
    </row>
    <row r="1343" spans="1:7" x14ac:dyDescent="0.25">
      <c r="A1343" s="5">
        <v>45810.770833333336</v>
      </c>
      <c r="B1343">
        <v>8</v>
      </c>
      <c r="C1343" t="s">
        <v>13</v>
      </c>
      <c r="D1343" t="s">
        <v>14</v>
      </c>
      <c r="E1343">
        <v>1.54</v>
      </c>
      <c r="F1343">
        <v>3.25</v>
      </c>
      <c r="G1343" s="8">
        <f t="shared" si="20"/>
        <v>28.430769230769233</v>
      </c>
    </row>
    <row r="1344" spans="1:7" x14ac:dyDescent="0.25">
      <c r="A1344" s="5">
        <v>45810.770833333336</v>
      </c>
      <c r="B1344">
        <v>9</v>
      </c>
      <c r="C1344" t="s">
        <v>14</v>
      </c>
      <c r="D1344" t="s">
        <v>15</v>
      </c>
      <c r="E1344">
        <v>1.52</v>
      </c>
      <c r="F1344">
        <v>4.32</v>
      </c>
      <c r="G1344" s="8">
        <f t="shared" si="20"/>
        <v>21.111111111111111</v>
      </c>
    </row>
    <row r="1345" spans="1:7" x14ac:dyDescent="0.25">
      <c r="A1345" s="5">
        <v>45810.770833333336</v>
      </c>
      <c r="B1345">
        <v>10</v>
      </c>
      <c r="C1345" t="s">
        <v>15</v>
      </c>
      <c r="D1345" t="s">
        <v>16</v>
      </c>
      <c r="E1345">
        <v>1.5</v>
      </c>
      <c r="F1345">
        <v>4.5199999999999996</v>
      </c>
      <c r="G1345" s="8">
        <f t="shared" si="20"/>
        <v>19.911504424778762</v>
      </c>
    </row>
    <row r="1346" spans="1:7" x14ac:dyDescent="0.25">
      <c r="A1346" s="5">
        <v>45810.770833333336</v>
      </c>
      <c r="B1346">
        <v>11</v>
      </c>
      <c r="C1346" t="s">
        <v>16</v>
      </c>
      <c r="D1346" t="s">
        <v>17</v>
      </c>
      <c r="E1346">
        <v>1.48</v>
      </c>
      <c r="F1346">
        <v>4.7</v>
      </c>
      <c r="G1346" s="8">
        <f t="shared" si="20"/>
        <v>18.893617021276594</v>
      </c>
    </row>
    <row r="1347" spans="1:7" x14ac:dyDescent="0.25">
      <c r="A1347" s="5">
        <v>45810.770833333336</v>
      </c>
      <c r="B1347">
        <v>12</v>
      </c>
      <c r="C1347" t="s">
        <v>17</v>
      </c>
      <c r="D1347" t="s">
        <v>18</v>
      </c>
      <c r="E1347">
        <v>1.46</v>
      </c>
      <c r="F1347">
        <v>5.27</v>
      </c>
      <c r="G1347" s="8">
        <f t="shared" ref="G1347:G1410" si="21">E1347*60/F1347</f>
        <v>16.622390891840606</v>
      </c>
    </row>
    <row r="1348" spans="1:7" x14ac:dyDescent="0.25">
      <c r="A1348" s="5">
        <v>45810.770833333336</v>
      </c>
      <c r="B1348">
        <v>13</v>
      </c>
      <c r="C1348" t="s">
        <v>18</v>
      </c>
      <c r="D1348" t="s">
        <v>19</v>
      </c>
      <c r="E1348">
        <v>1.52</v>
      </c>
      <c r="F1348">
        <v>5.95</v>
      </c>
      <c r="G1348" s="8">
        <f t="shared" si="21"/>
        <v>15.327731092436975</v>
      </c>
    </row>
    <row r="1349" spans="1:7" x14ac:dyDescent="0.25">
      <c r="A1349" s="5">
        <v>45810.770833333336</v>
      </c>
      <c r="B1349">
        <v>14</v>
      </c>
      <c r="C1349" t="s">
        <v>19</v>
      </c>
      <c r="D1349" t="s">
        <v>20</v>
      </c>
      <c r="E1349">
        <v>1.51</v>
      </c>
      <c r="F1349">
        <v>4.7699999999999996</v>
      </c>
      <c r="G1349" s="8">
        <f t="shared" si="21"/>
        <v>18.9937106918239</v>
      </c>
    </row>
    <row r="1350" spans="1:7" x14ac:dyDescent="0.25">
      <c r="A1350" s="5">
        <v>45810.770833333336</v>
      </c>
      <c r="B1350">
        <v>15</v>
      </c>
      <c r="C1350" t="s">
        <v>20</v>
      </c>
      <c r="D1350" t="s">
        <v>21</v>
      </c>
      <c r="E1350">
        <v>1.47</v>
      </c>
      <c r="F1350">
        <v>2.65</v>
      </c>
      <c r="G1350" s="8">
        <f t="shared" si="21"/>
        <v>33.283018867924532</v>
      </c>
    </row>
    <row r="1351" spans="1:7" x14ac:dyDescent="0.25">
      <c r="A1351" s="5">
        <v>45810.770833333336</v>
      </c>
      <c r="B1351">
        <v>16</v>
      </c>
      <c r="C1351" t="s">
        <v>21</v>
      </c>
      <c r="D1351" t="s">
        <v>22</v>
      </c>
      <c r="E1351">
        <v>1.5</v>
      </c>
      <c r="F1351">
        <v>2.77</v>
      </c>
      <c r="G1351" s="8">
        <f t="shared" si="21"/>
        <v>32.490974729241877</v>
      </c>
    </row>
    <row r="1352" spans="1:7" x14ac:dyDescent="0.25">
      <c r="A1352" s="5">
        <v>45810.770833333336</v>
      </c>
      <c r="B1352">
        <v>17</v>
      </c>
      <c r="C1352" t="s">
        <v>22</v>
      </c>
      <c r="D1352" t="s">
        <v>23</v>
      </c>
      <c r="E1352">
        <v>1.75</v>
      </c>
      <c r="F1352">
        <v>6.45</v>
      </c>
      <c r="G1352" s="8">
        <f t="shared" si="21"/>
        <v>16.279069767441861</v>
      </c>
    </row>
    <row r="1353" spans="1:7" x14ac:dyDescent="0.25">
      <c r="A1353" s="5">
        <v>45810.770833333336</v>
      </c>
      <c r="B1353">
        <v>18</v>
      </c>
      <c r="C1353" t="s">
        <v>23</v>
      </c>
      <c r="D1353" t="s">
        <v>24</v>
      </c>
      <c r="E1353">
        <v>1.51</v>
      </c>
      <c r="F1353">
        <v>4.38</v>
      </c>
      <c r="G1353" s="8">
        <f t="shared" si="21"/>
        <v>20.684931506849313</v>
      </c>
    </row>
    <row r="1354" spans="1:7" x14ac:dyDescent="0.25">
      <c r="A1354" s="5">
        <v>45810.770833333336</v>
      </c>
      <c r="B1354">
        <v>19</v>
      </c>
      <c r="C1354" t="s">
        <v>25</v>
      </c>
      <c r="D1354" t="s">
        <v>26</v>
      </c>
      <c r="E1354">
        <v>1.5</v>
      </c>
      <c r="F1354">
        <v>3.78</v>
      </c>
      <c r="G1354" s="8">
        <f t="shared" si="21"/>
        <v>23.80952380952381</v>
      </c>
    </row>
    <row r="1355" spans="1:7" x14ac:dyDescent="0.25">
      <c r="A1355" s="5">
        <v>45810.770833333336</v>
      </c>
      <c r="B1355">
        <v>20</v>
      </c>
      <c r="C1355" t="s">
        <v>26</v>
      </c>
      <c r="D1355" t="s">
        <v>27</v>
      </c>
      <c r="E1355">
        <v>1.48</v>
      </c>
      <c r="F1355">
        <v>3.43</v>
      </c>
      <c r="G1355" s="8">
        <f t="shared" si="21"/>
        <v>25.889212827988334</v>
      </c>
    </row>
    <row r="1356" spans="1:7" x14ac:dyDescent="0.25">
      <c r="A1356" s="5">
        <v>45810.770833333336</v>
      </c>
      <c r="B1356">
        <v>21</v>
      </c>
      <c r="C1356" t="s">
        <v>27</v>
      </c>
      <c r="D1356" t="s">
        <v>28</v>
      </c>
      <c r="E1356">
        <v>1.51</v>
      </c>
      <c r="F1356">
        <v>3.38</v>
      </c>
      <c r="G1356" s="8">
        <f t="shared" si="21"/>
        <v>26.80473372781065</v>
      </c>
    </row>
    <row r="1357" spans="1:7" x14ac:dyDescent="0.25">
      <c r="A1357" s="5">
        <v>45810.770833333336</v>
      </c>
      <c r="B1357">
        <v>22</v>
      </c>
      <c r="C1357" t="s">
        <v>28</v>
      </c>
      <c r="D1357" t="s">
        <v>29</v>
      </c>
      <c r="E1357">
        <v>1.57</v>
      </c>
      <c r="F1357">
        <v>4.17</v>
      </c>
      <c r="G1357" s="8">
        <f t="shared" si="21"/>
        <v>22.589928057553958</v>
      </c>
    </row>
    <row r="1358" spans="1:7" x14ac:dyDescent="0.25">
      <c r="A1358" s="5">
        <v>45810.770833333336</v>
      </c>
      <c r="B1358">
        <v>23</v>
      </c>
      <c r="C1358" t="s">
        <v>29</v>
      </c>
      <c r="D1358" t="s">
        <v>30</v>
      </c>
      <c r="E1358">
        <v>1.43</v>
      </c>
      <c r="F1358">
        <v>6.18</v>
      </c>
      <c r="G1358" s="8">
        <f t="shared" si="21"/>
        <v>13.883495145631068</v>
      </c>
    </row>
    <row r="1359" spans="1:7" x14ac:dyDescent="0.25">
      <c r="A1359" s="5">
        <v>45810.770833333336</v>
      </c>
      <c r="B1359">
        <v>24</v>
      </c>
      <c r="C1359" t="s">
        <v>30</v>
      </c>
      <c r="D1359" t="s">
        <v>31</v>
      </c>
      <c r="E1359">
        <v>1.52</v>
      </c>
      <c r="F1359">
        <v>4.5999999999999996</v>
      </c>
      <c r="G1359" s="8">
        <f t="shared" si="21"/>
        <v>19.826086956521742</v>
      </c>
    </row>
    <row r="1360" spans="1:7" x14ac:dyDescent="0.25">
      <c r="A1360" s="5">
        <v>45810.770833333336</v>
      </c>
      <c r="B1360">
        <v>25</v>
      </c>
      <c r="C1360" t="s">
        <v>31</v>
      </c>
      <c r="D1360" t="s">
        <v>32</v>
      </c>
      <c r="E1360">
        <v>1.52</v>
      </c>
      <c r="F1360">
        <v>3.6</v>
      </c>
      <c r="G1360" s="8">
        <f t="shared" si="21"/>
        <v>25.333333333333332</v>
      </c>
    </row>
    <row r="1361" spans="1:7" x14ac:dyDescent="0.25">
      <c r="A1361" s="5">
        <v>45810.770833333336</v>
      </c>
      <c r="B1361">
        <v>26</v>
      </c>
      <c r="C1361" t="s">
        <v>32</v>
      </c>
      <c r="D1361" t="s">
        <v>33</v>
      </c>
      <c r="E1361">
        <v>1.49</v>
      </c>
      <c r="F1361">
        <v>6.42</v>
      </c>
      <c r="G1361" s="8">
        <f t="shared" si="21"/>
        <v>13.925233644859814</v>
      </c>
    </row>
    <row r="1362" spans="1:7" x14ac:dyDescent="0.25">
      <c r="A1362" s="5">
        <v>45810.770833333336</v>
      </c>
      <c r="B1362">
        <v>27</v>
      </c>
      <c r="C1362" t="s">
        <v>33</v>
      </c>
      <c r="D1362" t="s">
        <v>34</v>
      </c>
      <c r="E1362">
        <v>1.53</v>
      </c>
      <c r="F1362">
        <v>9.67</v>
      </c>
      <c r="G1362" s="8">
        <f t="shared" si="21"/>
        <v>9.4932781799379526</v>
      </c>
    </row>
    <row r="1363" spans="1:7" x14ac:dyDescent="0.25">
      <c r="A1363" s="5">
        <v>45810.770833333336</v>
      </c>
      <c r="B1363">
        <v>28</v>
      </c>
      <c r="C1363" t="s">
        <v>34</v>
      </c>
      <c r="D1363" t="s">
        <v>35</v>
      </c>
      <c r="E1363">
        <v>1.51</v>
      </c>
      <c r="F1363">
        <v>4.7</v>
      </c>
      <c r="G1363" s="8">
        <f t="shared" si="21"/>
        <v>19.276595744680851</v>
      </c>
    </row>
    <row r="1364" spans="1:7" x14ac:dyDescent="0.25">
      <c r="A1364" s="5">
        <v>45810.770833333336</v>
      </c>
      <c r="B1364">
        <v>29</v>
      </c>
      <c r="C1364" t="s">
        <v>36</v>
      </c>
      <c r="D1364" t="s">
        <v>37</v>
      </c>
      <c r="E1364">
        <v>1.57</v>
      </c>
      <c r="F1364">
        <v>3.87</v>
      </c>
      <c r="G1364" s="8">
        <f t="shared" si="21"/>
        <v>24.34108527131783</v>
      </c>
    </row>
    <row r="1365" spans="1:7" x14ac:dyDescent="0.25">
      <c r="A1365" s="5">
        <v>45810.770833333336</v>
      </c>
      <c r="B1365">
        <v>30</v>
      </c>
      <c r="C1365" t="s">
        <v>37</v>
      </c>
      <c r="D1365" t="s">
        <v>38</v>
      </c>
      <c r="E1365">
        <v>1.57</v>
      </c>
      <c r="F1365">
        <v>4.0999999999999996</v>
      </c>
      <c r="G1365" s="8">
        <f t="shared" si="21"/>
        <v>22.975609756097565</v>
      </c>
    </row>
    <row r="1366" spans="1:7" x14ac:dyDescent="0.25">
      <c r="A1366" s="5">
        <v>45810.770833333336</v>
      </c>
      <c r="B1366">
        <v>31</v>
      </c>
      <c r="C1366" t="s">
        <v>38</v>
      </c>
      <c r="D1366" t="s">
        <v>39</v>
      </c>
      <c r="E1366">
        <v>1.52</v>
      </c>
      <c r="F1366">
        <v>5.07</v>
      </c>
      <c r="G1366" s="8">
        <f t="shared" si="21"/>
        <v>17.988165680473372</v>
      </c>
    </row>
    <row r="1367" spans="1:7" x14ac:dyDescent="0.25">
      <c r="A1367" s="5">
        <v>45810.770833333336</v>
      </c>
      <c r="B1367">
        <v>32</v>
      </c>
      <c r="C1367" t="s">
        <v>39</v>
      </c>
      <c r="D1367" t="s">
        <v>40</v>
      </c>
      <c r="E1367">
        <v>1.5</v>
      </c>
      <c r="F1367">
        <v>3.53</v>
      </c>
      <c r="G1367" s="8">
        <f t="shared" si="21"/>
        <v>25.495750708215297</v>
      </c>
    </row>
    <row r="1368" spans="1:7" x14ac:dyDescent="0.25">
      <c r="A1368" s="5">
        <v>45810.770833333336</v>
      </c>
      <c r="B1368">
        <v>33</v>
      </c>
      <c r="C1368" t="s">
        <v>40</v>
      </c>
      <c r="D1368" t="s">
        <v>41</v>
      </c>
      <c r="E1368">
        <v>1.51</v>
      </c>
      <c r="F1368">
        <v>2.82</v>
      </c>
      <c r="G1368" s="8">
        <f t="shared" si="21"/>
        <v>32.127659574468083</v>
      </c>
    </row>
    <row r="1369" spans="1:7" x14ac:dyDescent="0.25">
      <c r="A1369" s="5">
        <v>45810.770833333336</v>
      </c>
      <c r="B1369">
        <v>34</v>
      </c>
      <c r="C1369" t="s">
        <v>41</v>
      </c>
      <c r="D1369" t="s">
        <v>42</v>
      </c>
      <c r="E1369">
        <v>1.5</v>
      </c>
      <c r="F1369">
        <v>2.82</v>
      </c>
      <c r="G1369" s="8">
        <f t="shared" si="21"/>
        <v>31.914893617021278</v>
      </c>
    </row>
    <row r="1370" spans="1:7" x14ac:dyDescent="0.25">
      <c r="A1370" s="5">
        <v>45810.770833333336</v>
      </c>
      <c r="B1370">
        <v>35</v>
      </c>
      <c r="C1370" t="s">
        <v>43</v>
      </c>
      <c r="D1370" t="s">
        <v>44</v>
      </c>
      <c r="E1370">
        <v>1.55</v>
      </c>
      <c r="F1370">
        <v>4.2300000000000004</v>
      </c>
      <c r="G1370" s="8">
        <f t="shared" si="21"/>
        <v>21.985815602836876</v>
      </c>
    </row>
    <row r="1371" spans="1:7" x14ac:dyDescent="0.25">
      <c r="A1371" s="5">
        <v>45810.770833333336</v>
      </c>
      <c r="B1371">
        <v>36</v>
      </c>
      <c r="C1371" t="s">
        <v>44</v>
      </c>
      <c r="D1371" t="s">
        <v>45</v>
      </c>
      <c r="E1371">
        <v>1.5</v>
      </c>
      <c r="F1371">
        <v>3.95</v>
      </c>
      <c r="G1371" s="8">
        <f t="shared" si="21"/>
        <v>22.784810126582279</v>
      </c>
    </row>
    <row r="1372" spans="1:7" x14ac:dyDescent="0.25">
      <c r="A1372" s="5">
        <v>45810.770833333336</v>
      </c>
      <c r="B1372">
        <v>37</v>
      </c>
      <c r="C1372" t="s">
        <v>45</v>
      </c>
      <c r="D1372" t="s">
        <v>46</v>
      </c>
      <c r="E1372">
        <v>1.38</v>
      </c>
      <c r="F1372">
        <v>4.63</v>
      </c>
      <c r="G1372" s="8">
        <f t="shared" si="21"/>
        <v>17.883369330453565</v>
      </c>
    </row>
    <row r="1373" spans="1:7" x14ac:dyDescent="0.25">
      <c r="A1373" s="5">
        <v>45810.770833333336</v>
      </c>
      <c r="B1373">
        <v>38</v>
      </c>
      <c r="C1373" t="s">
        <v>46</v>
      </c>
      <c r="D1373" t="s">
        <v>47</v>
      </c>
      <c r="E1373">
        <v>1.61</v>
      </c>
      <c r="F1373">
        <v>5.05</v>
      </c>
      <c r="G1373" s="8">
        <f t="shared" si="21"/>
        <v>19.128712871287131</v>
      </c>
    </row>
    <row r="1374" spans="1:7" x14ac:dyDescent="0.25">
      <c r="A1374" s="5">
        <v>45810.770833333336</v>
      </c>
      <c r="B1374">
        <v>39</v>
      </c>
      <c r="C1374" t="s">
        <v>47</v>
      </c>
      <c r="D1374" t="s">
        <v>48</v>
      </c>
      <c r="E1374">
        <v>1.55</v>
      </c>
      <c r="F1374">
        <v>3.82</v>
      </c>
      <c r="G1374" s="8">
        <f t="shared" si="21"/>
        <v>24.345549738219898</v>
      </c>
    </row>
    <row r="1375" spans="1:7" x14ac:dyDescent="0.25">
      <c r="A1375" s="5">
        <v>45810.770833333336</v>
      </c>
      <c r="B1375">
        <v>40</v>
      </c>
      <c r="C1375" t="s">
        <v>48</v>
      </c>
      <c r="D1375" t="s">
        <v>49</v>
      </c>
      <c r="E1375">
        <v>1.39</v>
      </c>
      <c r="F1375">
        <v>3.17</v>
      </c>
      <c r="G1375" s="8">
        <f t="shared" si="21"/>
        <v>26.309148264984223</v>
      </c>
    </row>
    <row r="1376" spans="1:7" x14ac:dyDescent="0.25">
      <c r="A1376" s="5">
        <v>45810.770833333336</v>
      </c>
      <c r="B1376">
        <v>41</v>
      </c>
      <c r="C1376" t="s">
        <v>50</v>
      </c>
      <c r="D1376" t="s">
        <v>51</v>
      </c>
      <c r="E1376">
        <v>1.56</v>
      </c>
      <c r="F1376">
        <v>4.87</v>
      </c>
      <c r="G1376" s="8">
        <f t="shared" si="21"/>
        <v>19.219712525667351</v>
      </c>
    </row>
    <row r="1377" spans="1:7" x14ac:dyDescent="0.25">
      <c r="A1377" s="5">
        <v>45810.770833333336</v>
      </c>
      <c r="B1377">
        <v>42</v>
      </c>
      <c r="C1377" t="s">
        <v>51</v>
      </c>
      <c r="D1377" t="s">
        <v>52</v>
      </c>
      <c r="E1377">
        <v>1.56</v>
      </c>
      <c r="F1377">
        <v>5.67</v>
      </c>
      <c r="G1377" s="8">
        <f t="shared" si="21"/>
        <v>16.50793650793651</v>
      </c>
    </row>
    <row r="1378" spans="1:7" x14ac:dyDescent="0.25">
      <c r="A1378" s="5">
        <v>45810.770833333336</v>
      </c>
      <c r="B1378">
        <v>43</v>
      </c>
      <c r="C1378" t="s">
        <v>52</v>
      </c>
      <c r="D1378" t="s">
        <v>53</v>
      </c>
      <c r="E1378">
        <v>1.51</v>
      </c>
      <c r="F1378">
        <v>3.8</v>
      </c>
      <c r="G1378" s="8">
        <f t="shared" si="21"/>
        <v>23.842105263157894</v>
      </c>
    </row>
    <row r="1379" spans="1:7" x14ac:dyDescent="0.25">
      <c r="A1379" s="5">
        <v>45810.770833333336</v>
      </c>
      <c r="B1379">
        <v>44</v>
      </c>
      <c r="C1379" t="s">
        <v>54</v>
      </c>
      <c r="D1379" t="s">
        <v>55</v>
      </c>
      <c r="E1379">
        <v>1.51</v>
      </c>
      <c r="F1379">
        <v>4.42</v>
      </c>
      <c r="G1379" s="8">
        <f t="shared" si="21"/>
        <v>20.497737556561084</v>
      </c>
    </row>
    <row r="1380" spans="1:7" x14ac:dyDescent="0.25">
      <c r="A1380" s="5">
        <v>45810.770833333336</v>
      </c>
      <c r="B1380">
        <v>45</v>
      </c>
      <c r="C1380" t="s">
        <v>55</v>
      </c>
      <c r="D1380" t="s">
        <v>56</v>
      </c>
      <c r="E1380">
        <v>1.49</v>
      </c>
      <c r="F1380">
        <v>4.5999999999999996</v>
      </c>
      <c r="G1380" s="8">
        <f t="shared" si="21"/>
        <v>19.434782608695656</v>
      </c>
    </row>
    <row r="1381" spans="1:7" x14ac:dyDescent="0.25">
      <c r="A1381" s="5">
        <v>45810.770833333336</v>
      </c>
      <c r="B1381">
        <v>46</v>
      </c>
      <c r="C1381" t="s">
        <v>56</v>
      </c>
      <c r="D1381" t="s">
        <v>57</v>
      </c>
      <c r="E1381">
        <v>1.52</v>
      </c>
      <c r="F1381">
        <v>4.57</v>
      </c>
      <c r="G1381" s="8">
        <f t="shared" si="21"/>
        <v>19.956236323851204</v>
      </c>
    </row>
    <row r="1382" spans="1:7" x14ac:dyDescent="0.25">
      <c r="A1382" s="5">
        <v>45810.770833333336</v>
      </c>
      <c r="B1382">
        <v>47</v>
      </c>
      <c r="C1382" t="s">
        <v>58</v>
      </c>
      <c r="D1382" t="s">
        <v>59</v>
      </c>
      <c r="E1382">
        <v>1.52</v>
      </c>
      <c r="F1382">
        <v>5.78</v>
      </c>
      <c r="G1382" s="8">
        <f t="shared" si="21"/>
        <v>15.778546712802768</v>
      </c>
    </row>
    <row r="1383" spans="1:7" x14ac:dyDescent="0.25">
      <c r="A1383" s="5">
        <v>45810.770833333336</v>
      </c>
      <c r="B1383">
        <v>48</v>
      </c>
      <c r="C1383" t="s">
        <v>59</v>
      </c>
      <c r="D1383" t="s">
        <v>60</v>
      </c>
      <c r="E1383">
        <v>1.5</v>
      </c>
      <c r="F1383">
        <v>4.8499999999999996</v>
      </c>
      <c r="G1383" s="8">
        <f t="shared" si="21"/>
        <v>18.556701030927837</v>
      </c>
    </row>
    <row r="1384" spans="1:7" x14ac:dyDescent="0.25">
      <c r="A1384" s="5">
        <v>45810.770833333336</v>
      </c>
      <c r="B1384">
        <v>49</v>
      </c>
      <c r="C1384" t="s">
        <v>60</v>
      </c>
      <c r="D1384" t="s">
        <v>61</v>
      </c>
      <c r="E1384">
        <v>1.54</v>
      </c>
      <c r="F1384">
        <v>11.05</v>
      </c>
      <c r="G1384" s="8">
        <f t="shared" si="21"/>
        <v>8.3619909502262448</v>
      </c>
    </row>
    <row r="1385" spans="1:7" x14ac:dyDescent="0.25">
      <c r="A1385" s="5">
        <v>45810.770833333336</v>
      </c>
      <c r="B1385">
        <v>50</v>
      </c>
      <c r="C1385" t="s">
        <v>62</v>
      </c>
      <c r="D1385" t="s">
        <v>63</v>
      </c>
      <c r="E1385">
        <v>1.38</v>
      </c>
      <c r="F1385">
        <v>3.42</v>
      </c>
      <c r="G1385" s="8">
        <f t="shared" si="21"/>
        <v>24.210526315789473</v>
      </c>
    </row>
    <row r="1386" spans="1:7" x14ac:dyDescent="0.25">
      <c r="A1386" s="5">
        <v>45810.770833333336</v>
      </c>
      <c r="B1386">
        <v>51</v>
      </c>
      <c r="C1386" t="s">
        <v>63</v>
      </c>
      <c r="D1386" t="s">
        <v>64</v>
      </c>
      <c r="E1386">
        <v>2.79</v>
      </c>
      <c r="F1386">
        <v>5.83</v>
      </c>
      <c r="G1386" s="8">
        <f t="shared" si="21"/>
        <v>28.713550600343055</v>
      </c>
    </row>
    <row r="1387" spans="1:7" x14ac:dyDescent="0.25">
      <c r="A1387" s="5">
        <v>45810.770833333336</v>
      </c>
      <c r="B1387">
        <v>52</v>
      </c>
      <c r="C1387" t="s">
        <v>64</v>
      </c>
      <c r="D1387" t="s">
        <v>65</v>
      </c>
      <c r="E1387">
        <v>1.5</v>
      </c>
      <c r="F1387">
        <v>2.8</v>
      </c>
      <c r="G1387" s="8">
        <f t="shared" si="21"/>
        <v>32.142857142857146</v>
      </c>
    </row>
    <row r="1388" spans="1:7" x14ac:dyDescent="0.25">
      <c r="A1388" s="5">
        <v>45810.770833333336</v>
      </c>
      <c r="B1388">
        <v>53</v>
      </c>
      <c r="C1388" t="s">
        <v>65</v>
      </c>
      <c r="D1388" t="s">
        <v>66</v>
      </c>
      <c r="E1388">
        <v>1.46</v>
      </c>
      <c r="F1388">
        <v>4.07</v>
      </c>
      <c r="G1388" s="8">
        <f t="shared" si="21"/>
        <v>21.523341523341522</v>
      </c>
    </row>
    <row r="1389" spans="1:7" x14ac:dyDescent="0.25">
      <c r="A1389" s="5">
        <v>45810.770833333336</v>
      </c>
      <c r="B1389">
        <v>54</v>
      </c>
      <c r="C1389" t="s">
        <v>67</v>
      </c>
      <c r="D1389" t="s">
        <v>68</v>
      </c>
      <c r="E1389">
        <v>1.46</v>
      </c>
      <c r="F1389">
        <v>4.5</v>
      </c>
      <c r="G1389" s="8">
        <f t="shared" si="21"/>
        <v>19.466666666666665</v>
      </c>
    </row>
    <row r="1390" spans="1:7" x14ac:dyDescent="0.25">
      <c r="A1390" s="5">
        <v>45810.770833333336</v>
      </c>
      <c r="B1390">
        <v>55</v>
      </c>
      <c r="C1390" t="s">
        <v>68</v>
      </c>
      <c r="D1390" t="s">
        <v>69</v>
      </c>
      <c r="E1390">
        <v>1.5</v>
      </c>
      <c r="F1390">
        <v>2.25</v>
      </c>
      <c r="G1390" s="8">
        <f t="shared" si="21"/>
        <v>40</v>
      </c>
    </row>
    <row r="1391" spans="1:7" x14ac:dyDescent="0.25">
      <c r="A1391" s="5">
        <v>45810.770833333336</v>
      </c>
      <c r="B1391">
        <v>56</v>
      </c>
      <c r="C1391" t="s">
        <v>70</v>
      </c>
      <c r="D1391" t="s">
        <v>71</v>
      </c>
      <c r="E1391">
        <v>1.51</v>
      </c>
      <c r="F1391">
        <v>6.82</v>
      </c>
      <c r="G1391" s="8">
        <f t="shared" si="21"/>
        <v>13.284457478005864</v>
      </c>
    </row>
    <row r="1392" spans="1:7" x14ac:dyDescent="0.25">
      <c r="A1392" s="5">
        <v>45810.770833333336</v>
      </c>
      <c r="B1392">
        <v>57</v>
      </c>
      <c r="C1392" t="s">
        <v>71</v>
      </c>
      <c r="D1392" t="s">
        <v>72</v>
      </c>
      <c r="E1392">
        <v>1.52</v>
      </c>
      <c r="F1392">
        <v>5.78</v>
      </c>
      <c r="G1392" s="8">
        <f t="shared" si="21"/>
        <v>15.778546712802768</v>
      </c>
    </row>
    <row r="1393" spans="1:7" x14ac:dyDescent="0.25">
      <c r="A1393" s="5">
        <v>45810.770833333336</v>
      </c>
      <c r="B1393">
        <v>58</v>
      </c>
      <c r="C1393" t="s">
        <v>72</v>
      </c>
      <c r="D1393" t="s">
        <v>73</v>
      </c>
      <c r="E1393">
        <v>1.5</v>
      </c>
      <c r="F1393">
        <v>5.17</v>
      </c>
      <c r="G1393" s="8">
        <f t="shared" si="21"/>
        <v>17.408123791102515</v>
      </c>
    </row>
    <row r="1394" spans="1:7" x14ac:dyDescent="0.25">
      <c r="A1394" s="5">
        <v>45810.78125</v>
      </c>
      <c r="B1394">
        <v>1</v>
      </c>
      <c r="C1394" t="s">
        <v>6</v>
      </c>
      <c r="D1394" t="s">
        <v>7</v>
      </c>
      <c r="E1394">
        <v>1.53</v>
      </c>
      <c r="F1394">
        <v>3.13</v>
      </c>
      <c r="G1394" s="8">
        <f t="shared" si="21"/>
        <v>29.329073482428115</v>
      </c>
    </row>
    <row r="1395" spans="1:7" x14ac:dyDescent="0.25">
      <c r="A1395" s="5">
        <v>45810.78125</v>
      </c>
      <c r="B1395">
        <v>2</v>
      </c>
      <c r="C1395" t="s">
        <v>7</v>
      </c>
      <c r="D1395" t="s">
        <v>8</v>
      </c>
      <c r="E1395">
        <v>1.57</v>
      </c>
      <c r="F1395">
        <v>6.45</v>
      </c>
      <c r="G1395" s="8">
        <f t="shared" si="21"/>
        <v>14.604651162790697</v>
      </c>
    </row>
    <row r="1396" spans="1:7" x14ac:dyDescent="0.25">
      <c r="A1396" s="5">
        <v>45810.78125</v>
      </c>
      <c r="B1396">
        <v>3</v>
      </c>
      <c r="C1396" t="s">
        <v>8</v>
      </c>
      <c r="D1396" t="s">
        <v>9</v>
      </c>
      <c r="E1396">
        <v>1.5</v>
      </c>
      <c r="F1396">
        <v>4.05</v>
      </c>
      <c r="G1396" s="8">
        <f t="shared" si="21"/>
        <v>22.222222222222221</v>
      </c>
    </row>
    <row r="1397" spans="1:7" x14ac:dyDescent="0.25">
      <c r="A1397" s="5">
        <v>45810.78125</v>
      </c>
      <c r="B1397">
        <v>4</v>
      </c>
      <c r="C1397" t="s">
        <v>9</v>
      </c>
      <c r="D1397" t="s">
        <v>10</v>
      </c>
      <c r="E1397">
        <v>1.5</v>
      </c>
      <c r="F1397">
        <v>3.57</v>
      </c>
      <c r="G1397" s="8">
        <f t="shared" si="21"/>
        <v>25.210084033613448</v>
      </c>
    </row>
    <row r="1398" spans="1:7" x14ac:dyDescent="0.25">
      <c r="A1398" s="5">
        <v>45810.78125</v>
      </c>
      <c r="B1398">
        <v>5</v>
      </c>
      <c r="C1398" t="s">
        <v>10</v>
      </c>
      <c r="D1398" t="s">
        <v>11</v>
      </c>
      <c r="E1398">
        <v>1.52</v>
      </c>
      <c r="F1398">
        <v>5.13</v>
      </c>
      <c r="G1398" s="8">
        <f t="shared" si="21"/>
        <v>17.777777777777779</v>
      </c>
    </row>
    <row r="1399" spans="1:7" x14ac:dyDescent="0.25">
      <c r="A1399" s="5">
        <v>45810.78125</v>
      </c>
      <c r="B1399">
        <v>6</v>
      </c>
      <c r="C1399" t="s">
        <v>11</v>
      </c>
      <c r="D1399" t="s">
        <v>12</v>
      </c>
      <c r="E1399">
        <v>1.5</v>
      </c>
      <c r="F1399">
        <v>2.72</v>
      </c>
      <c r="G1399" s="8">
        <f t="shared" si="21"/>
        <v>33.088235294117645</v>
      </c>
    </row>
    <row r="1400" spans="1:7" x14ac:dyDescent="0.25">
      <c r="A1400" s="5">
        <v>45810.78125</v>
      </c>
      <c r="B1400">
        <v>7</v>
      </c>
      <c r="C1400" t="s">
        <v>12</v>
      </c>
      <c r="D1400" t="s">
        <v>13</v>
      </c>
      <c r="E1400">
        <v>1.54</v>
      </c>
      <c r="F1400">
        <v>2.65</v>
      </c>
      <c r="G1400" s="8">
        <f t="shared" si="21"/>
        <v>34.867924528301891</v>
      </c>
    </row>
    <row r="1401" spans="1:7" x14ac:dyDescent="0.25">
      <c r="A1401" s="5">
        <v>45810.78125</v>
      </c>
      <c r="B1401">
        <v>8</v>
      </c>
      <c r="C1401" t="s">
        <v>13</v>
      </c>
      <c r="D1401" t="s">
        <v>14</v>
      </c>
      <c r="E1401">
        <v>1.54</v>
      </c>
      <c r="F1401">
        <v>3.18</v>
      </c>
      <c r="G1401" s="8">
        <f t="shared" si="21"/>
        <v>29.056603773584907</v>
      </c>
    </row>
    <row r="1402" spans="1:7" x14ac:dyDescent="0.25">
      <c r="A1402" s="5">
        <v>45810.78125</v>
      </c>
      <c r="B1402">
        <v>9</v>
      </c>
      <c r="C1402" t="s">
        <v>14</v>
      </c>
      <c r="D1402" t="s">
        <v>15</v>
      </c>
      <c r="E1402">
        <v>1.52</v>
      </c>
      <c r="F1402">
        <v>5.5</v>
      </c>
      <c r="G1402" s="8">
        <f t="shared" si="21"/>
        <v>16.581818181818182</v>
      </c>
    </row>
    <row r="1403" spans="1:7" x14ac:dyDescent="0.25">
      <c r="A1403" s="5">
        <v>45810.78125</v>
      </c>
      <c r="B1403">
        <v>10</v>
      </c>
      <c r="C1403" t="s">
        <v>15</v>
      </c>
      <c r="D1403" t="s">
        <v>16</v>
      </c>
      <c r="E1403">
        <v>1.5</v>
      </c>
      <c r="F1403">
        <v>4.42</v>
      </c>
      <c r="G1403" s="8">
        <f t="shared" si="21"/>
        <v>20.361990950226243</v>
      </c>
    </row>
    <row r="1404" spans="1:7" x14ac:dyDescent="0.25">
      <c r="A1404" s="5">
        <v>45810.78125</v>
      </c>
      <c r="B1404">
        <v>11</v>
      </c>
      <c r="C1404" t="s">
        <v>16</v>
      </c>
      <c r="D1404" t="s">
        <v>17</v>
      </c>
      <c r="E1404">
        <v>1.48</v>
      </c>
      <c r="F1404">
        <v>4.45</v>
      </c>
      <c r="G1404" s="8">
        <f t="shared" si="21"/>
        <v>19.95505617977528</v>
      </c>
    </row>
    <row r="1405" spans="1:7" x14ac:dyDescent="0.25">
      <c r="A1405" s="5">
        <v>45810.78125</v>
      </c>
      <c r="B1405">
        <v>12</v>
      </c>
      <c r="C1405" t="s">
        <v>17</v>
      </c>
      <c r="D1405" t="s">
        <v>18</v>
      </c>
      <c r="E1405">
        <v>1.46</v>
      </c>
      <c r="F1405">
        <v>5.85</v>
      </c>
      <c r="G1405" s="8">
        <f t="shared" si="21"/>
        <v>14.974358974358974</v>
      </c>
    </row>
    <row r="1406" spans="1:7" x14ac:dyDescent="0.25">
      <c r="A1406" s="5">
        <v>45810.78125</v>
      </c>
      <c r="B1406">
        <v>13</v>
      </c>
      <c r="C1406" t="s">
        <v>18</v>
      </c>
      <c r="D1406" t="s">
        <v>19</v>
      </c>
      <c r="E1406">
        <v>1.52</v>
      </c>
      <c r="F1406">
        <v>5.23</v>
      </c>
      <c r="G1406" s="8">
        <f t="shared" si="21"/>
        <v>17.437858508604204</v>
      </c>
    </row>
    <row r="1407" spans="1:7" x14ac:dyDescent="0.25">
      <c r="A1407" s="5">
        <v>45810.78125</v>
      </c>
      <c r="B1407">
        <v>14</v>
      </c>
      <c r="C1407" t="s">
        <v>19</v>
      </c>
      <c r="D1407" t="s">
        <v>20</v>
      </c>
      <c r="E1407">
        <v>1.51</v>
      </c>
      <c r="F1407">
        <v>3.93</v>
      </c>
      <c r="G1407" s="8">
        <f t="shared" si="21"/>
        <v>23.053435114503813</v>
      </c>
    </row>
    <row r="1408" spans="1:7" x14ac:dyDescent="0.25">
      <c r="A1408" s="5">
        <v>45810.78125</v>
      </c>
      <c r="B1408">
        <v>15</v>
      </c>
      <c r="C1408" t="s">
        <v>20</v>
      </c>
      <c r="D1408" t="s">
        <v>21</v>
      </c>
      <c r="E1408">
        <v>1.47</v>
      </c>
      <c r="F1408">
        <v>3.38</v>
      </c>
      <c r="G1408" s="8">
        <f t="shared" si="21"/>
        <v>26.094674556213018</v>
      </c>
    </row>
    <row r="1409" spans="1:7" x14ac:dyDescent="0.25">
      <c r="A1409" s="5">
        <v>45810.78125</v>
      </c>
      <c r="B1409">
        <v>16</v>
      </c>
      <c r="C1409" t="s">
        <v>21</v>
      </c>
      <c r="D1409" t="s">
        <v>22</v>
      </c>
      <c r="E1409">
        <v>1.5</v>
      </c>
      <c r="F1409">
        <v>2.2000000000000002</v>
      </c>
      <c r="G1409" s="8">
        <f t="shared" si="21"/>
        <v>40.909090909090907</v>
      </c>
    </row>
    <row r="1410" spans="1:7" x14ac:dyDescent="0.25">
      <c r="A1410" s="5">
        <v>45810.78125</v>
      </c>
      <c r="B1410">
        <v>17</v>
      </c>
      <c r="C1410" t="s">
        <v>22</v>
      </c>
      <c r="D1410" t="s">
        <v>23</v>
      </c>
      <c r="E1410">
        <v>1.51</v>
      </c>
      <c r="F1410">
        <v>5.45</v>
      </c>
      <c r="G1410" s="8">
        <f t="shared" si="21"/>
        <v>16.623853211009173</v>
      </c>
    </row>
    <row r="1411" spans="1:7" x14ac:dyDescent="0.25">
      <c r="A1411" s="5">
        <v>45810.78125</v>
      </c>
      <c r="B1411">
        <v>18</v>
      </c>
      <c r="C1411" t="s">
        <v>23</v>
      </c>
      <c r="D1411" t="s">
        <v>24</v>
      </c>
      <c r="E1411">
        <v>1.51</v>
      </c>
      <c r="F1411">
        <v>4.87</v>
      </c>
      <c r="G1411" s="8">
        <f t="shared" ref="G1411:G1474" si="22">E1411*60/F1411</f>
        <v>18.603696098562626</v>
      </c>
    </row>
    <row r="1412" spans="1:7" x14ac:dyDescent="0.25">
      <c r="A1412" s="5">
        <v>45810.78125</v>
      </c>
      <c r="B1412">
        <v>19</v>
      </c>
      <c r="C1412" t="s">
        <v>25</v>
      </c>
      <c r="D1412" t="s">
        <v>26</v>
      </c>
      <c r="E1412">
        <v>1.5</v>
      </c>
      <c r="F1412">
        <v>3.68</v>
      </c>
      <c r="G1412" s="8">
        <f t="shared" si="22"/>
        <v>24.456521739130434</v>
      </c>
    </row>
    <row r="1413" spans="1:7" x14ac:dyDescent="0.25">
      <c r="A1413" s="5">
        <v>45810.78125</v>
      </c>
      <c r="B1413">
        <v>20</v>
      </c>
      <c r="C1413" t="s">
        <v>26</v>
      </c>
      <c r="D1413" t="s">
        <v>27</v>
      </c>
      <c r="E1413">
        <v>1.48</v>
      </c>
      <c r="F1413">
        <v>3.52</v>
      </c>
      <c r="G1413" s="8">
        <f t="shared" si="22"/>
        <v>25.227272727272727</v>
      </c>
    </row>
    <row r="1414" spans="1:7" x14ac:dyDescent="0.25">
      <c r="A1414" s="5">
        <v>45810.78125</v>
      </c>
      <c r="B1414">
        <v>21</v>
      </c>
      <c r="C1414" t="s">
        <v>27</v>
      </c>
      <c r="D1414" t="s">
        <v>28</v>
      </c>
      <c r="E1414">
        <v>1.51</v>
      </c>
      <c r="F1414">
        <v>3.33</v>
      </c>
      <c r="G1414" s="8">
        <f t="shared" si="22"/>
        <v>27.207207207207205</v>
      </c>
    </row>
    <row r="1415" spans="1:7" x14ac:dyDescent="0.25">
      <c r="A1415" s="5">
        <v>45810.78125</v>
      </c>
      <c r="B1415">
        <v>22</v>
      </c>
      <c r="C1415" t="s">
        <v>28</v>
      </c>
      <c r="D1415" t="s">
        <v>29</v>
      </c>
      <c r="E1415">
        <v>1.57</v>
      </c>
      <c r="F1415">
        <v>3.2</v>
      </c>
      <c r="G1415" s="8">
        <f t="shared" si="22"/>
        <v>29.4375</v>
      </c>
    </row>
    <row r="1416" spans="1:7" x14ac:dyDescent="0.25">
      <c r="A1416" s="5">
        <v>45810.78125</v>
      </c>
      <c r="B1416">
        <v>23</v>
      </c>
      <c r="C1416" t="s">
        <v>29</v>
      </c>
      <c r="D1416" t="s">
        <v>30</v>
      </c>
      <c r="E1416">
        <v>1.43</v>
      </c>
      <c r="F1416">
        <v>4.17</v>
      </c>
      <c r="G1416" s="8">
        <f t="shared" si="22"/>
        <v>20.575539568345324</v>
      </c>
    </row>
    <row r="1417" spans="1:7" x14ac:dyDescent="0.25">
      <c r="A1417" s="5">
        <v>45810.78125</v>
      </c>
      <c r="B1417">
        <v>24</v>
      </c>
      <c r="C1417" t="s">
        <v>30</v>
      </c>
      <c r="D1417" t="s">
        <v>31</v>
      </c>
      <c r="E1417">
        <v>1.52</v>
      </c>
      <c r="F1417">
        <v>3.57</v>
      </c>
      <c r="G1417" s="8">
        <f t="shared" si="22"/>
        <v>25.54621848739496</v>
      </c>
    </row>
    <row r="1418" spans="1:7" x14ac:dyDescent="0.25">
      <c r="A1418" s="5">
        <v>45810.78125</v>
      </c>
      <c r="B1418">
        <v>25</v>
      </c>
      <c r="C1418" t="s">
        <v>31</v>
      </c>
      <c r="D1418" t="s">
        <v>32</v>
      </c>
      <c r="E1418">
        <v>1.52</v>
      </c>
      <c r="F1418">
        <v>3.5</v>
      </c>
      <c r="G1418" s="8">
        <f t="shared" si="22"/>
        <v>26.057142857142857</v>
      </c>
    </row>
    <row r="1419" spans="1:7" x14ac:dyDescent="0.25">
      <c r="A1419" s="5">
        <v>45810.78125</v>
      </c>
      <c r="B1419">
        <v>26</v>
      </c>
      <c r="C1419" t="s">
        <v>32</v>
      </c>
      <c r="D1419" t="s">
        <v>33</v>
      </c>
      <c r="E1419">
        <v>1.49</v>
      </c>
      <c r="F1419">
        <v>4.5199999999999996</v>
      </c>
      <c r="G1419" s="8">
        <f t="shared" si="22"/>
        <v>19.778761061946906</v>
      </c>
    </row>
    <row r="1420" spans="1:7" x14ac:dyDescent="0.25">
      <c r="A1420" s="5">
        <v>45810.78125</v>
      </c>
      <c r="B1420">
        <v>27</v>
      </c>
      <c r="C1420" t="s">
        <v>33</v>
      </c>
      <c r="D1420" t="s">
        <v>34</v>
      </c>
      <c r="E1420">
        <v>1.53</v>
      </c>
      <c r="F1420">
        <v>8.5500000000000007</v>
      </c>
      <c r="G1420" s="8">
        <f t="shared" si="22"/>
        <v>10.736842105263158</v>
      </c>
    </row>
    <row r="1421" spans="1:7" x14ac:dyDescent="0.25">
      <c r="A1421" s="5">
        <v>45810.78125</v>
      </c>
      <c r="B1421">
        <v>28</v>
      </c>
      <c r="C1421" t="s">
        <v>34</v>
      </c>
      <c r="D1421" t="s">
        <v>35</v>
      </c>
      <c r="E1421">
        <v>1.51</v>
      </c>
      <c r="F1421">
        <v>4.75</v>
      </c>
      <c r="G1421" s="8">
        <f t="shared" si="22"/>
        <v>19.073684210526313</v>
      </c>
    </row>
    <row r="1422" spans="1:7" x14ac:dyDescent="0.25">
      <c r="A1422" s="5">
        <v>45810.78125</v>
      </c>
      <c r="B1422">
        <v>29</v>
      </c>
      <c r="C1422" t="s">
        <v>36</v>
      </c>
      <c r="D1422" t="s">
        <v>37</v>
      </c>
      <c r="E1422">
        <v>1.57</v>
      </c>
      <c r="F1422">
        <v>3.95</v>
      </c>
      <c r="G1422" s="8">
        <f t="shared" si="22"/>
        <v>23.848101265822784</v>
      </c>
    </row>
    <row r="1423" spans="1:7" x14ac:dyDescent="0.25">
      <c r="A1423" s="5">
        <v>45810.78125</v>
      </c>
      <c r="B1423">
        <v>30</v>
      </c>
      <c r="C1423" t="s">
        <v>37</v>
      </c>
      <c r="D1423" t="s">
        <v>38</v>
      </c>
      <c r="E1423">
        <v>1.57</v>
      </c>
      <c r="F1423">
        <v>3.65</v>
      </c>
      <c r="G1423" s="8">
        <f t="shared" si="22"/>
        <v>25.808219178082194</v>
      </c>
    </row>
    <row r="1424" spans="1:7" x14ac:dyDescent="0.25">
      <c r="A1424" s="5">
        <v>45810.78125</v>
      </c>
      <c r="B1424">
        <v>31</v>
      </c>
      <c r="C1424" t="s">
        <v>38</v>
      </c>
      <c r="D1424" t="s">
        <v>39</v>
      </c>
      <c r="E1424">
        <v>1.52</v>
      </c>
      <c r="F1424">
        <v>3.02</v>
      </c>
      <c r="G1424" s="8">
        <f t="shared" si="22"/>
        <v>30.198675496688743</v>
      </c>
    </row>
    <row r="1425" spans="1:7" x14ac:dyDescent="0.25">
      <c r="A1425" s="5">
        <v>45810.78125</v>
      </c>
      <c r="B1425">
        <v>32</v>
      </c>
      <c r="C1425" t="s">
        <v>39</v>
      </c>
      <c r="D1425" t="s">
        <v>40</v>
      </c>
      <c r="E1425">
        <v>1.5</v>
      </c>
      <c r="F1425">
        <v>2.77</v>
      </c>
      <c r="G1425" s="8">
        <f t="shared" si="22"/>
        <v>32.490974729241877</v>
      </c>
    </row>
    <row r="1426" spans="1:7" x14ac:dyDescent="0.25">
      <c r="A1426" s="5">
        <v>45810.78125</v>
      </c>
      <c r="B1426">
        <v>33</v>
      </c>
      <c r="C1426" t="s">
        <v>40</v>
      </c>
      <c r="D1426" t="s">
        <v>41</v>
      </c>
      <c r="E1426">
        <v>1.51</v>
      </c>
      <c r="F1426">
        <v>2.8</v>
      </c>
      <c r="G1426" s="8">
        <f t="shared" si="22"/>
        <v>32.357142857142854</v>
      </c>
    </row>
    <row r="1427" spans="1:7" x14ac:dyDescent="0.25">
      <c r="A1427" s="5">
        <v>45810.78125</v>
      </c>
      <c r="B1427">
        <v>34</v>
      </c>
      <c r="C1427" t="s">
        <v>41</v>
      </c>
      <c r="D1427" t="s">
        <v>42</v>
      </c>
      <c r="E1427">
        <v>1.5</v>
      </c>
      <c r="F1427">
        <v>2.5</v>
      </c>
      <c r="G1427" s="8">
        <f t="shared" si="22"/>
        <v>36</v>
      </c>
    </row>
    <row r="1428" spans="1:7" x14ac:dyDescent="0.25">
      <c r="A1428" s="5">
        <v>45810.78125</v>
      </c>
      <c r="B1428">
        <v>35</v>
      </c>
      <c r="C1428" t="s">
        <v>43</v>
      </c>
      <c r="D1428" t="s">
        <v>44</v>
      </c>
      <c r="E1428">
        <v>1.55</v>
      </c>
      <c r="F1428">
        <v>4.47</v>
      </c>
      <c r="G1428" s="8">
        <f t="shared" si="22"/>
        <v>20.80536912751678</v>
      </c>
    </row>
    <row r="1429" spans="1:7" x14ac:dyDescent="0.25">
      <c r="A1429" s="5">
        <v>45810.78125</v>
      </c>
      <c r="B1429">
        <v>36</v>
      </c>
      <c r="C1429" t="s">
        <v>44</v>
      </c>
      <c r="D1429" t="s">
        <v>45</v>
      </c>
      <c r="E1429">
        <v>1.5</v>
      </c>
      <c r="F1429">
        <v>4.12</v>
      </c>
      <c r="G1429" s="8">
        <f t="shared" si="22"/>
        <v>21.844660194174757</v>
      </c>
    </row>
    <row r="1430" spans="1:7" x14ac:dyDescent="0.25">
      <c r="A1430" s="5">
        <v>45810.78125</v>
      </c>
      <c r="B1430">
        <v>37</v>
      </c>
      <c r="C1430" t="s">
        <v>45</v>
      </c>
      <c r="D1430" t="s">
        <v>46</v>
      </c>
      <c r="E1430">
        <v>1.38</v>
      </c>
      <c r="F1430">
        <v>6.52</v>
      </c>
      <c r="G1430" s="8">
        <f t="shared" si="22"/>
        <v>12.699386503067485</v>
      </c>
    </row>
    <row r="1431" spans="1:7" x14ac:dyDescent="0.25">
      <c r="A1431" s="5">
        <v>45810.78125</v>
      </c>
      <c r="B1431">
        <v>38</v>
      </c>
      <c r="C1431" t="s">
        <v>46</v>
      </c>
      <c r="D1431" t="s">
        <v>47</v>
      </c>
      <c r="E1431">
        <v>1.61</v>
      </c>
      <c r="F1431">
        <v>5.7</v>
      </c>
      <c r="G1431" s="8">
        <f t="shared" si="22"/>
        <v>16.947368421052634</v>
      </c>
    </row>
    <row r="1432" spans="1:7" x14ac:dyDescent="0.25">
      <c r="A1432" s="5">
        <v>45810.78125</v>
      </c>
      <c r="B1432">
        <v>39</v>
      </c>
      <c r="C1432" t="s">
        <v>47</v>
      </c>
      <c r="D1432" t="s">
        <v>48</v>
      </c>
      <c r="E1432">
        <v>1.55</v>
      </c>
      <c r="F1432">
        <v>3.98</v>
      </c>
      <c r="G1432" s="8">
        <f t="shared" si="22"/>
        <v>23.366834170854272</v>
      </c>
    </row>
    <row r="1433" spans="1:7" x14ac:dyDescent="0.25">
      <c r="A1433" s="5">
        <v>45810.78125</v>
      </c>
      <c r="B1433">
        <v>40</v>
      </c>
      <c r="C1433" t="s">
        <v>48</v>
      </c>
      <c r="D1433" t="s">
        <v>49</v>
      </c>
      <c r="E1433">
        <v>1.39</v>
      </c>
      <c r="F1433">
        <v>3.32</v>
      </c>
      <c r="G1433" s="8">
        <f t="shared" si="22"/>
        <v>25.120481927710841</v>
      </c>
    </row>
    <row r="1434" spans="1:7" x14ac:dyDescent="0.25">
      <c r="A1434" s="5">
        <v>45810.78125</v>
      </c>
      <c r="B1434">
        <v>41</v>
      </c>
      <c r="C1434" t="s">
        <v>50</v>
      </c>
      <c r="D1434" t="s">
        <v>51</v>
      </c>
      <c r="E1434">
        <v>1.56</v>
      </c>
      <c r="F1434">
        <v>4.4800000000000004</v>
      </c>
      <c r="G1434" s="8">
        <f t="shared" si="22"/>
        <v>20.892857142857142</v>
      </c>
    </row>
    <row r="1435" spans="1:7" x14ac:dyDescent="0.25">
      <c r="A1435" s="5">
        <v>45810.78125</v>
      </c>
      <c r="B1435">
        <v>42</v>
      </c>
      <c r="C1435" t="s">
        <v>51</v>
      </c>
      <c r="D1435" t="s">
        <v>52</v>
      </c>
      <c r="E1435">
        <v>1.56</v>
      </c>
      <c r="F1435">
        <v>6.23</v>
      </c>
      <c r="G1435" s="8">
        <f t="shared" si="22"/>
        <v>15.024077046548957</v>
      </c>
    </row>
    <row r="1436" spans="1:7" x14ac:dyDescent="0.25">
      <c r="A1436" s="5">
        <v>45810.78125</v>
      </c>
      <c r="B1436">
        <v>43</v>
      </c>
      <c r="C1436" t="s">
        <v>52</v>
      </c>
      <c r="D1436" t="s">
        <v>53</v>
      </c>
      <c r="E1436">
        <v>1.51</v>
      </c>
      <c r="F1436">
        <v>3.77</v>
      </c>
      <c r="G1436" s="8">
        <f t="shared" si="22"/>
        <v>24.031830238726791</v>
      </c>
    </row>
    <row r="1437" spans="1:7" x14ac:dyDescent="0.25">
      <c r="A1437" s="5">
        <v>45810.78125</v>
      </c>
      <c r="B1437">
        <v>44</v>
      </c>
      <c r="C1437" t="s">
        <v>54</v>
      </c>
      <c r="D1437" t="s">
        <v>55</v>
      </c>
      <c r="E1437">
        <v>1.51</v>
      </c>
      <c r="F1437">
        <v>4.88</v>
      </c>
      <c r="G1437" s="8">
        <f t="shared" si="22"/>
        <v>18.565573770491802</v>
      </c>
    </row>
    <row r="1438" spans="1:7" x14ac:dyDescent="0.25">
      <c r="A1438" s="5">
        <v>45810.78125</v>
      </c>
      <c r="B1438">
        <v>45</v>
      </c>
      <c r="C1438" t="s">
        <v>55</v>
      </c>
      <c r="D1438" t="s">
        <v>56</v>
      </c>
      <c r="E1438">
        <v>1.49</v>
      </c>
      <c r="F1438">
        <v>5.42</v>
      </c>
      <c r="G1438" s="8">
        <f t="shared" si="22"/>
        <v>16.494464944649447</v>
      </c>
    </row>
    <row r="1439" spans="1:7" x14ac:dyDescent="0.25">
      <c r="A1439" s="5">
        <v>45810.78125</v>
      </c>
      <c r="B1439">
        <v>46</v>
      </c>
      <c r="C1439" t="s">
        <v>56</v>
      </c>
      <c r="D1439" t="s">
        <v>57</v>
      </c>
      <c r="E1439">
        <v>1.52</v>
      </c>
      <c r="F1439">
        <v>4.4800000000000004</v>
      </c>
      <c r="G1439" s="8">
        <f t="shared" si="22"/>
        <v>20.357142857142854</v>
      </c>
    </row>
    <row r="1440" spans="1:7" x14ac:dyDescent="0.25">
      <c r="A1440" s="5">
        <v>45810.78125</v>
      </c>
      <c r="B1440">
        <v>47</v>
      </c>
      <c r="C1440" t="s">
        <v>58</v>
      </c>
      <c r="D1440" t="s">
        <v>59</v>
      </c>
      <c r="E1440">
        <v>1.52</v>
      </c>
      <c r="F1440">
        <v>6.55</v>
      </c>
      <c r="G1440" s="8">
        <f t="shared" si="22"/>
        <v>13.923664122137405</v>
      </c>
    </row>
    <row r="1441" spans="1:7" x14ac:dyDescent="0.25">
      <c r="A1441" s="5">
        <v>45810.78125</v>
      </c>
      <c r="B1441">
        <v>48</v>
      </c>
      <c r="C1441" t="s">
        <v>59</v>
      </c>
      <c r="D1441" t="s">
        <v>60</v>
      </c>
      <c r="E1441">
        <v>1.5</v>
      </c>
      <c r="F1441">
        <v>4.33</v>
      </c>
      <c r="G1441" s="8">
        <f t="shared" si="22"/>
        <v>20.785219399538107</v>
      </c>
    </row>
    <row r="1442" spans="1:7" x14ac:dyDescent="0.25">
      <c r="A1442" s="5">
        <v>45810.78125</v>
      </c>
      <c r="B1442">
        <v>49</v>
      </c>
      <c r="C1442" t="s">
        <v>60</v>
      </c>
      <c r="D1442" t="s">
        <v>61</v>
      </c>
      <c r="E1442">
        <v>1.54</v>
      </c>
      <c r="F1442">
        <v>7.45</v>
      </c>
      <c r="G1442" s="8">
        <f t="shared" si="22"/>
        <v>12.40268456375839</v>
      </c>
    </row>
    <row r="1443" spans="1:7" x14ac:dyDescent="0.25">
      <c r="A1443" s="5">
        <v>45810.78125</v>
      </c>
      <c r="B1443">
        <v>50</v>
      </c>
      <c r="C1443" t="s">
        <v>62</v>
      </c>
      <c r="D1443" t="s">
        <v>63</v>
      </c>
      <c r="E1443">
        <v>1.38</v>
      </c>
      <c r="F1443">
        <v>3.15</v>
      </c>
      <c r="G1443" s="8">
        <f t="shared" si="22"/>
        <v>26.285714285714285</v>
      </c>
    </row>
    <row r="1444" spans="1:7" x14ac:dyDescent="0.25">
      <c r="A1444" s="5">
        <v>45810.78125</v>
      </c>
      <c r="B1444">
        <v>51</v>
      </c>
      <c r="C1444" t="s">
        <v>63</v>
      </c>
      <c r="D1444" t="s">
        <v>64</v>
      </c>
      <c r="E1444">
        <v>2.79</v>
      </c>
      <c r="F1444">
        <v>5.9</v>
      </c>
      <c r="G1444" s="8">
        <f t="shared" si="22"/>
        <v>28.372881355932204</v>
      </c>
    </row>
    <row r="1445" spans="1:7" x14ac:dyDescent="0.25">
      <c r="A1445" s="5">
        <v>45810.78125</v>
      </c>
      <c r="B1445">
        <v>52</v>
      </c>
      <c r="C1445" t="s">
        <v>64</v>
      </c>
      <c r="D1445" t="s">
        <v>65</v>
      </c>
      <c r="E1445">
        <v>1.5</v>
      </c>
      <c r="F1445">
        <v>2.78</v>
      </c>
      <c r="G1445" s="8">
        <f t="shared" si="22"/>
        <v>32.374100719424462</v>
      </c>
    </row>
    <row r="1446" spans="1:7" x14ac:dyDescent="0.25">
      <c r="A1446" s="5">
        <v>45810.78125</v>
      </c>
      <c r="B1446">
        <v>53</v>
      </c>
      <c r="C1446" t="s">
        <v>65</v>
      </c>
      <c r="D1446" t="s">
        <v>66</v>
      </c>
      <c r="E1446">
        <v>1.46</v>
      </c>
      <c r="F1446">
        <v>3.98</v>
      </c>
      <c r="G1446" s="8">
        <f t="shared" si="22"/>
        <v>22.010050251256281</v>
      </c>
    </row>
    <row r="1447" spans="1:7" x14ac:dyDescent="0.25">
      <c r="A1447" s="5">
        <v>45810.78125</v>
      </c>
      <c r="B1447">
        <v>54</v>
      </c>
      <c r="C1447" t="s">
        <v>67</v>
      </c>
      <c r="D1447" t="s">
        <v>68</v>
      </c>
      <c r="E1447">
        <v>1.46</v>
      </c>
      <c r="F1447">
        <v>4.97</v>
      </c>
      <c r="G1447" s="8">
        <f t="shared" si="22"/>
        <v>17.625754527162979</v>
      </c>
    </row>
    <row r="1448" spans="1:7" x14ac:dyDescent="0.25">
      <c r="A1448" s="5">
        <v>45810.78125</v>
      </c>
      <c r="B1448">
        <v>55</v>
      </c>
      <c r="C1448" t="s">
        <v>68</v>
      </c>
      <c r="D1448" t="s">
        <v>69</v>
      </c>
      <c r="E1448">
        <v>1.5</v>
      </c>
      <c r="F1448">
        <v>2.3199999999999998</v>
      </c>
      <c r="G1448" s="8">
        <f t="shared" si="22"/>
        <v>38.793103448275865</v>
      </c>
    </row>
    <row r="1449" spans="1:7" x14ac:dyDescent="0.25">
      <c r="A1449" s="5">
        <v>45810.78125</v>
      </c>
      <c r="B1449">
        <v>56</v>
      </c>
      <c r="C1449" t="s">
        <v>70</v>
      </c>
      <c r="D1449" t="s">
        <v>71</v>
      </c>
      <c r="E1449">
        <v>1.51</v>
      </c>
      <c r="F1449">
        <v>6.4</v>
      </c>
      <c r="G1449" s="8">
        <f t="shared" si="22"/>
        <v>14.156249999999998</v>
      </c>
    </row>
    <row r="1450" spans="1:7" x14ac:dyDescent="0.25">
      <c r="A1450" s="5">
        <v>45810.78125</v>
      </c>
      <c r="B1450">
        <v>57</v>
      </c>
      <c r="C1450" t="s">
        <v>71</v>
      </c>
      <c r="D1450" t="s">
        <v>72</v>
      </c>
      <c r="E1450">
        <v>1.52</v>
      </c>
      <c r="F1450">
        <v>4.55</v>
      </c>
      <c r="G1450" s="8">
        <f t="shared" si="22"/>
        <v>20.043956043956044</v>
      </c>
    </row>
    <row r="1451" spans="1:7" x14ac:dyDescent="0.25">
      <c r="A1451" s="5">
        <v>45810.78125</v>
      </c>
      <c r="B1451">
        <v>58</v>
      </c>
      <c r="C1451" t="s">
        <v>72</v>
      </c>
      <c r="D1451" t="s">
        <v>73</v>
      </c>
      <c r="E1451">
        <v>1.5</v>
      </c>
      <c r="F1451">
        <v>4.45</v>
      </c>
      <c r="G1451" s="8">
        <f t="shared" si="22"/>
        <v>20.224719101123593</v>
      </c>
    </row>
    <row r="1452" spans="1:7" x14ac:dyDescent="0.25">
      <c r="A1452" s="5">
        <v>45810.791666666664</v>
      </c>
      <c r="B1452">
        <v>1</v>
      </c>
      <c r="C1452" t="s">
        <v>6</v>
      </c>
      <c r="D1452" t="s">
        <v>7</v>
      </c>
      <c r="E1452">
        <v>1.53</v>
      </c>
      <c r="F1452">
        <v>3.43</v>
      </c>
      <c r="G1452" s="8">
        <f t="shared" si="22"/>
        <v>26.763848396501455</v>
      </c>
    </row>
    <row r="1453" spans="1:7" x14ac:dyDescent="0.25">
      <c r="A1453" s="5">
        <v>45810.791666666664</v>
      </c>
      <c r="B1453">
        <v>2</v>
      </c>
      <c r="C1453" t="s">
        <v>7</v>
      </c>
      <c r="D1453" t="s">
        <v>8</v>
      </c>
      <c r="E1453">
        <v>1.57</v>
      </c>
      <c r="F1453">
        <v>5.77</v>
      </c>
      <c r="G1453" s="8">
        <f t="shared" si="22"/>
        <v>16.325823223570193</v>
      </c>
    </row>
    <row r="1454" spans="1:7" x14ac:dyDescent="0.25">
      <c r="A1454" s="5">
        <v>45810.791666666664</v>
      </c>
      <c r="B1454">
        <v>3</v>
      </c>
      <c r="C1454" t="s">
        <v>8</v>
      </c>
      <c r="D1454" t="s">
        <v>9</v>
      </c>
      <c r="E1454">
        <v>1.5</v>
      </c>
      <c r="F1454">
        <v>4.33</v>
      </c>
      <c r="G1454" s="8">
        <f t="shared" si="22"/>
        <v>20.785219399538107</v>
      </c>
    </row>
    <row r="1455" spans="1:7" x14ac:dyDescent="0.25">
      <c r="A1455" s="5">
        <v>45810.791666666664</v>
      </c>
      <c r="B1455">
        <v>4</v>
      </c>
      <c r="C1455" t="s">
        <v>9</v>
      </c>
      <c r="D1455" t="s">
        <v>10</v>
      </c>
      <c r="E1455">
        <v>1.5</v>
      </c>
      <c r="F1455">
        <v>3.72</v>
      </c>
      <c r="G1455" s="8">
        <f t="shared" si="22"/>
        <v>24.193548387096772</v>
      </c>
    </row>
    <row r="1456" spans="1:7" x14ac:dyDescent="0.25">
      <c r="A1456" s="5">
        <v>45810.791666666664</v>
      </c>
      <c r="B1456">
        <v>5</v>
      </c>
      <c r="C1456" t="s">
        <v>10</v>
      </c>
      <c r="D1456" t="s">
        <v>11</v>
      </c>
      <c r="E1456">
        <v>1.52</v>
      </c>
      <c r="F1456">
        <v>4.55</v>
      </c>
      <c r="G1456" s="8">
        <f t="shared" si="22"/>
        <v>20.043956043956044</v>
      </c>
    </row>
    <row r="1457" spans="1:7" x14ac:dyDescent="0.25">
      <c r="A1457" s="5">
        <v>45810.791666666664</v>
      </c>
      <c r="B1457">
        <v>6</v>
      </c>
      <c r="C1457" t="s">
        <v>11</v>
      </c>
      <c r="D1457" t="s">
        <v>12</v>
      </c>
      <c r="E1457">
        <v>1.5</v>
      </c>
      <c r="F1457">
        <v>2.73</v>
      </c>
      <c r="G1457" s="8">
        <f t="shared" si="22"/>
        <v>32.967032967032971</v>
      </c>
    </row>
    <row r="1458" spans="1:7" x14ac:dyDescent="0.25">
      <c r="A1458" s="5">
        <v>45810.791666666664</v>
      </c>
      <c r="B1458">
        <v>7</v>
      </c>
      <c r="C1458" t="s">
        <v>12</v>
      </c>
      <c r="D1458" t="s">
        <v>13</v>
      </c>
      <c r="E1458">
        <v>1.54</v>
      </c>
      <c r="F1458">
        <v>2.68</v>
      </c>
      <c r="G1458" s="8">
        <f t="shared" si="22"/>
        <v>34.477611940298509</v>
      </c>
    </row>
    <row r="1459" spans="1:7" x14ac:dyDescent="0.25">
      <c r="A1459" s="5">
        <v>45810.791666666664</v>
      </c>
      <c r="B1459">
        <v>8</v>
      </c>
      <c r="C1459" t="s">
        <v>13</v>
      </c>
      <c r="D1459" t="s">
        <v>14</v>
      </c>
      <c r="E1459">
        <v>1.54</v>
      </c>
      <c r="F1459">
        <v>3.35</v>
      </c>
      <c r="G1459" s="8">
        <f t="shared" si="22"/>
        <v>27.582089552238806</v>
      </c>
    </row>
    <row r="1460" spans="1:7" x14ac:dyDescent="0.25">
      <c r="A1460" s="5">
        <v>45810.791666666664</v>
      </c>
      <c r="B1460">
        <v>9</v>
      </c>
      <c r="C1460" t="s">
        <v>14</v>
      </c>
      <c r="D1460" t="s">
        <v>15</v>
      </c>
      <c r="E1460">
        <v>1.52</v>
      </c>
      <c r="F1460">
        <v>6.05</v>
      </c>
      <c r="G1460" s="8">
        <f t="shared" si="22"/>
        <v>15.074380165289258</v>
      </c>
    </row>
    <row r="1461" spans="1:7" x14ac:dyDescent="0.25">
      <c r="A1461" s="5">
        <v>45810.791666666664</v>
      </c>
      <c r="B1461">
        <v>10</v>
      </c>
      <c r="C1461" t="s">
        <v>15</v>
      </c>
      <c r="D1461" t="s">
        <v>16</v>
      </c>
      <c r="E1461">
        <v>1.5</v>
      </c>
      <c r="F1461">
        <v>4.42</v>
      </c>
      <c r="G1461" s="8">
        <f t="shared" si="22"/>
        <v>20.361990950226243</v>
      </c>
    </row>
    <row r="1462" spans="1:7" x14ac:dyDescent="0.25">
      <c r="A1462" s="5">
        <v>45810.791666666664</v>
      </c>
      <c r="B1462">
        <v>11</v>
      </c>
      <c r="C1462" t="s">
        <v>16</v>
      </c>
      <c r="D1462" t="s">
        <v>17</v>
      </c>
      <c r="E1462">
        <v>1.48</v>
      </c>
      <c r="F1462">
        <v>3.63</v>
      </c>
      <c r="G1462" s="8">
        <f t="shared" si="22"/>
        <v>24.462809917355372</v>
      </c>
    </row>
    <row r="1463" spans="1:7" x14ac:dyDescent="0.25">
      <c r="A1463" s="5">
        <v>45810.791666666664</v>
      </c>
      <c r="B1463">
        <v>12</v>
      </c>
      <c r="C1463" t="s">
        <v>17</v>
      </c>
      <c r="D1463" t="s">
        <v>18</v>
      </c>
      <c r="E1463">
        <v>1.46</v>
      </c>
      <c r="F1463">
        <v>6.33</v>
      </c>
      <c r="G1463" s="8">
        <f t="shared" si="22"/>
        <v>13.838862559241704</v>
      </c>
    </row>
    <row r="1464" spans="1:7" x14ac:dyDescent="0.25">
      <c r="A1464" s="5">
        <v>45810.791666666664</v>
      </c>
      <c r="B1464">
        <v>13</v>
      </c>
      <c r="C1464" t="s">
        <v>18</v>
      </c>
      <c r="D1464" t="s">
        <v>19</v>
      </c>
      <c r="E1464">
        <v>1.52</v>
      </c>
      <c r="F1464">
        <v>4.7699999999999996</v>
      </c>
      <c r="G1464" s="8">
        <f t="shared" si="22"/>
        <v>19.119496855345915</v>
      </c>
    </row>
    <row r="1465" spans="1:7" x14ac:dyDescent="0.25">
      <c r="A1465" s="5">
        <v>45810.791666666664</v>
      </c>
      <c r="B1465">
        <v>14</v>
      </c>
      <c r="C1465" t="s">
        <v>19</v>
      </c>
      <c r="D1465" t="s">
        <v>20</v>
      </c>
      <c r="E1465">
        <v>1.51</v>
      </c>
      <c r="F1465">
        <v>4.9000000000000004</v>
      </c>
      <c r="G1465" s="8">
        <f t="shared" si="22"/>
        <v>18.489795918367346</v>
      </c>
    </row>
    <row r="1466" spans="1:7" x14ac:dyDescent="0.25">
      <c r="A1466" s="5">
        <v>45810.791666666664</v>
      </c>
      <c r="B1466">
        <v>15</v>
      </c>
      <c r="C1466" t="s">
        <v>20</v>
      </c>
      <c r="D1466" t="s">
        <v>21</v>
      </c>
      <c r="E1466">
        <v>1.47</v>
      </c>
      <c r="F1466">
        <v>3.7</v>
      </c>
      <c r="G1466" s="8">
        <f t="shared" si="22"/>
        <v>23.837837837837839</v>
      </c>
    </row>
    <row r="1467" spans="1:7" x14ac:dyDescent="0.25">
      <c r="A1467" s="5">
        <v>45810.791666666664</v>
      </c>
      <c r="B1467">
        <v>16</v>
      </c>
      <c r="C1467" t="s">
        <v>21</v>
      </c>
      <c r="D1467" t="s">
        <v>22</v>
      </c>
      <c r="E1467">
        <v>1.5</v>
      </c>
      <c r="F1467">
        <v>1.98</v>
      </c>
      <c r="G1467" s="8">
        <f t="shared" si="22"/>
        <v>45.454545454545453</v>
      </c>
    </row>
    <row r="1468" spans="1:7" x14ac:dyDescent="0.25">
      <c r="A1468" s="5">
        <v>45810.791666666664</v>
      </c>
      <c r="B1468">
        <v>17</v>
      </c>
      <c r="C1468" t="s">
        <v>22</v>
      </c>
      <c r="D1468" t="s">
        <v>23</v>
      </c>
      <c r="E1468">
        <v>1.51</v>
      </c>
      <c r="F1468">
        <v>4.42</v>
      </c>
      <c r="G1468" s="8">
        <f t="shared" si="22"/>
        <v>20.497737556561084</v>
      </c>
    </row>
    <row r="1469" spans="1:7" x14ac:dyDescent="0.25">
      <c r="A1469" s="5">
        <v>45810.791666666664</v>
      </c>
      <c r="B1469">
        <v>18</v>
      </c>
      <c r="C1469" t="s">
        <v>23</v>
      </c>
      <c r="D1469" t="s">
        <v>24</v>
      </c>
      <c r="E1469">
        <v>1.51</v>
      </c>
      <c r="F1469">
        <v>4.62</v>
      </c>
      <c r="G1469" s="8">
        <f t="shared" si="22"/>
        <v>19.61038961038961</v>
      </c>
    </row>
    <row r="1470" spans="1:7" x14ac:dyDescent="0.25">
      <c r="A1470" s="5">
        <v>45810.791666666664</v>
      </c>
      <c r="B1470">
        <v>19</v>
      </c>
      <c r="C1470" t="s">
        <v>25</v>
      </c>
      <c r="D1470" t="s">
        <v>26</v>
      </c>
      <c r="E1470">
        <v>1.5</v>
      </c>
      <c r="F1470">
        <v>3.77</v>
      </c>
      <c r="G1470" s="8">
        <f t="shared" si="22"/>
        <v>23.872679045092838</v>
      </c>
    </row>
    <row r="1471" spans="1:7" x14ac:dyDescent="0.25">
      <c r="A1471" s="5">
        <v>45810.791666666664</v>
      </c>
      <c r="B1471">
        <v>20</v>
      </c>
      <c r="C1471" t="s">
        <v>26</v>
      </c>
      <c r="D1471" t="s">
        <v>27</v>
      </c>
      <c r="E1471">
        <v>1.48</v>
      </c>
      <c r="F1471">
        <v>3.55</v>
      </c>
      <c r="G1471" s="8">
        <f t="shared" si="22"/>
        <v>25.014084507042256</v>
      </c>
    </row>
    <row r="1472" spans="1:7" x14ac:dyDescent="0.25">
      <c r="A1472" s="5">
        <v>45810.791666666664</v>
      </c>
      <c r="B1472">
        <v>21</v>
      </c>
      <c r="C1472" t="s">
        <v>27</v>
      </c>
      <c r="D1472" t="s">
        <v>28</v>
      </c>
      <c r="E1472">
        <v>1.51</v>
      </c>
      <c r="F1472">
        <v>3.12</v>
      </c>
      <c r="G1472" s="8">
        <f t="shared" si="22"/>
        <v>29.038461538461537</v>
      </c>
    </row>
    <row r="1473" spans="1:7" x14ac:dyDescent="0.25">
      <c r="A1473" s="5">
        <v>45810.791666666664</v>
      </c>
      <c r="B1473">
        <v>22</v>
      </c>
      <c r="C1473" t="s">
        <v>28</v>
      </c>
      <c r="D1473" t="s">
        <v>29</v>
      </c>
      <c r="E1473">
        <v>1.57</v>
      </c>
      <c r="F1473">
        <v>3.48</v>
      </c>
      <c r="G1473" s="8">
        <f t="shared" si="22"/>
        <v>27.068965517241381</v>
      </c>
    </row>
    <row r="1474" spans="1:7" x14ac:dyDescent="0.25">
      <c r="A1474" s="5">
        <v>45810.791666666664</v>
      </c>
      <c r="B1474">
        <v>23</v>
      </c>
      <c r="C1474" t="s">
        <v>29</v>
      </c>
      <c r="D1474" t="s">
        <v>30</v>
      </c>
      <c r="E1474">
        <v>1.43</v>
      </c>
      <c r="F1474">
        <v>4.55</v>
      </c>
      <c r="G1474" s="8">
        <f t="shared" si="22"/>
        <v>18.857142857142858</v>
      </c>
    </row>
    <row r="1475" spans="1:7" x14ac:dyDescent="0.25">
      <c r="A1475" s="5">
        <v>45810.791666666664</v>
      </c>
      <c r="B1475">
        <v>24</v>
      </c>
      <c r="C1475" t="s">
        <v>30</v>
      </c>
      <c r="D1475" t="s">
        <v>31</v>
      </c>
      <c r="E1475">
        <v>1.52</v>
      </c>
      <c r="F1475">
        <v>3.57</v>
      </c>
      <c r="G1475" s="8">
        <f t="shared" ref="G1475:G1509" si="23">E1475*60/F1475</f>
        <v>25.54621848739496</v>
      </c>
    </row>
    <row r="1476" spans="1:7" x14ac:dyDescent="0.25">
      <c r="A1476" s="5">
        <v>45810.791666666664</v>
      </c>
      <c r="B1476">
        <v>25</v>
      </c>
      <c r="C1476" t="s">
        <v>31</v>
      </c>
      <c r="D1476" t="s">
        <v>32</v>
      </c>
      <c r="E1476">
        <v>1.52</v>
      </c>
      <c r="F1476">
        <v>3.52</v>
      </c>
      <c r="G1476" s="8">
        <f t="shared" si="23"/>
        <v>25.90909090909091</v>
      </c>
    </row>
    <row r="1477" spans="1:7" x14ac:dyDescent="0.25">
      <c r="A1477" s="5">
        <v>45810.791666666664</v>
      </c>
      <c r="B1477">
        <v>26</v>
      </c>
      <c r="C1477" t="s">
        <v>32</v>
      </c>
      <c r="D1477" t="s">
        <v>33</v>
      </c>
      <c r="E1477">
        <v>1.49</v>
      </c>
      <c r="F1477">
        <v>4.42</v>
      </c>
      <c r="G1477" s="8">
        <f t="shared" si="23"/>
        <v>20.226244343891405</v>
      </c>
    </row>
    <row r="1478" spans="1:7" x14ac:dyDescent="0.25">
      <c r="A1478" s="5">
        <v>45810.791666666664</v>
      </c>
      <c r="B1478">
        <v>27</v>
      </c>
      <c r="C1478" t="s">
        <v>33</v>
      </c>
      <c r="D1478" t="s">
        <v>34</v>
      </c>
      <c r="E1478">
        <v>1.53</v>
      </c>
      <c r="F1478">
        <v>7.3</v>
      </c>
      <c r="G1478" s="8">
        <f t="shared" si="23"/>
        <v>12.575342465753424</v>
      </c>
    </row>
    <row r="1479" spans="1:7" x14ac:dyDescent="0.25">
      <c r="A1479" s="5">
        <v>45810.791666666664</v>
      </c>
      <c r="B1479">
        <v>28</v>
      </c>
      <c r="C1479" t="s">
        <v>34</v>
      </c>
      <c r="D1479" t="s">
        <v>35</v>
      </c>
      <c r="E1479">
        <v>1.51</v>
      </c>
      <c r="F1479">
        <v>4.95</v>
      </c>
      <c r="G1479" s="8">
        <f t="shared" si="23"/>
        <v>18.303030303030301</v>
      </c>
    </row>
    <row r="1480" spans="1:7" x14ac:dyDescent="0.25">
      <c r="A1480" s="5">
        <v>45810.791666666664</v>
      </c>
      <c r="B1480">
        <v>29</v>
      </c>
      <c r="C1480" t="s">
        <v>36</v>
      </c>
      <c r="D1480" t="s">
        <v>37</v>
      </c>
      <c r="E1480">
        <v>1.57</v>
      </c>
      <c r="F1480">
        <v>3.77</v>
      </c>
      <c r="G1480" s="8">
        <f t="shared" si="23"/>
        <v>24.986737400530505</v>
      </c>
    </row>
    <row r="1481" spans="1:7" x14ac:dyDescent="0.25">
      <c r="A1481" s="5">
        <v>45810.791666666664</v>
      </c>
      <c r="B1481">
        <v>30</v>
      </c>
      <c r="C1481" t="s">
        <v>37</v>
      </c>
      <c r="D1481" t="s">
        <v>38</v>
      </c>
      <c r="E1481">
        <v>1.57</v>
      </c>
      <c r="F1481">
        <v>3.62</v>
      </c>
      <c r="G1481" s="8">
        <f t="shared" si="23"/>
        <v>26.022099447513813</v>
      </c>
    </row>
    <row r="1482" spans="1:7" x14ac:dyDescent="0.25">
      <c r="A1482" s="5">
        <v>45810.791666666664</v>
      </c>
      <c r="B1482">
        <v>31</v>
      </c>
      <c r="C1482" t="s">
        <v>38</v>
      </c>
      <c r="D1482" t="s">
        <v>39</v>
      </c>
      <c r="E1482">
        <v>1.52</v>
      </c>
      <c r="F1482">
        <v>3.43</v>
      </c>
      <c r="G1482" s="8">
        <f t="shared" si="23"/>
        <v>26.588921282798832</v>
      </c>
    </row>
    <row r="1483" spans="1:7" x14ac:dyDescent="0.25">
      <c r="A1483" s="5">
        <v>45810.791666666664</v>
      </c>
      <c r="B1483">
        <v>32</v>
      </c>
      <c r="C1483" t="s">
        <v>39</v>
      </c>
      <c r="D1483" t="s">
        <v>40</v>
      </c>
      <c r="E1483">
        <v>1.5</v>
      </c>
      <c r="F1483">
        <v>2.73</v>
      </c>
      <c r="G1483" s="8">
        <f t="shared" si="23"/>
        <v>32.967032967032971</v>
      </c>
    </row>
    <row r="1484" spans="1:7" x14ac:dyDescent="0.25">
      <c r="A1484" s="5">
        <v>45810.791666666664</v>
      </c>
      <c r="B1484">
        <v>33</v>
      </c>
      <c r="C1484" t="s">
        <v>40</v>
      </c>
      <c r="D1484" t="s">
        <v>41</v>
      </c>
      <c r="E1484">
        <v>1.51</v>
      </c>
      <c r="F1484">
        <v>2.78</v>
      </c>
      <c r="G1484" s="8">
        <f t="shared" si="23"/>
        <v>32.589928057553955</v>
      </c>
    </row>
    <row r="1485" spans="1:7" x14ac:dyDescent="0.25">
      <c r="A1485" s="5">
        <v>45810.791666666664</v>
      </c>
      <c r="B1485">
        <v>34</v>
      </c>
      <c r="C1485" t="s">
        <v>41</v>
      </c>
      <c r="D1485" t="s">
        <v>42</v>
      </c>
      <c r="E1485">
        <v>1.5</v>
      </c>
      <c r="F1485">
        <v>2.08</v>
      </c>
      <c r="G1485" s="8">
        <f t="shared" si="23"/>
        <v>43.269230769230766</v>
      </c>
    </row>
    <row r="1486" spans="1:7" x14ac:dyDescent="0.25">
      <c r="A1486" s="5">
        <v>45810.791666666664</v>
      </c>
      <c r="B1486">
        <v>35</v>
      </c>
      <c r="C1486" t="s">
        <v>43</v>
      </c>
      <c r="D1486" t="s">
        <v>44</v>
      </c>
      <c r="E1486">
        <v>1.55</v>
      </c>
      <c r="F1486">
        <v>4.58</v>
      </c>
      <c r="G1486" s="8">
        <f t="shared" si="23"/>
        <v>20.305676855895197</v>
      </c>
    </row>
    <row r="1487" spans="1:7" x14ac:dyDescent="0.25">
      <c r="A1487" s="5">
        <v>45810.791666666664</v>
      </c>
      <c r="B1487">
        <v>36</v>
      </c>
      <c r="C1487" t="s">
        <v>44</v>
      </c>
      <c r="D1487" t="s">
        <v>45</v>
      </c>
      <c r="E1487">
        <v>1.5</v>
      </c>
      <c r="F1487">
        <v>3.93</v>
      </c>
      <c r="G1487" s="8">
        <f t="shared" si="23"/>
        <v>22.900763358778626</v>
      </c>
    </row>
    <row r="1488" spans="1:7" x14ac:dyDescent="0.25">
      <c r="A1488" s="5">
        <v>45810.791666666664</v>
      </c>
      <c r="B1488">
        <v>37</v>
      </c>
      <c r="C1488" t="s">
        <v>45</v>
      </c>
      <c r="D1488" t="s">
        <v>46</v>
      </c>
      <c r="E1488">
        <v>1.38</v>
      </c>
      <c r="F1488">
        <v>6.1</v>
      </c>
      <c r="G1488" s="8">
        <f t="shared" si="23"/>
        <v>13.573770491803279</v>
      </c>
    </row>
    <row r="1489" spans="1:7" x14ac:dyDescent="0.25">
      <c r="A1489" s="5">
        <v>45810.791666666664</v>
      </c>
      <c r="B1489">
        <v>38</v>
      </c>
      <c r="C1489" t="s">
        <v>46</v>
      </c>
      <c r="D1489" t="s">
        <v>47</v>
      </c>
      <c r="E1489">
        <v>1.61</v>
      </c>
      <c r="F1489">
        <v>5.63</v>
      </c>
      <c r="G1489" s="8">
        <f t="shared" si="23"/>
        <v>17.15808170515098</v>
      </c>
    </row>
    <row r="1490" spans="1:7" x14ac:dyDescent="0.25">
      <c r="A1490" s="5">
        <v>45810.791666666664</v>
      </c>
      <c r="B1490">
        <v>39</v>
      </c>
      <c r="C1490" t="s">
        <v>47</v>
      </c>
      <c r="D1490" t="s">
        <v>48</v>
      </c>
      <c r="E1490">
        <v>1.55</v>
      </c>
      <c r="F1490">
        <v>3.93</v>
      </c>
      <c r="G1490" s="8">
        <f t="shared" si="23"/>
        <v>23.664122137404579</v>
      </c>
    </row>
    <row r="1491" spans="1:7" x14ac:dyDescent="0.25">
      <c r="A1491" s="5">
        <v>45810.791666666664</v>
      </c>
      <c r="B1491">
        <v>40</v>
      </c>
      <c r="C1491" t="s">
        <v>48</v>
      </c>
      <c r="D1491" t="s">
        <v>49</v>
      </c>
      <c r="E1491">
        <v>1.39</v>
      </c>
      <c r="F1491">
        <v>3.25</v>
      </c>
      <c r="G1491" s="8">
        <f t="shared" si="23"/>
        <v>25.661538461538459</v>
      </c>
    </row>
    <row r="1492" spans="1:7" x14ac:dyDescent="0.25">
      <c r="A1492" s="5">
        <v>45810.791666666664</v>
      </c>
      <c r="B1492">
        <v>41</v>
      </c>
      <c r="C1492" t="s">
        <v>50</v>
      </c>
      <c r="D1492" t="s">
        <v>51</v>
      </c>
      <c r="E1492">
        <v>1.56</v>
      </c>
      <c r="F1492">
        <v>4.42</v>
      </c>
      <c r="G1492" s="8">
        <f t="shared" si="23"/>
        <v>21.176470588235297</v>
      </c>
    </row>
    <row r="1493" spans="1:7" x14ac:dyDescent="0.25">
      <c r="A1493" s="5">
        <v>45810.791666666664</v>
      </c>
      <c r="B1493">
        <v>42</v>
      </c>
      <c r="C1493" t="s">
        <v>51</v>
      </c>
      <c r="D1493" t="s">
        <v>52</v>
      </c>
      <c r="E1493">
        <v>1.56</v>
      </c>
      <c r="F1493">
        <v>4.75</v>
      </c>
      <c r="G1493" s="8">
        <f t="shared" si="23"/>
        <v>19.705263157894738</v>
      </c>
    </row>
    <row r="1494" spans="1:7" x14ac:dyDescent="0.25">
      <c r="A1494" s="5">
        <v>45810.791666666664</v>
      </c>
      <c r="B1494">
        <v>43</v>
      </c>
      <c r="C1494" t="s">
        <v>52</v>
      </c>
      <c r="D1494" t="s">
        <v>53</v>
      </c>
      <c r="E1494">
        <v>1.51</v>
      </c>
      <c r="F1494">
        <v>3.68</v>
      </c>
      <c r="G1494" s="8">
        <f t="shared" si="23"/>
        <v>24.619565217391301</v>
      </c>
    </row>
    <row r="1495" spans="1:7" x14ac:dyDescent="0.25">
      <c r="A1495" s="5">
        <v>45810.791666666664</v>
      </c>
      <c r="B1495">
        <v>44</v>
      </c>
      <c r="C1495" t="s">
        <v>54</v>
      </c>
      <c r="D1495" t="s">
        <v>55</v>
      </c>
      <c r="E1495">
        <v>1.51</v>
      </c>
      <c r="F1495">
        <v>4.47</v>
      </c>
      <c r="G1495" s="8">
        <f t="shared" si="23"/>
        <v>20.268456375838927</v>
      </c>
    </row>
    <row r="1496" spans="1:7" x14ac:dyDescent="0.25">
      <c r="A1496" s="5">
        <v>45810.791666666664</v>
      </c>
      <c r="B1496">
        <v>45</v>
      </c>
      <c r="C1496" t="s">
        <v>55</v>
      </c>
      <c r="D1496" t="s">
        <v>56</v>
      </c>
      <c r="E1496">
        <v>1.49</v>
      </c>
      <c r="F1496">
        <v>5.82</v>
      </c>
      <c r="G1496" s="8">
        <f t="shared" si="23"/>
        <v>15.360824742268042</v>
      </c>
    </row>
    <row r="1497" spans="1:7" x14ac:dyDescent="0.25">
      <c r="A1497" s="5">
        <v>45810.791666666664</v>
      </c>
      <c r="B1497">
        <v>46</v>
      </c>
      <c r="C1497" t="s">
        <v>56</v>
      </c>
      <c r="D1497" t="s">
        <v>57</v>
      </c>
      <c r="E1497">
        <v>1.52</v>
      </c>
      <c r="F1497">
        <v>4.82</v>
      </c>
      <c r="G1497" s="8">
        <f t="shared" si="23"/>
        <v>18.921161825726141</v>
      </c>
    </row>
    <row r="1498" spans="1:7" x14ac:dyDescent="0.25">
      <c r="A1498" s="5">
        <v>45810.791666666664</v>
      </c>
      <c r="B1498">
        <v>47</v>
      </c>
      <c r="C1498" t="s">
        <v>58</v>
      </c>
      <c r="D1498" t="s">
        <v>59</v>
      </c>
      <c r="E1498">
        <v>1.52</v>
      </c>
      <c r="F1498">
        <v>6.38</v>
      </c>
      <c r="G1498" s="8">
        <f t="shared" si="23"/>
        <v>14.294670846394984</v>
      </c>
    </row>
    <row r="1499" spans="1:7" x14ac:dyDescent="0.25">
      <c r="A1499" s="5">
        <v>45810.791666666664</v>
      </c>
      <c r="B1499">
        <v>48</v>
      </c>
      <c r="C1499" t="s">
        <v>59</v>
      </c>
      <c r="D1499" t="s">
        <v>60</v>
      </c>
      <c r="E1499">
        <v>1.5</v>
      </c>
      <c r="F1499">
        <v>4.0999999999999996</v>
      </c>
      <c r="G1499" s="8">
        <f t="shared" si="23"/>
        <v>21.951219512195124</v>
      </c>
    </row>
    <row r="1500" spans="1:7" x14ac:dyDescent="0.25">
      <c r="A1500" s="5">
        <v>45810.791666666664</v>
      </c>
      <c r="B1500">
        <v>49</v>
      </c>
      <c r="C1500" t="s">
        <v>60</v>
      </c>
      <c r="D1500" t="s">
        <v>61</v>
      </c>
      <c r="E1500">
        <v>1.54</v>
      </c>
      <c r="F1500">
        <v>7.07</v>
      </c>
      <c r="G1500" s="8">
        <f t="shared" si="23"/>
        <v>13.06930693069307</v>
      </c>
    </row>
    <row r="1501" spans="1:7" x14ac:dyDescent="0.25">
      <c r="A1501" s="5">
        <v>45810.791666666664</v>
      </c>
      <c r="B1501">
        <v>50</v>
      </c>
      <c r="C1501" t="s">
        <v>62</v>
      </c>
      <c r="D1501" t="s">
        <v>63</v>
      </c>
      <c r="E1501">
        <v>1.38</v>
      </c>
      <c r="F1501">
        <v>3.2</v>
      </c>
      <c r="G1501" s="8">
        <f t="shared" si="23"/>
        <v>25.874999999999996</v>
      </c>
    </row>
    <row r="1502" spans="1:7" x14ac:dyDescent="0.25">
      <c r="A1502" s="5">
        <v>45810.791666666664</v>
      </c>
      <c r="B1502">
        <v>51</v>
      </c>
      <c r="C1502" t="s">
        <v>63</v>
      </c>
      <c r="D1502" t="s">
        <v>64</v>
      </c>
      <c r="E1502">
        <v>2.79</v>
      </c>
      <c r="F1502">
        <v>5.88</v>
      </c>
      <c r="G1502" s="8">
        <f t="shared" si="23"/>
        <v>28.469387755102041</v>
      </c>
    </row>
    <row r="1503" spans="1:7" x14ac:dyDescent="0.25">
      <c r="A1503" s="5">
        <v>45810.791666666664</v>
      </c>
      <c r="B1503">
        <v>52</v>
      </c>
      <c r="C1503" t="s">
        <v>64</v>
      </c>
      <c r="D1503" t="s">
        <v>65</v>
      </c>
      <c r="E1503">
        <v>1.5</v>
      </c>
      <c r="F1503">
        <v>2.92</v>
      </c>
      <c r="G1503" s="8">
        <f t="shared" si="23"/>
        <v>30.82191780821918</v>
      </c>
    </row>
    <row r="1504" spans="1:7" x14ac:dyDescent="0.25">
      <c r="A1504" s="5">
        <v>45810.791666666664</v>
      </c>
      <c r="B1504">
        <v>53</v>
      </c>
      <c r="C1504" t="s">
        <v>65</v>
      </c>
      <c r="D1504" t="s">
        <v>66</v>
      </c>
      <c r="E1504">
        <v>1.46</v>
      </c>
      <c r="F1504">
        <v>3.87</v>
      </c>
      <c r="G1504" s="8">
        <f t="shared" si="23"/>
        <v>22.63565891472868</v>
      </c>
    </row>
    <row r="1505" spans="1:7" x14ac:dyDescent="0.25">
      <c r="A1505" s="5">
        <v>45810.791666666664</v>
      </c>
      <c r="B1505">
        <v>54</v>
      </c>
      <c r="C1505" t="s">
        <v>67</v>
      </c>
      <c r="D1505" t="s">
        <v>68</v>
      </c>
      <c r="E1505">
        <v>1.46</v>
      </c>
      <c r="F1505">
        <v>4.33</v>
      </c>
      <c r="G1505" s="8">
        <f t="shared" si="23"/>
        <v>20.23094688221709</v>
      </c>
    </row>
    <row r="1506" spans="1:7" x14ac:dyDescent="0.25">
      <c r="A1506" s="5">
        <v>45810.791666666664</v>
      </c>
      <c r="B1506">
        <v>55</v>
      </c>
      <c r="C1506" t="s">
        <v>68</v>
      </c>
      <c r="D1506" t="s">
        <v>69</v>
      </c>
      <c r="E1506">
        <v>1.5</v>
      </c>
      <c r="F1506">
        <v>2.27</v>
      </c>
      <c r="G1506" s="8">
        <f t="shared" si="23"/>
        <v>39.647577092511014</v>
      </c>
    </row>
    <row r="1507" spans="1:7" x14ac:dyDescent="0.25">
      <c r="A1507" s="5">
        <v>45810.791666666664</v>
      </c>
      <c r="B1507">
        <v>56</v>
      </c>
      <c r="C1507" t="s">
        <v>70</v>
      </c>
      <c r="D1507" t="s">
        <v>71</v>
      </c>
      <c r="E1507">
        <v>1.51</v>
      </c>
      <c r="F1507">
        <v>7.07</v>
      </c>
      <c r="G1507" s="8">
        <f t="shared" si="23"/>
        <v>12.814710042432813</v>
      </c>
    </row>
    <row r="1508" spans="1:7" x14ac:dyDescent="0.25">
      <c r="A1508" s="5">
        <v>45810.791666666664</v>
      </c>
      <c r="B1508">
        <v>57</v>
      </c>
      <c r="C1508" t="s">
        <v>71</v>
      </c>
      <c r="D1508" t="s">
        <v>72</v>
      </c>
      <c r="E1508">
        <v>1.52</v>
      </c>
      <c r="F1508">
        <v>4.47</v>
      </c>
      <c r="G1508" s="8">
        <f t="shared" si="23"/>
        <v>20.402684563758392</v>
      </c>
    </row>
    <row r="1509" spans="1:7" x14ac:dyDescent="0.25">
      <c r="A1509" s="5">
        <v>45810.791666666664</v>
      </c>
      <c r="B1509">
        <v>58</v>
      </c>
      <c r="C1509" t="s">
        <v>72</v>
      </c>
      <c r="D1509" t="s">
        <v>73</v>
      </c>
      <c r="E1509">
        <v>1.5</v>
      </c>
      <c r="F1509">
        <v>4.17</v>
      </c>
      <c r="G1509" s="8">
        <f t="shared" si="23"/>
        <v>21.582733812949641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9"/>
  <sheetViews>
    <sheetView workbookViewId="0">
      <selection activeCell="A2" sqref="A2"/>
    </sheetView>
  </sheetViews>
  <sheetFormatPr defaultRowHeight="15" x14ac:dyDescent="0.25"/>
  <cols>
    <col min="1" max="1" width="10.5703125" style="87" customWidth="1"/>
    <col min="3" max="3" width="38.140625" customWidth="1"/>
    <col min="4" max="4" width="37.85546875" customWidth="1"/>
    <col min="5" max="5" width="18.42578125" customWidth="1"/>
    <col min="6" max="6" width="22.42578125" customWidth="1"/>
    <col min="7" max="7" width="13.7109375" customWidth="1"/>
  </cols>
  <sheetData>
    <row r="1" spans="1:7" x14ac:dyDescent="0.25">
      <c r="A1" s="8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74</v>
      </c>
    </row>
    <row r="2" spans="1:7" x14ac:dyDescent="0.25">
      <c r="A2" s="87">
        <v>45804.291666666664</v>
      </c>
      <c r="B2">
        <v>1</v>
      </c>
      <c r="C2" t="s">
        <v>6</v>
      </c>
      <c r="D2" t="s">
        <v>7</v>
      </c>
      <c r="E2">
        <v>1.53</v>
      </c>
      <c r="F2">
        <v>2.78</v>
      </c>
      <c r="G2" s="8">
        <f>E2*60/F2</f>
        <v>33.021582733812949</v>
      </c>
    </row>
    <row r="3" spans="1:7" x14ac:dyDescent="0.25">
      <c r="A3" s="87">
        <v>45804.291666666664</v>
      </c>
      <c r="B3">
        <v>2</v>
      </c>
      <c r="C3" t="s">
        <v>7</v>
      </c>
      <c r="D3" t="s">
        <v>8</v>
      </c>
      <c r="E3">
        <v>1.57</v>
      </c>
      <c r="F3">
        <v>3.93</v>
      </c>
      <c r="G3" s="8">
        <f t="shared" ref="G3:G66" si="0">E3*60/F3</f>
        <v>23.96946564885496</v>
      </c>
    </row>
    <row r="4" spans="1:7" x14ac:dyDescent="0.25">
      <c r="A4" s="87">
        <v>45804.291666666664</v>
      </c>
      <c r="B4">
        <v>3</v>
      </c>
      <c r="C4" t="s">
        <v>8</v>
      </c>
      <c r="D4" t="s">
        <v>9</v>
      </c>
      <c r="E4">
        <v>1.5</v>
      </c>
      <c r="F4">
        <v>2.62</v>
      </c>
      <c r="G4" s="8">
        <f t="shared" si="0"/>
        <v>34.351145038167935</v>
      </c>
    </row>
    <row r="5" spans="1:7" x14ac:dyDescent="0.25">
      <c r="A5" s="87">
        <v>45804.291666666664</v>
      </c>
      <c r="B5">
        <v>4</v>
      </c>
      <c r="C5" t="s">
        <v>9</v>
      </c>
      <c r="D5" t="s">
        <v>10</v>
      </c>
      <c r="E5">
        <v>1.5</v>
      </c>
      <c r="F5">
        <v>2.4300000000000002</v>
      </c>
      <c r="G5" s="8">
        <f t="shared" si="0"/>
        <v>37.037037037037038</v>
      </c>
    </row>
    <row r="6" spans="1:7" x14ac:dyDescent="0.25">
      <c r="A6" s="87">
        <v>45804.291666666664</v>
      </c>
      <c r="B6">
        <v>5</v>
      </c>
      <c r="C6" t="s">
        <v>10</v>
      </c>
      <c r="D6" t="s">
        <v>11</v>
      </c>
      <c r="E6">
        <v>1.52</v>
      </c>
      <c r="F6">
        <v>2.6</v>
      </c>
      <c r="G6" s="8">
        <f t="shared" si="0"/>
        <v>35.07692307692308</v>
      </c>
    </row>
    <row r="7" spans="1:7" x14ac:dyDescent="0.25">
      <c r="A7" s="87">
        <v>45804.291666666664</v>
      </c>
      <c r="B7">
        <v>6</v>
      </c>
      <c r="C7" t="s">
        <v>11</v>
      </c>
      <c r="D7" t="s">
        <v>12</v>
      </c>
      <c r="E7">
        <v>1.5</v>
      </c>
      <c r="F7">
        <v>2.42</v>
      </c>
      <c r="G7" s="8">
        <f t="shared" si="0"/>
        <v>37.190082644628099</v>
      </c>
    </row>
    <row r="8" spans="1:7" x14ac:dyDescent="0.25">
      <c r="A8" s="87">
        <v>45804.291666666664</v>
      </c>
      <c r="B8">
        <v>7</v>
      </c>
      <c r="C8" t="s">
        <v>12</v>
      </c>
      <c r="D8" t="s">
        <v>13</v>
      </c>
      <c r="E8">
        <v>1.54</v>
      </c>
      <c r="F8">
        <v>2.52</v>
      </c>
      <c r="G8" s="8">
        <f t="shared" si="0"/>
        <v>36.666666666666671</v>
      </c>
    </row>
    <row r="9" spans="1:7" x14ac:dyDescent="0.25">
      <c r="A9" s="87">
        <v>45804.291666666664</v>
      </c>
      <c r="B9">
        <v>8</v>
      </c>
      <c r="C9" t="s">
        <v>13</v>
      </c>
      <c r="D9" t="s">
        <v>14</v>
      </c>
      <c r="E9">
        <v>1.54</v>
      </c>
      <c r="F9">
        <v>2.77</v>
      </c>
      <c r="G9" s="8">
        <f t="shared" si="0"/>
        <v>33.357400722021666</v>
      </c>
    </row>
    <row r="10" spans="1:7" x14ac:dyDescent="0.25">
      <c r="A10" s="87">
        <v>45804.291666666664</v>
      </c>
      <c r="B10">
        <v>9</v>
      </c>
      <c r="C10" t="s">
        <v>14</v>
      </c>
      <c r="D10" t="s">
        <v>15</v>
      </c>
      <c r="E10">
        <v>1.52</v>
      </c>
      <c r="F10">
        <v>2.82</v>
      </c>
      <c r="G10" s="8">
        <f t="shared" si="0"/>
        <v>32.340425531914896</v>
      </c>
    </row>
    <row r="11" spans="1:7" x14ac:dyDescent="0.25">
      <c r="A11" s="87">
        <v>45804.291666666664</v>
      </c>
      <c r="B11">
        <v>10</v>
      </c>
      <c r="C11" t="s">
        <v>15</v>
      </c>
      <c r="D11" t="s">
        <v>16</v>
      </c>
      <c r="E11">
        <v>1.5</v>
      </c>
      <c r="F11">
        <v>2.82</v>
      </c>
      <c r="G11" s="8">
        <f t="shared" si="0"/>
        <v>31.914893617021278</v>
      </c>
    </row>
    <row r="12" spans="1:7" x14ac:dyDescent="0.25">
      <c r="A12" s="87">
        <v>45804.291666666664</v>
      </c>
      <c r="B12">
        <v>11</v>
      </c>
      <c r="C12" t="s">
        <v>16</v>
      </c>
      <c r="D12" t="s">
        <v>17</v>
      </c>
      <c r="E12">
        <v>1.48</v>
      </c>
      <c r="F12">
        <v>2.23</v>
      </c>
      <c r="G12" s="8">
        <f t="shared" si="0"/>
        <v>39.820627802690581</v>
      </c>
    </row>
    <row r="13" spans="1:7" x14ac:dyDescent="0.25">
      <c r="A13" s="87">
        <v>45804.291666666664</v>
      </c>
      <c r="B13">
        <v>12</v>
      </c>
      <c r="C13" t="s">
        <v>17</v>
      </c>
      <c r="D13" t="s">
        <v>18</v>
      </c>
      <c r="E13">
        <v>1.46</v>
      </c>
      <c r="F13">
        <v>2.58</v>
      </c>
      <c r="G13" s="8">
        <f t="shared" si="0"/>
        <v>33.95348837209302</v>
      </c>
    </row>
    <row r="14" spans="1:7" x14ac:dyDescent="0.25">
      <c r="A14" s="87">
        <v>45804.291666666664</v>
      </c>
      <c r="B14">
        <v>13</v>
      </c>
      <c r="C14" t="s">
        <v>18</v>
      </c>
      <c r="D14" t="s">
        <v>19</v>
      </c>
      <c r="E14">
        <v>1.52</v>
      </c>
      <c r="F14">
        <v>3.07</v>
      </c>
      <c r="G14" s="8">
        <f t="shared" si="0"/>
        <v>29.706840390879481</v>
      </c>
    </row>
    <row r="15" spans="1:7" x14ac:dyDescent="0.25">
      <c r="A15" s="87">
        <v>45804.291666666664</v>
      </c>
      <c r="B15">
        <v>14</v>
      </c>
      <c r="C15" t="s">
        <v>19</v>
      </c>
      <c r="D15" t="s">
        <v>20</v>
      </c>
      <c r="E15">
        <v>1.51</v>
      </c>
      <c r="F15">
        <v>2.92</v>
      </c>
      <c r="G15" s="8">
        <f t="shared" si="0"/>
        <v>31.027397260273972</v>
      </c>
    </row>
    <row r="16" spans="1:7" x14ac:dyDescent="0.25">
      <c r="A16" s="87">
        <v>45804.291666666664</v>
      </c>
      <c r="B16">
        <v>15</v>
      </c>
      <c r="C16" t="s">
        <v>20</v>
      </c>
      <c r="D16" t="s">
        <v>21</v>
      </c>
      <c r="E16">
        <v>1.47</v>
      </c>
      <c r="F16">
        <v>1.95</v>
      </c>
      <c r="G16" s="8">
        <f t="shared" si="0"/>
        <v>45.230769230769234</v>
      </c>
    </row>
    <row r="17" spans="1:7" x14ac:dyDescent="0.25">
      <c r="A17" s="87">
        <v>45804.291666666664</v>
      </c>
      <c r="B17">
        <v>16</v>
      </c>
      <c r="C17" t="s">
        <v>21</v>
      </c>
      <c r="D17" t="s">
        <v>22</v>
      </c>
      <c r="E17">
        <v>1.5</v>
      </c>
      <c r="F17">
        <v>1.73</v>
      </c>
      <c r="G17" s="8">
        <f t="shared" si="0"/>
        <v>52.02312138728324</v>
      </c>
    </row>
    <row r="18" spans="1:7" x14ac:dyDescent="0.25">
      <c r="A18" s="87">
        <v>45804.291666666664</v>
      </c>
      <c r="B18">
        <v>17</v>
      </c>
      <c r="C18" t="s">
        <v>22</v>
      </c>
      <c r="D18" t="s">
        <v>23</v>
      </c>
      <c r="E18">
        <v>1.51</v>
      </c>
      <c r="F18">
        <v>2.5</v>
      </c>
      <c r="G18" s="8">
        <f t="shared" si="0"/>
        <v>36.239999999999995</v>
      </c>
    </row>
    <row r="19" spans="1:7" x14ac:dyDescent="0.25">
      <c r="A19" s="87">
        <v>45804.291666666664</v>
      </c>
      <c r="B19">
        <v>18</v>
      </c>
      <c r="C19" t="s">
        <v>23</v>
      </c>
      <c r="D19" t="s">
        <v>24</v>
      </c>
      <c r="E19">
        <v>1.51</v>
      </c>
      <c r="F19">
        <v>2.48</v>
      </c>
      <c r="G19" s="8">
        <f t="shared" si="0"/>
        <v>36.532258064516128</v>
      </c>
    </row>
    <row r="20" spans="1:7" x14ac:dyDescent="0.25">
      <c r="A20" s="87">
        <v>45804.291666666664</v>
      </c>
      <c r="B20">
        <v>19</v>
      </c>
      <c r="C20" t="s">
        <v>25</v>
      </c>
      <c r="D20" t="s">
        <v>26</v>
      </c>
      <c r="E20">
        <v>1.5</v>
      </c>
      <c r="F20">
        <v>3.18</v>
      </c>
      <c r="G20" s="8">
        <f t="shared" si="0"/>
        <v>28.30188679245283</v>
      </c>
    </row>
    <row r="21" spans="1:7" x14ac:dyDescent="0.25">
      <c r="A21" s="87">
        <v>45804.291666666664</v>
      </c>
      <c r="B21">
        <v>20</v>
      </c>
      <c r="C21" t="s">
        <v>26</v>
      </c>
      <c r="D21" t="s">
        <v>27</v>
      </c>
      <c r="E21">
        <v>1.48</v>
      </c>
      <c r="F21">
        <v>3.18</v>
      </c>
      <c r="G21" s="8">
        <f t="shared" si="0"/>
        <v>27.924528301886792</v>
      </c>
    </row>
    <row r="22" spans="1:7" x14ac:dyDescent="0.25">
      <c r="A22" s="87">
        <v>45804.291666666664</v>
      </c>
      <c r="B22">
        <v>21</v>
      </c>
      <c r="C22" t="s">
        <v>27</v>
      </c>
      <c r="D22" t="s">
        <v>28</v>
      </c>
      <c r="E22">
        <v>1.51</v>
      </c>
      <c r="F22">
        <v>2.63</v>
      </c>
      <c r="G22" s="8">
        <f t="shared" si="0"/>
        <v>34.448669201520914</v>
      </c>
    </row>
    <row r="23" spans="1:7" x14ac:dyDescent="0.25">
      <c r="A23" s="87">
        <v>45804.291666666664</v>
      </c>
      <c r="B23">
        <v>22</v>
      </c>
      <c r="C23" t="s">
        <v>28</v>
      </c>
      <c r="D23" t="s">
        <v>29</v>
      </c>
      <c r="E23">
        <v>1.57</v>
      </c>
      <c r="F23">
        <v>2.9</v>
      </c>
      <c r="G23" s="8">
        <f t="shared" si="0"/>
        <v>32.482758620689658</v>
      </c>
    </row>
    <row r="24" spans="1:7" x14ac:dyDescent="0.25">
      <c r="A24" s="87">
        <v>45804.291666666664</v>
      </c>
      <c r="B24">
        <v>23</v>
      </c>
      <c r="C24" t="s">
        <v>29</v>
      </c>
      <c r="D24" t="s">
        <v>30</v>
      </c>
      <c r="E24">
        <v>1.43</v>
      </c>
      <c r="F24">
        <v>2.88</v>
      </c>
      <c r="G24" s="8">
        <f t="shared" si="0"/>
        <v>29.791666666666668</v>
      </c>
    </row>
    <row r="25" spans="1:7" x14ac:dyDescent="0.25">
      <c r="A25" s="87">
        <v>45804.291666666664</v>
      </c>
      <c r="B25">
        <v>24</v>
      </c>
      <c r="C25" t="s">
        <v>30</v>
      </c>
      <c r="D25" t="s">
        <v>31</v>
      </c>
      <c r="E25">
        <v>1.52</v>
      </c>
      <c r="F25">
        <v>2.97</v>
      </c>
      <c r="G25" s="8">
        <f t="shared" si="0"/>
        <v>30.707070707070706</v>
      </c>
    </row>
    <row r="26" spans="1:7" x14ac:dyDescent="0.25">
      <c r="A26" s="87">
        <v>45804.291666666664</v>
      </c>
      <c r="B26">
        <v>25</v>
      </c>
      <c r="C26" t="s">
        <v>31</v>
      </c>
      <c r="D26" t="s">
        <v>32</v>
      </c>
      <c r="E26">
        <v>1.52</v>
      </c>
      <c r="F26">
        <v>2.85</v>
      </c>
      <c r="G26" s="8">
        <f t="shared" si="0"/>
        <v>32</v>
      </c>
    </row>
    <row r="27" spans="1:7" x14ac:dyDescent="0.25">
      <c r="A27" s="87">
        <v>45804.291666666664</v>
      </c>
      <c r="B27">
        <v>26</v>
      </c>
      <c r="C27" t="s">
        <v>32</v>
      </c>
      <c r="D27" t="s">
        <v>33</v>
      </c>
      <c r="E27">
        <v>1.49</v>
      </c>
      <c r="F27">
        <v>2.92</v>
      </c>
      <c r="G27" s="8">
        <f t="shared" si="0"/>
        <v>30.616438356164387</v>
      </c>
    </row>
    <row r="28" spans="1:7" x14ac:dyDescent="0.25">
      <c r="A28" s="87">
        <v>45804.291666666664</v>
      </c>
      <c r="B28">
        <v>27</v>
      </c>
      <c r="C28" t="s">
        <v>33</v>
      </c>
      <c r="D28" t="s">
        <v>34</v>
      </c>
      <c r="E28">
        <v>1.53</v>
      </c>
      <c r="F28">
        <v>2.85</v>
      </c>
      <c r="G28" s="8">
        <f t="shared" si="0"/>
        <v>32.210526315789473</v>
      </c>
    </row>
    <row r="29" spans="1:7" x14ac:dyDescent="0.25">
      <c r="A29" s="87">
        <v>45804.291666666664</v>
      </c>
      <c r="B29">
        <v>28</v>
      </c>
      <c r="C29" t="s">
        <v>34</v>
      </c>
      <c r="D29" t="s">
        <v>35</v>
      </c>
      <c r="E29">
        <v>1.51</v>
      </c>
      <c r="F29">
        <v>3.42</v>
      </c>
      <c r="G29" s="8">
        <f t="shared" si="0"/>
        <v>26.491228070175438</v>
      </c>
    </row>
    <row r="30" spans="1:7" x14ac:dyDescent="0.25">
      <c r="A30" s="87">
        <v>45804.291666666664</v>
      </c>
      <c r="B30">
        <v>29</v>
      </c>
      <c r="C30" t="s">
        <v>36</v>
      </c>
      <c r="D30" t="s">
        <v>37</v>
      </c>
      <c r="E30">
        <v>1.57</v>
      </c>
      <c r="F30">
        <v>3.18</v>
      </c>
      <c r="G30" s="8">
        <f t="shared" si="0"/>
        <v>29.622641509433961</v>
      </c>
    </row>
    <row r="31" spans="1:7" x14ac:dyDescent="0.25">
      <c r="A31" s="87">
        <v>45804.291666666664</v>
      </c>
      <c r="B31">
        <v>30</v>
      </c>
      <c r="C31" t="s">
        <v>37</v>
      </c>
      <c r="D31" t="s">
        <v>38</v>
      </c>
      <c r="E31">
        <v>1.57</v>
      </c>
      <c r="F31">
        <v>3.5</v>
      </c>
      <c r="G31" s="8">
        <f t="shared" si="0"/>
        <v>26.914285714285715</v>
      </c>
    </row>
    <row r="32" spans="1:7" x14ac:dyDescent="0.25">
      <c r="A32" s="87">
        <v>45804.291666666664</v>
      </c>
      <c r="B32">
        <v>31</v>
      </c>
      <c r="C32" t="s">
        <v>38</v>
      </c>
      <c r="D32" t="s">
        <v>39</v>
      </c>
      <c r="E32">
        <v>1.52</v>
      </c>
      <c r="F32">
        <v>2.37</v>
      </c>
      <c r="G32" s="8">
        <f t="shared" si="0"/>
        <v>38.481012658227847</v>
      </c>
    </row>
    <row r="33" spans="1:7" x14ac:dyDescent="0.25">
      <c r="A33" s="87">
        <v>45804.291666666664</v>
      </c>
      <c r="B33">
        <v>32</v>
      </c>
      <c r="C33" t="s">
        <v>39</v>
      </c>
      <c r="D33" t="s">
        <v>40</v>
      </c>
      <c r="E33">
        <v>1.5</v>
      </c>
      <c r="F33">
        <v>1.7</v>
      </c>
      <c r="G33" s="8">
        <f t="shared" si="0"/>
        <v>52.941176470588239</v>
      </c>
    </row>
    <row r="34" spans="1:7" x14ac:dyDescent="0.25">
      <c r="A34" s="87">
        <v>45804.291666666664</v>
      </c>
      <c r="B34">
        <v>33</v>
      </c>
      <c r="C34" t="s">
        <v>40</v>
      </c>
      <c r="D34" t="s">
        <v>41</v>
      </c>
      <c r="E34">
        <v>1.51</v>
      </c>
      <c r="F34">
        <v>1.65</v>
      </c>
      <c r="G34" s="8">
        <f t="shared" si="0"/>
        <v>54.909090909090907</v>
      </c>
    </row>
    <row r="35" spans="1:7" x14ac:dyDescent="0.25">
      <c r="A35" s="87">
        <v>45804.291666666664</v>
      </c>
      <c r="B35">
        <v>34</v>
      </c>
      <c r="C35" t="s">
        <v>41</v>
      </c>
      <c r="D35" t="s">
        <v>42</v>
      </c>
      <c r="E35">
        <v>1.5</v>
      </c>
      <c r="F35">
        <v>1.68</v>
      </c>
      <c r="G35" s="8">
        <f t="shared" si="0"/>
        <v>53.571428571428577</v>
      </c>
    </row>
    <row r="36" spans="1:7" x14ac:dyDescent="0.25">
      <c r="A36" s="87">
        <v>45804.291666666664</v>
      </c>
      <c r="B36">
        <v>35</v>
      </c>
      <c r="C36" t="s">
        <v>43</v>
      </c>
      <c r="D36" t="s">
        <v>44</v>
      </c>
      <c r="E36">
        <v>1.55</v>
      </c>
      <c r="F36">
        <v>3.08</v>
      </c>
      <c r="G36" s="8">
        <f t="shared" si="0"/>
        <v>30.194805194805195</v>
      </c>
    </row>
    <row r="37" spans="1:7" x14ac:dyDescent="0.25">
      <c r="A37" s="87">
        <v>45804.291666666664</v>
      </c>
      <c r="B37">
        <v>36</v>
      </c>
      <c r="C37" t="s">
        <v>44</v>
      </c>
      <c r="D37" t="s">
        <v>45</v>
      </c>
      <c r="E37">
        <v>1.5</v>
      </c>
      <c r="F37">
        <v>2.57</v>
      </c>
      <c r="G37" s="8">
        <f t="shared" si="0"/>
        <v>35.019455252918291</v>
      </c>
    </row>
    <row r="38" spans="1:7" x14ac:dyDescent="0.25">
      <c r="A38" s="87">
        <v>45804.291666666664</v>
      </c>
      <c r="B38">
        <v>37</v>
      </c>
      <c r="C38" t="s">
        <v>45</v>
      </c>
      <c r="D38" t="s">
        <v>46</v>
      </c>
      <c r="E38">
        <v>1.38</v>
      </c>
      <c r="F38">
        <v>3.13</v>
      </c>
      <c r="G38" s="8">
        <f t="shared" si="0"/>
        <v>26.453674121405751</v>
      </c>
    </row>
    <row r="39" spans="1:7" x14ac:dyDescent="0.25">
      <c r="A39" s="87">
        <v>45804.291666666664</v>
      </c>
      <c r="B39">
        <v>38</v>
      </c>
      <c r="C39" t="s">
        <v>46</v>
      </c>
      <c r="D39" t="s">
        <v>47</v>
      </c>
      <c r="E39">
        <v>1.61</v>
      </c>
      <c r="F39">
        <v>3.32</v>
      </c>
      <c r="G39" s="8">
        <f t="shared" si="0"/>
        <v>29.096385542168679</v>
      </c>
    </row>
    <row r="40" spans="1:7" x14ac:dyDescent="0.25">
      <c r="A40" s="87">
        <v>45804.291666666664</v>
      </c>
      <c r="B40">
        <v>39</v>
      </c>
      <c r="C40" t="s">
        <v>47</v>
      </c>
      <c r="D40" t="s">
        <v>48</v>
      </c>
      <c r="E40">
        <v>1.55</v>
      </c>
      <c r="F40">
        <v>3.22</v>
      </c>
      <c r="G40" s="8">
        <f t="shared" si="0"/>
        <v>28.881987577639748</v>
      </c>
    </row>
    <row r="41" spans="1:7" x14ac:dyDescent="0.25">
      <c r="A41" s="87">
        <v>45804.291666666664</v>
      </c>
      <c r="B41">
        <v>40</v>
      </c>
      <c r="C41" t="s">
        <v>48</v>
      </c>
      <c r="D41" t="s">
        <v>49</v>
      </c>
      <c r="E41">
        <v>1.39</v>
      </c>
      <c r="F41">
        <v>2.72</v>
      </c>
      <c r="G41" s="8">
        <f t="shared" si="0"/>
        <v>30.661764705882348</v>
      </c>
    </row>
    <row r="42" spans="1:7" x14ac:dyDescent="0.25">
      <c r="A42" s="87">
        <v>45804.291666666664</v>
      </c>
      <c r="B42">
        <v>41</v>
      </c>
      <c r="C42" t="s">
        <v>50</v>
      </c>
      <c r="D42" t="s">
        <v>51</v>
      </c>
      <c r="E42">
        <v>1.56</v>
      </c>
      <c r="F42">
        <v>2.87</v>
      </c>
      <c r="G42" s="8">
        <f t="shared" si="0"/>
        <v>32.613240418118465</v>
      </c>
    </row>
    <row r="43" spans="1:7" x14ac:dyDescent="0.25">
      <c r="A43" s="87">
        <v>45804.291666666664</v>
      </c>
      <c r="B43">
        <v>42</v>
      </c>
      <c r="C43" t="s">
        <v>51</v>
      </c>
      <c r="D43" t="s">
        <v>52</v>
      </c>
      <c r="E43">
        <v>1.56</v>
      </c>
      <c r="F43">
        <v>3.28</v>
      </c>
      <c r="G43" s="8">
        <f t="shared" si="0"/>
        <v>28.536585365853664</v>
      </c>
    </row>
    <row r="44" spans="1:7" x14ac:dyDescent="0.25">
      <c r="A44" s="87">
        <v>45804.291666666664</v>
      </c>
      <c r="B44">
        <v>43</v>
      </c>
      <c r="C44" t="s">
        <v>52</v>
      </c>
      <c r="D44" t="s">
        <v>53</v>
      </c>
      <c r="E44">
        <v>1.51</v>
      </c>
      <c r="F44">
        <v>2.9</v>
      </c>
      <c r="G44" s="8">
        <f t="shared" si="0"/>
        <v>31.241379310344826</v>
      </c>
    </row>
    <row r="45" spans="1:7" x14ac:dyDescent="0.25">
      <c r="A45" s="87">
        <v>45804.291666666664</v>
      </c>
      <c r="B45">
        <v>44</v>
      </c>
      <c r="C45" t="s">
        <v>54</v>
      </c>
      <c r="D45" t="s">
        <v>55</v>
      </c>
      <c r="E45">
        <v>1.51</v>
      </c>
      <c r="F45">
        <v>3.73</v>
      </c>
      <c r="G45" s="8">
        <f t="shared" si="0"/>
        <v>24.289544235924932</v>
      </c>
    </row>
    <row r="46" spans="1:7" x14ac:dyDescent="0.25">
      <c r="A46" s="87">
        <v>45804.291666666664</v>
      </c>
      <c r="B46">
        <v>45</v>
      </c>
      <c r="C46" t="s">
        <v>55</v>
      </c>
      <c r="D46" t="s">
        <v>56</v>
      </c>
      <c r="E46">
        <v>1.49</v>
      </c>
      <c r="F46">
        <v>2.97</v>
      </c>
      <c r="G46" s="8">
        <f t="shared" si="0"/>
        <v>30.1010101010101</v>
      </c>
    </row>
    <row r="47" spans="1:7" x14ac:dyDescent="0.25">
      <c r="A47" s="87">
        <v>45804.291666666664</v>
      </c>
      <c r="B47">
        <v>46</v>
      </c>
      <c r="C47" t="s">
        <v>56</v>
      </c>
      <c r="D47" t="s">
        <v>57</v>
      </c>
      <c r="E47">
        <v>1.52</v>
      </c>
      <c r="F47">
        <v>3.45</v>
      </c>
      <c r="G47" s="8">
        <f t="shared" si="0"/>
        <v>26.434782608695652</v>
      </c>
    </row>
    <row r="48" spans="1:7" x14ac:dyDescent="0.25">
      <c r="A48" s="87">
        <v>45804.291666666664</v>
      </c>
      <c r="B48">
        <v>47</v>
      </c>
      <c r="C48" t="s">
        <v>58</v>
      </c>
      <c r="D48" t="s">
        <v>59</v>
      </c>
      <c r="E48">
        <v>1.52</v>
      </c>
      <c r="F48">
        <v>3.15</v>
      </c>
      <c r="G48" s="8">
        <f t="shared" si="0"/>
        <v>28.952380952380953</v>
      </c>
    </row>
    <row r="49" spans="1:7" x14ac:dyDescent="0.25">
      <c r="A49" s="87">
        <v>45804.291666666664</v>
      </c>
      <c r="B49">
        <v>48</v>
      </c>
      <c r="C49" t="s">
        <v>59</v>
      </c>
      <c r="D49" t="s">
        <v>60</v>
      </c>
      <c r="E49">
        <v>1.5</v>
      </c>
      <c r="F49">
        <v>3.07</v>
      </c>
      <c r="G49" s="8">
        <f t="shared" si="0"/>
        <v>29.31596091205212</v>
      </c>
    </row>
    <row r="50" spans="1:7" x14ac:dyDescent="0.25">
      <c r="A50" s="87">
        <v>45804.291666666664</v>
      </c>
      <c r="B50">
        <v>49</v>
      </c>
      <c r="C50" t="s">
        <v>60</v>
      </c>
      <c r="D50" t="s">
        <v>61</v>
      </c>
      <c r="E50">
        <v>1.54</v>
      </c>
      <c r="F50">
        <v>3.23</v>
      </c>
      <c r="G50" s="8">
        <f t="shared" si="0"/>
        <v>28.606811145510839</v>
      </c>
    </row>
    <row r="51" spans="1:7" x14ac:dyDescent="0.25">
      <c r="A51" s="87">
        <v>45804.291666666664</v>
      </c>
      <c r="B51">
        <v>50</v>
      </c>
      <c r="C51" t="s">
        <v>62</v>
      </c>
      <c r="D51" t="s">
        <v>63</v>
      </c>
      <c r="E51">
        <v>1.38</v>
      </c>
      <c r="F51">
        <v>2.85</v>
      </c>
      <c r="G51" s="8">
        <f t="shared" si="0"/>
        <v>29.052631578947366</v>
      </c>
    </row>
    <row r="52" spans="1:7" x14ac:dyDescent="0.25">
      <c r="A52" s="87">
        <v>45804.291666666664</v>
      </c>
      <c r="B52">
        <v>51</v>
      </c>
      <c r="C52" t="s">
        <v>63</v>
      </c>
      <c r="D52" t="s">
        <v>64</v>
      </c>
      <c r="E52">
        <v>2.79</v>
      </c>
      <c r="F52">
        <v>5.07</v>
      </c>
      <c r="G52" s="8">
        <f t="shared" si="0"/>
        <v>33.017751479289942</v>
      </c>
    </row>
    <row r="53" spans="1:7" x14ac:dyDescent="0.25">
      <c r="A53" s="87">
        <v>45804.291666666664</v>
      </c>
      <c r="B53">
        <v>52</v>
      </c>
      <c r="C53" t="s">
        <v>64</v>
      </c>
      <c r="D53" t="s">
        <v>65</v>
      </c>
      <c r="E53">
        <v>1.5</v>
      </c>
      <c r="F53">
        <v>2.5299999999999998</v>
      </c>
      <c r="G53" s="8">
        <f t="shared" si="0"/>
        <v>35.573122529644273</v>
      </c>
    </row>
    <row r="54" spans="1:7" x14ac:dyDescent="0.25">
      <c r="A54" s="87">
        <v>45804.291666666664</v>
      </c>
      <c r="B54">
        <v>53</v>
      </c>
      <c r="C54" t="s">
        <v>65</v>
      </c>
      <c r="D54" t="s">
        <v>66</v>
      </c>
      <c r="E54">
        <v>1.46</v>
      </c>
      <c r="F54">
        <v>3.2</v>
      </c>
      <c r="G54" s="8">
        <f t="shared" si="0"/>
        <v>27.374999999999996</v>
      </c>
    </row>
    <row r="55" spans="1:7" x14ac:dyDescent="0.25">
      <c r="A55" s="87">
        <v>45804.291666666664</v>
      </c>
      <c r="B55">
        <v>54</v>
      </c>
      <c r="C55" t="s">
        <v>67</v>
      </c>
      <c r="D55" t="s">
        <v>68</v>
      </c>
      <c r="E55">
        <v>1.46</v>
      </c>
      <c r="F55">
        <v>2.35</v>
      </c>
      <c r="G55" s="8">
        <f t="shared" si="0"/>
        <v>37.276595744680847</v>
      </c>
    </row>
    <row r="56" spans="1:7" x14ac:dyDescent="0.25">
      <c r="A56" s="87">
        <v>45804.291666666664</v>
      </c>
      <c r="B56">
        <v>55</v>
      </c>
      <c r="C56" t="s">
        <v>68</v>
      </c>
      <c r="D56" t="s">
        <v>69</v>
      </c>
      <c r="E56">
        <v>1.5</v>
      </c>
      <c r="F56">
        <v>1.82</v>
      </c>
      <c r="G56" s="8">
        <f t="shared" si="0"/>
        <v>49.450549450549445</v>
      </c>
    </row>
    <row r="57" spans="1:7" x14ac:dyDescent="0.25">
      <c r="A57" s="87">
        <v>45804.291666666664</v>
      </c>
      <c r="B57">
        <v>56</v>
      </c>
      <c r="C57" t="s">
        <v>70</v>
      </c>
      <c r="D57" t="s">
        <v>71</v>
      </c>
      <c r="E57">
        <v>1.51</v>
      </c>
      <c r="F57">
        <v>3.47</v>
      </c>
      <c r="G57" s="8">
        <f t="shared" si="0"/>
        <v>26.109510086455327</v>
      </c>
    </row>
    <row r="58" spans="1:7" x14ac:dyDescent="0.25">
      <c r="A58" s="87">
        <v>45804.291666666664</v>
      </c>
      <c r="B58">
        <v>57</v>
      </c>
      <c r="C58" t="s">
        <v>71</v>
      </c>
      <c r="D58" t="s">
        <v>72</v>
      </c>
      <c r="E58">
        <v>1.52</v>
      </c>
      <c r="F58">
        <v>3.2</v>
      </c>
      <c r="G58" s="8">
        <f t="shared" si="0"/>
        <v>28.5</v>
      </c>
    </row>
    <row r="59" spans="1:7" x14ac:dyDescent="0.25">
      <c r="A59" s="87">
        <v>45804.291666666664</v>
      </c>
      <c r="B59">
        <v>58</v>
      </c>
      <c r="C59" t="s">
        <v>72</v>
      </c>
      <c r="D59" t="s">
        <v>73</v>
      </c>
      <c r="E59">
        <v>1.5</v>
      </c>
      <c r="F59">
        <v>3.03</v>
      </c>
      <c r="G59" s="8">
        <f t="shared" si="0"/>
        <v>29.702970297029704</v>
      </c>
    </row>
    <row r="60" spans="1:7" x14ac:dyDescent="0.25">
      <c r="A60" s="87">
        <v>45804.302083333336</v>
      </c>
      <c r="B60">
        <v>1</v>
      </c>
      <c r="C60" t="s">
        <v>6</v>
      </c>
      <c r="D60" t="s">
        <v>7</v>
      </c>
      <c r="E60">
        <v>1.53</v>
      </c>
      <c r="F60">
        <v>2.73</v>
      </c>
      <c r="G60" s="8">
        <f t="shared" si="0"/>
        <v>33.626373626373628</v>
      </c>
    </row>
    <row r="61" spans="1:7" x14ac:dyDescent="0.25">
      <c r="A61" s="87">
        <v>45804.302083333336</v>
      </c>
      <c r="B61">
        <v>2</v>
      </c>
      <c r="C61" t="s">
        <v>7</v>
      </c>
      <c r="D61" t="s">
        <v>8</v>
      </c>
      <c r="E61">
        <v>1.57</v>
      </c>
      <c r="F61">
        <v>3.83</v>
      </c>
      <c r="G61" s="8">
        <f t="shared" si="0"/>
        <v>24.595300261096607</v>
      </c>
    </row>
    <row r="62" spans="1:7" x14ac:dyDescent="0.25">
      <c r="A62" s="87">
        <v>45804.302083333336</v>
      </c>
      <c r="B62">
        <v>3</v>
      </c>
      <c r="C62" t="s">
        <v>8</v>
      </c>
      <c r="D62" t="s">
        <v>9</v>
      </c>
      <c r="E62">
        <v>1.5</v>
      </c>
      <c r="F62">
        <v>2.65</v>
      </c>
      <c r="G62" s="8">
        <f t="shared" si="0"/>
        <v>33.962264150943398</v>
      </c>
    </row>
    <row r="63" spans="1:7" x14ac:dyDescent="0.25">
      <c r="A63" s="87">
        <v>45804.302083333336</v>
      </c>
      <c r="B63">
        <v>4</v>
      </c>
      <c r="C63" t="s">
        <v>9</v>
      </c>
      <c r="D63" t="s">
        <v>10</v>
      </c>
      <c r="E63">
        <v>1.5</v>
      </c>
      <c r="F63">
        <v>2.6</v>
      </c>
      <c r="G63" s="8">
        <f t="shared" si="0"/>
        <v>34.615384615384613</v>
      </c>
    </row>
    <row r="64" spans="1:7" x14ac:dyDescent="0.25">
      <c r="A64" s="87">
        <v>45804.302083333336</v>
      </c>
      <c r="B64">
        <v>5</v>
      </c>
      <c r="C64" t="s">
        <v>10</v>
      </c>
      <c r="D64" t="s">
        <v>11</v>
      </c>
      <c r="E64">
        <v>1.52</v>
      </c>
      <c r="F64">
        <v>2.75</v>
      </c>
      <c r="G64" s="8">
        <f t="shared" si="0"/>
        <v>33.163636363636364</v>
      </c>
    </row>
    <row r="65" spans="1:7" x14ac:dyDescent="0.25">
      <c r="A65" s="87">
        <v>45804.302083333336</v>
      </c>
      <c r="B65">
        <v>6</v>
      </c>
      <c r="C65" t="s">
        <v>11</v>
      </c>
      <c r="D65" t="s">
        <v>12</v>
      </c>
      <c r="E65">
        <v>1.5</v>
      </c>
      <c r="F65">
        <v>2.4500000000000002</v>
      </c>
      <c r="G65" s="8">
        <f t="shared" si="0"/>
        <v>36.734693877551017</v>
      </c>
    </row>
    <row r="66" spans="1:7" x14ac:dyDescent="0.25">
      <c r="A66" s="87">
        <v>45804.302083333336</v>
      </c>
      <c r="B66">
        <v>7</v>
      </c>
      <c r="C66" t="s">
        <v>12</v>
      </c>
      <c r="D66" t="s">
        <v>13</v>
      </c>
      <c r="E66">
        <v>1.54</v>
      </c>
      <c r="F66">
        <v>2.5499999999999998</v>
      </c>
      <c r="G66" s="8">
        <f t="shared" si="0"/>
        <v>36.235294117647065</v>
      </c>
    </row>
    <row r="67" spans="1:7" x14ac:dyDescent="0.25">
      <c r="A67" s="87">
        <v>45804.302083333336</v>
      </c>
      <c r="B67">
        <v>8</v>
      </c>
      <c r="C67" t="s">
        <v>13</v>
      </c>
      <c r="D67" t="s">
        <v>14</v>
      </c>
      <c r="E67">
        <v>1.54</v>
      </c>
      <c r="F67">
        <v>2.95</v>
      </c>
      <c r="G67" s="8">
        <f t="shared" ref="G67:G130" si="1">E67*60/F67</f>
        <v>31.322033898305087</v>
      </c>
    </row>
    <row r="68" spans="1:7" x14ac:dyDescent="0.25">
      <c r="A68" s="87">
        <v>45804.302083333336</v>
      </c>
      <c r="B68">
        <v>9</v>
      </c>
      <c r="C68" t="s">
        <v>14</v>
      </c>
      <c r="D68" t="s">
        <v>15</v>
      </c>
      <c r="E68">
        <v>1.52</v>
      </c>
      <c r="F68">
        <v>2.68</v>
      </c>
      <c r="G68" s="8">
        <f t="shared" si="1"/>
        <v>34.029850746268657</v>
      </c>
    </row>
    <row r="69" spans="1:7" x14ac:dyDescent="0.25">
      <c r="A69" s="87">
        <v>45804.302083333336</v>
      </c>
      <c r="B69">
        <v>10</v>
      </c>
      <c r="C69" t="s">
        <v>15</v>
      </c>
      <c r="D69" t="s">
        <v>16</v>
      </c>
      <c r="E69">
        <v>1.5</v>
      </c>
      <c r="F69">
        <v>3.03</v>
      </c>
      <c r="G69" s="8">
        <f t="shared" si="1"/>
        <v>29.702970297029704</v>
      </c>
    </row>
    <row r="70" spans="1:7" x14ac:dyDescent="0.25">
      <c r="A70" s="87">
        <v>45804.302083333336</v>
      </c>
      <c r="B70">
        <v>11</v>
      </c>
      <c r="C70" t="s">
        <v>16</v>
      </c>
      <c r="D70" t="s">
        <v>17</v>
      </c>
      <c r="E70">
        <v>1.48</v>
      </c>
      <c r="F70">
        <v>2.37</v>
      </c>
      <c r="G70" s="8">
        <f t="shared" si="1"/>
        <v>37.46835443037974</v>
      </c>
    </row>
    <row r="71" spans="1:7" x14ac:dyDescent="0.25">
      <c r="A71" s="87">
        <v>45804.302083333336</v>
      </c>
      <c r="B71">
        <v>12</v>
      </c>
      <c r="C71" t="s">
        <v>17</v>
      </c>
      <c r="D71" t="s">
        <v>18</v>
      </c>
      <c r="E71">
        <v>1.46</v>
      </c>
      <c r="F71">
        <v>3.03</v>
      </c>
      <c r="G71" s="8">
        <f t="shared" si="1"/>
        <v>28.910891089108912</v>
      </c>
    </row>
    <row r="72" spans="1:7" x14ac:dyDescent="0.25">
      <c r="A72" s="87">
        <v>45804.302083333336</v>
      </c>
      <c r="B72">
        <v>13</v>
      </c>
      <c r="C72" t="s">
        <v>18</v>
      </c>
      <c r="D72" t="s">
        <v>19</v>
      </c>
      <c r="E72">
        <v>1.52</v>
      </c>
      <c r="F72">
        <v>3.78</v>
      </c>
      <c r="G72" s="8">
        <f t="shared" si="1"/>
        <v>24.12698412698413</v>
      </c>
    </row>
    <row r="73" spans="1:7" x14ac:dyDescent="0.25">
      <c r="A73" s="87">
        <v>45804.302083333336</v>
      </c>
      <c r="B73">
        <v>14</v>
      </c>
      <c r="C73" t="s">
        <v>19</v>
      </c>
      <c r="D73" t="s">
        <v>20</v>
      </c>
      <c r="E73">
        <v>1.51</v>
      </c>
      <c r="F73">
        <v>2.98</v>
      </c>
      <c r="G73" s="8">
        <f t="shared" si="1"/>
        <v>30.402684563758388</v>
      </c>
    </row>
    <row r="74" spans="1:7" x14ac:dyDescent="0.25">
      <c r="A74" s="87">
        <v>45804.302083333336</v>
      </c>
      <c r="B74">
        <v>15</v>
      </c>
      <c r="C74" t="s">
        <v>20</v>
      </c>
      <c r="D74" t="s">
        <v>21</v>
      </c>
      <c r="E74">
        <v>1.47</v>
      </c>
      <c r="F74">
        <v>1.9</v>
      </c>
      <c r="G74" s="8">
        <f t="shared" si="1"/>
        <v>46.421052631578952</v>
      </c>
    </row>
    <row r="75" spans="1:7" x14ac:dyDescent="0.25">
      <c r="A75" s="87">
        <v>45804.302083333336</v>
      </c>
      <c r="B75">
        <v>16</v>
      </c>
      <c r="C75" t="s">
        <v>21</v>
      </c>
      <c r="D75" t="s">
        <v>22</v>
      </c>
      <c r="E75">
        <v>1.5</v>
      </c>
      <c r="F75">
        <v>1.68</v>
      </c>
      <c r="G75" s="8">
        <f t="shared" si="1"/>
        <v>53.571428571428577</v>
      </c>
    </row>
    <row r="76" spans="1:7" x14ac:dyDescent="0.25">
      <c r="A76" s="87">
        <v>45804.302083333336</v>
      </c>
      <c r="B76">
        <v>17</v>
      </c>
      <c r="C76" t="s">
        <v>22</v>
      </c>
      <c r="D76" t="s">
        <v>23</v>
      </c>
      <c r="E76">
        <v>1.51</v>
      </c>
      <c r="F76">
        <v>2.4300000000000002</v>
      </c>
      <c r="G76" s="8">
        <f t="shared" si="1"/>
        <v>37.283950617283949</v>
      </c>
    </row>
    <row r="77" spans="1:7" x14ac:dyDescent="0.25">
      <c r="A77" s="87">
        <v>45804.302083333336</v>
      </c>
      <c r="B77">
        <v>18</v>
      </c>
      <c r="C77" t="s">
        <v>23</v>
      </c>
      <c r="D77" t="s">
        <v>24</v>
      </c>
      <c r="E77">
        <v>1.51</v>
      </c>
      <c r="F77">
        <v>2.68</v>
      </c>
      <c r="G77" s="8">
        <f t="shared" si="1"/>
        <v>33.805970149253724</v>
      </c>
    </row>
    <row r="78" spans="1:7" x14ac:dyDescent="0.25">
      <c r="A78" s="87">
        <v>45804.302083333336</v>
      </c>
      <c r="B78">
        <v>19</v>
      </c>
      <c r="C78" t="s">
        <v>25</v>
      </c>
      <c r="D78" t="s">
        <v>26</v>
      </c>
      <c r="E78">
        <v>1.5</v>
      </c>
      <c r="F78">
        <v>3.15</v>
      </c>
      <c r="G78" s="8">
        <f t="shared" si="1"/>
        <v>28.571428571428573</v>
      </c>
    </row>
    <row r="79" spans="1:7" x14ac:dyDescent="0.25">
      <c r="A79" s="87">
        <v>45804.302083333336</v>
      </c>
      <c r="B79">
        <v>20</v>
      </c>
      <c r="C79" t="s">
        <v>26</v>
      </c>
      <c r="D79" t="s">
        <v>27</v>
      </c>
      <c r="E79">
        <v>1.48</v>
      </c>
      <c r="F79">
        <v>3.23</v>
      </c>
      <c r="G79" s="8">
        <f t="shared" si="1"/>
        <v>27.492260061919502</v>
      </c>
    </row>
    <row r="80" spans="1:7" x14ac:dyDescent="0.25">
      <c r="A80" s="87">
        <v>45804.302083333336</v>
      </c>
      <c r="B80">
        <v>21</v>
      </c>
      <c r="C80" t="s">
        <v>27</v>
      </c>
      <c r="D80" t="s">
        <v>28</v>
      </c>
      <c r="E80">
        <v>1.51</v>
      </c>
      <c r="F80">
        <v>2.88</v>
      </c>
      <c r="G80" s="8">
        <f t="shared" si="1"/>
        <v>31.458333333333332</v>
      </c>
    </row>
    <row r="81" spans="1:7" x14ac:dyDescent="0.25">
      <c r="A81" s="87">
        <v>45804.302083333336</v>
      </c>
      <c r="B81">
        <v>22</v>
      </c>
      <c r="C81" t="s">
        <v>28</v>
      </c>
      <c r="D81" t="s">
        <v>29</v>
      </c>
      <c r="E81">
        <v>1.57</v>
      </c>
      <c r="F81">
        <v>3.15</v>
      </c>
      <c r="G81" s="8">
        <f t="shared" si="1"/>
        <v>29.904761904761905</v>
      </c>
    </row>
    <row r="82" spans="1:7" x14ac:dyDescent="0.25">
      <c r="A82" s="87">
        <v>45804.302083333336</v>
      </c>
      <c r="B82">
        <v>23</v>
      </c>
      <c r="C82" t="s">
        <v>29</v>
      </c>
      <c r="D82" t="s">
        <v>30</v>
      </c>
      <c r="E82">
        <v>1.43</v>
      </c>
      <c r="F82">
        <v>3.07</v>
      </c>
      <c r="G82" s="8">
        <f t="shared" si="1"/>
        <v>27.947882736156352</v>
      </c>
    </row>
    <row r="83" spans="1:7" x14ac:dyDescent="0.25">
      <c r="A83" s="87">
        <v>45804.302083333336</v>
      </c>
      <c r="B83">
        <v>24</v>
      </c>
      <c r="C83" t="s">
        <v>30</v>
      </c>
      <c r="D83" t="s">
        <v>31</v>
      </c>
      <c r="E83">
        <v>1.52</v>
      </c>
      <c r="F83">
        <v>3.35</v>
      </c>
      <c r="G83" s="8">
        <f t="shared" si="1"/>
        <v>27.223880597014926</v>
      </c>
    </row>
    <row r="84" spans="1:7" x14ac:dyDescent="0.25">
      <c r="A84" s="87">
        <v>45804.302083333336</v>
      </c>
      <c r="B84">
        <v>25</v>
      </c>
      <c r="C84" t="s">
        <v>31</v>
      </c>
      <c r="D84" t="s">
        <v>32</v>
      </c>
      <c r="E84">
        <v>1.52</v>
      </c>
      <c r="F84">
        <v>2.88</v>
      </c>
      <c r="G84" s="8">
        <f t="shared" si="1"/>
        <v>31.666666666666668</v>
      </c>
    </row>
    <row r="85" spans="1:7" x14ac:dyDescent="0.25">
      <c r="A85" s="87">
        <v>45804.302083333336</v>
      </c>
      <c r="B85">
        <v>26</v>
      </c>
      <c r="C85" t="s">
        <v>32</v>
      </c>
      <c r="D85" t="s">
        <v>33</v>
      </c>
      <c r="E85">
        <v>1.49</v>
      </c>
      <c r="F85">
        <v>2.87</v>
      </c>
      <c r="G85" s="8">
        <f t="shared" si="1"/>
        <v>31.149825783972126</v>
      </c>
    </row>
    <row r="86" spans="1:7" x14ac:dyDescent="0.25">
      <c r="A86" s="87">
        <v>45804.302083333336</v>
      </c>
      <c r="B86">
        <v>27</v>
      </c>
      <c r="C86" t="s">
        <v>33</v>
      </c>
      <c r="D86" t="s">
        <v>34</v>
      </c>
      <c r="E86">
        <v>1.53</v>
      </c>
      <c r="F86">
        <v>2.85</v>
      </c>
      <c r="G86" s="8">
        <f t="shared" si="1"/>
        <v>32.210526315789473</v>
      </c>
    </row>
    <row r="87" spans="1:7" x14ac:dyDescent="0.25">
      <c r="A87" s="87">
        <v>45804.302083333336</v>
      </c>
      <c r="B87">
        <v>28</v>
      </c>
      <c r="C87" t="s">
        <v>34</v>
      </c>
      <c r="D87" t="s">
        <v>35</v>
      </c>
      <c r="E87">
        <v>1.51</v>
      </c>
      <c r="F87">
        <v>3.53</v>
      </c>
      <c r="G87" s="8">
        <f t="shared" si="1"/>
        <v>25.665722379603398</v>
      </c>
    </row>
    <row r="88" spans="1:7" x14ac:dyDescent="0.25">
      <c r="A88" s="87">
        <v>45804.302083333336</v>
      </c>
      <c r="B88">
        <v>29</v>
      </c>
      <c r="C88" t="s">
        <v>36</v>
      </c>
      <c r="D88" t="s">
        <v>37</v>
      </c>
      <c r="E88">
        <v>1.57</v>
      </c>
      <c r="F88">
        <v>3.5</v>
      </c>
      <c r="G88" s="8">
        <f t="shared" si="1"/>
        <v>26.914285714285715</v>
      </c>
    </row>
    <row r="89" spans="1:7" x14ac:dyDescent="0.25">
      <c r="A89" s="87">
        <v>45804.302083333336</v>
      </c>
      <c r="B89">
        <v>30</v>
      </c>
      <c r="C89" t="s">
        <v>37</v>
      </c>
      <c r="D89" t="s">
        <v>38</v>
      </c>
      <c r="E89">
        <v>1.57</v>
      </c>
      <c r="F89">
        <v>4.03</v>
      </c>
      <c r="G89" s="8">
        <f t="shared" si="1"/>
        <v>23.374689826302728</v>
      </c>
    </row>
    <row r="90" spans="1:7" x14ac:dyDescent="0.25">
      <c r="A90" s="87">
        <v>45804.302083333336</v>
      </c>
      <c r="B90">
        <v>31</v>
      </c>
      <c r="C90" t="s">
        <v>38</v>
      </c>
      <c r="D90" t="s">
        <v>39</v>
      </c>
      <c r="E90">
        <v>1.52</v>
      </c>
      <c r="F90">
        <v>2.4300000000000002</v>
      </c>
      <c r="G90" s="8">
        <f t="shared" si="1"/>
        <v>37.53086419753086</v>
      </c>
    </row>
    <row r="91" spans="1:7" x14ac:dyDescent="0.25">
      <c r="A91" s="87">
        <v>45804.302083333336</v>
      </c>
      <c r="B91">
        <v>32</v>
      </c>
      <c r="C91" t="s">
        <v>39</v>
      </c>
      <c r="D91" t="s">
        <v>40</v>
      </c>
      <c r="E91">
        <v>1.5</v>
      </c>
      <c r="F91">
        <v>1.62</v>
      </c>
      <c r="G91" s="8">
        <f t="shared" si="1"/>
        <v>55.55555555555555</v>
      </c>
    </row>
    <row r="92" spans="1:7" x14ac:dyDescent="0.25">
      <c r="A92" s="87">
        <v>45804.302083333336</v>
      </c>
      <c r="B92">
        <v>33</v>
      </c>
      <c r="C92" t="s">
        <v>40</v>
      </c>
      <c r="D92" t="s">
        <v>41</v>
      </c>
      <c r="E92">
        <v>1.51</v>
      </c>
      <c r="F92">
        <v>1.68</v>
      </c>
      <c r="G92" s="8">
        <f t="shared" si="1"/>
        <v>53.928571428571431</v>
      </c>
    </row>
    <row r="93" spans="1:7" x14ac:dyDescent="0.25">
      <c r="A93" s="87">
        <v>45804.302083333336</v>
      </c>
      <c r="B93">
        <v>34</v>
      </c>
      <c r="C93" t="s">
        <v>41</v>
      </c>
      <c r="D93" t="s">
        <v>42</v>
      </c>
      <c r="E93">
        <v>1.5</v>
      </c>
      <c r="F93">
        <v>1.72</v>
      </c>
      <c r="G93" s="8">
        <f t="shared" si="1"/>
        <v>52.325581395348841</v>
      </c>
    </row>
    <row r="94" spans="1:7" x14ac:dyDescent="0.25">
      <c r="A94" s="87">
        <v>45804.302083333336</v>
      </c>
      <c r="B94">
        <v>35</v>
      </c>
      <c r="C94" t="s">
        <v>43</v>
      </c>
      <c r="D94" t="s">
        <v>44</v>
      </c>
      <c r="E94">
        <v>1.55</v>
      </c>
      <c r="F94">
        <v>3.23</v>
      </c>
      <c r="G94" s="8">
        <f t="shared" si="1"/>
        <v>28.792569659442723</v>
      </c>
    </row>
    <row r="95" spans="1:7" x14ac:dyDescent="0.25">
      <c r="A95" s="87">
        <v>45804.302083333336</v>
      </c>
      <c r="B95">
        <v>36</v>
      </c>
      <c r="C95" t="s">
        <v>44</v>
      </c>
      <c r="D95" t="s">
        <v>45</v>
      </c>
      <c r="E95">
        <v>1.5</v>
      </c>
      <c r="F95">
        <v>2.65</v>
      </c>
      <c r="G95" s="8">
        <f t="shared" si="1"/>
        <v>33.962264150943398</v>
      </c>
    </row>
    <row r="96" spans="1:7" x14ac:dyDescent="0.25">
      <c r="A96" s="87">
        <v>45804.302083333336</v>
      </c>
      <c r="B96">
        <v>37</v>
      </c>
      <c r="C96" t="s">
        <v>45</v>
      </c>
      <c r="D96" t="s">
        <v>46</v>
      </c>
      <c r="E96">
        <v>1.38</v>
      </c>
      <c r="F96">
        <v>3.28</v>
      </c>
      <c r="G96" s="8">
        <f t="shared" si="1"/>
        <v>25.243902439024392</v>
      </c>
    </row>
    <row r="97" spans="1:7" x14ac:dyDescent="0.25">
      <c r="A97" s="87">
        <v>45804.302083333336</v>
      </c>
      <c r="B97">
        <v>38</v>
      </c>
      <c r="C97" t="s">
        <v>46</v>
      </c>
      <c r="D97" t="s">
        <v>47</v>
      </c>
      <c r="E97">
        <v>1.61</v>
      </c>
      <c r="F97">
        <v>3.28</v>
      </c>
      <c r="G97" s="8">
        <f t="shared" si="1"/>
        <v>29.451219512195127</v>
      </c>
    </row>
    <row r="98" spans="1:7" x14ac:dyDescent="0.25">
      <c r="A98" s="87">
        <v>45804.302083333336</v>
      </c>
      <c r="B98">
        <v>39</v>
      </c>
      <c r="C98" t="s">
        <v>47</v>
      </c>
      <c r="D98" t="s">
        <v>48</v>
      </c>
      <c r="E98">
        <v>1.55</v>
      </c>
      <c r="F98">
        <v>3.17</v>
      </c>
      <c r="G98" s="8">
        <f t="shared" si="1"/>
        <v>29.337539432176658</v>
      </c>
    </row>
    <row r="99" spans="1:7" x14ac:dyDescent="0.25">
      <c r="A99" s="87">
        <v>45804.302083333336</v>
      </c>
      <c r="B99">
        <v>40</v>
      </c>
      <c r="C99" t="s">
        <v>48</v>
      </c>
      <c r="D99" t="s">
        <v>49</v>
      </c>
      <c r="E99">
        <v>1.39</v>
      </c>
      <c r="F99">
        <v>2.63</v>
      </c>
      <c r="G99" s="8">
        <f t="shared" si="1"/>
        <v>31.71102661596958</v>
      </c>
    </row>
    <row r="100" spans="1:7" x14ac:dyDescent="0.25">
      <c r="A100" s="87">
        <v>45804.302083333336</v>
      </c>
      <c r="B100">
        <v>41</v>
      </c>
      <c r="C100" t="s">
        <v>50</v>
      </c>
      <c r="D100" t="s">
        <v>51</v>
      </c>
      <c r="E100">
        <v>1.56</v>
      </c>
      <c r="F100">
        <v>3.22</v>
      </c>
      <c r="G100" s="8">
        <f t="shared" si="1"/>
        <v>29.06832298136646</v>
      </c>
    </row>
    <row r="101" spans="1:7" x14ac:dyDescent="0.25">
      <c r="A101" s="87">
        <v>45804.302083333336</v>
      </c>
      <c r="B101">
        <v>42</v>
      </c>
      <c r="C101" t="s">
        <v>51</v>
      </c>
      <c r="D101" t="s">
        <v>52</v>
      </c>
      <c r="E101">
        <v>1.56</v>
      </c>
      <c r="F101">
        <v>3.3</v>
      </c>
      <c r="G101" s="8">
        <f t="shared" si="1"/>
        <v>28.363636363636367</v>
      </c>
    </row>
    <row r="102" spans="1:7" x14ac:dyDescent="0.25">
      <c r="A102" s="87">
        <v>45804.302083333336</v>
      </c>
      <c r="B102">
        <v>43</v>
      </c>
      <c r="C102" t="s">
        <v>52</v>
      </c>
      <c r="D102" t="s">
        <v>53</v>
      </c>
      <c r="E102">
        <v>1.51</v>
      </c>
      <c r="F102">
        <v>3.02</v>
      </c>
      <c r="G102" s="8">
        <f t="shared" si="1"/>
        <v>29.999999999999996</v>
      </c>
    </row>
    <row r="103" spans="1:7" x14ac:dyDescent="0.25">
      <c r="A103" s="87">
        <v>45804.302083333336</v>
      </c>
      <c r="B103">
        <v>44</v>
      </c>
      <c r="C103" t="s">
        <v>54</v>
      </c>
      <c r="D103" t="s">
        <v>55</v>
      </c>
      <c r="E103">
        <v>1.51</v>
      </c>
      <c r="F103">
        <v>3.72</v>
      </c>
      <c r="G103" s="8">
        <f t="shared" si="1"/>
        <v>24.354838709677416</v>
      </c>
    </row>
    <row r="104" spans="1:7" x14ac:dyDescent="0.25">
      <c r="A104" s="87">
        <v>45804.302083333336</v>
      </c>
      <c r="B104">
        <v>45</v>
      </c>
      <c r="C104" t="s">
        <v>55</v>
      </c>
      <c r="D104" t="s">
        <v>56</v>
      </c>
      <c r="E104">
        <v>1.49</v>
      </c>
      <c r="F104">
        <v>3</v>
      </c>
      <c r="G104" s="8">
        <f t="shared" si="1"/>
        <v>29.8</v>
      </c>
    </row>
    <row r="105" spans="1:7" x14ac:dyDescent="0.25">
      <c r="A105" s="87">
        <v>45804.302083333336</v>
      </c>
      <c r="B105">
        <v>46</v>
      </c>
      <c r="C105" t="s">
        <v>56</v>
      </c>
      <c r="D105" t="s">
        <v>57</v>
      </c>
      <c r="E105">
        <v>1.52</v>
      </c>
      <c r="F105">
        <v>3.43</v>
      </c>
      <c r="G105" s="8">
        <f t="shared" si="1"/>
        <v>26.588921282798832</v>
      </c>
    </row>
    <row r="106" spans="1:7" x14ac:dyDescent="0.25">
      <c r="A106" s="87">
        <v>45804.302083333336</v>
      </c>
      <c r="B106">
        <v>47</v>
      </c>
      <c r="C106" t="s">
        <v>58</v>
      </c>
      <c r="D106" t="s">
        <v>59</v>
      </c>
      <c r="E106">
        <v>1.52</v>
      </c>
      <c r="F106">
        <v>3.33</v>
      </c>
      <c r="G106" s="8">
        <f t="shared" si="1"/>
        <v>27.387387387387388</v>
      </c>
    </row>
    <row r="107" spans="1:7" x14ac:dyDescent="0.25">
      <c r="A107" s="87">
        <v>45804.302083333336</v>
      </c>
      <c r="B107">
        <v>48</v>
      </c>
      <c r="C107" t="s">
        <v>59</v>
      </c>
      <c r="D107" t="s">
        <v>60</v>
      </c>
      <c r="E107">
        <v>1.5</v>
      </c>
      <c r="F107">
        <v>3.28</v>
      </c>
      <c r="G107" s="8">
        <f t="shared" si="1"/>
        <v>27.439024390243905</v>
      </c>
    </row>
    <row r="108" spans="1:7" x14ac:dyDescent="0.25">
      <c r="A108" s="87">
        <v>45804.302083333336</v>
      </c>
      <c r="B108">
        <v>49</v>
      </c>
      <c r="C108" t="s">
        <v>60</v>
      </c>
      <c r="D108" t="s">
        <v>61</v>
      </c>
      <c r="E108">
        <v>1.54</v>
      </c>
      <c r="F108">
        <v>3.28</v>
      </c>
      <c r="G108" s="8">
        <f t="shared" si="1"/>
        <v>28.170731707317078</v>
      </c>
    </row>
    <row r="109" spans="1:7" x14ac:dyDescent="0.25">
      <c r="A109" s="87">
        <v>45804.302083333336</v>
      </c>
      <c r="B109">
        <v>50</v>
      </c>
      <c r="C109" t="s">
        <v>62</v>
      </c>
      <c r="D109" t="s">
        <v>63</v>
      </c>
      <c r="E109">
        <v>1.38</v>
      </c>
      <c r="F109">
        <v>2.9</v>
      </c>
      <c r="G109" s="8">
        <f t="shared" si="1"/>
        <v>28.551724137931036</v>
      </c>
    </row>
    <row r="110" spans="1:7" x14ac:dyDescent="0.25">
      <c r="A110" s="87">
        <v>45804.302083333336</v>
      </c>
      <c r="B110">
        <v>51</v>
      </c>
      <c r="C110" t="s">
        <v>63</v>
      </c>
      <c r="D110" t="s">
        <v>64</v>
      </c>
      <c r="E110">
        <v>2.79</v>
      </c>
      <c r="F110">
        <v>4.93</v>
      </c>
      <c r="G110" s="8">
        <f t="shared" si="1"/>
        <v>33.955375253549697</v>
      </c>
    </row>
    <row r="111" spans="1:7" x14ac:dyDescent="0.25">
      <c r="A111" s="87">
        <v>45804.302083333336</v>
      </c>
      <c r="B111">
        <v>52</v>
      </c>
      <c r="C111" t="s">
        <v>64</v>
      </c>
      <c r="D111" t="s">
        <v>65</v>
      </c>
      <c r="E111">
        <v>1.5</v>
      </c>
      <c r="F111">
        <v>2.65</v>
      </c>
      <c r="G111" s="8">
        <f t="shared" si="1"/>
        <v>33.962264150943398</v>
      </c>
    </row>
    <row r="112" spans="1:7" x14ac:dyDescent="0.25">
      <c r="A112" s="87">
        <v>45804.302083333336</v>
      </c>
      <c r="B112">
        <v>53</v>
      </c>
      <c r="C112" t="s">
        <v>65</v>
      </c>
      <c r="D112" t="s">
        <v>66</v>
      </c>
      <c r="E112">
        <v>1.46</v>
      </c>
      <c r="F112">
        <v>3.2</v>
      </c>
      <c r="G112" s="8">
        <f t="shared" si="1"/>
        <v>27.374999999999996</v>
      </c>
    </row>
    <row r="113" spans="1:7" x14ac:dyDescent="0.25">
      <c r="A113" s="87">
        <v>45804.302083333336</v>
      </c>
      <c r="B113">
        <v>54</v>
      </c>
      <c r="C113" t="s">
        <v>67</v>
      </c>
      <c r="D113" t="s">
        <v>68</v>
      </c>
      <c r="E113">
        <v>1.46</v>
      </c>
      <c r="F113">
        <v>2.42</v>
      </c>
      <c r="G113" s="8">
        <f t="shared" si="1"/>
        <v>36.198347107438018</v>
      </c>
    </row>
    <row r="114" spans="1:7" x14ac:dyDescent="0.25">
      <c r="A114" s="87">
        <v>45804.302083333336</v>
      </c>
      <c r="B114">
        <v>55</v>
      </c>
      <c r="C114" t="s">
        <v>68</v>
      </c>
      <c r="D114" t="s">
        <v>69</v>
      </c>
      <c r="E114">
        <v>1.5</v>
      </c>
      <c r="F114">
        <v>1.87</v>
      </c>
      <c r="G114" s="8">
        <f t="shared" si="1"/>
        <v>48.128342245989302</v>
      </c>
    </row>
    <row r="115" spans="1:7" x14ac:dyDescent="0.25">
      <c r="A115" s="87">
        <v>45804.302083333336</v>
      </c>
      <c r="B115">
        <v>56</v>
      </c>
      <c r="C115" t="s">
        <v>70</v>
      </c>
      <c r="D115" t="s">
        <v>71</v>
      </c>
      <c r="E115">
        <v>1.51</v>
      </c>
      <c r="F115">
        <v>3.58</v>
      </c>
      <c r="G115" s="8">
        <f t="shared" si="1"/>
        <v>25.3072625698324</v>
      </c>
    </row>
    <row r="116" spans="1:7" x14ac:dyDescent="0.25">
      <c r="A116" s="87">
        <v>45804.302083333336</v>
      </c>
      <c r="B116">
        <v>57</v>
      </c>
      <c r="C116" t="s">
        <v>71</v>
      </c>
      <c r="D116" t="s">
        <v>72</v>
      </c>
      <c r="E116">
        <v>1.52</v>
      </c>
      <c r="F116">
        <v>3.25</v>
      </c>
      <c r="G116" s="8">
        <f t="shared" si="1"/>
        <v>28.061538461538461</v>
      </c>
    </row>
    <row r="117" spans="1:7" x14ac:dyDescent="0.25">
      <c r="A117" s="87">
        <v>45804.302083333336</v>
      </c>
      <c r="B117">
        <v>58</v>
      </c>
      <c r="C117" t="s">
        <v>72</v>
      </c>
      <c r="D117" t="s">
        <v>73</v>
      </c>
      <c r="E117">
        <v>1.5</v>
      </c>
      <c r="F117">
        <v>2.95</v>
      </c>
      <c r="G117" s="8">
        <f t="shared" si="1"/>
        <v>30.508474576271183</v>
      </c>
    </row>
    <row r="118" spans="1:7" x14ac:dyDescent="0.25">
      <c r="A118" s="87">
        <v>45804.3125</v>
      </c>
      <c r="B118">
        <v>1</v>
      </c>
      <c r="C118" t="s">
        <v>6</v>
      </c>
      <c r="D118" t="s">
        <v>7</v>
      </c>
      <c r="E118">
        <v>1.53</v>
      </c>
      <c r="F118">
        <v>2.83</v>
      </c>
      <c r="G118" s="8">
        <f t="shared" si="1"/>
        <v>32.438162544169607</v>
      </c>
    </row>
    <row r="119" spans="1:7" x14ac:dyDescent="0.25">
      <c r="A119" s="87">
        <v>45804.3125</v>
      </c>
      <c r="B119">
        <v>2</v>
      </c>
      <c r="C119" t="s">
        <v>7</v>
      </c>
      <c r="D119" t="s">
        <v>8</v>
      </c>
      <c r="E119">
        <v>1.57</v>
      </c>
      <c r="F119">
        <v>4.12</v>
      </c>
      <c r="G119" s="8">
        <f t="shared" si="1"/>
        <v>22.864077669902912</v>
      </c>
    </row>
    <row r="120" spans="1:7" x14ac:dyDescent="0.25">
      <c r="A120" s="87">
        <v>45804.3125</v>
      </c>
      <c r="B120">
        <v>3</v>
      </c>
      <c r="C120" t="s">
        <v>8</v>
      </c>
      <c r="D120" t="s">
        <v>9</v>
      </c>
      <c r="E120">
        <v>1.5</v>
      </c>
      <c r="F120">
        <v>2.78</v>
      </c>
      <c r="G120" s="8">
        <f t="shared" si="1"/>
        <v>32.374100719424462</v>
      </c>
    </row>
    <row r="121" spans="1:7" x14ac:dyDescent="0.25">
      <c r="A121" s="87">
        <v>45804.3125</v>
      </c>
      <c r="B121">
        <v>4</v>
      </c>
      <c r="C121" t="s">
        <v>9</v>
      </c>
      <c r="D121" t="s">
        <v>10</v>
      </c>
      <c r="E121">
        <v>1.5</v>
      </c>
      <c r="F121">
        <v>2.62</v>
      </c>
      <c r="G121" s="8">
        <f t="shared" si="1"/>
        <v>34.351145038167935</v>
      </c>
    </row>
    <row r="122" spans="1:7" x14ac:dyDescent="0.25">
      <c r="A122" s="87">
        <v>45804.3125</v>
      </c>
      <c r="B122">
        <v>5</v>
      </c>
      <c r="C122" t="s">
        <v>10</v>
      </c>
      <c r="D122" t="s">
        <v>11</v>
      </c>
      <c r="E122">
        <v>1.52</v>
      </c>
      <c r="F122">
        <v>2.75</v>
      </c>
      <c r="G122" s="8">
        <f t="shared" si="1"/>
        <v>33.163636363636364</v>
      </c>
    </row>
    <row r="123" spans="1:7" x14ac:dyDescent="0.25">
      <c r="A123" s="87">
        <v>45804.3125</v>
      </c>
      <c r="B123">
        <v>6</v>
      </c>
      <c r="C123" t="s">
        <v>11</v>
      </c>
      <c r="D123" t="s">
        <v>12</v>
      </c>
      <c r="E123">
        <v>1.5</v>
      </c>
      <c r="F123">
        <v>2.5299999999999998</v>
      </c>
      <c r="G123" s="8">
        <f t="shared" si="1"/>
        <v>35.573122529644273</v>
      </c>
    </row>
    <row r="124" spans="1:7" x14ac:dyDescent="0.25">
      <c r="A124" s="87">
        <v>45804.3125</v>
      </c>
      <c r="B124">
        <v>7</v>
      </c>
      <c r="C124" t="s">
        <v>12</v>
      </c>
      <c r="D124" t="s">
        <v>13</v>
      </c>
      <c r="E124">
        <v>1.54</v>
      </c>
      <c r="F124">
        <v>2.4700000000000002</v>
      </c>
      <c r="G124" s="8">
        <f t="shared" si="1"/>
        <v>37.40890688259109</v>
      </c>
    </row>
    <row r="125" spans="1:7" x14ac:dyDescent="0.25">
      <c r="A125" s="87">
        <v>45804.3125</v>
      </c>
      <c r="B125">
        <v>8</v>
      </c>
      <c r="C125" t="s">
        <v>13</v>
      </c>
      <c r="D125" t="s">
        <v>14</v>
      </c>
      <c r="E125">
        <v>1.54</v>
      </c>
      <c r="F125">
        <v>2.93</v>
      </c>
      <c r="G125" s="8">
        <f t="shared" si="1"/>
        <v>31.535836177474405</v>
      </c>
    </row>
    <row r="126" spans="1:7" x14ac:dyDescent="0.25">
      <c r="A126" s="87">
        <v>45804.3125</v>
      </c>
      <c r="B126">
        <v>9</v>
      </c>
      <c r="C126" t="s">
        <v>14</v>
      </c>
      <c r="D126" t="s">
        <v>15</v>
      </c>
      <c r="E126">
        <v>1.52</v>
      </c>
      <c r="F126">
        <v>3.02</v>
      </c>
      <c r="G126" s="8">
        <f t="shared" si="1"/>
        <v>30.198675496688743</v>
      </c>
    </row>
    <row r="127" spans="1:7" x14ac:dyDescent="0.25">
      <c r="A127" s="87">
        <v>45804.3125</v>
      </c>
      <c r="B127">
        <v>10</v>
      </c>
      <c r="C127" t="s">
        <v>15</v>
      </c>
      <c r="D127" t="s">
        <v>16</v>
      </c>
      <c r="E127">
        <v>1.5</v>
      </c>
      <c r="F127">
        <v>3.05</v>
      </c>
      <c r="G127" s="8">
        <f t="shared" si="1"/>
        <v>29.508196721311478</v>
      </c>
    </row>
    <row r="128" spans="1:7" x14ac:dyDescent="0.25">
      <c r="A128" s="87">
        <v>45804.3125</v>
      </c>
      <c r="B128">
        <v>11</v>
      </c>
      <c r="C128" t="s">
        <v>16</v>
      </c>
      <c r="D128" t="s">
        <v>17</v>
      </c>
      <c r="E128">
        <v>1.48</v>
      </c>
      <c r="F128">
        <v>2.4</v>
      </c>
      <c r="G128" s="8">
        <f t="shared" si="1"/>
        <v>37</v>
      </c>
    </row>
    <row r="129" spans="1:7" x14ac:dyDescent="0.25">
      <c r="A129" s="87">
        <v>45804.3125</v>
      </c>
      <c r="B129">
        <v>12</v>
      </c>
      <c r="C129" t="s">
        <v>17</v>
      </c>
      <c r="D129" t="s">
        <v>18</v>
      </c>
      <c r="E129">
        <v>1.46</v>
      </c>
      <c r="F129">
        <v>3.1</v>
      </c>
      <c r="G129" s="8">
        <f t="shared" si="1"/>
        <v>28.258064516129028</v>
      </c>
    </row>
    <row r="130" spans="1:7" x14ac:dyDescent="0.25">
      <c r="A130" s="87">
        <v>45804.3125</v>
      </c>
      <c r="B130">
        <v>13</v>
      </c>
      <c r="C130" t="s">
        <v>18</v>
      </c>
      <c r="D130" t="s">
        <v>19</v>
      </c>
      <c r="E130">
        <v>1.52</v>
      </c>
      <c r="F130">
        <v>3.97</v>
      </c>
      <c r="G130" s="8">
        <f t="shared" si="1"/>
        <v>22.972292191435766</v>
      </c>
    </row>
    <row r="131" spans="1:7" x14ac:dyDescent="0.25">
      <c r="A131" s="87">
        <v>45804.3125</v>
      </c>
      <c r="B131">
        <v>14</v>
      </c>
      <c r="C131" t="s">
        <v>19</v>
      </c>
      <c r="D131" t="s">
        <v>20</v>
      </c>
      <c r="E131">
        <v>1.51</v>
      </c>
      <c r="F131">
        <v>3.08</v>
      </c>
      <c r="G131" s="8">
        <f t="shared" ref="G131:G194" si="2">E131*60/F131</f>
        <v>29.415584415584412</v>
      </c>
    </row>
    <row r="132" spans="1:7" x14ac:dyDescent="0.25">
      <c r="A132" s="87">
        <v>45804.3125</v>
      </c>
      <c r="B132">
        <v>15</v>
      </c>
      <c r="C132" t="s">
        <v>20</v>
      </c>
      <c r="D132" t="s">
        <v>21</v>
      </c>
      <c r="E132">
        <v>1.47</v>
      </c>
      <c r="F132">
        <v>2.5</v>
      </c>
      <c r="G132" s="8">
        <f t="shared" si="2"/>
        <v>35.28</v>
      </c>
    </row>
    <row r="133" spans="1:7" x14ac:dyDescent="0.25">
      <c r="A133" s="87">
        <v>45804.3125</v>
      </c>
      <c r="B133">
        <v>16</v>
      </c>
      <c r="C133" t="s">
        <v>21</v>
      </c>
      <c r="D133" t="s">
        <v>22</v>
      </c>
      <c r="E133">
        <v>1.5</v>
      </c>
      <c r="F133">
        <v>1.78</v>
      </c>
      <c r="G133" s="8">
        <f t="shared" si="2"/>
        <v>50.561797752808985</v>
      </c>
    </row>
    <row r="134" spans="1:7" x14ac:dyDescent="0.25">
      <c r="A134" s="87">
        <v>45804.3125</v>
      </c>
      <c r="B134">
        <v>17</v>
      </c>
      <c r="C134" t="s">
        <v>22</v>
      </c>
      <c r="D134" t="s">
        <v>23</v>
      </c>
      <c r="E134">
        <v>1.51</v>
      </c>
      <c r="F134">
        <v>2.57</v>
      </c>
      <c r="G134" s="8">
        <f t="shared" si="2"/>
        <v>35.252918287937746</v>
      </c>
    </row>
    <row r="135" spans="1:7" x14ac:dyDescent="0.25">
      <c r="A135" s="87">
        <v>45804.3125</v>
      </c>
      <c r="B135">
        <v>18</v>
      </c>
      <c r="C135" t="s">
        <v>23</v>
      </c>
      <c r="D135" t="s">
        <v>24</v>
      </c>
      <c r="E135">
        <v>1.51</v>
      </c>
      <c r="F135">
        <v>2.7</v>
      </c>
      <c r="G135" s="8">
        <f t="shared" si="2"/>
        <v>33.55555555555555</v>
      </c>
    </row>
    <row r="136" spans="1:7" x14ac:dyDescent="0.25">
      <c r="A136" s="87">
        <v>45804.3125</v>
      </c>
      <c r="B136">
        <v>19</v>
      </c>
      <c r="C136" t="s">
        <v>25</v>
      </c>
      <c r="D136" t="s">
        <v>26</v>
      </c>
      <c r="E136">
        <v>1.5</v>
      </c>
      <c r="F136">
        <v>3.6</v>
      </c>
      <c r="G136" s="8">
        <f t="shared" si="2"/>
        <v>25</v>
      </c>
    </row>
    <row r="137" spans="1:7" x14ac:dyDescent="0.25">
      <c r="A137" s="87">
        <v>45804.3125</v>
      </c>
      <c r="B137">
        <v>20</v>
      </c>
      <c r="C137" t="s">
        <v>26</v>
      </c>
      <c r="D137" t="s">
        <v>27</v>
      </c>
      <c r="E137">
        <v>1.48</v>
      </c>
      <c r="F137">
        <v>3.43</v>
      </c>
      <c r="G137" s="8">
        <f t="shared" si="2"/>
        <v>25.889212827988334</v>
      </c>
    </row>
    <row r="138" spans="1:7" x14ac:dyDescent="0.25">
      <c r="A138" s="87">
        <v>45804.3125</v>
      </c>
      <c r="B138">
        <v>21</v>
      </c>
      <c r="C138" t="s">
        <v>27</v>
      </c>
      <c r="D138" t="s">
        <v>28</v>
      </c>
      <c r="E138">
        <v>1.51</v>
      </c>
      <c r="F138">
        <v>3</v>
      </c>
      <c r="G138" s="8">
        <f t="shared" si="2"/>
        <v>30.2</v>
      </c>
    </row>
    <row r="139" spans="1:7" x14ac:dyDescent="0.25">
      <c r="A139" s="87">
        <v>45804.3125</v>
      </c>
      <c r="B139">
        <v>22</v>
      </c>
      <c r="C139" t="s">
        <v>28</v>
      </c>
      <c r="D139" t="s">
        <v>29</v>
      </c>
      <c r="E139">
        <v>1.57</v>
      </c>
      <c r="F139">
        <v>3.22</v>
      </c>
      <c r="G139" s="8">
        <f t="shared" si="2"/>
        <v>29.254658385093165</v>
      </c>
    </row>
    <row r="140" spans="1:7" x14ac:dyDescent="0.25">
      <c r="A140" s="87">
        <v>45804.3125</v>
      </c>
      <c r="B140">
        <v>23</v>
      </c>
      <c r="C140" t="s">
        <v>29</v>
      </c>
      <c r="D140" t="s">
        <v>30</v>
      </c>
      <c r="E140">
        <v>1.43</v>
      </c>
      <c r="F140">
        <v>3.17</v>
      </c>
      <c r="G140" s="8">
        <f t="shared" si="2"/>
        <v>27.066246056782333</v>
      </c>
    </row>
    <row r="141" spans="1:7" x14ac:dyDescent="0.25">
      <c r="A141" s="87">
        <v>45804.3125</v>
      </c>
      <c r="B141">
        <v>24</v>
      </c>
      <c r="C141" t="s">
        <v>30</v>
      </c>
      <c r="D141" t="s">
        <v>31</v>
      </c>
      <c r="E141">
        <v>1.52</v>
      </c>
      <c r="F141">
        <v>3.57</v>
      </c>
      <c r="G141" s="8">
        <f t="shared" si="2"/>
        <v>25.54621848739496</v>
      </c>
    </row>
    <row r="142" spans="1:7" x14ac:dyDescent="0.25">
      <c r="A142" s="87">
        <v>45804.3125</v>
      </c>
      <c r="B142">
        <v>25</v>
      </c>
      <c r="C142" t="s">
        <v>31</v>
      </c>
      <c r="D142" t="s">
        <v>32</v>
      </c>
      <c r="E142">
        <v>1.52</v>
      </c>
      <c r="F142">
        <v>2.88</v>
      </c>
      <c r="G142" s="8">
        <f t="shared" si="2"/>
        <v>31.666666666666668</v>
      </c>
    </row>
    <row r="143" spans="1:7" x14ac:dyDescent="0.25">
      <c r="A143" s="87">
        <v>45804.3125</v>
      </c>
      <c r="B143">
        <v>26</v>
      </c>
      <c r="C143" t="s">
        <v>32</v>
      </c>
      <c r="D143" t="s">
        <v>33</v>
      </c>
      <c r="E143">
        <v>1.49</v>
      </c>
      <c r="F143">
        <v>2.85</v>
      </c>
      <c r="G143" s="8">
        <f t="shared" si="2"/>
        <v>31.368421052631579</v>
      </c>
    </row>
    <row r="144" spans="1:7" x14ac:dyDescent="0.25">
      <c r="A144" s="87">
        <v>45804.3125</v>
      </c>
      <c r="B144">
        <v>27</v>
      </c>
      <c r="C144" t="s">
        <v>33</v>
      </c>
      <c r="D144" t="s">
        <v>34</v>
      </c>
      <c r="E144">
        <v>1.53</v>
      </c>
      <c r="F144">
        <v>3</v>
      </c>
      <c r="G144" s="8">
        <f t="shared" si="2"/>
        <v>30.599999999999998</v>
      </c>
    </row>
    <row r="145" spans="1:7" x14ac:dyDescent="0.25">
      <c r="A145" s="87">
        <v>45804.3125</v>
      </c>
      <c r="B145">
        <v>28</v>
      </c>
      <c r="C145" t="s">
        <v>34</v>
      </c>
      <c r="D145" t="s">
        <v>35</v>
      </c>
      <c r="E145">
        <v>1.51</v>
      </c>
      <c r="F145">
        <v>3.68</v>
      </c>
      <c r="G145" s="8">
        <f t="shared" si="2"/>
        <v>24.619565217391301</v>
      </c>
    </row>
    <row r="146" spans="1:7" x14ac:dyDescent="0.25">
      <c r="A146" s="87">
        <v>45804.3125</v>
      </c>
      <c r="B146">
        <v>29</v>
      </c>
      <c r="C146" t="s">
        <v>36</v>
      </c>
      <c r="D146" t="s">
        <v>37</v>
      </c>
      <c r="E146">
        <v>1.57</v>
      </c>
      <c r="F146">
        <v>3.85</v>
      </c>
      <c r="G146" s="8">
        <f t="shared" si="2"/>
        <v>24.467532467532468</v>
      </c>
    </row>
    <row r="147" spans="1:7" x14ac:dyDescent="0.25">
      <c r="A147" s="87">
        <v>45804.3125</v>
      </c>
      <c r="B147">
        <v>30</v>
      </c>
      <c r="C147" t="s">
        <v>37</v>
      </c>
      <c r="D147" t="s">
        <v>38</v>
      </c>
      <c r="E147">
        <v>1.57</v>
      </c>
      <c r="F147">
        <v>4.6500000000000004</v>
      </c>
      <c r="G147" s="8">
        <f t="shared" si="2"/>
        <v>20.258064516129032</v>
      </c>
    </row>
    <row r="148" spans="1:7" x14ac:dyDescent="0.25">
      <c r="A148" s="87">
        <v>45804.3125</v>
      </c>
      <c r="B148">
        <v>31</v>
      </c>
      <c r="C148" t="s">
        <v>38</v>
      </c>
      <c r="D148" t="s">
        <v>39</v>
      </c>
      <c r="E148">
        <v>1.52</v>
      </c>
      <c r="F148">
        <v>2.4500000000000002</v>
      </c>
      <c r="G148" s="8">
        <f t="shared" si="2"/>
        <v>37.224489795918366</v>
      </c>
    </row>
    <row r="149" spans="1:7" x14ac:dyDescent="0.25">
      <c r="A149" s="87">
        <v>45804.3125</v>
      </c>
      <c r="B149">
        <v>32</v>
      </c>
      <c r="C149" t="s">
        <v>39</v>
      </c>
      <c r="D149" t="s">
        <v>40</v>
      </c>
      <c r="E149">
        <v>1.5</v>
      </c>
      <c r="F149">
        <v>1.67</v>
      </c>
      <c r="G149" s="8">
        <f t="shared" si="2"/>
        <v>53.892215568862277</v>
      </c>
    </row>
    <row r="150" spans="1:7" x14ac:dyDescent="0.25">
      <c r="A150" s="87">
        <v>45804.3125</v>
      </c>
      <c r="B150">
        <v>33</v>
      </c>
      <c r="C150" t="s">
        <v>40</v>
      </c>
      <c r="D150" t="s">
        <v>41</v>
      </c>
      <c r="E150">
        <v>1.51</v>
      </c>
      <c r="F150">
        <v>1.68</v>
      </c>
      <c r="G150" s="8">
        <f t="shared" si="2"/>
        <v>53.928571428571431</v>
      </c>
    </row>
    <row r="151" spans="1:7" x14ac:dyDescent="0.25">
      <c r="A151" s="87">
        <v>45804.3125</v>
      </c>
      <c r="B151">
        <v>34</v>
      </c>
      <c r="C151" t="s">
        <v>41</v>
      </c>
      <c r="D151" t="s">
        <v>42</v>
      </c>
      <c r="E151">
        <v>1.5</v>
      </c>
      <c r="F151">
        <v>1.68</v>
      </c>
      <c r="G151" s="8">
        <f t="shared" si="2"/>
        <v>53.571428571428577</v>
      </c>
    </row>
    <row r="152" spans="1:7" x14ac:dyDescent="0.25">
      <c r="A152" s="87">
        <v>45804.3125</v>
      </c>
      <c r="B152">
        <v>35</v>
      </c>
      <c r="C152" t="s">
        <v>43</v>
      </c>
      <c r="D152" t="s">
        <v>44</v>
      </c>
      <c r="E152">
        <v>1.55</v>
      </c>
      <c r="F152">
        <v>3.28</v>
      </c>
      <c r="G152" s="8">
        <f t="shared" si="2"/>
        <v>28.353658536585368</v>
      </c>
    </row>
    <row r="153" spans="1:7" x14ac:dyDescent="0.25">
      <c r="A153" s="87">
        <v>45804.3125</v>
      </c>
      <c r="B153">
        <v>36</v>
      </c>
      <c r="C153" t="s">
        <v>44</v>
      </c>
      <c r="D153" t="s">
        <v>45</v>
      </c>
      <c r="E153">
        <v>1.5</v>
      </c>
      <c r="F153">
        <v>2.7</v>
      </c>
      <c r="G153" s="8">
        <f t="shared" si="2"/>
        <v>33.333333333333329</v>
      </c>
    </row>
    <row r="154" spans="1:7" x14ac:dyDescent="0.25">
      <c r="A154" s="87">
        <v>45804.3125</v>
      </c>
      <c r="B154">
        <v>37</v>
      </c>
      <c r="C154" t="s">
        <v>45</v>
      </c>
      <c r="D154" t="s">
        <v>46</v>
      </c>
      <c r="E154">
        <v>1.38</v>
      </c>
      <c r="F154">
        <v>3.45</v>
      </c>
      <c r="G154" s="8">
        <f t="shared" si="2"/>
        <v>23.999999999999996</v>
      </c>
    </row>
    <row r="155" spans="1:7" x14ac:dyDescent="0.25">
      <c r="A155" s="87">
        <v>45804.3125</v>
      </c>
      <c r="B155">
        <v>38</v>
      </c>
      <c r="C155" t="s">
        <v>46</v>
      </c>
      <c r="D155" t="s">
        <v>47</v>
      </c>
      <c r="E155">
        <v>1.61</v>
      </c>
      <c r="F155">
        <v>3.48</v>
      </c>
      <c r="G155" s="8">
        <f t="shared" si="2"/>
        <v>27.758620689655174</v>
      </c>
    </row>
    <row r="156" spans="1:7" x14ac:dyDescent="0.25">
      <c r="A156" s="87">
        <v>45804.3125</v>
      </c>
      <c r="B156">
        <v>39</v>
      </c>
      <c r="C156" t="s">
        <v>47</v>
      </c>
      <c r="D156" t="s">
        <v>48</v>
      </c>
      <c r="E156">
        <v>1.55</v>
      </c>
      <c r="F156">
        <v>3.22</v>
      </c>
      <c r="G156" s="8">
        <f t="shared" si="2"/>
        <v>28.881987577639748</v>
      </c>
    </row>
    <row r="157" spans="1:7" x14ac:dyDescent="0.25">
      <c r="A157" s="87">
        <v>45804.3125</v>
      </c>
      <c r="B157">
        <v>40</v>
      </c>
      <c r="C157" t="s">
        <v>48</v>
      </c>
      <c r="D157" t="s">
        <v>49</v>
      </c>
      <c r="E157">
        <v>1.39</v>
      </c>
      <c r="F157">
        <v>2.65</v>
      </c>
      <c r="G157" s="8">
        <f t="shared" si="2"/>
        <v>31.471698113207545</v>
      </c>
    </row>
    <row r="158" spans="1:7" x14ac:dyDescent="0.25">
      <c r="A158" s="87">
        <v>45804.3125</v>
      </c>
      <c r="B158">
        <v>41</v>
      </c>
      <c r="C158" t="s">
        <v>50</v>
      </c>
      <c r="D158" t="s">
        <v>51</v>
      </c>
      <c r="E158">
        <v>1.56</v>
      </c>
      <c r="F158">
        <v>3.35</v>
      </c>
      <c r="G158" s="8">
        <f t="shared" si="2"/>
        <v>27.940298507462689</v>
      </c>
    </row>
    <row r="159" spans="1:7" x14ac:dyDescent="0.25">
      <c r="A159" s="87">
        <v>45804.3125</v>
      </c>
      <c r="B159">
        <v>42</v>
      </c>
      <c r="C159" t="s">
        <v>51</v>
      </c>
      <c r="D159" t="s">
        <v>52</v>
      </c>
      <c r="E159">
        <v>1.56</v>
      </c>
      <c r="F159">
        <v>3.38</v>
      </c>
      <c r="G159" s="8">
        <f t="shared" si="2"/>
        <v>27.692307692307697</v>
      </c>
    </row>
    <row r="160" spans="1:7" x14ac:dyDescent="0.25">
      <c r="A160" s="87">
        <v>45804.3125</v>
      </c>
      <c r="B160">
        <v>43</v>
      </c>
      <c r="C160" t="s">
        <v>52</v>
      </c>
      <c r="D160" t="s">
        <v>53</v>
      </c>
      <c r="E160">
        <v>1.51</v>
      </c>
      <c r="F160">
        <v>3.17</v>
      </c>
      <c r="G160" s="8">
        <f t="shared" si="2"/>
        <v>28.580441640378549</v>
      </c>
    </row>
    <row r="161" spans="1:7" x14ac:dyDescent="0.25">
      <c r="A161" s="87">
        <v>45804.3125</v>
      </c>
      <c r="B161">
        <v>44</v>
      </c>
      <c r="C161" t="s">
        <v>54</v>
      </c>
      <c r="D161" t="s">
        <v>55</v>
      </c>
      <c r="E161">
        <v>1.51</v>
      </c>
      <c r="F161">
        <v>4.2</v>
      </c>
      <c r="G161" s="8">
        <f t="shared" si="2"/>
        <v>21.571428571428569</v>
      </c>
    </row>
    <row r="162" spans="1:7" x14ac:dyDescent="0.25">
      <c r="A162" s="87">
        <v>45804.3125</v>
      </c>
      <c r="B162">
        <v>45</v>
      </c>
      <c r="C162" t="s">
        <v>55</v>
      </c>
      <c r="D162" t="s">
        <v>56</v>
      </c>
      <c r="E162">
        <v>1.49</v>
      </c>
      <c r="F162">
        <v>3.08</v>
      </c>
      <c r="G162" s="8">
        <f t="shared" si="2"/>
        <v>29.025974025974026</v>
      </c>
    </row>
    <row r="163" spans="1:7" x14ac:dyDescent="0.25">
      <c r="A163" s="87">
        <v>45804.3125</v>
      </c>
      <c r="B163">
        <v>46</v>
      </c>
      <c r="C163" t="s">
        <v>56</v>
      </c>
      <c r="D163" t="s">
        <v>57</v>
      </c>
      <c r="E163">
        <v>1.52</v>
      </c>
      <c r="F163">
        <v>3.58</v>
      </c>
      <c r="G163" s="8">
        <f t="shared" si="2"/>
        <v>25.47486033519553</v>
      </c>
    </row>
    <row r="164" spans="1:7" x14ac:dyDescent="0.25">
      <c r="A164" s="87">
        <v>45804.3125</v>
      </c>
      <c r="B164">
        <v>47</v>
      </c>
      <c r="C164" t="s">
        <v>58</v>
      </c>
      <c r="D164" t="s">
        <v>59</v>
      </c>
      <c r="E164">
        <v>1.52</v>
      </c>
      <c r="F164">
        <v>3.43</v>
      </c>
      <c r="G164" s="8">
        <f t="shared" si="2"/>
        <v>26.588921282798832</v>
      </c>
    </row>
    <row r="165" spans="1:7" x14ac:dyDescent="0.25">
      <c r="A165" s="87">
        <v>45804.3125</v>
      </c>
      <c r="B165">
        <v>48</v>
      </c>
      <c r="C165" t="s">
        <v>59</v>
      </c>
      <c r="D165" t="s">
        <v>60</v>
      </c>
      <c r="E165">
        <v>1.5</v>
      </c>
      <c r="F165">
        <v>3.35</v>
      </c>
      <c r="G165" s="8">
        <f t="shared" si="2"/>
        <v>26.865671641791042</v>
      </c>
    </row>
    <row r="166" spans="1:7" x14ac:dyDescent="0.25">
      <c r="A166" s="87">
        <v>45804.3125</v>
      </c>
      <c r="B166">
        <v>49</v>
      </c>
      <c r="C166" t="s">
        <v>60</v>
      </c>
      <c r="D166" t="s">
        <v>61</v>
      </c>
      <c r="E166">
        <v>1.54</v>
      </c>
      <c r="F166">
        <v>3.27</v>
      </c>
      <c r="G166" s="8">
        <f t="shared" si="2"/>
        <v>28.256880733944957</v>
      </c>
    </row>
    <row r="167" spans="1:7" x14ac:dyDescent="0.25">
      <c r="A167" s="87">
        <v>45804.3125</v>
      </c>
      <c r="B167">
        <v>50</v>
      </c>
      <c r="C167" t="s">
        <v>62</v>
      </c>
      <c r="D167" t="s">
        <v>63</v>
      </c>
      <c r="E167">
        <v>1.38</v>
      </c>
      <c r="F167">
        <v>3</v>
      </c>
      <c r="G167" s="8">
        <f t="shared" si="2"/>
        <v>27.599999999999998</v>
      </c>
    </row>
    <row r="168" spans="1:7" x14ac:dyDescent="0.25">
      <c r="A168" s="87">
        <v>45804.3125</v>
      </c>
      <c r="B168">
        <v>51</v>
      </c>
      <c r="C168" t="s">
        <v>63</v>
      </c>
      <c r="D168" t="s">
        <v>64</v>
      </c>
      <c r="E168">
        <v>2.79</v>
      </c>
      <c r="F168">
        <v>5.0999999999999996</v>
      </c>
      <c r="G168" s="8">
        <f t="shared" si="2"/>
        <v>32.82352941176471</v>
      </c>
    </row>
    <row r="169" spans="1:7" x14ac:dyDescent="0.25">
      <c r="A169" s="87">
        <v>45804.3125</v>
      </c>
      <c r="B169">
        <v>52</v>
      </c>
      <c r="C169" t="s">
        <v>64</v>
      </c>
      <c r="D169" t="s">
        <v>65</v>
      </c>
      <c r="E169">
        <v>1.5</v>
      </c>
      <c r="F169">
        <v>2.72</v>
      </c>
      <c r="G169" s="8">
        <f t="shared" si="2"/>
        <v>33.088235294117645</v>
      </c>
    </row>
    <row r="170" spans="1:7" x14ac:dyDescent="0.25">
      <c r="A170" s="87">
        <v>45804.3125</v>
      </c>
      <c r="B170">
        <v>53</v>
      </c>
      <c r="C170" t="s">
        <v>65</v>
      </c>
      <c r="D170" t="s">
        <v>66</v>
      </c>
      <c r="E170">
        <v>1.46</v>
      </c>
      <c r="F170">
        <v>3.35</v>
      </c>
      <c r="G170" s="8">
        <f t="shared" si="2"/>
        <v>26.149253731343283</v>
      </c>
    </row>
    <row r="171" spans="1:7" x14ac:dyDescent="0.25">
      <c r="A171" s="87">
        <v>45804.3125</v>
      </c>
      <c r="B171">
        <v>54</v>
      </c>
      <c r="C171" t="s">
        <v>67</v>
      </c>
      <c r="D171" t="s">
        <v>68</v>
      </c>
      <c r="E171">
        <v>1.46</v>
      </c>
      <c r="F171">
        <v>2.65</v>
      </c>
      <c r="G171" s="8">
        <f t="shared" si="2"/>
        <v>33.056603773584904</v>
      </c>
    </row>
    <row r="172" spans="1:7" x14ac:dyDescent="0.25">
      <c r="A172" s="87">
        <v>45804.3125</v>
      </c>
      <c r="B172">
        <v>55</v>
      </c>
      <c r="C172" t="s">
        <v>68</v>
      </c>
      <c r="D172" t="s">
        <v>69</v>
      </c>
      <c r="E172">
        <v>1.5</v>
      </c>
      <c r="F172">
        <v>2.12</v>
      </c>
      <c r="G172" s="8">
        <f t="shared" si="2"/>
        <v>42.452830188679243</v>
      </c>
    </row>
    <row r="173" spans="1:7" x14ac:dyDescent="0.25">
      <c r="A173" s="87">
        <v>45804.3125</v>
      </c>
      <c r="B173">
        <v>56</v>
      </c>
      <c r="C173" t="s">
        <v>70</v>
      </c>
      <c r="D173" t="s">
        <v>71</v>
      </c>
      <c r="E173">
        <v>1.51</v>
      </c>
      <c r="F173">
        <v>3.9</v>
      </c>
      <c r="G173" s="8">
        <f t="shared" si="2"/>
        <v>23.23076923076923</v>
      </c>
    </row>
    <row r="174" spans="1:7" x14ac:dyDescent="0.25">
      <c r="A174" s="87">
        <v>45804.3125</v>
      </c>
      <c r="B174">
        <v>57</v>
      </c>
      <c r="C174" t="s">
        <v>71</v>
      </c>
      <c r="D174" t="s">
        <v>72</v>
      </c>
      <c r="E174">
        <v>1.52</v>
      </c>
      <c r="F174">
        <v>3.48</v>
      </c>
      <c r="G174" s="8">
        <f t="shared" si="2"/>
        <v>26.206896551724139</v>
      </c>
    </row>
    <row r="175" spans="1:7" x14ac:dyDescent="0.25">
      <c r="A175" s="87">
        <v>45804.3125</v>
      </c>
      <c r="B175">
        <v>58</v>
      </c>
      <c r="C175" t="s">
        <v>72</v>
      </c>
      <c r="D175" t="s">
        <v>73</v>
      </c>
      <c r="E175">
        <v>1.5</v>
      </c>
      <c r="F175">
        <v>3.17</v>
      </c>
      <c r="G175" s="8">
        <f t="shared" si="2"/>
        <v>28.391167192429023</v>
      </c>
    </row>
    <row r="176" spans="1:7" x14ac:dyDescent="0.25">
      <c r="A176" s="87">
        <v>45804.322916666664</v>
      </c>
      <c r="B176">
        <v>1</v>
      </c>
      <c r="C176" t="s">
        <v>6</v>
      </c>
      <c r="D176" t="s">
        <v>7</v>
      </c>
      <c r="E176">
        <v>1.53</v>
      </c>
      <c r="F176">
        <v>2.95</v>
      </c>
      <c r="G176" s="8">
        <f t="shared" si="2"/>
        <v>31.118644067796609</v>
      </c>
    </row>
    <row r="177" spans="1:7" x14ac:dyDescent="0.25">
      <c r="A177" s="87">
        <v>45804.322916666664</v>
      </c>
      <c r="B177">
        <v>2</v>
      </c>
      <c r="C177" t="s">
        <v>7</v>
      </c>
      <c r="D177" t="s">
        <v>8</v>
      </c>
      <c r="E177">
        <v>1.57</v>
      </c>
      <c r="F177">
        <v>4.43</v>
      </c>
      <c r="G177" s="8">
        <f t="shared" si="2"/>
        <v>21.264108352144472</v>
      </c>
    </row>
    <row r="178" spans="1:7" x14ac:dyDescent="0.25">
      <c r="A178" s="87">
        <v>45804.322916666664</v>
      </c>
      <c r="B178">
        <v>3</v>
      </c>
      <c r="C178" t="s">
        <v>8</v>
      </c>
      <c r="D178" t="s">
        <v>9</v>
      </c>
      <c r="E178">
        <v>1.5</v>
      </c>
      <c r="F178">
        <v>2.78</v>
      </c>
      <c r="G178" s="8">
        <f t="shared" si="2"/>
        <v>32.374100719424462</v>
      </c>
    </row>
    <row r="179" spans="1:7" x14ac:dyDescent="0.25">
      <c r="A179" s="87">
        <v>45804.322916666664</v>
      </c>
      <c r="B179">
        <v>4</v>
      </c>
      <c r="C179" t="s">
        <v>9</v>
      </c>
      <c r="D179" t="s">
        <v>10</v>
      </c>
      <c r="E179">
        <v>1.5</v>
      </c>
      <c r="F179">
        <v>2.58</v>
      </c>
      <c r="G179" s="8">
        <f t="shared" si="2"/>
        <v>34.883720930232556</v>
      </c>
    </row>
    <row r="180" spans="1:7" x14ac:dyDescent="0.25">
      <c r="A180" s="87">
        <v>45804.322916666664</v>
      </c>
      <c r="B180">
        <v>5</v>
      </c>
      <c r="C180" t="s">
        <v>10</v>
      </c>
      <c r="D180" t="s">
        <v>11</v>
      </c>
      <c r="E180">
        <v>1.52</v>
      </c>
      <c r="F180">
        <v>3.12</v>
      </c>
      <c r="G180" s="8">
        <f t="shared" si="2"/>
        <v>29.23076923076923</v>
      </c>
    </row>
    <row r="181" spans="1:7" x14ac:dyDescent="0.25">
      <c r="A181" s="87">
        <v>45804.322916666664</v>
      </c>
      <c r="B181">
        <v>6</v>
      </c>
      <c r="C181" t="s">
        <v>11</v>
      </c>
      <c r="D181" t="s">
        <v>12</v>
      </c>
      <c r="E181">
        <v>1.5</v>
      </c>
      <c r="F181">
        <v>2.5499999999999998</v>
      </c>
      <c r="G181" s="8">
        <f t="shared" si="2"/>
        <v>35.294117647058826</v>
      </c>
    </row>
    <row r="182" spans="1:7" x14ac:dyDescent="0.25">
      <c r="A182" s="87">
        <v>45804.322916666664</v>
      </c>
      <c r="B182">
        <v>7</v>
      </c>
      <c r="C182" t="s">
        <v>12</v>
      </c>
      <c r="D182" t="s">
        <v>13</v>
      </c>
      <c r="E182">
        <v>1.54</v>
      </c>
      <c r="F182">
        <v>2.6</v>
      </c>
      <c r="G182" s="8">
        <f t="shared" si="2"/>
        <v>35.53846153846154</v>
      </c>
    </row>
    <row r="183" spans="1:7" x14ac:dyDescent="0.25">
      <c r="A183" s="87">
        <v>45804.322916666664</v>
      </c>
      <c r="B183">
        <v>8</v>
      </c>
      <c r="C183" t="s">
        <v>13</v>
      </c>
      <c r="D183" t="s">
        <v>14</v>
      </c>
      <c r="E183">
        <v>1.54</v>
      </c>
      <c r="F183">
        <v>3.1</v>
      </c>
      <c r="G183" s="8">
        <f t="shared" si="2"/>
        <v>29.806451612903228</v>
      </c>
    </row>
    <row r="184" spans="1:7" x14ac:dyDescent="0.25">
      <c r="A184" s="87">
        <v>45804.322916666664</v>
      </c>
      <c r="B184">
        <v>9</v>
      </c>
      <c r="C184" t="s">
        <v>14</v>
      </c>
      <c r="D184" t="s">
        <v>15</v>
      </c>
      <c r="E184">
        <v>1.52</v>
      </c>
      <c r="F184">
        <v>3.13</v>
      </c>
      <c r="G184" s="8">
        <f t="shared" si="2"/>
        <v>29.137380191693293</v>
      </c>
    </row>
    <row r="185" spans="1:7" x14ac:dyDescent="0.25">
      <c r="A185" s="87">
        <v>45804.322916666664</v>
      </c>
      <c r="B185">
        <v>10</v>
      </c>
      <c r="C185" t="s">
        <v>15</v>
      </c>
      <c r="D185" t="s">
        <v>16</v>
      </c>
      <c r="E185">
        <v>1.5</v>
      </c>
      <c r="F185">
        <v>3.62</v>
      </c>
      <c r="G185" s="8">
        <f t="shared" si="2"/>
        <v>24.861878453038674</v>
      </c>
    </row>
    <row r="186" spans="1:7" x14ac:dyDescent="0.25">
      <c r="A186" s="87">
        <v>45804.322916666664</v>
      </c>
      <c r="B186">
        <v>11</v>
      </c>
      <c r="C186" t="s">
        <v>16</v>
      </c>
      <c r="D186" t="s">
        <v>17</v>
      </c>
      <c r="E186">
        <v>1.48</v>
      </c>
      <c r="F186">
        <v>2.72</v>
      </c>
      <c r="G186" s="8">
        <f t="shared" si="2"/>
        <v>32.647058823529406</v>
      </c>
    </row>
    <row r="187" spans="1:7" x14ac:dyDescent="0.25">
      <c r="A187" s="87">
        <v>45804.322916666664</v>
      </c>
      <c r="B187">
        <v>12</v>
      </c>
      <c r="C187" t="s">
        <v>17</v>
      </c>
      <c r="D187" t="s">
        <v>18</v>
      </c>
      <c r="E187">
        <v>1.46</v>
      </c>
      <c r="F187">
        <v>3.48</v>
      </c>
      <c r="G187" s="8">
        <f t="shared" si="2"/>
        <v>25.172413793103448</v>
      </c>
    </row>
    <row r="188" spans="1:7" x14ac:dyDescent="0.25">
      <c r="A188" s="87">
        <v>45804.322916666664</v>
      </c>
      <c r="B188">
        <v>13</v>
      </c>
      <c r="C188" t="s">
        <v>18</v>
      </c>
      <c r="D188" t="s">
        <v>19</v>
      </c>
      <c r="E188">
        <v>1.52</v>
      </c>
      <c r="F188">
        <v>4.42</v>
      </c>
      <c r="G188" s="8">
        <f t="shared" si="2"/>
        <v>20.633484162895929</v>
      </c>
    </row>
    <row r="189" spans="1:7" x14ac:dyDescent="0.25">
      <c r="A189" s="87">
        <v>45804.322916666664</v>
      </c>
      <c r="B189">
        <v>14</v>
      </c>
      <c r="C189" t="s">
        <v>19</v>
      </c>
      <c r="D189" t="s">
        <v>20</v>
      </c>
      <c r="E189">
        <v>1.51</v>
      </c>
      <c r="F189">
        <v>3.27</v>
      </c>
      <c r="G189" s="8">
        <f t="shared" si="2"/>
        <v>27.706422018348622</v>
      </c>
    </row>
    <row r="190" spans="1:7" x14ac:dyDescent="0.25">
      <c r="A190" s="87">
        <v>45804.322916666664</v>
      </c>
      <c r="B190">
        <v>15</v>
      </c>
      <c r="C190" t="s">
        <v>20</v>
      </c>
      <c r="D190" t="s">
        <v>21</v>
      </c>
      <c r="E190">
        <v>1.47</v>
      </c>
      <c r="F190">
        <v>2.2799999999999998</v>
      </c>
      <c r="G190" s="8">
        <f t="shared" si="2"/>
        <v>38.684210526315795</v>
      </c>
    </row>
    <row r="191" spans="1:7" x14ac:dyDescent="0.25">
      <c r="A191" s="87">
        <v>45804.322916666664</v>
      </c>
      <c r="B191">
        <v>16</v>
      </c>
      <c r="C191" t="s">
        <v>21</v>
      </c>
      <c r="D191" t="s">
        <v>22</v>
      </c>
      <c r="E191">
        <v>1.5</v>
      </c>
      <c r="F191">
        <v>1.77</v>
      </c>
      <c r="G191" s="8">
        <f t="shared" si="2"/>
        <v>50.847457627118644</v>
      </c>
    </row>
    <row r="192" spans="1:7" x14ac:dyDescent="0.25">
      <c r="A192" s="87">
        <v>45804.322916666664</v>
      </c>
      <c r="B192">
        <v>17</v>
      </c>
      <c r="C192" t="s">
        <v>22</v>
      </c>
      <c r="D192" t="s">
        <v>23</v>
      </c>
      <c r="E192">
        <v>1.51</v>
      </c>
      <c r="F192">
        <v>2.65</v>
      </c>
      <c r="G192" s="8">
        <f t="shared" si="2"/>
        <v>34.188679245283019</v>
      </c>
    </row>
    <row r="193" spans="1:7" x14ac:dyDescent="0.25">
      <c r="A193" s="87">
        <v>45804.322916666664</v>
      </c>
      <c r="B193">
        <v>18</v>
      </c>
      <c r="C193" t="s">
        <v>23</v>
      </c>
      <c r="D193" t="s">
        <v>24</v>
      </c>
      <c r="E193">
        <v>1.51</v>
      </c>
      <c r="F193">
        <v>2.85</v>
      </c>
      <c r="G193" s="8">
        <f t="shared" si="2"/>
        <v>31.789473684210524</v>
      </c>
    </row>
    <row r="194" spans="1:7" x14ac:dyDescent="0.25">
      <c r="A194" s="87">
        <v>45804.322916666664</v>
      </c>
      <c r="B194">
        <v>19</v>
      </c>
      <c r="C194" t="s">
        <v>25</v>
      </c>
      <c r="D194" t="s">
        <v>26</v>
      </c>
      <c r="E194">
        <v>1.5</v>
      </c>
      <c r="F194">
        <v>3.33</v>
      </c>
      <c r="G194" s="8">
        <f t="shared" si="2"/>
        <v>27.027027027027028</v>
      </c>
    </row>
    <row r="195" spans="1:7" x14ac:dyDescent="0.25">
      <c r="A195" s="87">
        <v>45804.322916666664</v>
      </c>
      <c r="B195">
        <v>20</v>
      </c>
      <c r="C195" t="s">
        <v>26</v>
      </c>
      <c r="D195" t="s">
        <v>27</v>
      </c>
      <c r="E195">
        <v>1.48</v>
      </c>
      <c r="F195">
        <v>3.47</v>
      </c>
      <c r="G195" s="8">
        <f t="shared" ref="G195:G258" si="3">E195*60/F195</f>
        <v>25.590778097982707</v>
      </c>
    </row>
    <row r="196" spans="1:7" x14ac:dyDescent="0.25">
      <c r="A196" s="87">
        <v>45804.322916666664</v>
      </c>
      <c r="B196">
        <v>21</v>
      </c>
      <c r="C196" t="s">
        <v>27</v>
      </c>
      <c r="D196" t="s">
        <v>28</v>
      </c>
      <c r="E196">
        <v>1.51</v>
      </c>
      <c r="F196">
        <v>3.52</v>
      </c>
      <c r="G196" s="8">
        <f t="shared" si="3"/>
        <v>25.738636363636363</v>
      </c>
    </row>
    <row r="197" spans="1:7" x14ac:dyDescent="0.25">
      <c r="A197" s="87">
        <v>45804.322916666664</v>
      </c>
      <c r="B197">
        <v>22</v>
      </c>
      <c r="C197" t="s">
        <v>28</v>
      </c>
      <c r="D197" t="s">
        <v>29</v>
      </c>
      <c r="E197">
        <v>1.57</v>
      </c>
      <c r="F197">
        <v>3.43</v>
      </c>
      <c r="G197" s="8">
        <f t="shared" si="3"/>
        <v>27.463556851311953</v>
      </c>
    </row>
    <row r="198" spans="1:7" x14ac:dyDescent="0.25">
      <c r="A198" s="87">
        <v>45804.322916666664</v>
      </c>
      <c r="B198">
        <v>23</v>
      </c>
      <c r="C198" t="s">
        <v>29</v>
      </c>
      <c r="D198" t="s">
        <v>30</v>
      </c>
      <c r="E198">
        <v>1.43</v>
      </c>
      <c r="F198">
        <v>3.45</v>
      </c>
      <c r="G198" s="8">
        <f t="shared" si="3"/>
        <v>24.869565217391301</v>
      </c>
    </row>
    <row r="199" spans="1:7" x14ac:dyDescent="0.25">
      <c r="A199" s="87">
        <v>45804.322916666664</v>
      </c>
      <c r="B199">
        <v>24</v>
      </c>
      <c r="C199" t="s">
        <v>30</v>
      </c>
      <c r="D199" t="s">
        <v>31</v>
      </c>
      <c r="E199">
        <v>1.52</v>
      </c>
      <c r="F199">
        <v>3.77</v>
      </c>
      <c r="G199" s="8">
        <f t="shared" si="3"/>
        <v>24.190981432360743</v>
      </c>
    </row>
    <row r="200" spans="1:7" x14ac:dyDescent="0.25">
      <c r="A200" s="87">
        <v>45804.322916666664</v>
      </c>
      <c r="B200">
        <v>25</v>
      </c>
      <c r="C200" t="s">
        <v>31</v>
      </c>
      <c r="D200" t="s">
        <v>32</v>
      </c>
      <c r="E200">
        <v>1.52</v>
      </c>
      <c r="F200">
        <v>3.07</v>
      </c>
      <c r="G200" s="8">
        <f t="shared" si="3"/>
        <v>29.706840390879481</v>
      </c>
    </row>
    <row r="201" spans="1:7" x14ac:dyDescent="0.25">
      <c r="A201" s="87">
        <v>45804.322916666664</v>
      </c>
      <c r="B201">
        <v>26</v>
      </c>
      <c r="C201" t="s">
        <v>32</v>
      </c>
      <c r="D201" t="s">
        <v>33</v>
      </c>
      <c r="E201">
        <v>1.49</v>
      </c>
      <c r="F201">
        <v>2.95</v>
      </c>
      <c r="G201" s="8">
        <f t="shared" si="3"/>
        <v>30.305084745762713</v>
      </c>
    </row>
    <row r="202" spans="1:7" x14ac:dyDescent="0.25">
      <c r="A202" s="87">
        <v>45804.322916666664</v>
      </c>
      <c r="B202">
        <v>27</v>
      </c>
      <c r="C202" t="s">
        <v>33</v>
      </c>
      <c r="D202" t="s">
        <v>34</v>
      </c>
      <c r="E202">
        <v>1.53</v>
      </c>
      <c r="F202">
        <v>3</v>
      </c>
      <c r="G202" s="8">
        <f t="shared" si="3"/>
        <v>30.599999999999998</v>
      </c>
    </row>
    <row r="203" spans="1:7" x14ac:dyDescent="0.25">
      <c r="A203" s="87">
        <v>45804.322916666664</v>
      </c>
      <c r="B203">
        <v>28</v>
      </c>
      <c r="C203" t="s">
        <v>34</v>
      </c>
      <c r="D203" t="s">
        <v>35</v>
      </c>
      <c r="E203">
        <v>1.51</v>
      </c>
      <c r="F203">
        <v>3.68</v>
      </c>
      <c r="G203" s="8">
        <f t="shared" si="3"/>
        <v>24.619565217391301</v>
      </c>
    </row>
    <row r="204" spans="1:7" x14ac:dyDescent="0.25">
      <c r="A204" s="87">
        <v>45804.322916666664</v>
      </c>
      <c r="B204">
        <v>29</v>
      </c>
      <c r="C204" t="s">
        <v>36</v>
      </c>
      <c r="D204" t="s">
        <v>37</v>
      </c>
      <c r="E204">
        <v>1.57</v>
      </c>
      <c r="F204">
        <v>4.38</v>
      </c>
      <c r="G204" s="8">
        <f t="shared" si="3"/>
        <v>21.506849315068493</v>
      </c>
    </row>
    <row r="205" spans="1:7" x14ac:dyDescent="0.25">
      <c r="A205" s="87">
        <v>45804.322916666664</v>
      </c>
      <c r="B205">
        <v>30</v>
      </c>
      <c r="C205" t="s">
        <v>37</v>
      </c>
      <c r="D205" t="s">
        <v>38</v>
      </c>
      <c r="E205">
        <v>1.57</v>
      </c>
      <c r="F205">
        <v>5.58</v>
      </c>
      <c r="G205" s="8">
        <f t="shared" si="3"/>
        <v>16.881720430107528</v>
      </c>
    </row>
    <row r="206" spans="1:7" x14ac:dyDescent="0.25">
      <c r="A206" s="87">
        <v>45804.322916666664</v>
      </c>
      <c r="B206">
        <v>31</v>
      </c>
      <c r="C206" t="s">
        <v>38</v>
      </c>
      <c r="D206" t="s">
        <v>39</v>
      </c>
      <c r="E206">
        <v>1.52</v>
      </c>
      <c r="F206">
        <v>2.63</v>
      </c>
      <c r="G206" s="8">
        <f t="shared" si="3"/>
        <v>34.676806083650192</v>
      </c>
    </row>
    <row r="207" spans="1:7" x14ac:dyDescent="0.25">
      <c r="A207" s="87">
        <v>45804.322916666664</v>
      </c>
      <c r="B207">
        <v>32</v>
      </c>
      <c r="C207" t="s">
        <v>39</v>
      </c>
      <c r="D207" t="s">
        <v>40</v>
      </c>
      <c r="E207">
        <v>1.5</v>
      </c>
      <c r="F207">
        <v>1.68</v>
      </c>
      <c r="G207" s="8">
        <f t="shared" si="3"/>
        <v>53.571428571428577</v>
      </c>
    </row>
    <row r="208" spans="1:7" x14ac:dyDescent="0.25">
      <c r="A208" s="87">
        <v>45804.322916666664</v>
      </c>
      <c r="B208">
        <v>33</v>
      </c>
      <c r="C208" t="s">
        <v>40</v>
      </c>
      <c r="D208" t="s">
        <v>41</v>
      </c>
      <c r="E208">
        <v>1.51</v>
      </c>
      <c r="F208">
        <v>1.73</v>
      </c>
      <c r="G208" s="8">
        <f t="shared" si="3"/>
        <v>52.369942196531788</v>
      </c>
    </row>
    <row r="209" spans="1:7" x14ac:dyDescent="0.25">
      <c r="A209" s="87">
        <v>45804.322916666664</v>
      </c>
      <c r="B209">
        <v>34</v>
      </c>
      <c r="C209" t="s">
        <v>41</v>
      </c>
      <c r="D209" t="s">
        <v>42</v>
      </c>
      <c r="E209">
        <v>1.5</v>
      </c>
      <c r="F209">
        <v>1.75</v>
      </c>
      <c r="G209" s="8">
        <f t="shared" si="3"/>
        <v>51.428571428571431</v>
      </c>
    </row>
    <row r="210" spans="1:7" x14ac:dyDescent="0.25">
      <c r="A210" s="87">
        <v>45804.322916666664</v>
      </c>
      <c r="B210">
        <v>35</v>
      </c>
      <c r="C210" t="s">
        <v>43</v>
      </c>
      <c r="D210" t="s">
        <v>44</v>
      </c>
      <c r="E210">
        <v>1.55</v>
      </c>
      <c r="F210">
        <v>3.42</v>
      </c>
      <c r="G210" s="8">
        <f t="shared" si="3"/>
        <v>27.192982456140353</v>
      </c>
    </row>
    <row r="211" spans="1:7" x14ac:dyDescent="0.25">
      <c r="A211" s="87">
        <v>45804.322916666664</v>
      </c>
      <c r="B211">
        <v>36</v>
      </c>
      <c r="C211" t="s">
        <v>44</v>
      </c>
      <c r="D211" t="s">
        <v>45</v>
      </c>
      <c r="E211">
        <v>1.5</v>
      </c>
      <c r="F211">
        <v>2.88</v>
      </c>
      <c r="G211" s="8">
        <f t="shared" si="3"/>
        <v>31.25</v>
      </c>
    </row>
    <row r="212" spans="1:7" x14ac:dyDescent="0.25">
      <c r="A212" s="87">
        <v>45804.322916666664</v>
      </c>
      <c r="B212">
        <v>37</v>
      </c>
      <c r="C212" t="s">
        <v>45</v>
      </c>
      <c r="D212" t="s">
        <v>46</v>
      </c>
      <c r="E212">
        <v>1.38</v>
      </c>
      <c r="F212">
        <v>3.63</v>
      </c>
      <c r="G212" s="8">
        <f t="shared" si="3"/>
        <v>22.809917355371901</v>
      </c>
    </row>
    <row r="213" spans="1:7" x14ac:dyDescent="0.25">
      <c r="A213" s="87">
        <v>45804.322916666664</v>
      </c>
      <c r="B213">
        <v>38</v>
      </c>
      <c r="C213" t="s">
        <v>46</v>
      </c>
      <c r="D213" t="s">
        <v>47</v>
      </c>
      <c r="E213">
        <v>1.61</v>
      </c>
      <c r="F213">
        <v>3.55</v>
      </c>
      <c r="G213" s="8">
        <f t="shared" si="3"/>
        <v>27.211267605633807</v>
      </c>
    </row>
    <row r="214" spans="1:7" x14ac:dyDescent="0.25">
      <c r="A214" s="87">
        <v>45804.322916666664</v>
      </c>
      <c r="B214">
        <v>39</v>
      </c>
      <c r="C214" t="s">
        <v>47</v>
      </c>
      <c r="D214" t="s">
        <v>48</v>
      </c>
      <c r="E214">
        <v>1.55</v>
      </c>
      <c r="F214">
        <v>3.2</v>
      </c>
      <c r="G214" s="8">
        <f t="shared" si="3"/>
        <v>29.0625</v>
      </c>
    </row>
    <row r="215" spans="1:7" x14ac:dyDescent="0.25">
      <c r="A215" s="87">
        <v>45804.322916666664</v>
      </c>
      <c r="B215">
        <v>40</v>
      </c>
      <c r="C215" t="s">
        <v>48</v>
      </c>
      <c r="D215" t="s">
        <v>49</v>
      </c>
      <c r="E215">
        <v>1.39</v>
      </c>
      <c r="F215">
        <v>2.77</v>
      </c>
      <c r="G215" s="8">
        <f t="shared" si="3"/>
        <v>30.108303249097471</v>
      </c>
    </row>
    <row r="216" spans="1:7" x14ac:dyDescent="0.25">
      <c r="A216" s="87">
        <v>45804.322916666664</v>
      </c>
      <c r="B216">
        <v>41</v>
      </c>
      <c r="C216" t="s">
        <v>50</v>
      </c>
      <c r="D216" t="s">
        <v>51</v>
      </c>
      <c r="E216">
        <v>1.56</v>
      </c>
      <c r="F216">
        <v>3.72</v>
      </c>
      <c r="G216" s="8">
        <f t="shared" si="3"/>
        <v>25.161290322580648</v>
      </c>
    </row>
    <row r="217" spans="1:7" x14ac:dyDescent="0.25">
      <c r="A217" s="87">
        <v>45804.322916666664</v>
      </c>
      <c r="B217">
        <v>42</v>
      </c>
      <c r="C217" t="s">
        <v>51</v>
      </c>
      <c r="D217" t="s">
        <v>52</v>
      </c>
      <c r="E217">
        <v>1.56</v>
      </c>
      <c r="F217">
        <v>3.68</v>
      </c>
      <c r="G217" s="8">
        <f t="shared" si="3"/>
        <v>25.434782608695652</v>
      </c>
    </row>
    <row r="218" spans="1:7" x14ac:dyDescent="0.25">
      <c r="A218" s="87">
        <v>45804.322916666664</v>
      </c>
      <c r="B218">
        <v>43</v>
      </c>
      <c r="C218" t="s">
        <v>52</v>
      </c>
      <c r="D218" t="s">
        <v>53</v>
      </c>
      <c r="E218">
        <v>1.51</v>
      </c>
      <c r="F218">
        <v>3.27</v>
      </c>
      <c r="G218" s="8">
        <f t="shared" si="3"/>
        <v>27.706422018348622</v>
      </c>
    </row>
    <row r="219" spans="1:7" x14ac:dyDescent="0.25">
      <c r="A219" s="87">
        <v>45804.322916666664</v>
      </c>
      <c r="B219">
        <v>44</v>
      </c>
      <c r="C219" t="s">
        <v>54</v>
      </c>
      <c r="D219" t="s">
        <v>55</v>
      </c>
      <c r="E219">
        <v>1.51</v>
      </c>
      <c r="F219">
        <v>4.18</v>
      </c>
      <c r="G219" s="8">
        <f t="shared" si="3"/>
        <v>21.67464114832536</v>
      </c>
    </row>
    <row r="220" spans="1:7" x14ac:dyDescent="0.25">
      <c r="A220" s="87">
        <v>45804.322916666664</v>
      </c>
      <c r="B220">
        <v>45</v>
      </c>
      <c r="C220" t="s">
        <v>55</v>
      </c>
      <c r="D220" t="s">
        <v>56</v>
      </c>
      <c r="E220">
        <v>1.49</v>
      </c>
      <c r="F220">
        <v>3.23</v>
      </c>
      <c r="G220" s="8">
        <f t="shared" si="3"/>
        <v>27.678018575851397</v>
      </c>
    </row>
    <row r="221" spans="1:7" x14ac:dyDescent="0.25">
      <c r="A221" s="87">
        <v>45804.322916666664</v>
      </c>
      <c r="B221">
        <v>46</v>
      </c>
      <c r="C221" t="s">
        <v>56</v>
      </c>
      <c r="D221" t="s">
        <v>57</v>
      </c>
      <c r="E221">
        <v>1.52</v>
      </c>
      <c r="F221">
        <v>3.62</v>
      </c>
      <c r="G221" s="8">
        <f t="shared" si="3"/>
        <v>25.193370165745858</v>
      </c>
    </row>
    <row r="222" spans="1:7" x14ac:dyDescent="0.25">
      <c r="A222" s="87">
        <v>45804.322916666664</v>
      </c>
      <c r="B222">
        <v>47</v>
      </c>
      <c r="C222" t="s">
        <v>58</v>
      </c>
      <c r="D222" t="s">
        <v>59</v>
      </c>
      <c r="E222">
        <v>1.52</v>
      </c>
      <c r="F222">
        <v>4.08</v>
      </c>
      <c r="G222" s="8">
        <f t="shared" si="3"/>
        <v>22.352941176470587</v>
      </c>
    </row>
    <row r="223" spans="1:7" x14ac:dyDescent="0.25">
      <c r="A223" s="87">
        <v>45804.322916666664</v>
      </c>
      <c r="B223">
        <v>48</v>
      </c>
      <c r="C223" t="s">
        <v>59</v>
      </c>
      <c r="D223" t="s">
        <v>60</v>
      </c>
      <c r="E223">
        <v>1.5</v>
      </c>
      <c r="F223">
        <v>3.62</v>
      </c>
      <c r="G223" s="8">
        <f t="shared" si="3"/>
        <v>24.861878453038674</v>
      </c>
    </row>
    <row r="224" spans="1:7" x14ac:dyDescent="0.25">
      <c r="A224" s="87">
        <v>45804.322916666664</v>
      </c>
      <c r="B224">
        <v>49</v>
      </c>
      <c r="C224" t="s">
        <v>60</v>
      </c>
      <c r="D224" t="s">
        <v>61</v>
      </c>
      <c r="E224">
        <v>1.54</v>
      </c>
      <c r="F224">
        <v>3.88</v>
      </c>
      <c r="G224" s="8">
        <f t="shared" si="3"/>
        <v>23.814432989690722</v>
      </c>
    </row>
    <row r="225" spans="1:7" x14ac:dyDescent="0.25">
      <c r="A225" s="87">
        <v>45804.322916666664</v>
      </c>
      <c r="B225">
        <v>50</v>
      </c>
      <c r="C225" t="s">
        <v>62</v>
      </c>
      <c r="D225" t="s">
        <v>63</v>
      </c>
      <c r="E225">
        <v>1.38</v>
      </c>
      <c r="F225">
        <v>3.12</v>
      </c>
      <c r="G225" s="8">
        <f t="shared" si="3"/>
        <v>26.538461538461537</v>
      </c>
    </row>
    <row r="226" spans="1:7" x14ac:dyDescent="0.25">
      <c r="A226" s="87">
        <v>45804.322916666664</v>
      </c>
      <c r="B226">
        <v>51</v>
      </c>
      <c r="C226" t="s">
        <v>63</v>
      </c>
      <c r="D226" t="s">
        <v>64</v>
      </c>
      <c r="E226">
        <v>2.79</v>
      </c>
      <c r="F226">
        <v>5.43</v>
      </c>
      <c r="G226" s="8">
        <f t="shared" si="3"/>
        <v>30.828729281767959</v>
      </c>
    </row>
    <row r="227" spans="1:7" x14ac:dyDescent="0.25">
      <c r="A227" s="87">
        <v>45804.322916666664</v>
      </c>
      <c r="B227">
        <v>52</v>
      </c>
      <c r="C227" t="s">
        <v>64</v>
      </c>
      <c r="D227" t="s">
        <v>65</v>
      </c>
      <c r="E227">
        <v>1.5</v>
      </c>
      <c r="F227">
        <v>2.8</v>
      </c>
      <c r="G227" s="8">
        <f t="shared" si="3"/>
        <v>32.142857142857146</v>
      </c>
    </row>
    <row r="228" spans="1:7" x14ac:dyDescent="0.25">
      <c r="A228" s="87">
        <v>45804.322916666664</v>
      </c>
      <c r="B228">
        <v>53</v>
      </c>
      <c r="C228" t="s">
        <v>65</v>
      </c>
      <c r="D228" t="s">
        <v>66</v>
      </c>
      <c r="E228">
        <v>1.46</v>
      </c>
      <c r="F228">
        <v>3.52</v>
      </c>
      <c r="G228" s="8">
        <f t="shared" si="3"/>
        <v>24.886363636363633</v>
      </c>
    </row>
    <row r="229" spans="1:7" x14ac:dyDescent="0.25">
      <c r="A229" s="87">
        <v>45804.322916666664</v>
      </c>
      <c r="B229">
        <v>54</v>
      </c>
      <c r="C229" t="s">
        <v>67</v>
      </c>
      <c r="D229" t="s">
        <v>68</v>
      </c>
      <c r="E229">
        <v>1.46</v>
      </c>
      <c r="F229">
        <v>2.9</v>
      </c>
      <c r="G229" s="8">
        <f t="shared" si="3"/>
        <v>30.206896551724135</v>
      </c>
    </row>
    <row r="230" spans="1:7" x14ac:dyDescent="0.25">
      <c r="A230" s="87">
        <v>45804.322916666664</v>
      </c>
      <c r="B230">
        <v>55</v>
      </c>
      <c r="C230" t="s">
        <v>68</v>
      </c>
      <c r="D230" t="s">
        <v>69</v>
      </c>
      <c r="E230">
        <v>1.5</v>
      </c>
      <c r="F230">
        <v>1.92</v>
      </c>
      <c r="G230" s="8">
        <f t="shared" si="3"/>
        <v>46.875</v>
      </c>
    </row>
    <row r="231" spans="1:7" x14ac:dyDescent="0.25">
      <c r="A231" s="87">
        <v>45804.322916666664</v>
      </c>
      <c r="B231">
        <v>56</v>
      </c>
      <c r="C231" t="s">
        <v>70</v>
      </c>
      <c r="D231" t="s">
        <v>71</v>
      </c>
      <c r="E231">
        <v>1.51</v>
      </c>
      <c r="F231">
        <v>3.85</v>
      </c>
      <c r="G231" s="8">
        <f t="shared" si="3"/>
        <v>23.532467532467532</v>
      </c>
    </row>
    <row r="232" spans="1:7" x14ac:dyDescent="0.25">
      <c r="A232" s="87">
        <v>45804.322916666664</v>
      </c>
      <c r="B232">
        <v>57</v>
      </c>
      <c r="C232" t="s">
        <v>71</v>
      </c>
      <c r="D232" t="s">
        <v>72</v>
      </c>
      <c r="E232">
        <v>1.52</v>
      </c>
      <c r="F232">
        <v>3.78</v>
      </c>
      <c r="G232" s="8">
        <f t="shared" si="3"/>
        <v>24.12698412698413</v>
      </c>
    </row>
    <row r="233" spans="1:7" x14ac:dyDescent="0.25">
      <c r="A233" s="87">
        <v>45804.322916666664</v>
      </c>
      <c r="B233">
        <v>58</v>
      </c>
      <c r="C233" t="s">
        <v>72</v>
      </c>
      <c r="D233" t="s">
        <v>73</v>
      </c>
      <c r="E233">
        <v>1.5</v>
      </c>
      <c r="F233">
        <v>3.33</v>
      </c>
      <c r="G233" s="8">
        <f t="shared" si="3"/>
        <v>27.027027027027028</v>
      </c>
    </row>
    <row r="234" spans="1:7" x14ac:dyDescent="0.25">
      <c r="A234" s="87">
        <v>45804.333333333336</v>
      </c>
      <c r="B234">
        <v>1</v>
      </c>
      <c r="C234" t="s">
        <v>6</v>
      </c>
      <c r="D234" t="s">
        <v>7</v>
      </c>
      <c r="E234">
        <v>1.53</v>
      </c>
      <c r="F234">
        <v>3.12</v>
      </c>
      <c r="G234" s="8">
        <f t="shared" si="3"/>
        <v>29.42307692307692</v>
      </c>
    </row>
    <row r="235" spans="1:7" x14ac:dyDescent="0.25">
      <c r="A235" s="87">
        <v>45804.333333333336</v>
      </c>
      <c r="B235">
        <v>2</v>
      </c>
      <c r="C235" t="s">
        <v>7</v>
      </c>
      <c r="D235" t="s">
        <v>8</v>
      </c>
      <c r="E235">
        <v>1.57</v>
      </c>
      <c r="F235">
        <v>4.75</v>
      </c>
      <c r="G235" s="8">
        <f t="shared" si="3"/>
        <v>19.831578947368421</v>
      </c>
    </row>
    <row r="236" spans="1:7" x14ac:dyDescent="0.25">
      <c r="A236" s="87">
        <v>45804.333333333336</v>
      </c>
      <c r="B236">
        <v>3</v>
      </c>
      <c r="C236" t="s">
        <v>8</v>
      </c>
      <c r="D236" t="s">
        <v>9</v>
      </c>
      <c r="E236">
        <v>1.5</v>
      </c>
      <c r="F236">
        <v>3</v>
      </c>
      <c r="G236" s="8">
        <f t="shared" si="3"/>
        <v>30</v>
      </c>
    </row>
    <row r="237" spans="1:7" x14ac:dyDescent="0.25">
      <c r="A237" s="87">
        <v>45804.333333333336</v>
      </c>
      <c r="B237">
        <v>4</v>
      </c>
      <c r="C237" t="s">
        <v>9</v>
      </c>
      <c r="D237" t="s">
        <v>10</v>
      </c>
      <c r="E237">
        <v>1.5</v>
      </c>
      <c r="F237">
        <v>2.5299999999999998</v>
      </c>
      <c r="G237" s="8">
        <f t="shared" si="3"/>
        <v>35.573122529644273</v>
      </c>
    </row>
    <row r="238" spans="1:7" x14ac:dyDescent="0.25">
      <c r="A238" s="87">
        <v>45804.333333333336</v>
      </c>
      <c r="B238">
        <v>5</v>
      </c>
      <c r="C238" t="s">
        <v>10</v>
      </c>
      <c r="D238" t="s">
        <v>11</v>
      </c>
      <c r="E238">
        <v>1.52</v>
      </c>
      <c r="F238">
        <v>2.97</v>
      </c>
      <c r="G238" s="8">
        <f t="shared" si="3"/>
        <v>30.707070707070706</v>
      </c>
    </row>
    <row r="239" spans="1:7" x14ac:dyDescent="0.25">
      <c r="A239" s="87">
        <v>45804.333333333336</v>
      </c>
      <c r="B239">
        <v>6</v>
      </c>
      <c r="C239" t="s">
        <v>11</v>
      </c>
      <c r="D239" t="s">
        <v>12</v>
      </c>
      <c r="E239">
        <v>1.5</v>
      </c>
      <c r="F239">
        <v>2.62</v>
      </c>
      <c r="G239" s="8">
        <f t="shared" si="3"/>
        <v>34.351145038167935</v>
      </c>
    </row>
    <row r="240" spans="1:7" x14ac:dyDescent="0.25">
      <c r="A240" s="87">
        <v>45804.333333333336</v>
      </c>
      <c r="B240">
        <v>7</v>
      </c>
      <c r="C240" t="s">
        <v>12</v>
      </c>
      <c r="D240" t="s">
        <v>13</v>
      </c>
      <c r="E240">
        <v>1.54</v>
      </c>
      <c r="F240">
        <v>2.7</v>
      </c>
      <c r="G240" s="8">
        <f t="shared" si="3"/>
        <v>34.222222222222221</v>
      </c>
    </row>
    <row r="241" spans="1:7" x14ac:dyDescent="0.25">
      <c r="A241" s="87">
        <v>45804.333333333336</v>
      </c>
      <c r="B241">
        <v>8</v>
      </c>
      <c r="C241" t="s">
        <v>13</v>
      </c>
      <c r="D241" t="s">
        <v>14</v>
      </c>
      <c r="E241">
        <v>1.54</v>
      </c>
      <c r="F241">
        <v>3.45</v>
      </c>
      <c r="G241" s="8">
        <f t="shared" si="3"/>
        <v>26.782608695652176</v>
      </c>
    </row>
    <row r="242" spans="1:7" x14ac:dyDescent="0.25">
      <c r="A242" s="87">
        <v>45804.333333333336</v>
      </c>
      <c r="B242">
        <v>9</v>
      </c>
      <c r="C242" t="s">
        <v>14</v>
      </c>
      <c r="D242" t="s">
        <v>15</v>
      </c>
      <c r="E242">
        <v>1.52</v>
      </c>
      <c r="F242">
        <v>4.05</v>
      </c>
      <c r="G242" s="8">
        <f t="shared" si="3"/>
        <v>22.518518518518519</v>
      </c>
    </row>
    <row r="243" spans="1:7" x14ac:dyDescent="0.25">
      <c r="A243" s="87">
        <v>45804.333333333336</v>
      </c>
      <c r="B243">
        <v>10</v>
      </c>
      <c r="C243" t="s">
        <v>15</v>
      </c>
      <c r="D243" t="s">
        <v>16</v>
      </c>
      <c r="E243">
        <v>1.5</v>
      </c>
      <c r="F243">
        <v>4.25</v>
      </c>
      <c r="G243" s="8">
        <f t="shared" si="3"/>
        <v>21.176470588235293</v>
      </c>
    </row>
    <row r="244" spans="1:7" x14ac:dyDescent="0.25">
      <c r="A244" s="87">
        <v>45804.333333333336</v>
      </c>
      <c r="B244">
        <v>11</v>
      </c>
      <c r="C244" t="s">
        <v>16</v>
      </c>
      <c r="D244" t="s">
        <v>17</v>
      </c>
      <c r="E244">
        <v>1.48</v>
      </c>
      <c r="F244">
        <v>3.05</v>
      </c>
      <c r="G244" s="8">
        <f t="shared" si="3"/>
        <v>29.114754098360656</v>
      </c>
    </row>
    <row r="245" spans="1:7" x14ac:dyDescent="0.25">
      <c r="A245" s="87">
        <v>45804.333333333299</v>
      </c>
      <c r="B245">
        <v>12</v>
      </c>
      <c r="C245" t="s">
        <v>17</v>
      </c>
      <c r="D245" t="s">
        <v>18</v>
      </c>
      <c r="E245">
        <v>1.46</v>
      </c>
      <c r="F245">
        <v>4.13</v>
      </c>
      <c r="G245" s="8">
        <f t="shared" si="3"/>
        <v>21.210653753026634</v>
      </c>
    </row>
    <row r="246" spans="1:7" x14ac:dyDescent="0.25">
      <c r="A246" s="87">
        <v>45804.333333333299</v>
      </c>
      <c r="B246">
        <v>13</v>
      </c>
      <c r="C246" t="s">
        <v>18</v>
      </c>
      <c r="D246" t="s">
        <v>19</v>
      </c>
      <c r="E246">
        <v>1.52</v>
      </c>
      <c r="F246">
        <v>4.47</v>
      </c>
      <c r="G246" s="8">
        <f t="shared" si="3"/>
        <v>20.402684563758392</v>
      </c>
    </row>
    <row r="247" spans="1:7" x14ac:dyDescent="0.25">
      <c r="A247" s="87">
        <v>45804.333333333299</v>
      </c>
      <c r="B247">
        <v>14</v>
      </c>
      <c r="C247" t="s">
        <v>19</v>
      </c>
      <c r="D247" t="s">
        <v>20</v>
      </c>
      <c r="E247">
        <v>1.51</v>
      </c>
      <c r="F247">
        <v>3.62</v>
      </c>
      <c r="G247" s="8">
        <f t="shared" si="3"/>
        <v>25.027624309392262</v>
      </c>
    </row>
    <row r="248" spans="1:7" x14ac:dyDescent="0.25">
      <c r="A248" s="87">
        <v>45804.333333333299</v>
      </c>
      <c r="B248">
        <v>15</v>
      </c>
      <c r="C248" t="s">
        <v>20</v>
      </c>
      <c r="D248" t="s">
        <v>21</v>
      </c>
      <c r="E248">
        <v>1.47</v>
      </c>
      <c r="F248">
        <v>2.37</v>
      </c>
      <c r="G248" s="8">
        <f t="shared" si="3"/>
        <v>37.215189873417721</v>
      </c>
    </row>
    <row r="249" spans="1:7" x14ac:dyDescent="0.25">
      <c r="A249" s="87">
        <v>45804.333333333299</v>
      </c>
      <c r="B249">
        <v>16</v>
      </c>
      <c r="C249" t="s">
        <v>21</v>
      </c>
      <c r="D249" t="s">
        <v>22</v>
      </c>
      <c r="E249">
        <v>1.5</v>
      </c>
      <c r="F249">
        <v>1.75</v>
      </c>
      <c r="G249" s="8">
        <f t="shared" si="3"/>
        <v>51.428571428571431</v>
      </c>
    </row>
    <row r="250" spans="1:7" x14ac:dyDescent="0.25">
      <c r="A250" s="87">
        <v>45804.333333333299</v>
      </c>
      <c r="B250">
        <v>17</v>
      </c>
      <c r="C250" t="s">
        <v>22</v>
      </c>
      <c r="D250" t="s">
        <v>23</v>
      </c>
      <c r="E250">
        <v>1.51</v>
      </c>
      <c r="F250">
        <v>2.83</v>
      </c>
      <c r="G250" s="8">
        <f t="shared" si="3"/>
        <v>32.014134275618375</v>
      </c>
    </row>
    <row r="251" spans="1:7" x14ac:dyDescent="0.25">
      <c r="A251" s="87">
        <v>45804.333333333299</v>
      </c>
      <c r="B251">
        <v>18</v>
      </c>
      <c r="C251" t="s">
        <v>23</v>
      </c>
      <c r="D251" t="s">
        <v>24</v>
      </c>
      <c r="E251">
        <v>1.51</v>
      </c>
      <c r="F251">
        <v>3.05</v>
      </c>
      <c r="G251" s="8">
        <f t="shared" si="3"/>
        <v>29.704918032786885</v>
      </c>
    </row>
    <row r="252" spans="1:7" x14ac:dyDescent="0.25">
      <c r="A252" s="87">
        <v>45804.333333333299</v>
      </c>
      <c r="B252">
        <v>19</v>
      </c>
      <c r="C252" t="s">
        <v>25</v>
      </c>
      <c r="D252" t="s">
        <v>26</v>
      </c>
      <c r="E252">
        <v>1.5</v>
      </c>
      <c r="F252">
        <v>4.28</v>
      </c>
      <c r="G252" s="8">
        <f t="shared" si="3"/>
        <v>21.028037383177569</v>
      </c>
    </row>
    <row r="253" spans="1:7" x14ac:dyDescent="0.25">
      <c r="A253" s="87">
        <v>45804.333333333299</v>
      </c>
      <c r="B253">
        <v>20</v>
      </c>
      <c r="C253" t="s">
        <v>26</v>
      </c>
      <c r="D253" t="s">
        <v>27</v>
      </c>
      <c r="E253">
        <v>1.48</v>
      </c>
      <c r="F253">
        <v>3.83</v>
      </c>
      <c r="G253" s="8">
        <f t="shared" si="3"/>
        <v>23.185378590078329</v>
      </c>
    </row>
    <row r="254" spans="1:7" x14ac:dyDescent="0.25">
      <c r="A254" s="87">
        <v>45804.333333333299</v>
      </c>
      <c r="B254">
        <v>21</v>
      </c>
      <c r="C254" t="s">
        <v>27</v>
      </c>
      <c r="D254" t="s">
        <v>28</v>
      </c>
      <c r="E254">
        <v>1.51</v>
      </c>
      <c r="F254">
        <v>4.13</v>
      </c>
      <c r="G254" s="8">
        <f t="shared" si="3"/>
        <v>21.937046004842614</v>
      </c>
    </row>
    <row r="255" spans="1:7" x14ac:dyDescent="0.25">
      <c r="A255" s="87">
        <v>45804.333333333299</v>
      </c>
      <c r="B255">
        <v>22</v>
      </c>
      <c r="C255" t="s">
        <v>28</v>
      </c>
      <c r="D255" t="s">
        <v>29</v>
      </c>
      <c r="E255">
        <v>1.57</v>
      </c>
      <c r="F255">
        <v>4.07</v>
      </c>
      <c r="G255" s="8">
        <f t="shared" si="3"/>
        <v>23.144963144963143</v>
      </c>
    </row>
    <row r="256" spans="1:7" x14ac:dyDescent="0.25">
      <c r="A256" s="87">
        <v>45804.333333333299</v>
      </c>
      <c r="B256">
        <v>23</v>
      </c>
      <c r="C256" t="s">
        <v>29</v>
      </c>
      <c r="D256" t="s">
        <v>30</v>
      </c>
      <c r="E256">
        <v>1.43</v>
      </c>
      <c r="F256">
        <v>3.98</v>
      </c>
      <c r="G256" s="8">
        <f t="shared" si="3"/>
        <v>21.557788944723619</v>
      </c>
    </row>
    <row r="257" spans="1:7" x14ac:dyDescent="0.25">
      <c r="A257" s="87">
        <v>45804.333333333299</v>
      </c>
      <c r="B257">
        <v>24</v>
      </c>
      <c r="C257" t="s">
        <v>30</v>
      </c>
      <c r="D257" t="s">
        <v>31</v>
      </c>
      <c r="E257">
        <v>1.52</v>
      </c>
      <c r="F257">
        <v>3.85</v>
      </c>
      <c r="G257" s="8">
        <f t="shared" si="3"/>
        <v>23.688311688311689</v>
      </c>
    </row>
    <row r="258" spans="1:7" x14ac:dyDescent="0.25">
      <c r="A258" s="87">
        <v>45804.333333333299</v>
      </c>
      <c r="B258">
        <v>25</v>
      </c>
      <c r="C258" t="s">
        <v>31</v>
      </c>
      <c r="D258" t="s">
        <v>32</v>
      </c>
      <c r="E258">
        <v>1.52</v>
      </c>
      <c r="F258">
        <v>3.18</v>
      </c>
      <c r="G258" s="8">
        <f t="shared" si="3"/>
        <v>28.679245283018869</v>
      </c>
    </row>
    <row r="259" spans="1:7" x14ac:dyDescent="0.25">
      <c r="A259" s="87">
        <v>45804.333333333299</v>
      </c>
      <c r="B259">
        <v>26</v>
      </c>
      <c r="C259" t="s">
        <v>32</v>
      </c>
      <c r="D259" t="s">
        <v>33</v>
      </c>
      <c r="E259">
        <v>1.49</v>
      </c>
      <c r="F259">
        <v>3.12</v>
      </c>
      <c r="G259" s="8">
        <f t="shared" ref="G259:G322" si="4">E259*60/F259</f>
        <v>28.653846153846153</v>
      </c>
    </row>
    <row r="260" spans="1:7" x14ac:dyDescent="0.25">
      <c r="A260" s="87">
        <v>45804.333333333299</v>
      </c>
      <c r="B260">
        <v>27</v>
      </c>
      <c r="C260" t="s">
        <v>33</v>
      </c>
      <c r="D260" t="s">
        <v>34</v>
      </c>
      <c r="E260">
        <v>1.53</v>
      </c>
      <c r="F260">
        <v>3.05</v>
      </c>
      <c r="G260" s="8">
        <f t="shared" si="4"/>
        <v>30.098360655737707</v>
      </c>
    </row>
    <row r="261" spans="1:7" x14ac:dyDescent="0.25">
      <c r="A261" s="87">
        <v>45804.333333333299</v>
      </c>
      <c r="B261">
        <v>28</v>
      </c>
      <c r="C261" t="s">
        <v>34</v>
      </c>
      <c r="D261" t="s">
        <v>35</v>
      </c>
      <c r="E261">
        <v>1.51</v>
      </c>
      <c r="F261">
        <v>3.77</v>
      </c>
      <c r="G261" s="8">
        <f t="shared" si="4"/>
        <v>24.031830238726791</v>
      </c>
    </row>
    <row r="262" spans="1:7" x14ac:dyDescent="0.25">
      <c r="A262" s="87">
        <v>45804.333333333299</v>
      </c>
      <c r="B262">
        <v>29</v>
      </c>
      <c r="C262" t="s">
        <v>36</v>
      </c>
      <c r="D262" t="s">
        <v>37</v>
      </c>
      <c r="E262">
        <v>1.57</v>
      </c>
      <c r="F262">
        <v>5.22</v>
      </c>
      <c r="G262" s="8">
        <f t="shared" si="4"/>
        <v>18.045977011494255</v>
      </c>
    </row>
    <row r="263" spans="1:7" x14ac:dyDescent="0.25">
      <c r="A263" s="87">
        <v>45804.333333333299</v>
      </c>
      <c r="B263">
        <v>30</v>
      </c>
      <c r="C263" t="s">
        <v>37</v>
      </c>
      <c r="D263" t="s">
        <v>38</v>
      </c>
      <c r="E263">
        <v>1.57</v>
      </c>
      <c r="F263">
        <v>6.05</v>
      </c>
      <c r="G263" s="8">
        <f t="shared" si="4"/>
        <v>15.570247933884298</v>
      </c>
    </row>
    <row r="264" spans="1:7" x14ac:dyDescent="0.25">
      <c r="A264" s="87">
        <v>45804.333333333299</v>
      </c>
      <c r="B264">
        <v>31</v>
      </c>
      <c r="C264" t="s">
        <v>38</v>
      </c>
      <c r="D264" t="s">
        <v>39</v>
      </c>
      <c r="E264">
        <v>1.52</v>
      </c>
      <c r="F264">
        <v>2.9</v>
      </c>
      <c r="G264" s="8">
        <f t="shared" si="4"/>
        <v>31.448275862068968</v>
      </c>
    </row>
    <row r="265" spans="1:7" x14ac:dyDescent="0.25">
      <c r="A265" s="87">
        <v>45804.333333333299</v>
      </c>
      <c r="B265">
        <v>32</v>
      </c>
      <c r="C265" t="s">
        <v>39</v>
      </c>
      <c r="D265" t="s">
        <v>40</v>
      </c>
      <c r="E265">
        <v>1.5</v>
      </c>
      <c r="F265">
        <v>1.68</v>
      </c>
      <c r="G265" s="8">
        <f t="shared" si="4"/>
        <v>53.571428571428577</v>
      </c>
    </row>
    <row r="266" spans="1:7" x14ac:dyDescent="0.25">
      <c r="A266" s="87">
        <v>45804.333333333299</v>
      </c>
      <c r="B266">
        <v>33</v>
      </c>
      <c r="C266" t="s">
        <v>40</v>
      </c>
      <c r="D266" t="s">
        <v>41</v>
      </c>
      <c r="E266">
        <v>1.51</v>
      </c>
      <c r="F266">
        <v>1.75</v>
      </c>
      <c r="G266" s="8">
        <f t="shared" si="4"/>
        <v>51.771428571428565</v>
      </c>
    </row>
    <row r="267" spans="1:7" x14ac:dyDescent="0.25">
      <c r="A267" s="87">
        <v>45804.333333333299</v>
      </c>
      <c r="B267">
        <v>34</v>
      </c>
      <c r="C267" t="s">
        <v>41</v>
      </c>
      <c r="D267" t="s">
        <v>42</v>
      </c>
      <c r="E267">
        <v>1.5</v>
      </c>
      <c r="F267">
        <v>1.7</v>
      </c>
      <c r="G267" s="8">
        <f t="shared" si="4"/>
        <v>52.941176470588239</v>
      </c>
    </row>
    <row r="268" spans="1:7" x14ac:dyDescent="0.25">
      <c r="A268" s="87">
        <v>45804.333333333299</v>
      </c>
      <c r="B268">
        <v>35</v>
      </c>
      <c r="C268" t="s">
        <v>43</v>
      </c>
      <c r="D268" t="s">
        <v>44</v>
      </c>
      <c r="E268">
        <v>1.55</v>
      </c>
      <c r="F268">
        <v>4.07</v>
      </c>
      <c r="G268" s="8">
        <f t="shared" si="4"/>
        <v>22.850122850122847</v>
      </c>
    </row>
    <row r="269" spans="1:7" x14ac:dyDescent="0.25">
      <c r="A269" s="87">
        <v>45804.333333333299</v>
      </c>
      <c r="B269">
        <v>36</v>
      </c>
      <c r="C269" t="s">
        <v>44</v>
      </c>
      <c r="D269" t="s">
        <v>45</v>
      </c>
      <c r="E269">
        <v>1.5</v>
      </c>
      <c r="F269">
        <v>2.98</v>
      </c>
      <c r="G269" s="8">
        <f t="shared" si="4"/>
        <v>30.201342281879196</v>
      </c>
    </row>
    <row r="270" spans="1:7" x14ac:dyDescent="0.25">
      <c r="A270" s="87">
        <v>45804.333333333299</v>
      </c>
      <c r="B270">
        <v>37</v>
      </c>
      <c r="C270" t="s">
        <v>45</v>
      </c>
      <c r="D270" t="s">
        <v>46</v>
      </c>
      <c r="E270">
        <v>1.38</v>
      </c>
      <c r="F270">
        <v>4</v>
      </c>
      <c r="G270" s="8">
        <f t="shared" si="4"/>
        <v>20.7</v>
      </c>
    </row>
    <row r="271" spans="1:7" x14ac:dyDescent="0.25">
      <c r="A271" s="87">
        <v>45804.333333333299</v>
      </c>
      <c r="B271">
        <v>38</v>
      </c>
      <c r="C271" t="s">
        <v>46</v>
      </c>
      <c r="D271" t="s">
        <v>47</v>
      </c>
      <c r="E271">
        <v>1.61</v>
      </c>
      <c r="F271">
        <v>3.68</v>
      </c>
      <c r="G271" s="8">
        <f t="shared" si="4"/>
        <v>26.25</v>
      </c>
    </row>
    <row r="272" spans="1:7" x14ac:dyDescent="0.25">
      <c r="A272" s="87">
        <v>45804.333333333299</v>
      </c>
      <c r="B272">
        <v>39</v>
      </c>
      <c r="C272" t="s">
        <v>47</v>
      </c>
      <c r="D272" t="s">
        <v>48</v>
      </c>
      <c r="E272">
        <v>1.55</v>
      </c>
      <c r="F272">
        <v>3.02</v>
      </c>
      <c r="G272" s="8">
        <f t="shared" si="4"/>
        <v>30.794701986754966</v>
      </c>
    </row>
    <row r="273" spans="1:7" x14ac:dyDescent="0.25">
      <c r="A273" s="87">
        <v>45804.333333333299</v>
      </c>
      <c r="B273">
        <v>40</v>
      </c>
      <c r="C273" t="s">
        <v>48</v>
      </c>
      <c r="D273" t="s">
        <v>49</v>
      </c>
      <c r="E273">
        <v>1.39</v>
      </c>
      <c r="F273">
        <v>2.73</v>
      </c>
      <c r="G273" s="8">
        <f t="shared" si="4"/>
        <v>30.549450549450547</v>
      </c>
    </row>
    <row r="274" spans="1:7" x14ac:dyDescent="0.25">
      <c r="A274" s="87">
        <v>45804.333333333299</v>
      </c>
      <c r="B274">
        <v>41</v>
      </c>
      <c r="C274" t="s">
        <v>50</v>
      </c>
      <c r="D274" t="s">
        <v>51</v>
      </c>
      <c r="E274">
        <v>1.56</v>
      </c>
      <c r="F274">
        <v>4.4000000000000004</v>
      </c>
      <c r="G274" s="8">
        <f t="shared" si="4"/>
        <v>21.272727272727273</v>
      </c>
    </row>
    <row r="275" spans="1:7" x14ac:dyDescent="0.25">
      <c r="A275" s="87">
        <v>45804.333333333299</v>
      </c>
      <c r="B275">
        <v>42</v>
      </c>
      <c r="C275" t="s">
        <v>51</v>
      </c>
      <c r="D275" t="s">
        <v>52</v>
      </c>
      <c r="E275">
        <v>1.56</v>
      </c>
      <c r="F275">
        <v>4.3499999999999996</v>
      </c>
      <c r="G275" s="8">
        <f t="shared" si="4"/>
        <v>21.517241379310349</v>
      </c>
    </row>
    <row r="276" spans="1:7" x14ac:dyDescent="0.25">
      <c r="A276" s="87">
        <v>45804.333333333299</v>
      </c>
      <c r="B276">
        <v>43</v>
      </c>
      <c r="C276" t="s">
        <v>52</v>
      </c>
      <c r="D276" t="s">
        <v>53</v>
      </c>
      <c r="E276">
        <v>1.51</v>
      </c>
      <c r="F276">
        <v>3.33</v>
      </c>
      <c r="G276" s="8">
        <f t="shared" si="4"/>
        <v>27.207207207207205</v>
      </c>
    </row>
    <row r="277" spans="1:7" x14ac:dyDescent="0.25">
      <c r="A277" s="87">
        <v>45804.333333333299</v>
      </c>
      <c r="B277">
        <v>44</v>
      </c>
      <c r="C277" t="s">
        <v>54</v>
      </c>
      <c r="D277" t="s">
        <v>55</v>
      </c>
      <c r="E277">
        <v>1.51</v>
      </c>
      <c r="F277">
        <v>4.57</v>
      </c>
      <c r="G277" s="8">
        <f t="shared" si="4"/>
        <v>19.824945295404813</v>
      </c>
    </row>
    <row r="278" spans="1:7" x14ac:dyDescent="0.25">
      <c r="A278" s="87">
        <v>45804.333333333299</v>
      </c>
      <c r="B278">
        <v>45</v>
      </c>
      <c r="C278" t="s">
        <v>55</v>
      </c>
      <c r="D278" t="s">
        <v>56</v>
      </c>
      <c r="E278">
        <v>1.49</v>
      </c>
      <c r="F278">
        <v>3.53</v>
      </c>
      <c r="G278" s="8">
        <f t="shared" si="4"/>
        <v>25.3257790368272</v>
      </c>
    </row>
    <row r="279" spans="1:7" x14ac:dyDescent="0.25">
      <c r="A279" s="87">
        <v>45804.333333333299</v>
      </c>
      <c r="B279">
        <v>46</v>
      </c>
      <c r="C279" t="s">
        <v>56</v>
      </c>
      <c r="D279" t="s">
        <v>57</v>
      </c>
      <c r="E279">
        <v>1.52</v>
      </c>
      <c r="F279">
        <v>3.78</v>
      </c>
      <c r="G279" s="8">
        <f t="shared" si="4"/>
        <v>24.12698412698413</v>
      </c>
    </row>
    <row r="280" spans="1:7" x14ac:dyDescent="0.25">
      <c r="A280" s="87">
        <v>45804.333333333299</v>
      </c>
      <c r="B280">
        <v>47</v>
      </c>
      <c r="C280" t="s">
        <v>58</v>
      </c>
      <c r="D280" t="s">
        <v>59</v>
      </c>
      <c r="E280">
        <v>1.52</v>
      </c>
      <c r="F280">
        <v>4.9800000000000004</v>
      </c>
      <c r="G280" s="8">
        <f t="shared" si="4"/>
        <v>18.313253012048193</v>
      </c>
    </row>
    <row r="281" spans="1:7" x14ac:dyDescent="0.25">
      <c r="A281" s="87">
        <v>45804.333333333299</v>
      </c>
      <c r="B281">
        <v>48</v>
      </c>
      <c r="C281" t="s">
        <v>59</v>
      </c>
      <c r="D281" t="s">
        <v>60</v>
      </c>
      <c r="E281">
        <v>1.5</v>
      </c>
      <c r="F281">
        <v>3.87</v>
      </c>
      <c r="G281" s="8">
        <f t="shared" si="4"/>
        <v>23.255813953488371</v>
      </c>
    </row>
    <row r="282" spans="1:7" x14ac:dyDescent="0.25">
      <c r="A282" s="87">
        <v>45804.333333333299</v>
      </c>
      <c r="B282">
        <v>49</v>
      </c>
      <c r="C282" t="s">
        <v>60</v>
      </c>
      <c r="D282" t="s">
        <v>61</v>
      </c>
      <c r="E282">
        <v>1.54</v>
      </c>
      <c r="F282">
        <v>4.45</v>
      </c>
      <c r="G282" s="8">
        <f t="shared" si="4"/>
        <v>20.764044943820224</v>
      </c>
    </row>
    <row r="283" spans="1:7" x14ac:dyDescent="0.25">
      <c r="A283" s="87">
        <v>45804.333333333299</v>
      </c>
      <c r="B283">
        <v>50</v>
      </c>
      <c r="C283" t="s">
        <v>62</v>
      </c>
      <c r="D283" t="s">
        <v>63</v>
      </c>
      <c r="E283">
        <v>1.38</v>
      </c>
      <c r="F283">
        <v>3.2</v>
      </c>
      <c r="G283" s="8">
        <f t="shared" si="4"/>
        <v>25.874999999999996</v>
      </c>
    </row>
    <row r="284" spans="1:7" x14ac:dyDescent="0.25">
      <c r="A284" s="87">
        <v>45804.333333333299</v>
      </c>
      <c r="B284">
        <v>51</v>
      </c>
      <c r="C284" t="s">
        <v>63</v>
      </c>
      <c r="D284" t="s">
        <v>64</v>
      </c>
      <c r="E284">
        <v>2.79</v>
      </c>
      <c r="F284">
        <v>6.15</v>
      </c>
      <c r="G284" s="8">
        <f t="shared" si="4"/>
        <v>27.219512195121951</v>
      </c>
    </row>
    <row r="285" spans="1:7" x14ac:dyDescent="0.25">
      <c r="A285" s="87">
        <v>45804.333333333299</v>
      </c>
      <c r="B285">
        <v>52</v>
      </c>
      <c r="C285" t="s">
        <v>64</v>
      </c>
      <c r="D285" t="s">
        <v>65</v>
      </c>
      <c r="E285">
        <v>1.5</v>
      </c>
      <c r="F285">
        <v>2.85</v>
      </c>
      <c r="G285" s="8">
        <f t="shared" si="4"/>
        <v>31.578947368421051</v>
      </c>
    </row>
    <row r="286" spans="1:7" x14ac:dyDescent="0.25">
      <c r="A286" s="87">
        <v>45804.333333333299</v>
      </c>
      <c r="B286">
        <v>53</v>
      </c>
      <c r="C286" t="s">
        <v>65</v>
      </c>
      <c r="D286" t="s">
        <v>66</v>
      </c>
      <c r="E286">
        <v>1.46</v>
      </c>
      <c r="F286">
        <v>3.75</v>
      </c>
      <c r="G286" s="8">
        <f t="shared" si="4"/>
        <v>23.36</v>
      </c>
    </row>
    <row r="287" spans="1:7" x14ac:dyDescent="0.25">
      <c r="A287" s="87">
        <v>45804.333333333299</v>
      </c>
      <c r="B287">
        <v>54</v>
      </c>
      <c r="C287" t="s">
        <v>67</v>
      </c>
      <c r="D287" t="s">
        <v>68</v>
      </c>
      <c r="E287">
        <v>1.46</v>
      </c>
      <c r="F287">
        <v>5.58</v>
      </c>
      <c r="G287" s="8">
        <f t="shared" si="4"/>
        <v>15.698924731182794</v>
      </c>
    </row>
    <row r="288" spans="1:7" x14ac:dyDescent="0.25">
      <c r="A288" s="87">
        <v>45804.333333333299</v>
      </c>
      <c r="B288">
        <v>55</v>
      </c>
      <c r="C288" t="s">
        <v>68</v>
      </c>
      <c r="D288" t="s">
        <v>69</v>
      </c>
      <c r="E288">
        <v>1.5</v>
      </c>
      <c r="F288">
        <v>2.2200000000000002</v>
      </c>
      <c r="G288" s="8">
        <f t="shared" si="4"/>
        <v>40.54054054054054</v>
      </c>
    </row>
    <row r="289" spans="1:7" x14ac:dyDescent="0.25">
      <c r="A289" s="87">
        <v>45804.333333333299</v>
      </c>
      <c r="B289">
        <v>56</v>
      </c>
      <c r="C289" t="s">
        <v>70</v>
      </c>
      <c r="D289" t="s">
        <v>71</v>
      </c>
      <c r="E289">
        <v>1.51</v>
      </c>
      <c r="F289">
        <v>5.03</v>
      </c>
      <c r="G289" s="8">
        <f t="shared" si="4"/>
        <v>18.011928429423456</v>
      </c>
    </row>
    <row r="290" spans="1:7" x14ac:dyDescent="0.25">
      <c r="A290" s="87">
        <v>45804.333333333299</v>
      </c>
      <c r="B290">
        <v>57</v>
      </c>
      <c r="C290" t="s">
        <v>71</v>
      </c>
      <c r="D290" t="s">
        <v>72</v>
      </c>
      <c r="E290">
        <v>1.52</v>
      </c>
      <c r="F290">
        <v>3.73</v>
      </c>
      <c r="G290" s="8">
        <f t="shared" si="4"/>
        <v>24.45040214477212</v>
      </c>
    </row>
    <row r="291" spans="1:7" x14ac:dyDescent="0.25">
      <c r="A291" s="87">
        <v>45804.333333333299</v>
      </c>
      <c r="B291">
        <v>58</v>
      </c>
      <c r="C291" t="s">
        <v>72</v>
      </c>
      <c r="D291" t="s">
        <v>73</v>
      </c>
      <c r="E291">
        <v>1.5</v>
      </c>
      <c r="F291">
        <v>3.48</v>
      </c>
      <c r="G291" s="8">
        <f t="shared" si="4"/>
        <v>25.862068965517242</v>
      </c>
    </row>
    <row r="292" spans="1:7" x14ac:dyDescent="0.25">
      <c r="A292" s="85">
        <v>45804.34375</v>
      </c>
      <c r="B292">
        <v>1</v>
      </c>
      <c r="C292" t="s">
        <v>6</v>
      </c>
      <c r="D292" t="s">
        <v>7</v>
      </c>
      <c r="E292">
        <v>1.53</v>
      </c>
      <c r="F292">
        <v>2.9</v>
      </c>
      <c r="G292" s="8">
        <f t="shared" si="4"/>
        <v>31.655172413793103</v>
      </c>
    </row>
    <row r="293" spans="1:7" x14ac:dyDescent="0.25">
      <c r="A293" s="85">
        <v>45804.34375</v>
      </c>
      <c r="B293">
        <v>2</v>
      </c>
      <c r="C293" t="s">
        <v>7</v>
      </c>
      <c r="D293" t="s">
        <v>8</v>
      </c>
      <c r="E293">
        <v>1.57</v>
      </c>
      <c r="F293">
        <v>4.57</v>
      </c>
      <c r="G293" s="8">
        <f t="shared" si="4"/>
        <v>20.612691466083149</v>
      </c>
    </row>
    <row r="294" spans="1:7" x14ac:dyDescent="0.25">
      <c r="A294" s="85">
        <v>45804.34375</v>
      </c>
      <c r="B294">
        <v>3</v>
      </c>
      <c r="C294" t="s">
        <v>8</v>
      </c>
      <c r="D294" t="s">
        <v>9</v>
      </c>
      <c r="E294">
        <v>1.5</v>
      </c>
      <c r="F294">
        <v>3.23</v>
      </c>
      <c r="G294" s="8">
        <f t="shared" si="4"/>
        <v>27.86377708978328</v>
      </c>
    </row>
    <row r="295" spans="1:7" x14ac:dyDescent="0.25">
      <c r="A295" s="85">
        <v>45804.34375</v>
      </c>
      <c r="B295">
        <v>4</v>
      </c>
      <c r="C295" t="s">
        <v>9</v>
      </c>
      <c r="D295" t="s">
        <v>10</v>
      </c>
      <c r="E295">
        <v>1.5</v>
      </c>
      <c r="F295">
        <v>2.5</v>
      </c>
      <c r="G295" s="8">
        <f t="shared" si="4"/>
        <v>36</v>
      </c>
    </row>
    <row r="296" spans="1:7" x14ac:dyDescent="0.25">
      <c r="A296" s="85">
        <v>45804.34375</v>
      </c>
      <c r="B296">
        <v>5</v>
      </c>
      <c r="C296" t="s">
        <v>10</v>
      </c>
      <c r="D296" t="s">
        <v>11</v>
      </c>
      <c r="E296">
        <v>1.52</v>
      </c>
      <c r="F296">
        <v>3.18</v>
      </c>
      <c r="G296" s="8">
        <f t="shared" si="4"/>
        <v>28.679245283018869</v>
      </c>
    </row>
    <row r="297" spans="1:7" x14ac:dyDescent="0.25">
      <c r="A297" s="85">
        <v>45804.34375</v>
      </c>
      <c r="B297">
        <v>6</v>
      </c>
      <c r="C297" t="s">
        <v>11</v>
      </c>
      <c r="D297" t="s">
        <v>12</v>
      </c>
      <c r="E297">
        <v>1.5</v>
      </c>
      <c r="F297">
        <v>2.67</v>
      </c>
      <c r="G297" s="8">
        <f t="shared" si="4"/>
        <v>33.707865168539328</v>
      </c>
    </row>
    <row r="298" spans="1:7" x14ac:dyDescent="0.25">
      <c r="A298" s="85">
        <v>45804.34375</v>
      </c>
      <c r="B298">
        <v>7</v>
      </c>
      <c r="C298" t="s">
        <v>12</v>
      </c>
      <c r="D298" t="s">
        <v>13</v>
      </c>
      <c r="E298">
        <v>1.54</v>
      </c>
      <c r="F298">
        <v>2.7</v>
      </c>
      <c r="G298" s="8">
        <f t="shared" si="4"/>
        <v>34.222222222222221</v>
      </c>
    </row>
    <row r="299" spans="1:7" x14ac:dyDescent="0.25">
      <c r="A299" s="85">
        <v>45804.34375</v>
      </c>
      <c r="B299">
        <v>8</v>
      </c>
      <c r="C299" t="s">
        <v>13</v>
      </c>
      <c r="D299" t="s">
        <v>14</v>
      </c>
      <c r="E299">
        <v>1.54</v>
      </c>
      <c r="F299">
        <v>3.7</v>
      </c>
      <c r="G299" s="8">
        <f t="shared" si="4"/>
        <v>24.972972972972972</v>
      </c>
    </row>
    <row r="300" spans="1:7" x14ac:dyDescent="0.25">
      <c r="A300" s="85">
        <v>45804.34375</v>
      </c>
      <c r="B300">
        <v>9</v>
      </c>
      <c r="C300" t="s">
        <v>14</v>
      </c>
      <c r="D300" t="s">
        <v>15</v>
      </c>
      <c r="E300">
        <v>1.52</v>
      </c>
      <c r="F300">
        <v>4.72</v>
      </c>
      <c r="G300" s="8">
        <f t="shared" si="4"/>
        <v>19.322033898305087</v>
      </c>
    </row>
    <row r="301" spans="1:7" x14ac:dyDescent="0.25">
      <c r="A301" s="85">
        <v>45804.34375</v>
      </c>
      <c r="B301">
        <v>10</v>
      </c>
      <c r="C301" t="s">
        <v>15</v>
      </c>
      <c r="D301" t="s">
        <v>16</v>
      </c>
      <c r="E301">
        <v>1.5</v>
      </c>
      <c r="F301">
        <v>4.68</v>
      </c>
      <c r="G301" s="8">
        <f t="shared" si="4"/>
        <v>19.230769230769234</v>
      </c>
    </row>
    <row r="302" spans="1:7" x14ac:dyDescent="0.25">
      <c r="A302" s="85">
        <v>45804.34375</v>
      </c>
      <c r="B302">
        <v>11</v>
      </c>
      <c r="C302" t="s">
        <v>16</v>
      </c>
      <c r="D302" t="s">
        <v>17</v>
      </c>
      <c r="E302">
        <v>1.48</v>
      </c>
      <c r="F302">
        <v>3.42</v>
      </c>
      <c r="G302" s="8">
        <f t="shared" si="4"/>
        <v>25.964912280701753</v>
      </c>
    </row>
    <row r="303" spans="1:7" x14ac:dyDescent="0.25">
      <c r="A303" s="85">
        <v>45804.34375</v>
      </c>
      <c r="B303">
        <v>12</v>
      </c>
      <c r="C303" t="s">
        <v>17</v>
      </c>
      <c r="D303" t="s">
        <v>18</v>
      </c>
      <c r="E303">
        <v>1.46</v>
      </c>
      <c r="F303">
        <v>6.18</v>
      </c>
      <c r="G303" s="8">
        <f t="shared" si="4"/>
        <v>14.174757281553397</v>
      </c>
    </row>
    <row r="304" spans="1:7" x14ac:dyDescent="0.25">
      <c r="A304" s="85">
        <v>45804.34375</v>
      </c>
      <c r="B304">
        <v>13</v>
      </c>
      <c r="C304" t="s">
        <v>18</v>
      </c>
      <c r="D304" t="s">
        <v>19</v>
      </c>
      <c r="E304">
        <v>1.52</v>
      </c>
      <c r="F304">
        <v>5.6</v>
      </c>
      <c r="G304" s="8">
        <f t="shared" si="4"/>
        <v>16.285714285714288</v>
      </c>
    </row>
    <row r="305" spans="1:7" x14ac:dyDescent="0.25">
      <c r="A305" s="85">
        <v>45804.34375</v>
      </c>
      <c r="B305">
        <v>14</v>
      </c>
      <c r="C305" t="s">
        <v>19</v>
      </c>
      <c r="D305" t="s">
        <v>20</v>
      </c>
      <c r="E305">
        <v>1.51</v>
      </c>
      <c r="F305">
        <v>4.28</v>
      </c>
      <c r="G305" s="8">
        <f t="shared" si="4"/>
        <v>21.168224299065418</v>
      </c>
    </row>
    <row r="306" spans="1:7" x14ac:dyDescent="0.25">
      <c r="A306" s="85">
        <v>45804.34375</v>
      </c>
      <c r="B306">
        <v>15</v>
      </c>
      <c r="C306" t="s">
        <v>20</v>
      </c>
      <c r="D306" t="s">
        <v>21</v>
      </c>
      <c r="E306">
        <v>1.47</v>
      </c>
      <c r="F306">
        <v>2.83</v>
      </c>
      <c r="G306" s="8">
        <f t="shared" si="4"/>
        <v>31.166077738515902</v>
      </c>
    </row>
    <row r="307" spans="1:7" x14ac:dyDescent="0.25">
      <c r="A307" s="85">
        <v>45804.34375</v>
      </c>
      <c r="B307">
        <v>16</v>
      </c>
      <c r="C307" t="s">
        <v>21</v>
      </c>
      <c r="D307" t="s">
        <v>22</v>
      </c>
      <c r="E307">
        <v>1.5</v>
      </c>
      <c r="F307">
        <v>1.98</v>
      </c>
      <c r="G307" s="8">
        <f t="shared" si="4"/>
        <v>45.454545454545453</v>
      </c>
    </row>
    <row r="308" spans="1:7" x14ac:dyDescent="0.25">
      <c r="A308" s="85">
        <v>45804.34375</v>
      </c>
      <c r="B308">
        <v>17</v>
      </c>
      <c r="C308" t="s">
        <v>22</v>
      </c>
      <c r="D308" t="s">
        <v>23</v>
      </c>
      <c r="E308">
        <v>1.51</v>
      </c>
      <c r="F308">
        <v>3.35</v>
      </c>
      <c r="G308" s="8">
        <f t="shared" si="4"/>
        <v>27.044776119402982</v>
      </c>
    </row>
    <row r="309" spans="1:7" x14ac:dyDescent="0.25">
      <c r="A309" s="85">
        <v>45804.34375</v>
      </c>
      <c r="B309">
        <v>18</v>
      </c>
      <c r="C309" t="s">
        <v>23</v>
      </c>
      <c r="D309" t="s">
        <v>24</v>
      </c>
      <c r="E309">
        <v>1.51</v>
      </c>
      <c r="F309">
        <v>2.97</v>
      </c>
      <c r="G309" s="8">
        <f t="shared" si="4"/>
        <v>30.505050505050502</v>
      </c>
    </row>
    <row r="310" spans="1:7" x14ac:dyDescent="0.25">
      <c r="A310" s="85">
        <v>45804.34375</v>
      </c>
      <c r="B310">
        <v>19</v>
      </c>
      <c r="C310" t="s">
        <v>25</v>
      </c>
      <c r="D310" t="s">
        <v>26</v>
      </c>
      <c r="E310">
        <v>1.5</v>
      </c>
      <c r="F310">
        <v>4.7300000000000004</v>
      </c>
      <c r="G310" s="8">
        <f t="shared" si="4"/>
        <v>19.027484143763211</v>
      </c>
    </row>
    <row r="311" spans="1:7" x14ac:dyDescent="0.25">
      <c r="A311" s="85">
        <v>45804.34375</v>
      </c>
      <c r="B311">
        <v>20</v>
      </c>
      <c r="C311" t="s">
        <v>26</v>
      </c>
      <c r="D311" t="s">
        <v>27</v>
      </c>
      <c r="E311">
        <v>1.48</v>
      </c>
      <c r="F311">
        <v>5.67</v>
      </c>
      <c r="G311" s="8">
        <f t="shared" si="4"/>
        <v>15.661375661375661</v>
      </c>
    </row>
    <row r="312" spans="1:7" x14ac:dyDescent="0.25">
      <c r="A312" s="85">
        <v>45804.34375</v>
      </c>
      <c r="B312">
        <v>21</v>
      </c>
      <c r="C312" t="s">
        <v>27</v>
      </c>
      <c r="D312" t="s">
        <v>28</v>
      </c>
      <c r="E312">
        <v>1.51</v>
      </c>
      <c r="F312">
        <v>5.22</v>
      </c>
      <c r="G312" s="8">
        <f t="shared" si="4"/>
        <v>17.356321839080458</v>
      </c>
    </row>
    <row r="313" spans="1:7" x14ac:dyDescent="0.25">
      <c r="A313" s="85">
        <v>45804.34375</v>
      </c>
      <c r="B313">
        <v>22</v>
      </c>
      <c r="C313" t="s">
        <v>28</v>
      </c>
      <c r="D313" t="s">
        <v>29</v>
      </c>
      <c r="E313">
        <v>1.57</v>
      </c>
      <c r="F313">
        <v>4.1500000000000004</v>
      </c>
      <c r="G313" s="8">
        <f t="shared" si="4"/>
        <v>22.69879518072289</v>
      </c>
    </row>
    <row r="314" spans="1:7" x14ac:dyDescent="0.25">
      <c r="A314" s="85">
        <v>45804.34375</v>
      </c>
      <c r="B314">
        <v>23</v>
      </c>
      <c r="C314" t="s">
        <v>29</v>
      </c>
      <c r="D314" t="s">
        <v>30</v>
      </c>
      <c r="E314">
        <v>1.43</v>
      </c>
      <c r="F314">
        <v>4.3499999999999996</v>
      </c>
      <c r="G314" s="8">
        <f t="shared" si="4"/>
        <v>19.724137931034484</v>
      </c>
    </row>
    <row r="315" spans="1:7" x14ac:dyDescent="0.25">
      <c r="A315" s="85">
        <v>45804.34375</v>
      </c>
      <c r="B315">
        <v>24</v>
      </c>
      <c r="C315" t="s">
        <v>30</v>
      </c>
      <c r="D315" t="s">
        <v>31</v>
      </c>
      <c r="E315">
        <v>1.52</v>
      </c>
      <c r="F315">
        <v>4.13</v>
      </c>
      <c r="G315" s="8">
        <f t="shared" si="4"/>
        <v>22.082324455205811</v>
      </c>
    </row>
    <row r="316" spans="1:7" x14ac:dyDescent="0.25">
      <c r="A316" s="85">
        <v>45804.34375</v>
      </c>
      <c r="B316">
        <v>25</v>
      </c>
      <c r="C316" t="s">
        <v>31</v>
      </c>
      <c r="D316" t="s">
        <v>32</v>
      </c>
      <c r="E316">
        <v>1.52</v>
      </c>
      <c r="F316">
        <v>3.23</v>
      </c>
      <c r="G316" s="8">
        <f t="shared" si="4"/>
        <v>28.235294117647062</v>
      </c>
    </row>
    <row r="317" spans="1:7" x14ac:dyDescent="0.25">
      <c r="A317" s="85">
        <v>45804.34375</v>
      </c>
      <c r="B317">
        <v>26</v>
      </c>
      <c r="C317" t="s">
        <v>32</v>
      </c>
      <c r="D317" t="s">
        <v>33</v>
      </c>
      <c r="E317">
        <v>1.49</v>
      </c>
      <c r="F317">
        <v>3.37</v>
      </c>
      <c r="G317" s="8">
        <f t="shared" si="4"/>
        <v>26.528189910979229</v>
      </c>
    </row>
    <row r="318" spans="1:7" x14ac:dyDescent="0.25">
      <c r="A318" s="85">
        <v>45804.34375</v>
      </c>
      <c r="B318">
        <v>27</v>
      </c>
      <c r="C318" t="s">
        <v>33</v>
      </c>
      <c r="D318" t="s">
        <v>34</v>
      </c>
      <c r="E318">
        <v>1.53</v>
      </c>
      <c r="F318">
        <v>3.27</v>
      </c>
      <c r="G318" s="8">
        <f t="shared" si="4"/>
        <v>28.073394495412842</v>
      </c>
    </row>
    <row r="319" spans="1:7" x14ac:dyDescent="0.25">
      <c r="A319" s="85">
        <v>45804.34375</v>
      </c>
      <c r="B319">
        <v>28</v>
      </c>
      <c r="C319" t="s">
        <v>34</v>
      </c>
      <c r="D319" t="s">
        <v>35</v>
      </c>
      <c r="E319">
        <v>1.51</v>
      </c>
      <c r="F319">
        <v>3.98</v>
      </c>
      <c r="G319" s="8">
        <f t="shared" si="4"/>
        <v>22.763819095477384</v>
      </c>
    </row>
    <row r="320" spans="1:7" x14ac:dyDescent="0.25">
      <c r="A320" s="85">
        <v>45804.34375</v>
      </c>
      <c r="B320">
        <v>29</v>
      </c>
      <c r="C320" t="s">
        <v>36</v>
      </c>
      <c r="D320" t="s">
        <v>37</v>
      </c>
      <c r="E320">
        <v>1.57</v>
      </c>
      <c r="F320">
        <v>6.23</v>
      </c>
      <c r="G320" s="8">
        <f t="shared" si="4"/>
        <v>15.120385232744782</v>
      </c>
    </row>
    <row r="321" spans="1:7" x14ac:dyDescent="0.25">
      <c r="A321" s="85">
        <v>45804.34375</v>
      </c>
      <c r="B321">
        <v>30</v>
      </c>
      <c r="C321" t="s">
        <v>37</v>
      </c>
      <c r="D321" t="s">
        <v>38</v>
      </c>
      <c r="E321">
        <v>1.57</v>
      </c>
      <c r="F321">
        <v>6.23</v>
      </c>
      <c r="G321" s="8">
        <f t="shared" si="4"/>
        <v>15.120385232744782</v>
      </c>
    </row>
    <row r="322" spans="1:7" x14ac:dyDescent="0.25">
      <c r="A322" s="85">
        <v>45804.34375</v>
      </c>
      <c r="B322">
        <v>31</v>
      </c>
      <c r="C322" t="s">
        <v>38</v>
      </c>
      <c r="D322" t="s">
        <v>39</v>
      </c>
      <c r="E322">
        <v>1.52</v>
      </c>
      <c r="F322">
        <v>3.32</v>
      </c>
      <c r="G322" s="8">
        <f t="shared" si="4"/>
        <v>27.46987951807229</v>
      </c>
    </row>
    <row r="323" spans="1:7" x14ac:dyDescent="0.25">
      <c r="A323" s="85">
        <v>45804.34375</v>
      </c>
      <c r="B323">
        <v>32</v>
      </c>
      <c r="C323" t="s">
        <v>39</v>
      </c>
      <c r="D323" t="s">
        <v>40</v>
      </c>
      <c r="E323">
        <v>1.5</v>
      </c>
      <c r="F323">
        <v>1.68</v>
      </c>
      <c r="G323" s="8">
        <f t="shared" ref="G323:G386" si="5">E323*60/F323</f>
        <v>53.571428571428577</v>
      </c>
    </row>
    <row r="324" spans="1:7" x14ac:dyDescent="0.25">
      <c r="A324" s="85">
        <v>45804.34375</v>
      </c>
      <c r="B324">
        <v>33</v>
      </c>
      <c r="C324" t="s">
        <v>40</v>
      </c>
      <c r="D324" t="s">
        <v>41</v>
      </c>
      <c r="E324">
        <v>1.51</v>
      </c>
      <c r="F324">
        <v>1.77</v>
      </c>
      <c r="G324" s="8">
        <f t="shared" si="5"/>
        <v>51.186440677966097</v>
      </c>
    </row>
    <row r="325" spans="1:7" x14ac:dyDescent="0.25">
      <c r="A325" s="85">
        <v>45804.34375</v>
      </c>
      <c r="B325">
        <v>34</v>
      </c>
      <c r="C325" t="s">
        <v>41</v>
      </c>
      <c r="D325" t="s">
        <v>42</v>
      </c>
      <c r="E325">
        <v>1.5</v>
      </c>
      <c r="F325">
        <v>1.83</v>
      </c>
      <c r="G325" s="8">
        <f t="shared" si="5"/>
        <v>49.180327868852459</v>
      </c>
    </row>
    <row r="326" spans="1:7" x14ac:dyDescent="0.25">
      <c r="A326" s="85">
        <v>45804.34375</v>
      </c>
      <c r="B326">
        <v>35</v>
      </c>
      <c r="C326" t="s">
        <v>43</v>
      </c>
      <c r="D326" t="s">
        <v>44</v>
      </c>
      <c r="E326">
        <v>1.55</v>
      </c>
      <c r="F326">
        <v>4.9800000000000004</v>
      </c>
      <c r="G326" s="8">
        <f t="shared" si="5"/>
        <v>18.674698795180721</v>
      </c>
    </row>
    <row r="327" spans="1:7" x14ac:dyDescent="0.25">
      <c r="A327" s="85">
        <v>45804.34375</v>
      </c>
      <c r="B327">
        <v>36</v>
      </c>
      <c r="C327" t="s">
        <v>44</v>
      </c>
      <c r="D327" t="s">
        <v>45</v>
      </c>
      <c r="E327">
        <v>1.5</v>
      </c>
      <c r="F327">
        <v>3.17</v>
      </c>
      <c r="G327" s="8">
        <f t="shared" si="5"/>
        <v>28.391167192429023</v>
      </c>
    </row>
    <row r="328" spans="1:7" x14ac:dyDescent="0.25">
      <c r="A328" s="85">
        <v>45804.34375</v>
      </c>
      <c r="B328">
        <v>37</v>
      </c>
      <c r="C328" t="s">
        <v>45</v>
      </c>
      <c r="D328" t="s">
        <v>46</v>
      </c>
      <c r="E328">
        <v>1.38</v>
      </c>
      <c r="F328">
        <v>4.05</v>
      </c>
      <c r="G328" s="8">
        <f t="shared" si="5"/>
        <v>20.444444444444443</v>
      </c>
    </row>
    <row r="329" spans="1:7" x14ac:dyDescent="0.25">
      <c r="A329" s="85">
        <v>45804.34375</v>
      </c>
      <c r="B329">
        <v>38</v>
      </c>
      <c r="C329" t="s">
        <v>46</v>
      </c>
      <c r="D329" t="s">
        <v>47</v>
      </c>
      <c r="E329">
        <v>1.61</v>
      </c>
      <c r="F329">
        <v>3.78</v>
      </c>
      <c r="G329" s="8">
        <f t="shared" si="5"/>
        <v>25.555555555555561</v>
      </c>
    </row>
    <row r="330" spans="1:7" x14ac:dyDescent="0.25">
      <c r="A330" s="85">
        <v>45804.34375</v>
      </c>
      <c r="B330">
        <v>39</v>
      </c>
      <c r="C330" t="s">
        <v>47</v>
      </c>
      <c r="D330" t="s">
        <v>48</v>
      </c>
      <c r="E330">
        <v>1.55</v>
      </c>
      <c r="F330">
        <v>3.18</v>
      </c>
      <c r="G330" s="8">
        <f t="shared" si="5"/>
        <v>29.245283018867923</v>
      </c>
    </row>
    <row r="331" spans="1:7" x14ac:dyDescent="0.25">
      <c r="A331" s="85">
        <v>45804.34375</v>
      </c>
      <c r="B331">
        <v>40</v>
      </c>
      <c r="C331" t="s">
        <v>48</v>
      </c>
      <c r="D331" t="s">
        <v>49</v>
      </c>
      <c r="E331">
        <v>1.39</v>
      </c>
      <c r="F331">
        <v>2.67</v>
      </c>
      <c r="G331" s="8">
        <f t="shared" si="5"/>
        <v>31.235955056179773</v>
      </c>
    </row>
    <row r="332" spans="1:7" x14ac:dyDescent="0.25">
      <c r="A332" s="85">
        <v>45804.34375</v>
      </c>
      <c r="B332">
        <v>41</v>
      </c>
      <c r="C332" t="s">
        <v>50</v>
      </c>
      <c r="D332" t="s">
        <v>51</v>
      </c>
      <c r="E332">
        <v>1.56</v>
      </c>
      <c r="F332">
        <v>5.78</v>
      </c>
      <c r="G332" s="8">
        <f t="shared" si="5"/>
        <v>16.193771626297579</v>
      </c>
    </row>
    <row r="333" spans="1:7" x14ac:dyDescent="0.25">
      <c r="A333" s="85">
        <v>45804.34375</v>
      </c>
      <c r="B333">
        <v>42</v>
      </c>
      <c r="C333" t="s">
        <v>51</v>
      </c>
      <c r="D333" t="s">
        <v>52</v>
      </c>
      <c r="E333">
        <v>1.56</v>
      </c>
      <c r="F333">
        <v>4.78</v>
      </c>
      <c r="G333" s="8">
        <f t="shared" si="5"/>
        <v>19.581589958158997</v>
      </c>
    </row>
    <row r="334" spans="1:7" x14ac:dyDescent="0.25">
      <c r="A334" s="85">
        <v>45804.34375</v>
      </c>
      <c r="B334">
        <v>43</v>
      </c>
      <c r="C334" t="s">
        <v>52</v>
      </c>
      <c r="D334" t="s">
        <v>53</v>
      </c>
      <c r="E334">
        <v>1.51</v>
      </c>
      <c r="F334">
        <v>3.57</v>
      </c>
      <c r="G334" s="8">
        <f t="shared" si="5"/>
        <v>25.3781512605042</v>
      </c>
    </row>
    <row r="335" spans="1:7" x14ac:dyDescent="0.25">
      <c r="A335" s="85">
        <v>45804.34375</v>
      </c>
      <c r="B335">
        <v>44</v>
      </c>
      <c r="C335" t="s">
        <v>54</v>
      </c>
      <c r="D335" t="s">
        <v>55</v>
      </c>
      <c r="E335">
        <v>1.51</v>
      </c>
      <c r="F335">
        <v>5.52</v>
      </c>
      <c r="G335" s="8">
        <f t="shared" si="5"/>
        <v>16.413043478260871</v>
      </c>
    </row>
    <row r="336" spans="1:7" x14ac:dyDescent="0.25">
      <c r="A336" s="85">
        <v>45804.34375</v>
      </c>
      <c r="B336">
        <v>45</v>
      </c>
      <c r="C336" t="s">
        <v>55</v>
      </c>
      <c r="D336" t="s">
        <v>56</v>
      </c>
      <c r="E336">
        <v>1.49</v>
      </c>
      <c r="F336">
        <v>3.63</v>
      </c>
      <c r="G336" s="8">
        <f t="shared" si="5"/>
        <v>24.628099173553721</v>
      </c>
    </row>
    <row r="337" spans="1:7" x14ac:dyDescent="0.25">
      <c r="A337" s="85">
        <v>45804.34375</v>
      </c>
      <c r="B337">
        <v>46</v>
      </c>
      <c r="C337" t="s">
        <v>56</v>
      </c>
      <c r="D337" t="s">
        <v>57</v>
      </c>
      <c r="E337">
        <v>1.52</v>
      </c>
      <c r="F337">
        <v>3.93</v>
      </c>
      <c r="G337" s="8">
        <f t="shared" si="5"/>
        <v>23.206106870229007</v>
      </c>
    </row>
    <row r="338" spans="1:7" x14ac:dyDescent="0.25">
      <c r="A338" s="85">
        <v>45804.34375</v>
      </c>
      <c r="B338">
        <v>47</v>
      </c>
      <c r="C338" t="s">
        <v>58</v>
      </c>
      <c r="D338" t="s">
        <v>59</v>
      </c>
      <c r="E338">
        <v>1.52</v>
      </c>
      <c r="F338">
        <v>5.88</v>
      </c>
      <c r="G338" s="8">
        <f t="shared" si="5"/>
        <v>15.510204081632654</v>
      </c>
    </row>
    <row r="339" spans="1:7" x14ac:dyDescent="0.25">
      <c r="A339" s="85">
        <v>45804.34375</v>
      </c>
      <c r="B339">
        <v>48</v>
      </c>
      <c r="C339" t="s">
        <v>59</v>
      </c>
      <c r="D339" t="s">
        <v>60</v>
      </c>
      <c r="E339">
        <v>1.5</v>
      </c>
      <c r="F339">
        <v>4.38</v>
      </c>
      <c r="G339" s="8">
        <f t="shared" si="5"/>
        <v>20.547945205479454</v>
      </c>
    </row>
    <row r="340" spans="1:7" x14ac:dyDescent="0.25">
      <c r="A340" s="85">
        <v>45804.34375</v>
      </c>
      <c r="B340">
        <v>49</v>
      </c>
      <c r="C340" t="s">
        <v>60</v>
      </c>
      <c r="D340" t="s">
        <v>61</v>
      </c>
      <c r="E340">
        <v>1.54</v>
      </c>
      <c r="F340">
        <v>5.05</v>
      </c>
      <c r="G340" s="8">
        <f t="shared" si="5"/>
        <v>18.297029702970299</v>
      </c>
    </row>
    <row r="341" spans="1:7" x14ac:dyDescent="0.25">
      <c r="A341" s="85">
        <v>45804.34375</v>
      </c>
      <c r="B341">
        <v>50</v>
      </c>
      <c r="C341" t="s">
        <v>62</v>
      </c>
      <c r="D341" t="s">
        <v>63</v>
      </c>
      <c r="E341">
        <v>1.38</v>
      </c>
      <c r="F341">
        <v>3.15</v>
      </c>
      <c r="G341" s="8">
        <f t="shared" si="5"/>
        <v>26.285714285714285</v>
      </c>
    </row>
    <row r="342" spans="1:7" x14ac:dyDescent="0.25">
      <c r="A342" s="85">
        <v>45804.34375</v>
      </c>
      <c r="B342">
        <v>51</v>
      </c>
      <c r="C342" t="s">
        <v>63</v>
      </c>
      <c r="D342" t="s">
        <v>64</v>
      </c>
      <c r="E342">
        <v>2.79</v>
      </c>
      <c r="F342">
        <v>6.38</v>
      </c>
      <c r="G342" s="8">
        <f t="shared" si="5"/>
        <v>26.238244514106583</v>
      </c>
    </row>
    <row r="343" spans="1:7" x14ac:dyDescent="0.25">
      <c r="A343" s="85">
        <v>45804.34375</v>
      </c>
      <c r="B343">
        <v>52</v>
      </c>
      <c r="C343" t="s">
        <v>64</v>
      </c>
      <c r="D343" t="s">
        <v>65</v>
      </c>
      <c r="E343">
        <v>1.5</v>
      </c>
      <c r="F343">
        <v>2.95</v>
      </c>
      <c r="G343" s="8">
        <f t="shared" si="5"/>
        <v>30.508474576271183</v>
      </c>
    </row>
    <row r="344" spans="1:7" x14ac:dyDescent="0.25">
      <c r="A344" s="85">
        <v>45804.34375</v>
      </c>
      <c r="B344">
        <v>53</v>
      </c>
      <c r="C344" t="s">
        <v>65</v>
      </c>
      <c r="D344" t="s">
        <v>66</v>
      </c>
      <c r="E344">
        <v>1.46</v>
      </c>
      <c r="F344">
        <v>4.03</v>
      </c>
      <c r="G344" s="8">
        <f t="shared" si="5"/>
        <v>21.736972704714638</v>
      </c>
    </row>
    <row r="345" spans="1:7" x14ac:dyDescent="0.25">
      <c r="A345" s="85">
        <v>45804.34375</v>
      </c>
      <c r="B345">
        <v>54</v>
      </c>
      <c r="C345" t="s">
        <v>67</v>
      </c>
      <c r="D345" t="s">
        <v>68</v>
      </c>
      <c r="E345">
        <v>1.46</v>
      </c>
      <c r="F345">
        <v>5.13</v>
      </c>
      <c r="G345" s="8">
        <f t="shared" si="5"/>
        <v>17.076023391812864</v>
      </c>
    </row>
    <row r="346" spans="1:7" x14ac:dyDescent="0.25">
      <c r="A346" s="85">
        <v>45804.34375</v>
      </c>
      <c r="B346">
        <v>55</v>
      </c>
      <c r="C346" t="s">
        <v>68</v>
      </c>
      <c r="D346" t="s">
        <v>69</v>
      </c>
      <c r="E346">
        <v>1.5</v>
      </c>
      <c r="F346">
        <v>2.13</v>
      </c>
      <c r="G346" s="8">
        <f t="shared" si="5"/>
        <v>42.253521126760567</v>
      </c>
    </row>
    <row r="347" spans="1:7" x14ac:dyDescent="0.25">
      <c r="A347" s="85">
        <v>45804.34375</v>
      </c>
      <c r="B347">
        <v>56</v>
      </c>
      <c r="C347" t="s">
        <v>70</v>
      </c>
      <c r="D347" t="s">
        <v>71</v>
      </c>
      <c r="E347">
        <v>1.51</v>
      </c>
      <c r="F347">
        <v>4.8499999999999996</v>
      </c>
      <c r="G347" s="8">
        <f t="shared" si="5"/>
        <v>18.680412371134022</v>
      </c>
    </row>
    <row r="348" spans="1:7" x14ac:dyDescent="0.25">
      <c r="A348" s="85">
        <v>45804.34375</v>
      </c>
      <c r="B348">
        <v>57</v>
      </c>
      <c r="C348" t="s">
        <v>71</v>
      </c>
      <c r="D348" t="s">
        <v>72</v>
      </c>
      <c r="E348">
        <v>1.52</v>
      </c>
      <c r="F348">
        <v>3.7</v>
      </c>
      <c r="G348" s="8">
        <f t="shared" si="5"/>
        <v>24.648648648648649</v>
      </c>
    </row>
    <row r="349" spans="1:7" x14ac:dyDescent="0.25">
      <c r="A349" s="85">
        <v>45804.34375</v>
      </c>
      <c r="B349">
        <v>58</v>
      </c>
      <c r="C349" t="s">
        <v>72</v>
      </c>
      <c r="D349" t="s">
        <v>73</v>
      </c>
      <c r="E349">
        <v>1.5</v>
      </c>
      <c r="F349">
        <v>3.45</v>
      </c>
      <c r="G349" s="8">
        <f t="shared" si="5"/>
        <v>26.086956521739129</v>
      </c>
    </row>
    <row r="350" spans="1:7" x14ac:dyDescent="0.25">
      <c r="A350" s="88">
        <v>45804.354166666664</v>
      </c>
      <c r="B350">
        <v>1</v>
      </c>
      <c r="C350" t="s">
        <v>6</v>
      </c>
      <c r="D350" t="s">
        <v>7</v>
      </c>
      <c r="E350">
        <v>1.53</v>
      </c>
      <c r="F350">
        <v>3.12</v>
      </c>
      <c r="G350" s="8">
        <f t="shared" si="5"/>
        <v>29.42307692307692</v>
      </c>
    </row>
    <row r="351" spans="1:7" x14ac:dyDescent="0.25">
      <c r="A351" s="88">
        <v>45804.354166666664</v>
      </c>
      <c r="B351">
        <v>2</v>
      </c>
      <c r="C351" t="s">
        <v>7</v>
      </c>
      <c r="D351" t="s">
        <v>8</v>
      </c>
      <c r="E351">
        <v>1.57</v>
      </c>
      <c r="F351">
        <v>5.13</v>
      </c>
      <c r="G351" s="8">
        <f t="shared" si="5"/>
        <v>18.362573099415204</v>
      </c>
    </row>
    <row r="352" spans="1:7" x14ac:dyDescent="0.25">
      <c r="A352" s="88">
        <v>45804.354166666664</v>
      </c>
      <c r="B352">
        <v>3</v>
      </c>
      <c r="C352" t="s">
        <v>8</v>
      </c>
      <c r="D352" t="s">
        <v>9</v>
      </c>
      <c r="E352">
        <v>1.5</v>
      </c>
      <c r="F352">
        <v>2.98</v>
      </c>
      <c r="G352" s="8">
        <f t="shared" si="5"/>
        <v>30.201342281879196</v>
      </c>
    </row>
    <row r="353" spans="1:7" x14ac:dyDescent="0.25">
      <c r="A353" s="88">
        <v>45804.354166666664</v>
      </c>
      <c r="B353">
        <v>4</v>
      </c>
      <c r="C353" t="s">
        <v>9</v>
      </c>
      <c r="D353" t="s">
        <v>10</v>
      </c>
      <c r="E353">
        <v>1.5</v>
      </c>
      <c r="F353">
        <v>2.67</v>
      </c>
      <c r="G353" s="8">
        <f t="shared" si="5"/>
        <v>33.707865168539328</v>
      </c>
    </row>
    <row r="354" spans="1:7" x14ac:dyDescent="0.25">
      <c r="A354" s="88">
        <v>45804.354166666664</v>
      </c>
      <c r="B354">
        <v>5</v>
      </c>
      <c r="C354" t="s">
        <v>10</v>
      </c>
      <c r="D354" t="s">
        <v>11</v>
      </c>
      <c r="E354">
        <v>1.52</v>
      </c>
      <c r="F354">
        <v>3.18</v>
      </c>
      <c r="G354" s="8">
        <f t="shared" si="5"/>
        <v>28.679245283018869</v>
      </c>
    </row>
    <row r="355" spans="1:7" x14ac:dyDescent="0.25">
      <c r="A355" s="88">
        <v>45804.354166666664</v>
      </c>
      <c r="B355">
        <v>6</v>
      </c>
      <c r="C355" t="s">
        <v>11</v>
      </c>
      <c r="D355" t="s">
        <v>12</v>
      </c>
      <c r="E355">
        <v>1.5</v>
      </c>
      <c r="F355">
        <v>2.77</v>
      </c>
      <c r="G355" s="8">
        <f t="shared" si="5"/>
        <v>32.490974729241877</v>
      </c>
    </row>
    <row r="356" spans="1:7" x14ac:dyDescent="0.25">
      <c r="A356" s="88">
        <v>45804.354166666664</v>
      </c>
      <c r="B356">
        <v>7</v>
      </c>
      <c r="C356" t="s">
        <v>12</v>
      </c>
      <c r="D356" t="s">
        <v>13</v>
      </c>
      <c r="E356">
        <v>1.54</v>
      </c>
      <c r="F356">
        <v>2.82</v>
      </c>
      <c r="G356" s="8">
        <f t="shared" si="5"/>
        <v>32.765957446808514</v>
      </c>
    </row>
    <row r="357" spans="1:7" x14ac:dyDescent="0.25">
      <c r="A357" s="88">
        <v>45804.354166666664</v>
      </c>
      <c r="B357">
        <v>8</v>
      </c>
      <c r="C357" t="s">
        <v>13</v>
      </c>
      <c r="D357" t="s">
        <v>14</v>
      </c>
      <c r="E357">
        <v>1.54</v>
      </c>
      <c r="F357">
        <v>3.67</v>
      </c>
      <c r="G357" s="8">
        <f t="shared" si="5"/>
        <v>25.177111716621255</v>
      </c>
    </row>
    <row r="358" spans="1:7" x14ac:dyDescent="0.25">
      <c r="A358" s="88">
        <v>45804.354166666664</v>
      </c>
      <c r="B358">
        <v>9</v>
      </c>
      <c r="C358" t="s">
        <v>14</v>
      </c>
      <c r="D358" t="s">
        <v>15</v>
      </c>
      <c r="E358">
        <v>1.52</v>
      </c>
      <c r="F358">
        <v>6.9</v>
      </c>
      <c r="G358" s="8">
        <f t="shared" si="5"/>
        <v>13.217391304347826</v>
      </c>
    </row>
    <row r="359" spans="1:7" x14ac:dyDescent="0.25">
      <c r="A359" s="88">
        <v>45804.354166666664</v>
      </c>
      <c r="B359">
        <v>10</v>
      </c>
      <c r="C359" t="s">
        <v>15</v>
      </c>
      <c r="D359" t="s">
        <v>16</v>
      </c>
      <c r="E359">
        <v>1.5</v>
      </c>
      <c r="F359">
        <v>5.13</v>
      </c>
      <c r="G359" s="8">
        <f t="shared" si="5"/>
        <v>17.543859649122808</v>
      </c>
    </row>
    <row r="360" spans="1:7" x14ac:dyDescent="0.25">
      <c r="A360" s="88">
        <v>45804.354166666664</v>
      </c>
      <c r="B360">
        <v>11</v>
      </c>
      <c r="C360" t="s">
        <v>16</v>
      </c>
      <c r="D360" t="s">
        <v>17</v>
      </c>
      <c r="E360">
        <v>1.48</v>
      </c>
      <c r="F360">
        <v>4.28</v>
      </c>
      <c r="G360" s="8">
        <f t="shared" si="5"/>
        <v>20.747663551401867</v>
      </c>
    </row>
    <row r="361" spans="1:7" x14ac:dyDescent="0.25">
      <c r="A361" s="88">
        <v>45804.354166666664</v>
      </c>
      <c r="B361">
        <v>12</v>
      </c>
      <c r="C361" t="s">
        <v>17</v>
      </c>
      <c r="D361" t="s">
        <v>18</v>
      </c>
      <c r="E361">
        <v>1.46</v>
      </c>
      <c r="F361">
        <v>4.93</v>
      </c>
      <c r="G361" s="8">
        <f t="shared" si="5"/>
        <v>17.768762677484787</v>
      </c>
    </row>
    <row r="362" spans="1:7" x14ac:dyDescent="0.25">
      <c r="A362" s="88">
        <v>45804.354166666664</v>
      </c>
      <c r="B362">
        <v>13</v>
      </c>
      <c r="C362" t="s">
        <v>18</v>
      </c>
      <c r="D362" t="s">
        <v>19</v>
      </c>
      <c r="E362">
        <v>1.52</v>
      </c>
      <c r="F362">
        <v>5.0999999999999996</v>
      </c>
      <c r="G362" s="8">
        <f t="shared" si="5"/>
        <v>17.882352941176471</v>
      </c>
    </row>
    <row r="363" spans="1:7" x14ac:dyDescent="0.25">
      <c r="A363" s="88">
        <v>45804.354166666701</v>
      </c>
      <c r="B363">
        <v>14</v>
      </c>
      <c r="C363" t="s">
        <v>19</v>
      </c>
      <c r="D363" t="s">
        <v>20</v>
      </c>
      <c r="E363">
        <v>1.51</v>
      </c>
      <c r="F363">
        <v>4.42</v>
      </c>
      <c r="G363" s="8">
        <f t="shared" si="5"/>
        <v>20.497737556561084</v>
      </c>
    </row>
    <row r="364" spans="1:7" x14ac:dyDescent="0.25">
      <c r="A364" s="88">
        <v>45804.354166666701</v>
      </c>
      <c r="B364">
        <v>15</v>
      </c>
      <c r="C364" t="s">
        <v>20</v>
      </c>
      <c r="D364" t="s">
        <v>21</v>
      </c>
      <c r="E364">
        <v>1.47</v>
      </c>
      <c r="F364">
        <v>3.02</v>
      </c>
      <c r="G364" s="8">
        <f t="shared" si="5"/>
        <v>29.205298013245034</v>
      </c>
    </row>
    <row r="365" spans="1:7" x14ac:dyDescent="0.25">
      <c r="A365" s="88">
        <v>45804.354166666701</v>
      </c>
      <c r="B365">
        <v>16</v>
      </c>
      <c r="C365" t="s">
        <v>21</v>
      </c>
      <c r="D365" t="s">
        <v>22</v>
      </c>
      <c r="E365">
        <v>1.5</v>
      </c>
      <c r="F365">
        <v>2.35</v>
      </c>
      <c r="G365" s="8">
        <f t="shared" si="5"/>
        <v>38.297872340425528</v>
      </c>
    </row>
    <row r="366" spans="1:7" x14ac:dyDescent="0.25">
      <c r="A366" s="88">
        <v>45804.354166666701</v>
      </c>
      <c r="B366">
        <v>17</v>
      </c>
      <c r="C366" t="s">
        <v>22</v>
      </c>
      <c r="D366" t="s">
        <v>23</v>
      </c>
      <c r="E366">
        <v>1.51</v>
      </c>
      <c r="F366">
        <v>3.62</v>
      </c>
      <c r="G366" s="8">
        <f t="shared" si="5"/>
        <v>25.027624309392262</v>
      </c>
    </row>
    <row r="367" spans="1:7" x14ac:dyDescent="0.25">
      <c r="A367" s="88">
        <v>45804.354166666701</v>
      </c>
      <c r="B367">
        <v>18</v>
      </c>
      <c r="C367" t="s">
        <v>23</v>
      </c>
      <c r="D367" t="s">
        <v>24</v>
      </c>
      <c r="E367">
        <v>1.51</v>
      </c>
      <c r="F367">
        <v>3.15</v>
      </c>
      <c r="G367" s="8">
        <f t="shared" si="5"/>
        <v>28.761904761904759</v>
      </c>
    </row>
    <row r="368" spans="1:7" x14ac:dyDescent="0.25">
      <c r="A368" s="88">
        <v>45804.354166666701</v>
      </c>
      <c r="B368">
        <v>19</v>
      </c>
      <c r="C368" t="s">
        <v>25</v>
      </c>
      <c r="D368" t="s">
        <v>26</v>
      </c>
      <c r="E368">
        <v>1.5</v>
      </c>
      <c r="F368">
        <v>4.45</v>
      </c>
      <c r="G368" s="8">
        <f t="shared" si="5"/>
        <v>20.224719101123593</v>
      </c>
    </row>
    <row r="369" spans="1:7" x14ac:dyDescent="0.25">
      <c r="A369" s="88">
        <v>45804.354166666701</v>
      </c>
      <c r="B369">
        <v>20</v>
      </c>
      <c r="C369" t="s">
        <v>26</v>
      </c>
      <c r="D369" t="s">
        <v>27</v>
      </c>
      <c r="E369">
        <v>1.48</v>
      </c>
      <c r="F369">
        <v>4.75</v>
      </c>
      <c r="G369" s="8">
        <f t="shared" si="5"/>
        <v>18.694736842105261</v>
      </c>
    </row>
    <row r="370" spans="1:7" x14ac:dyDescent="0.25">
      <c r="A370" s="88">
        <v>45804.354166666701</v>
      </c>
      <c r="B370">
        <v>21</v>
      </c>
      <c r="C370" t="s">
        <v>27</v>
      </c>
      <c r="D370" t="s">
        <v>28</v>
      </c>
      <c r="E370">
        <v>1.51</v>
      </c>
      <c r="F370">
        <v>6.42</v>
      </c>
      <c r="G370" s="8">
        <f t="shared" si="5"/>
        <v>14.11214953271028</v>
      </c>
    </row>
    <row r="371" spans="1:7" x14ac:dyDescent="0.25">
      <c r="A371" s="88">
        <v>45804.354166666701</v>
      </c>
      <c r="B371">
        <v>22</v>
      </c>
      <c r="C371" t="s">
        <v>28</v>
      </c>
      <c r="D371" t="s">
        <v>29</v>
      </c>
      <c r="E371">
        <v>1.57</v>
      </c>
      <c r="F371">
        <v>4.7699999999999996</v>
      </c>
      <c r="G371" s="8">
        <f t="shared" si="5"/>
        <v>19.748427672955977</v>
      </c>
    </row>
    <row r="372" spans="1:7" x14ac:dyDescent="0.25">
      <c r="A372" s="88">
        <v>45804.354166666701</v>
      </c>
      <c r="B372">
        <v>23</v>
      </c>
      <c r="C372" t="s">
        <v>29</v>
      </c>
      <c r="D372" t="s">
        <v>30</v>
      </c>
      <c r="E372">
        <v>1.43</v>
      </c>
      <c r="F372">
        <v>4.53</v>
      </c>
      <c r="G372" s="8">
        <f t="shared" si="5"/>
        <v>18.940397350993376</v>
      </c>
    </row>
    <row r="373" spans="1:7" x14ac:dyDescent="0.25">
      <c r="A373" s="88">
        <v>45804.354166666701</v>
      </c>
      <c r="B373">
        <v>24</v>
      </c>
      <c r="C373" t="s">
        <v>30</v>
      </c>
      <c r="D373" t="s">
        <v>31</v>
      </c>
      <c r="E373">
        <v>1.52</v>
      </c>
      <c r="F373">
        <v>4.47</v>
      </c>
      <c r="G373" s="8">
        <f t="shared" si="5"/>
        <v>20.402684563758392</v>
      </c>
    </row>
    <row r="374" spans="1:7" x14ac:dyDescent="0.25">
      <c r="A374" s="88">
        <v>45804.354166666701</v>
      </c>
      <c r="B374">
        <v>25</v>
      </c>
      <c r="C374" t="s">
        <v>31</v>
      </c>
      <c r="D374" t="s">
        <v>32</v>
      </c>
      <c r="E374">
        <v>1.52</v>
      </c>
      <c r="F374">
        <v>3.48</v>
      </c>
      <c r="G374" s="8">
        <f t="shared" si="5"/>
        <v>26.206896551724139</v>
      </c>
    </row>
    <row r="375" spans="1:7" x14ac:dyDescent="0.25">
      <c r="A375" s="88">
        <v>45804.354166666701</v>
      </c>
      <c r="B375">
        <v>26</v>
      </c>
      <c r="C375" t="s">
        <v>32</v>
      </c>
      <c r="D375" t="s">
        <v>33</v>
      </c>
      <c r="E375">
        <v>1.49</v>
      </c>
      <c r="F375">
        <v>3.63</v>
      </c>
      <c r="G375" s="8">
        <f t="shared" si="5"/>
        <v>24.628099173553721</v>
      </c>
    </row>
    <row r="376" spans="1:7" x14ac:dyDescent="0.25">
      <c r="A376" s="88">
        <v>45804.354166666701</v>
      </c>
      <c r="B376">
        <v>27</v>
      </c>
      <c r="C376" t="s">
        <v>33</v>
      </c>
      <c r="D376" t="s">
        <v>34</v>
      </c>
      <c r="E376">
        <v>1.53</v>
      </c>
      <c r="F376">
        <v>3.98</v>
      </c>
      <c r="G376" s="8">
        <f t="shared" si="5"/>
        <v>23.065326633165828</v>
      </c>
    </row>
    <row r="377" spans="1:7" x14ac:dyDescent="0.25">
      <c r="A377" s="88">
        <v>45804.354166666701</v>
      </c>
      <c r="B377">
        <v>28</v>
      </c>
      <c r="C377" t="s">
        <v>34</v>
      </c>
      <c r="D377" t="s">
        <v>35</v>
      </c>
      <c r="E377">
        <v>1.51</v>
      </c>
      <c r="F377">
        <v>4.3</v>
      </c>
      <c r="G377" s="8">
        <f t="shared" si="5"/>
        <v>21.069767441860463</v>
      </c>
    </row>
    <row r="378" spans="1:7" x14ac:dyDescent="0.25">
      <c r="A378" s="88">
        <v>45804.354166666701</v>
      </c>
      <c r="B378">
        <v>29</v>
      </c>
      <c r="C378" t="s">
        <v>36</v>
      </c>
      <c r="D378" t="s">
        <v>37</v>
      </c>
      <c r="E378">
        <v>1.57</v>
      </c>
      <c r="F378">
        <v>6.08</v>
      </c>
      <c r="G378" s="8">
        <f t="shared" si="5"/>
        <v>15.493421052631579</v>
      </c>
    </row>
    <row r="379" spans="1:7" x14ac:dyDescent="0.25">
      <c r="A379" s="88">
        <v>45804.354166666701</v>
      </c>
      <c r="B379">
        <v>30</v>
      </c>
      <c r="C379" t="s">
        <v>37</v>
      </c>
      <c r="D379" t="s">
        <v>38</v>
      </c>
      <c r="E379">
        <v>1.57</v>
      </c>
      <c r="F379">
        <v>6.25</v>
      </c>
      <c r="G379" s="8">
        <f t="shared" si="5"/>
        <v>15.072000000000001</v>
      </c>
    </row>
    <row r="380" spans="1:7" x14ac:dyDescent="0.25">
      <c r="A380" s="88">
        <v>45804.354166666701</v>
      </c>
      <c r="B380">
        <v>31</v>
      </c>
      <c r="C380" t="s">
        <v>38</v>
      </c>
      <c r="D380" t="s">
        <v>39</v>
      </c>
      <c r="E380">
        <v>1.52</v>
      </c>
      <c r="F380">
        <v>5.48</v>
      </c>
      <c r="G380" s="8">
        <f t="shared" si="5"/>
        <v>16.642335766423358</v>
      </c>
    </row>
    <row r="381" spans="1:7" x14ac:dyDescent="0.25">
      <c r="A381" s="88">
        <v>45804.354166666701</v>
      </c>
      <c r="B381">
        <v>32</v>
      </c>
      <c r="C381" t="s">
        <v>39</v>
      </c>
      <c r="D381" t="s">
        <v>40</v>
      </c>
      <c r="E381">
        <v>1.5</v>
      </c>
      <c r="F381">
        <v>1.75</v>
      </c>
      <c r="G381" s="8">
        <f t="shared" si="5"/>
        <v>51.428571428571431</v>
      </c>
    </row>
    <row r="382" spans="1:7" x14ac:dyDescent="0.25">
      <c r="A382" s="88">
        <v>45804.354166666701</v>
      </c>
      <c r="B382">
        <v>33</v>
      </c>
      <c r="C382" t="s">
        <v>40</v>
      </c>
      <c r="D382" t="s">
        <v>41</v>
      </c>
      <c r="E382">
        <v>1.51</v>
      </c>
      <c r="F382">
        <v>1.78</v>
      </c>
      <c r="G382" s="8">
        <f t="shared" si="5"/>
        <v>50.898876404494381</v>
      </c>
    </row>
    <row r="383" spans="1:7" x14ac:dyDescent="0.25">
      <c r="A383" s="88">
        <v>45804.354166666701</v>
      </c>
      <c r="B383">
        <v>34</v>
      </c>
      <c r="C383" t="s">
        <v>41</v>
      </c>
      <c r="D383" t="s">
        <v>42</v>
      </c>
      <c r="E383">
        <v>1.5</v>
      </c>
      <c r="F383">
        <v>1.85</v>
      </c>
      <c r="G383" s="8">
        <f t="shared" si="5"/>
        <v>48.648648648648646</v>
      </c>
    </row>
    <row r="384" spans="1:7" x14ac:dyDescent="0.25">
      <c r="A384" s="88">
        <v>45804.354166666701</v>
      </c>
      <c r="B384">
        <v>35</v>
      </c>
      <c r="C384" t="s">
        <v>43</v>
      </c>
      <c r="D384" t="s">
        <v>44</v>
      </c>
      <c r="E384">
        <v>1.55</v>
      </c>
      <c r="F384">
        <v>5.08</v>
      </c>
      <c r="G384" s="8">
        <f t="shared" si="5"/>
        <v>18.30708661417323</v>
      </c>
    </row>
    <row r="385" spans="1:7" x14ac:dyDescent="0.25">
      <c r="A385" s="88">
        <v>45804.354166666701</v>
      </c>
      <c r="B385">
        <v>36</v>
      </c>
      <c r="C385" t="s">
        <v>44</v>
      </c>
      <c r="D385" t="s">
        <v>45</v>
      </c>
      <c r="E385">
        <v>1.5</v>
      </c>
      <c r="F385">
        <v>3.18</v>
      </c>
      <c r="G385" s="8">
        <f t="shared" si="5"/>
        <v>28.30188679245283</v>
      </c>
    </row>
    <row r="386" spans="1:7" x14ac:dyDescent="0.25">
      <c r="A386" s="88">
        <v>45804.354166666701</v>
      </c>
      <c r="B386">
        <v>37</v>
      </c>
      <c r="C386" t="s">
        <v>45</v>
      </c>
      <c r="D386" t="s">
        <v>46</v>
      </c>
      <c r="E386">
        <v>1.38</v>
      </c>
      <c r="F386">
        <v>4.1500000000000004</v>
      </c>
      <c r="G386" s="8">
        <f t="shared" si="5"/>
        <v>19.951807228915658</v>
      </c>
    </row>
    <row r="387" spans="1:7" x14ac:dyDescent="0.25">
      <c r="A387" s="88">
        <v>45804.354166666701</v>
      </c>
      <c r="B387">
        <v>38</v>
      </c>
      <c r="C387" t="s">
        <v>46</v>
      </c>
      <c r="D387" t="s">
        <v>47</v>
      </c>
      <c r="E387">
        <v>1.61</v>
      </c>
      <c r="F387">
        <v>3.8</v>
      </c>
      <c r="G387" s="8">
        <f t="shared" ref="G387:G450" si="6">E387*60/F387</f>
        <v>25.421052631578952</v>
      </c>
    </row>
    <row r="388" spans="1:7" x14ac:dyDescent="0.25">
      <c r="A388" s="88">
        <v>45804.354166666701</v>
      </c>
      <c r="B388">
        <v>39</v>
      </c>
      <c r="C388" t="s">
        <v>47</v>
      </c>
      <c r="D388" t="s">
        <v>48</v>
      </c>
      <c r="E388">
        <v>1.55</v>
      </c>
      <c r="F388">
        <v>3.32</v>
      </c>
      <c r="G388" s="8">
        <f t="shared" si="6"/>
        <v>28.012048192771086</v>
      </c>
    </row>
    <row r="389" spans="1:7" x14ac:dyDescent="0.25">
      <c r="A389" s="88">
        <v>45804.354166666701</v>
      </c>
      <c r="B389">
        <v>40</v>
      </c>
      <c r="C389" t="s">
        <v>48</v>
      </c>
      <c r="D389" t="s">
        <v>49</v>
      </c>
      <c r="E389">
        <v>1.39</v>
      </c>
      <c r="F389">
        <v>2.82</v>
      </c>
      <c r="G389" s="8">
        <f t="shared" si="6"/>
        <v>29.574468085106382</v>
      </c>
    </row>
    <row r="390" spans="1:7" x14ac:dyDescent="0.25">
      <c r="A390" s="88">
        <v>45804.354166666701</v>
      </c>
      <c r="B390">
        <v>41</v>
      </c>
      <c r="C390" t="s">
        <v>50</v>
      </c>
      <c r="D390" t="s">
        <v>51</v>
      </c>
      <c r="E390">
        <v>1.56</v>
      </c>
      <c r="F390">
        <v>7.13</v>
      </c>
      <c r="G390" s="8">
        <f t="shared" si="6"/>
        <v>13.127629733520338</v>
      </c>
    </row>
    <row r="391" spans="1:7" x14ac:dyDescent="0.25">
      <c r="A391" s="88">
        <v>45804.354166666701</v>
      </c>
      <c r="B391">
        <v>42</v>
      </c>
      <c r="C391" t="s">
        <v>51</v>
      </c>
      <c r="D391" t="s">
        <v>52</v>
      </c>
      <c r="E391">
        <v>1.56</v>
      </c>
      <c r="F391">
        <v>4.82</v>
      </c>
      <c r="G391" s="8">
        <f t="shared" si="6"/>
        <v>19.419087136929463</v>
      </c>
    </row>
    <row r="392" spans="1:7" x14ac:dyDescent="0.25">
      <c r="A392" s="88">
        <v>45804.354166666701</v>
      </c>
      <c r="B392">
        <v>43</v>
      </c>
      <c r="C392" t="s">
        <v>52</v>
      </c>
      <c r="D392" t="s">
        <v>53</v>
      </c>
      <c r="E392">
        <v>1.51</v>
      </c>
      <c r="F392">
        <v>3.68</v>
      </c>
      <c r="G392" s="8">
        <f t="shared" si="6"/>
        <v>24.619565217391301</v>
      </c>
    </row>
    <row r="393" spans="1:7" x14ac:dyDescent="0.25">
      <c r="A393" s="88">
        <v>45804.354166666701</v>
      </c>
      <c r="B393">
        <v>44</v>
      </c>
      <c r="C393" t="s">
        <v>54</v>
      </c>
      <c r="D393" t="s">
        <v>55</v>
      </c>
      <c r="E393">
        <v>1.51</v>
      </c>
      <c r="F393">
        <v>5.53</v>
      </c>
      <c r="G393" s="8">
        <f t="shared" si="6"/>
        <v>16.383363471971066</v>
      </c>
    </row>
    <row r="394" spans="1:7" x14ac:dyDescent="0.25">
      <c r="A394" s="88">
        <v>45804.354166666701</v>
      </c>
      <c r="B394">
        <v>45</v>
      </c>
      <c r="C394" t="s">
        <v>55</v>
      </c>
      <c r="D394" t="s">
        <v>56</v>
      </c>
      <c r="E394">
        <v>1.49</v>
      </c>
      <c r="F394">
        <v>3.98</v>
      </c>
      <c r="G394" s="8">
        <f t="shared" si="6"/>
        <v>22.462311557788947</v>
      </c>
    </row>
    <row r="395" spans="1:7" x14ac:dyDescent="0.25">
      <c r="A395" s="88">
        <v>45804.354166666701</v>
      </c>
      <c r="B395">
        <v>46</v>
      </c>
      <c r="C395" t="s">
        <v>56</v>
      </c>
      <c r="D395" t="s">
        <v>57</v>
      </c>
      <c r="E395">
        <v>1.52</v>
      </c>
      <c r="F395">
        <v>4.08</v>
      </c>
      <c r="G395" s="8">
        <f t="shared" si="6"/>
        <v>22.352941176470587</v>
      </c>
    </row>
    <row r="396" spans="1:7" x14ac:dyDescent="0.25">
      <c r="A396" s="88">
        <v>45804.354166666701</v>
      </c>
      <c r="B396">
        <v>47</v>
      </c>
      <c r="C396" t="s">
        <v>58</v>
      </c>
      <c r="D396" t="s">
        <v>59</v>
      </c>
      <c r="E396">
        <v>1.52</v>
      </c>
      <c r="F396">
        <v>5.68</v>
      </c>
      <c r="G396" s="8">
        <f t="shared" si="6"/>
        <v>16.056338028169016</v>
      </c>
    </row>
    <row r="397" spans="1:7" x14ac:dyDescent="0.25">
      <c r="A397" s="88">
        <v>45804.354166666701</v>
      </c>
      <c r="B397">
        <v>48</v>
      </c>
      <c r="C397" t="s">
        <v>59</v>
      </c>
      <c r="D397" t="s">
        <v>60</v>
      </c>
      <c r="E397">
        <v>1.5</v>
      </c>
      <c r="F397">
        <v>5.43</v>
      </c>
      <c r="G397" s="8">
        <f t="shared" si="6"/>
        <v>16.574585635359117</v>
      </c>
    </row>
    <row r="398" spans="1:7" x14ac:dyDescent="0.25">
      <c r="A398" s="88">
        <v>45804.354166666701</v>
      </c>
      <c r="B398">
        <v>49</v>
      </c>
      <c r="C398" t="s">
        <v>60</v>
      </c>
      <c r="D398" t="s">
        <v>61</v>
      </c>
      <c r="E398">
        <v>1.54</v>
      </c>
      <c r="F398">
        <v>5.9</v>
      </c>
      <c r="G398" s="8">
        <f t="shared" si="6"/>
        <v>15.661016949152543</v>
      </c>
    </row>
    <row r="399" spans="1:7" x14ac:dyDescent="0.25">
      <c r="A399" s="88">
        <v>45804.354166666701</v>
      </c>
      <c r="B399">
        <v>50</v>
      </c>
      <c r="C399" t="s">
        <v>62</v>
      </c>
      <c r="D399" t="s">
        <v>63</v>
      </c>
      <c r="E399">
        <v>1.38</v>
      </c>
      <c r="F399">
        <v>3.13</v>
      </c>
      <c r="G399" s="8">
        <f t="shared" si="6"/>
        <v>26.453674121405751</v>
      </c>
    </row>
    <row r="400" spans="1:7" x14ac:dyDescent="0.25">
      <c r="A400" s="88">
        <v>45804.354166666701</v>
      </c>
      <c r="B400">
        <v>51</v>
      </c>
      <c r="C400" t="s">
        <v>63</v>
      </c>
      <c r="D400" t="s">
        <v>64</v>
      </c>
      <c r="E400">
        <v>2.79</v>
      </c>
      <c r="F400">
        <v>6.3</v>
      </c>
      <c r="G400" s="8">
        <f t="shared" si="6"/>
        <v>26.571428571428573</v>
      </c>
    </row>
    <row r="401" spans="1:7" x14ac:dyDescent="0.25">
      <c r="A401" s="88">
        <v>45804.354166666701</v>
      </c>
      <c r="B401">
        <v>52</v>
      </c>
      <c r="C401" t="s">
        <v>64</v>
      </c>
      <c r="D401" t="s">
        <v>65</v>
      </c>
      <c r="E401">
        <v>1.5</v>
      </c>
      <c r="F401">
        <v>3.02</v>
      </c>
      <c r="G401" s="8">
        <f t="shared" si="6"/>
        <v>29.801324503311257</v>
      </c>
    </row>
    <row r="402" spans="1:7" x14ac:dyDescent="0.25">
      <c r="A402" s="88">
        <v>45804.354166666701</v>
      </c>
      <c r="B402">
        <v>53</v>
      </c>
      <c r="C402" t="s">
        <v>65</v>
      </c>
      <c r="D402" t="s">
        <v>66</v>
      </c>
      <c r="E402">
        <v>1.46</v>
      </c>
      <c r="F402">
        <v>4.12</v>
      </c>
      <c r="G402" s="8">
        <f t="shared" si="6"/>
        <v>21.262135922330096</v>
      </c>
    </row>
    <row r="403" spans="1:7" x14ac:dyDescent="0.25">
      <c r="A403" s="88">
        <v>45804.354166666701</v>
      </c>
      <c r="B403">
        <v>54</v>
      </c>
      <c r="C403" t="s">
        <v>67</v>
      </c>
      <c r="D403" t="s">
        <v>68</v>
      </c>
      <c r="E403">
        <v>1.53</v>
      </c>
      <c r="F403">
        <v>5.88</v>
      </c>
      <c r="G403" s="8">
        <f t="shared" si="6"/>
        <v>15.612244897959183</v>
      </c>
    </row>
    <row r="404" spans="1:7" x14ac:dyDescent="0.25">
      <c r="A404" s="88">
        <v>45804.354166666701</v>
      </c>
      <c r="B404">
        <v>55</v>
      </c>
      <c r="C404" t="s">
        <v>68</v>
      </c>
      <c r="D404" t="s">
        <v>69</v>
      </c>
      <c r="E404">
        <v>1.5</v>
      </c>
      <c r="F404">
        <v>1.98</v>
      </c>
      <c r="G404" s="8">
        <f t="shared" si="6"/>
        <v>45.454545454545453</v>
      </c>
    </row>
    <row r="405" spans="1:7" x14ac:dyDescent="0.25">
      <c r="A405" s="88">
        <v>45804.354166666701</v>
      </c>
      <c r="B405">
        <v>56</v>
      </c>
      <c r="C405" t="s">
        <v>70</v>
      </c>
      <c r="D405" t="s">
        <v>71</v>
      </c>
      <c r="E405">
        <v>1.51</v>
      </c>
      <c r="F405">
        <v>5</v>
      </c>
      <c r="G405" s="8">
        <f t="shared" si="6"/>
        <v>18.119999999999997</v>
      </c>
    </row>
    <row r="406" spans="1:7" x14ac:dyDescent="0.25">
      <c r="A406" s="88">
        <v>45804.354166666701</v>
      </c>
      <c r="B406">
        <v>57</v>
      </c>
      <c r="C406" t="s">
        <v>71</v>
      </c>
      <c r="D406" t="s">
        <v>72</v>
      </c>
      <c r="E406">
        <v>1.52</v>
      </c>
      <c r="F406">
        <v>4.07</v>
      </c>
      <c r="G406" s="8">
        <f t="shared" si="6"/>
        <v>22.407862407862407</v>
      </c>
    </row>
    <row r="407" spans="1:7" x14ac:dyDescent="0.25">
      <c r="A407" s="88">
        <v>45804.354166666701</v>
      </c>
      <c r="B407">
        <v>58</v>
      </c>
      <c r="C407" t="s">
        <v>72</v>
      </c>
      <c r="D407" t="s">
        <v>73</v>
      </c>
      <c r="E407">
        <v>1.5</v>
      </c>
      <c r="F407">
        <v>3.57</v>
      </c>
      <c r="G407" s="8">
        <f t="shared" si="6"/>
        <v>25.210084033613448</v>
      </c>
    </row>
    <row r="408" spans="1:7" x14ac:dyDescent="0.25">
      <c r="A408" s="87">
        <v>45804.364583333336</v>
      </c>
      <c r="B408">
        <v>1</v>
      </c>
      <c r="C408" t="s">
        <v>6</v>
      </c>
      <c r="D408" t="s">
        <v>7</v>
      </c>
      <c r="E408">
        <v>1.53</v>
      </c>
      <c r="F408">
        <v>3.22</v>
      </c>
      <c r="G408" s="8">
        <f t="shared" si="6"/>
        <v>28.509316770186334</v>
      </c>
    </row>
    <row r="409" spans="1:7" x14ac:dyDescent="0.25">
      <c r="A409" s="87">
        <v>45804.364583333336</v>
      </c>
      <c r="B409">
        <v>2</v>
      </c>
      <c r="C409" t="s">
        <v>7</v>
      </c>
      <c r="D409" t="s">
        <v>8</v>
      </c>
      <c r="E409">
        <v>1.57</v>
      </c>
      <c r="F409">
        <v>5.57</v>
      </c>
      <c r="G409" s="8">
        <f t="shared" si="6"/>
        <v>16.912028725314183</v>
      </c>
    </row>
    <row r="410" spans="1:7" x14ac:dyDescent="0.25">
      <c r="A410" s="87">
        <v>45804.364583333336</v>
      </c>
      <c r="B410">
        <v>3</v>
      </c>
      <c r="C410" t="s">
        <v>8</v>
      </c>
      <c r="D410" t="s">
        <v>9</v>
      </c>
      <c r="E410">
        <v>1.5</v>
      </c>
      <c r="F410">
        <v>3.12</v>
      </c>
      <c r="G410" s="8">
        <f t="shared" si="6"/>
        <v>28.846153846153847</v>
      </c>
    </row>
    <row r="411" spans="1:7" x14ac:dyDescent="0.25">
      <c r="A411" s="87">
        <v>45804.364583333336</v>
      </c>
      <c r="B411">
        <v>4</v>
      </c>
      <c r="C411" t="s">
        <v>9</v>
      </c>
      <c r="D411" t="s">
        <v>10</v>
      </c>
      <c r="E411">
        <v>1.5</v>
      </c>
      <c r="F411">
        <v>2.8</v>
      </c>
      <c r="G411" s="8">
        <f t="shared" si="6"/>
        <v>32.142857142857146</v>
      </c>
    </row>
    <row r="412" spans="1:7" x14ac:dyDescent="0.25">
      <c r="A412" s="87">
        <v>45804.364583333336</v>
      </c>
      <c r="B412">
        <v>5</v>
      </c>
      <c r="C412" t="s">
        <v>10</v>
      </c>
      <c r="D412" t="s">
        <v>11</v>
      </c>
      <c r="E412">
        <v>1.52</v>
      </c>
      <c r="F412">
        <v>3.25</v>
      </c>
      <c r="G412" s="8">
        <f t="shared" si="6"/>
        <v>28.061538461538461</v>
      </c>
    </row>
    <row r="413" spans="1:7" x14ac:dyDescent="0.25">
      <c r="A413" s="87">
        <v>45804.364583333336</v>
      </c>
      <c r="B413">
        <v>6</v>
      </c>
      <c r="C413" t="s">
        <v>11</v>
      </c>
      <c r="D413" t="s">
        <v>12</v>
      </c>
      <c r="E413">
        <v>1.5</v>
      </c>
      <c r="F413">
        <v>2.73</v>
      </c>
      <c r="G413" s="8">
        <f t="shared" si="6"/>
        <v>32.967032967032971</v>
      </c>
    </row>
    <row r="414" spans="1:7" x14ac:dyDescent="0.25">
      <c r="A414" s="87">
        <v>45804.364583333336</v>
      </c>
      <c r="B414">
        <v>7</v>
      </c>
      <c r="C414" t="s">
        <v>12</v>
      </c>
      <c r="D414" t="s">
        <v>13</v>
      </c>
      <c r="E414">
        <v>1.54</v>
      </c>
      <c r="F414">
        <v>2.8</v>
      </c>
      <c r="G414" s="8">
        <f t="shared" si="6"/>
        <v>33.000000000000007</v>
      </c>
    </row>
    <row r="415" spans="1:7" x14ac:dyDescent="0.25">
      <c r="A415" s="87">
        <v>45804.364583333336</v>
      </c>
      <c r="B415">
        <v>8</v>
      </c>
      <c r="C415" t="s">
        <v>13</v>
      </c>
      <c r="D415" t="s">
        <v>14</v>
      </c>
      <c r="E415">
        <v>1.54</v>
      </c>
      <c r="F415">
        <v>3.65</v>
      </c>
      <c r="G415" s="8">
        <f t="shared" si="6"/>
        <v>25.315068493150687</v>
      </c>
    </row>
    <row r="416" spans="1:7" x14ac:dyDescent="0.25">
      <c r="A416" s="87">
        <v>45804.364583333336</v>
      </c>
      <c r="B416">
        <v>9</v>
      </c>
      <c r="C416" t="s">
        <v>14</v>
      </c>
      <c r="D416" t="s">
        <v>15</v>
      </c>
      <c r="E416">
        <v>1.52</v>
      </c>
      <c r="F416">
        <v>6.63</v>
      </c>
      <c r="G416" s="8">
        <f t="shared" si="6"/>
        <v>13.755656108597286</v>
      </c>
    </row>
    <row r="417" spans="1:7" x14ac:dyDescent="0.25">
      <c r="A417" s="87">
        <v>45804.364583333336</v>
      </c>
      <c r="B417">
        <v>10</v>
      </c>
      <c r="C417" t="s">
        <v>15</v>
      </c>
      <c r="D417" t="s">
        <v>16</v>
      </c>
      <c r="E417">
        <v>1.5</v>
      </c>
      <c r="F417">
        <v>5.18</v>
      </c>
      <c r="G417" s="8">
        <f t="shared" si="6"/>
        <v>17.374517374517374</v>
      </c>
    </row>
    <row r="418" spans="1:7" x14ac:dyDescent="0.25">
      <c r="A418" s="87">
        <v>45804.364583333336</v>
      </c>
      <c r="B418">
        <v>11</v>
      </c>
      <c r="C418" t="s">
        <v>16</v>
      </c>
      <c r="D418" t="s">
        <v>17</v>
      </c>
      <c r="E418">
        <v>1.48</v>
      </c>
      <c r="F418">
        <v>3.5</v>
      </c>
      <c r="G418" s="8">
        <f t="shared" si="6"/>
        <v>25.37142857142857</v>
      </c>
    </row>
    <row r="419" spans="1:7" x14ac:dyDescent="0.25">
      <c r="A419" s="87">
        <v>45804.364583333336</v>
      </c>
      <c r="B419">
        <v>12</v>
      </c>
      <c r="C419" t="s">
        <v>17</v>
      </c>
      <c r="D419" t="s">
        <v>18</v>
      </c>
      <c r="E419">
        <v>1.46</v>
      </c>
      <c r="F419">
        <v>4.5</v>
      </c>
      <c r="G419" s="8">
        <f t="shared" si="6"/>
        <v>19.466666666666665</v>
      </c>
    </row>
    <row r="420" spans="1:7" x14ac:dyDescent="0.25">
      <c r="A420" s="87">
        <v>45804.364583333336</v>
      </c>
      <c r="B420">
        <v>13</v>
      </c>
      <c r="C420" t="s">
        <v>18</v>
      </c>
      <c r="D420" t="s">
        <v>19</v>
      </c>
      <c r="E420">
        <v>1.52</v>
      </c>
      <c r="F420">
        <v>4.93</v>
      </c>
      <c r="G420" s="8">
        <f t="shared" si="6"/>
        <v>18.498985801217039</v>
      </c>
    </row>
    <row r="421" spans="1:7" x14ac:dyDescent="0.25">
      <c r="A421" s="87">
        <v>45804.364583333336</v>
      </c>
      <c r="B421">
        <v>14</v>
      </c>
      <c r="C421" t="s">
        <v>19</v>
      </c>
      <c r="D421" t="s">
        <v>20</v>
      </c>
      <c r="E421">
        <v>1.51</v>
      </c>
      <c r="F421">
        <v>3.62</v>
      </c>
      <c r="G421" s="8">
        <f t="shared" si="6"/>
        <v>25.027624309392262</v>
      </c>
    </row>
    <row r="422" spans="1:7" x14ac:dyDescent="0.25">
      <c r="A422" s="87">
        <v>45804.364583333336</v>
      </c>
      <c r="B422">
        <v>15</v>
      </c>
      <c r="C422" t="s">
        <v>20</v>
      </c>
      <c r="D422" t="s">
        <v>21</v>
      </c>
      <c r="E422">
        <v>1.47</v>
      </c>
      <c r="F422">
        <v>3.57</v>
      </c>
      <c r="G422" s="8">
        <f t="shared" si="6"/>
        <v>24.705882352941178</v>
      </c>
    </row>
    <row r="423" spans="1:7" x14ac:dyDescent="0.25">
      <c r="A423" s="87">
        <v>45804.364583333336</v>
      </c>
      <c r="B423">
        <v>16</v>
      </c>
      <c r="C423" t="s">
        <v>21</v>
      </c>
      <c r="D423" t="s">
        <v>22</v>
      </c>
      <c r="E423">
        <v>1.5</v>
      </c>
      <c r="F423">
        <v>1.8</v>
      </c>
      <c r="G423" s="8">
        <f t="shared" si="6"/>
        <v>50</v>
      </c>
    </row>
    <row r="424" spans="1:7" x14ac:dyDescent="0.25">
      <c r="A424" s="87">
        <v>45804.364583333336</v>
      </c>
      <c r="B424">
        <v>17</v>
      </c>
      <c r="C424" t="s">
        <v>22</v>
      </c>
      <c r="D424" t="s">
        <v>23</v>
      </c>
      <c r="E424">
        <v>1.51</v>
      </c>
      <c r="F424">
        <v>3.3</v>
      </c>
      <c r="G424" s="8">
        <f t="shared" si="6"/>
        <v>27.454545454545453</v>
      </c>
    </row>
    <row r="425" spans="1:7" x14ac:dyDescent="0.25">
      <c r="A425" s="87">
        <v>45804.364583333336</v>
      </c>
      <c r="B425">
        <v>18</v>
      </c>
      <c r="C425" t="s">
        <v>23</v>
      </c>
      <c r="D425" t="s">
        <v>24</v>
      </c>
      <c r="E425">
        <v>1.51</v>
      </c>
      <c r="F425">
        <v>3.17</v>
      </c>
      <c r="G425" s="8">
        <f t="shared" si="6"/>
        <v>28.580441640378549</v>
      </c>
    </row>
    <row r="426" spans="1:7" x14ac:dyDescent="0.25">
      <c r="A426" s="87">
        <v>45804.364583333336</v>
      </c>
      <c r="B426">
        <v>19</v>
      </c>
      <c r="C426" t="s">
        <v>25</v>
      </c>
      <c r="D426" t="s">
        <v>26</v>
      </c>
      <c r="E426">
        <v>1.5</v>
      </c>
      <c r="F426">
        <v>4.0199999999999996</v>
      </c>
      <c r="G426" s="8">
        <f t="shared" si="6"/>
        <v>22.388059701492541</v>
      </c>
    </row>
    <row r="427" spans="1:7" x14ac:dyDescent="0.25">
      <c r="A427" s="87">
        <v>45804.364583333336</v>
      </c>
      <c r="B427">
        <v>20</v>
      </c>
      <c r="C427" t="s">
        <v>26</v>
      </c>
      <c r="D427" t="s">
        <v>27</v>
      </c>
      <c r="E427">
        <v>1.48</v>
      </c>
      <c r="F427">
        <v>3.87</v>
      </c>
      <c r="G427" s="8">
        <f t="shared" si="6"/>
        <v>22.945736434108525</v>
      </c>
    </row>
    <row r="428" spans="1:7" x14ac:dyDescent="0.25">
      <c r="A428" s="87">
        <v>45804.364583333336</v>
      </c>
      <c r="B428">
        <v>21</v>
      </c>
      <c r="C428" t="s">
        <v>27</v>
      </c>
      <c r="D428" t="s">
        <v>28</v>
      </c>
      <c r="E428">
        <v>1.51</v>
      </c>
      <c r="F428">
        <v>4.13</v>
      </c>
      <c r="G428" s="8">
        <f t="shared" si="6"/>
        <v>21.937046004842614</v>
      </c>
    </row>
    <row r="429" spans="1:7" x14ac:dyDescent="0.25">
      <c r="A429" s="87">
        <v>45804.364583333336</v>
      </c>
      <c r="B429">
        <v>22</v>
      </c>
      <c r="C429" t="s">
        <v>28</v>
      </c>
      <c r="D429" t="s">
        <v>29</v>
      </c>
      <c r="E429">
        <v>1.57</v>
      </c>
      <c r="F429">
        <v>5.28</v>
      </c>
      <c r="G429" s="8">
        <f t="shared" si="6"/>
        <v>17.84090909090909</v>
      </c>
    </row>
    <row r="430" spans="1:7" x14ac:dyDescent="0.25">
      <c r="A430" s="87">
        <v>45804.364583333336</v>
      </c>
      <c r="B430">
        <v>23</v>
      </c>
      <c r="C430" t="s">
        <v>29</v>
      </c>
      <c r="D430" t="s">
        <v>30</v>
      </c>
      <c r="E430">
        <v>1.43</v>
      </c>
      <c r="F430">
        <v>4.18</v>
      </c>
      <c r="G430" s="8">
        <f t="shared" si="6"/>
        <v>20.526315789473685</v>
      </c>
    </row>
    <row r="431" spans="1:7" x14ac:dyDescent="0.25">
      <c r="A431" s="87">
        <v>45804.364583333336</v>
      </c>
      <c r="B431">
        <v>24</v>
      </c>
      <c r="C431" t="s">
        <v>30</v>
      </c>
      <c r="D431" t="s">
        <v>31</v>
      </c>
      <c r="E431">
        <v>1.52</v>
      </c>
      <c r="F431">
        <v>4.4000000000000004</v>
      </c>
      <c r="G431" s="8">
        <f t="shared" si="6"/>
        <v>20.727272727272727</v>
      </c>
    </row>
    <row r="432" spans="1:7" x14ac:dyDescent="0.25">
      <c r="A432" s="87">
        <v>45804.364583333336</v>
      </c>
      <c r="B432">
        <v>25</v>
      </c>
      <c r="C432" t="s">
        <v>31</v>
      </c>
      <c r="D432" t="s">
        <v>32</v>
      </c>
      <c r="E432">
        <v>1.52</v>
      </c>
      <c r="F432">
        <v>3.8</v>
      </c>
      <c r="G432" s="8">
        <f t="shared" si="6"/>
        <v>24.000000000000004</v>
      </c>
    </row>
    <row r="433" spans="1:7" x14ac:dyDescent="0.25">
      <c r="A433" s="87">
        <v>45804.364583333336</v>
      </c>
      <c r="B433">
        <v>26</v>
      </c>
      <c r="C433" t="s">
        <v>32</v>
      </c>
      <c r="D433" t="s">
        <v>33</v>
      </c>
      <c r="E433">
        <v>1.49</v>
      </c>
      <c r="F433">
        <v>3.65</v>
      </c>
      <c r="G433" s="8">
        <f t="shared" si="6"/>
        <v>24.493150684931511</v>
      </c>
    </row>
    <row r="434" spans="1:7" x14ac:dyDescent="0.25">
      <c r="A434" s="87">
        <v>45804.364583333336</v>
      </c>
      <c r="B434">
        <v>27</v>
      </c>
      <c r="C434" t="s">
        <v>33</v>
      </c>
      <c r="D434" t="s">
        <v>34</v>
      </c>
      <c r="E434">
        <v>1.53</v>
      </c>
      <c r="F434">
        <v>3.92</v>
      </c>
      <c r="G434" s="8">
        <f t="shared" si="6"/>
        <v>23.418367346938776</v>
      </c>
    </row>
    <row r="435" spans="1:7" x14ac:dyDescent="0.25">
      <c r="A435" s="87">
        <v>45804.364583333336</v>
      </c>
      <c r="B435">
        <v>28</v>
      </c>
      <c r="C435" t="s">
        <v>34</v>
      </c>
      <c r="D435" t="s">
        <v>35</v>
      </c>
      <c r="E435">
        <v>1.51</v>
      </c>
      <c r="F435">
        <v>4.08</v>
      </c>
      <c r="G435" s="8">
        <f t="shared" si="6"/>
        <v>22.205882352941174</v>
      </c>
    </row>
    <row r="436" spans="1:7" x14ac:dyDescent="0.25">
      <c r="A436" s="87">
        <v>45804.364583333336</v>
      </c>
      <c r="B436">
        <v>29</v>
      </c>
      <c r="C436" t="s">
        <v>36</v>
      </c>
      <c r="D436" t="s">
        <v>37</v>
      </c>
      <c r="E436">
        <v>1.57</v>
      </c>
      <c r="F436">
        <v>6.12</v>
      </c>
      <c r="G436" s="8">
        <f t="shared" si="6"/>
        <v>15.392156862745098</v>
      </c>
    </row>
    <row r="437" spans="1:7" x14ac:dyDescent="0.25">
      <c r="A437" s="87">
        <v>45804.364583333336</v>
      </c>
      <c r="B437">
        <v>30</v>
      </c>
      <c r="C437" t="s">
        <v>37</v>
      </c>
      <c r="D437" t="s">
        <v>38</v>
      </c>
      <c r="E437">
        <v>1.57</v>
      </c>
      <c r="F437">
        <v>6.87</v>
      </c>
      <c r="G437" s="8">
        <f t="shared" si="6"/>
        <v>13.7117903930131</v>
      </c>
    </row>
    <row r="438" spans="1:7" x14ac:dyDescent="0.25">
      <c r="A438" s="87">
        <v>45804.364583333336</v>
      </c>
      <c r="B438">
        <v>31</v>
      </c>
      <c r="C438" t="s">
        <v>38</v>
      </c>
      <c r="D438" t="s">
        <v>39</v>
      </c>
      <c r="E438">
        <v>1.52</v>
      </c>
      <c r="F438">
        <v>3.48</v>
      </c>
      <c r="G438" s="8">
        <f t="shared" si="6"/>
        <v>26.206896551724139</v>
      </c>
    </row>
    <row r="439" spans="1:7" x14ac:dyDescent="0.25">
      <c r="A439" s="87">
        <v>45804.364583333336</v>
      </c>
      <c r="B439">
        <v>32</v>
      </c>
      <c r="C439" t="s">
        <v>39</v>
      </c>
      <c r="D439" t="s">
        <v>40</v>
      </c>
      <c r="E439">
        <v>1.5</v>
      </c>
      <c r="F439">
        <v>1.73</v>
      </c>
      <c r="G439" s="8">
        <f t="shared" si="6"/>
        <v>52.02312138728324</v>
      </c>
    </row>
    <row r="440" spans="1:7" x14ac:dyDescent="0.25">
      <c r="A440" s="87">
        <v>45804.364583333336</v>
      </c>
      <c r="B440">
        <v>33</v>
      </c>
      <c r="C440" t="s">
        <v>40</v>
      </c>
      <c r="D440" t="s">
        <v>41</v>
      </c>
      <c r="E440">
        <v>1.51</v>
      </c>
      <c r="F440">
        <v>1.8</v>
      </c>
      <c r="G440" s="8">
        <f t="shared" si="6"/>
        <v>50.333333333333329</v>
      </c>
    </row>
    <row r="441" spans="1:7" x14ac:dyDescent="0.25">
      <c r="A441" s="87">
        <v>45804.364583333336</v>
      </c>
      <c r="B441">
        <v>34</v>
      </c>
      <c r="C441" t="s">
        <v>41</v>
      </c>
      <c r="D441" t="s">
        <v>42</v>
      </c>
      <c r="E441">
        <v>1.5</v>
      </c>
      <c r="F441">
        <v>1.9</v>
      </c>
      <c r="G441" s="8">
        <f t="shared" si="6"/>
        <v>47.368421052631582</v>
      </c>
    </row>
    <row r="442" spans="1:7" x14ac:dyDescent="0.25">
      <c r="A442" s="87">
        <v>45804.364583333336</v>
      </c>
      <c r="B442">
        <v>35</v>
      </c>
      <c r="C442" t="s">
        <v>43</v>
      </c>
      <c r="D442" t="s">
        <v>44</v>
      </c>
      <c r="E442">
        <v>1.55</v>
      </c>
      <c r="F442">
        <v>4.5199999999999996</v>
      </c>
      <c r="G442" s="8">
        <f t="shared" si="6"/>
        <v>20.575221238938056</v>
      </c>
    </row>
    <row r="443" spans="1:7" x14ac:dyDescent="0.25">
      <c r="A443" s="87">
        <v>45804.364583333336</v>
      </c>
      <c r="B443">
        <v>36</v>
      </c>
      <c r="C443" t="s">
        <v>44</v>
      </c>
      <c r="D443" t="s">
        <v>45</v>
      </c>
      <c r="E443">
        <v>1.5</v>
      </c>
      <c r="F443">
        <v>3.08</v>
      </c>
      <c r="G443" s="8">
        <f t="shared" si="6"/>
        <v>29.220779220779221</v>
      </c>
    </row>
    <row r="444" spans="1:7" x14ac:dyDescent="0.25">
      <c r="A444" s="87">
        <v>45804.364583333336</v>
      </c>
      <c r="B444">
        <v>37</v>
      </c>
      <c r="C444" t="s">
        <v>45</v>
      </c>
      <c r="D444" t="s">
        <v>46</v>
      </c>
      <c r="E444">
        <v>1.38</v>
      </c>
      <c r="F444">
        <v>3.98</v>
      </c>
      <c r="G444" s="8">
        <f t="shared" si="6"/>
        <v>20.804020100502512</v>
      </c>
    </row>
    <row r="445" spans="1:7" x14ac:dyDescent="0.25">
      <c r="A445" s="87">
        <v>45804.364583333336</v>
      </c>
      <c r="B445">
        <v>38</v>
      </c>
      <c r="C445" t="s">
        <v>46</v>
      </c>
      <c r="D445" t="s">
        <v>47</v>
      </c>
      <c r="E445">
        <v>1.61</v>
      </c>
      <c r="F445">
        <v>3.87</v>
      </c>
      <c r="G445" s="8">
        <f t="shared" si="6"/>
        <v>24.961240310077521</v>
      </c>
    </row>
    <row r="446" spans="1:7" x14ac:dyDescent="0.25">
      <c r="A446" s="87">
        <v>45804.364583333336</v>
      </c>
      <c r="B446">
        <v>39</v>
      </c>
      <c r="C446" t="s">
        <v>47</v>
      </c>
      <c r="D446" t="s">
        <v>48</v>
      </c>
      <c r="E446">
        <v>1.55</v>
      </c>
      <c r="F446">
        <v>3.35</v>
      </c>
      <c r="G446" s="8">
        <f t="shared" si="6"/>
        <v>27.761194029850746</v>
      </c>
    </row>
    <row r="447" spans="1:7" x14ac:dyDescent="0.25">
      <c r="A447" s="87">
        <v>45804.364583333336</v>
      </c>
      <c r="B447">
        <v>40</v>
      </c>
      <c r="C447" t="s">
        <v>48</v>
      </c>
      <c r="D447" t="s">
        <v>49</v>
      </c>
      <c r="E447">
        <v>1.39</v>
      </c>
      <c r="F447">
        <v>2.78</v>
      </c>
      <c r="G447" s="8">
        <f t="shared" si="6"/>
        <v>30</v>
      </c>
    </row>
    <row r="448" spans="1:7" x14ac:dyDescent="0.25">
      <c r="A448" s="87">
        <v>45804.364583333336</v>
      </c>
      <c r="B448">
        <v>41</v>
      </c>
      <c r="C448" t="s">
        <v>50</v>
      </c>
      <c r="D448" t="s">
        <v>51</v>
      </c>
      <c r="E448">
        <v>1.56</v>
      </c>
      <c r="F448">
        <v>5.8</v>
      </c>
      <c r="G448" s="8">
        <f t="shared" si="6"/>
        <v>16.137931034482762</v>
      </c>
    </row>
    <row r="449" spans="1:7" x14ac:dyDescent="0.25">
      <c r="A449" s="87">
        <v>45804.364583333336</v>
      </c>
      <c r="B449">
        <v>42</v>
      </c>
      <c r="C449" t="s">
        <v>51</v>
      </c>
      <c r="D449" t="s">
        <v>52</v>
      </c>
      <c r="E449">
        <v>1.56</v>
      </c>
      <c r="F449">
        <v>5.32</v>
      </c>
      <c r="G449" s="8">
        <f t="shared" si="6"/>
        <v>17.593984962406015</v>
      </c>
    </row>
    <row r="450" spans="1:7" x14ac:dyDescent="0.25">
      <c r="A450" s="87">
        <v>45804.364583333336</v>
      </c>
      <c r="B450">
        <v>43</v>
      </c>
      <c r="C450" t="s">
        <v>52</v>
      </c>
      <c r="D450" t="s">
        <v>53</v>
      </c>
      <c r="E450">
        <v>1.51</v>
      </c>
      <c r="F450">
        <v>3.58</v>
      </c>
      <c r="G450" s="8">
        <f t="shared" si="6"/>
        <v>25.3072625698324</v>
      </c>
    </row>
    <row r="451" spans="1:7" x14ac:dyDescent="0.25">
      <c r="A451" s="87">
        <v>45804.364583333336</v>
      </c>
      <c r="B451">
        <v>44</v>
      </c>
      <c r="C451" t="s">
        <v>54</v>
      </c>
      <c r="D451" t="s">
        <v>55</v>
      </c>
      <c r="E451">
        <v>1.51</v>
      </c>
      <c r="F451">
        <v>5.35</v>
      </c>
      <c r="G451" s="8">
        <f t="shared" ref="G451:G514" si="7">E451*60/F451</f>
        <v>16.934579439252335</v>
      </c>
    </row>
    <row r="452" spans="1:7" x14ac:dyDescent="0.25">
      <c r="A452" s="87">
        <v>45804.364583333336</v>
      </c>
      <c r="B452">
        <v>45</v>
      </c>
      <c r="C452" t="s">
        <v>55</v>
      </c>
      <c r="D452" t="s">
        <v>56</v>
      </c>
      <c r="E452">
        <v>1.49</v>
      </c>
      <c r="F452">
        <v>3.82</v>
      </c>
      <c r="G452" s="8">
        <f t="shared" si="7"/>
        <v>23.403141361256548</v>
      </c>
    </row>
    <row r="453" spans="1:7" x14ac:dyDescent="0.25">
      <c r="A453" s="87">
        <v>45804.364583333336</v>
      </c>
      <c r="B453">
        <v>46</v>
      </c>
      <c r="C453" t="s">
        <v>56</v>
      </c>
      <c r="D453" t="s">
        <v>57</v>
      </c>
      <c r="E453">
        <v>1.52</v>
      </c>
      <c r="F453">
        <v>4.17</v>
      </c>
      <c r="G453" s="8">
        <f t="shared" si="7"/>
        <v>21.870503597122305</v>
      </c>
    </row>
    <row r="454" spans="1:7" x14ac:dyDescent="0.25">
      <c r="A454" s="87">
        <v>45804.364583333336</v>
      </c>
      <c r="B454">
        <v>47</v>
      </c>
      <c r="C454" t="s">
        <v>58</v>
      </c>
      <c r="D454" t="s">
        <v>59</v>
      </c>
      <c r="E454">
        <v>1.52</v>
      </c>
      <c r="F454">
        <v>5.05</v>
      </c>
      <c r="G454" s="8">
        <f t="shared" si="7"/>
        <v>18.059405940594061</v>
      </c>
    </row>
    <row r="455" spans="1:7" x14ac:dyDescent="0.25">
      <c r="A455" s="87">
        <v>45804.364583333336</v>
      </c>
      <c r="B455">
        <v>48</v>
      </c>
      <c r="C455" t="s">
        <v>59</v>
      </c>
      <c r="D455" t="s">
        <v>60</v>
      </c>
      <c r="E455">
        <v>1.5</v>
      </c>
      <c r="F455">
        <v>4.2</v>
      </c>
      <c r="G455" s="8">
        <f t="shared" si="7"/>
        <v>21.428571428571427</v>
      </c>
    </row>
    <row r="456" spans="1:7" x14ac:dyDescent="0.25">
      <c r="A456" s="87">
        <v>45804.364583333336</v>
      </c>
      <c r="B456">
        <v>49</v>
      </c>
      <c r="C456" t="s">
        <v>60</v>
      </c>
      <c r="D456" t="s">
        <v>61</v>
      </c>
      <c r="E456">
        <v>1.54</v>
      </c>
      <c r="F456">
        <v>4.95</v>
      </c>
      <c r="G456" s="8">
        <f t="shared" si="7"/>
        <v>18.666666666666668</v>
      </c>
    </row>
    <row r="457" spans="1:7" x14ac:dyDescent="0.25">
      <c r="A457" s="87">
        <v>45804.364583333336</v>
      </c>
      <c r="B457">
        <v>50</v>
      </c>
      <c r="C457" t="s">
        <v>62</v>
      </c>
      <c r="D457" t="s">
        <v>63</v>
      </c>
      <c r="E457">
        <v>1.38</v>
      </c>
      <c r="F457">
        <v>3.03</v>
      </c>
      <c r="G457" s="8">
        <f t="shared" si="7"/>
        <v>27.326732673267326</v>
      </c>
    </row>
    <row r="458" spans="1:7" x14ac:dyDescent="0.25">
      <c r="A458" s="87">
        <v>45804.364583333336</v>
      </c>
      <c r="B458">
        <v>51</v>
      </c>
      <c r="C458" t="s">
        <v>63</v>
      </c>
      <c r="D458" t="s">
        <v>64</v>
      </c>
      <c r="E458">
        <v>2.79</v>
      </c>
      <c r="F458">
        <v>6.17</v>
      </c>
      <c r="G458" s="8">
        <f t="shared" si="7"/>
        <v>27.131280388978933</v>
      </c>
    </row>
    <row r="459" spans="1:7" x14ac:dyDescent="0.25">
      <c r="A459" s="87">
        <v>45804.364583333336</v>
      </c>
      <c r="B459">
        <v>52</v>
      </c>
      <c r="C459" t="s">
        <v>64</v>
      </c>
      <c r="D459" t="s">
        <v>65</v>
      </c>
      <c r="E459">
        <v>1.5</v>
      </c>
      <c r="F459">
        <v>2.83</v>
      </c>
      <c r="G459" s="8">
        <f t="shared" si="7"/>
        <v>31.802120141342755</v>
      </c>
    </row>
    <row r="460" spans="1:7" x14ac:dyDescent="0.25">
      <c r="A460" s="87">
        <v>45804.364583333336</v>
      </c>
      <c r="B460">
        <v>53</v>
      </c>
      <c r="C460" t="s">
        <v>65</v>
      </c>
      <c r="D460" t="s">
        <v>66</v>
      </c>
      <c r="E460">
        <v>1.46</v>
      </c>
      <c r="F460">
        <v>3.97</v>
      </c>
      <c r="G460" s="8">
        <f t="shared" si="7"/>
        <v>22.065491183879089</v>
      </c>
    </row>
    <row r="461" spans="1:7" x14ac:dyDescent="0.25">
      <c r="A461" s="87">
        <v>45804.364583333336</v>
      </c>
      <c r="B461">
        <v>54</v>
      </c>
      <c r="C461" t="s">
        <v>67</v>
      </c>
      <c r="D461" t="s">
        <v>68</v>
      </c>
      <c r="E461">
        <v>1.46</v>
      </c>
      <c r="F461">
        <v>5.73</v>
      </c>
      <c r="G461" s="8">
        <f t="shared" si="7"/>
        <v>15.287958115183244</v>
      </c>
    </row>
    <row r="462" spans="1:7" x14ac:dyDescent="0.25">
      <c r="A462" s="87">
        <v>45804.364583333336</v>
      </c>
      <c r="B462">
        <v>55</v>
      </c>
      <c r="C462" t="s">
        <v>68</v>
      </c>
      <c r="D462" t="s">
        <v>69</v>
      </c>
      <c r="E462">
        <v>1.5</v>
      </c>
      <c r="F462">
        <v>2.23</v>
      </c>
      <c r="G462" s="8">
        <f t="shared" si="7"/>
        <v>40.358744394618832</v>
      </c>
    </row>
    <row r="463" spans="1:7" x14ac:dyDescent="0.25">
      <c r="A463" s="87">
        <v>45804.364583333336</v>
      </c>
      <c r="B463">
        <v>56</v>
      </c>
      <c r="C463" t="s">
        <v>70</v>
      </c>
      <c r="D463" t="s">
        <v>71</v>
      </c>
      <c r="E463">
        <v>1.51</v>
      </c>
      <c r="F463">
        <v>4.47</v>
      </c>
      <c r="G463" s="8">
        <f t="shared" si="7"/>
        <v>20.268456375838927</v>
      </c>
    </row>
    <row r="464" spans="1:7" x14ac:dyDescent="0.25">
      <c r="A464" s="87">
        <v>45804.364583333336</v>
      </c>
      <c r="B464">
        <v>57</v>
      </c>
      <c r="C464" t="s">
        <v>71</v>
      </c>
      <c r="D464" t="s">
        <v>72</v>
      </c>
      <c r="E464">
        <v>1.52</v>
      </c>
      <c r="F464">
        <v>4.2699999999999996</v>
      </c>
      <c r="G464" s="8">
        <f t="shared" si="7"/>
        <v>21.358313817330213</v>
      </c>
    </row>
    <row r="465" spans="1:7" x14ac:dyDescent="0.25">
      <c r="A465" s="87">
        <v>45804.364583333336</v>
      </c>
      <c r="B465">
        <v>58</v>
      </c>
      <c r="C465" t="s">
        <v>72</v>
      </c>
      <c r="D465" t="s">
        <v>73</v>
      </c>
      <c r="E465">
        <v>1.5</v>
      </c>
      <c r="F465">
        <v>3.77</v>
      </c>
      <c r="G465" s="8">
        <f t="shared" si="7"/>
        <v>23.872679045092838</v>
      </c>
    </row>
    <row r="466" spans="1:7" x14ac:dyDescent="0.25">
      <c r="A466" s="87">
        <v>45804.375</v>
      </c>
      <c r="B466">
        <v>1</v>
      </c>
      <c r="C466" t="s">
        <v>6</v>
      </c>
      <c r="D466" t="s">
        <v>7</v>
      </c>
      <c r="E466">
        <v>1.53</v>
      </c>
      <c r="F466">
        <v>3.05</v>
      </c>
      <c r="G466" s="8">
        <f t="shared" si="7"/>
        <v>30.098360655737707</v>
      </c>
    </row>
    <row r="467" spans="1:7" x14ac:dyDescent="0.25">
      <c r="A467" s="87">
        <v>45804.375</v>
      </c>
      <c r="B467">
        <v>2</v>
      </c>
      <c r="C467" t="s">
        <v>7</v>
      </c>
      <c r="D467" t="s">
        <v>8</v>
      </c>
      <c r="E467">
        <v>1.57</v>
      </c>
      <c r="F467">
        <v>4.72</v>
      </c>
      <c r="G467" s="8">
        <f t="shared" si="7"/>
        <v>19.957627118644069</v>
      </c>
    </row>
    <row r="468" spans="1:7" x14ac:dyDescent="0.25">
      <c r="A468" s="87">
        <v>45804.375</v>
      </c>
      <c r="B468">
        <v>3</v>
      </c>
      <c r="C468" t="s">
        <v>8</v>
      </c>
      <c r="D468" t="s">
        <v>9</v>
      </c>
      <c r="E468">
        <v>1.5</v>
      </c>
      <c r="F468">
        <v>3.05</v>
      </c>
      <c r="G468" s="8">
        <f t="shared" si="7"/>
        <v>29.508196721311478</v>
      </c>
    </row>
    <row r="469" spans="1:7" x14ac:dyDescent="0.25">
      <c r="A469" s="87">
        <v>45804.375</v>
      </c>
      <c r="B469">
        <v>4</v>
      </c>
      <c r="C469" t="s">
        <v>9</v>
      </c>
      <c r="D469" t="s">
        <v>10</v>
      </c>
      <c r="E469">
        <v>1.5</v>
      </c>
      <c r="F469">
        <v>2.85</v>
      </c>
      <c r="G469" s="8">
        <f t="shared" si="7"/>
        <v>31.578947368421051</v>
      </c>
    </row>
    <row r="470" spans="1:7" x14ac:dyDescent="0.25">
      <c r="A470" s="87">
        <v>45804.375</v>
      </c>
      <c r="B470">
        <v>5</v>
      </c>
      <c r="C470" t="s">
        <v>10</v>
      </c>
      <c r="D470" t="s">
        <v>11</v>
      </c>
      <c r="E470">
        <v>1.52</v>
      </c>
      <c r="F470">
        <v>3.28</v>
      </c>
      <c r="G470" s="8">
        <f t="shared" si="7"/>
        <v>27.804878048780491</v>
      </c>
    </row>
    <row r="471" spans="1:7" x14ac:dyDescent="0.25">
      <c r="A471" s="87">
        <v>45804.375</v>
      </c>
      <c r="B471">
        <v>6</v>
      </c>
      <c r="C471" t="s">
        <v>11</v>
      </c>
      <c r="D471" t="s">
        <v>12</v>
      </c>
      <c r="E471">
        <v>1.5</v>
      </c>
      <c r="F471">
        <v>2.6</v>
      </c>
      <c r="G471" s="8">
        <f t="shared" si="7"/>
        <v>34.615384615384613</v>
      </c>
    </row>
    <row r="472" spans="1:7" x14ac:dyDescent="0.25">
      <c r="A472" s="87">
        <v>45804.375</v>
      </c>
      <c r="B472">
        <v>7</v>
      </c>
      <c r="C472" t="s">
        <v>12</v>
      </c>
      <c r="D472" t="s">
        <v>13</v>
      </c>
      <c r="E472">
        <v>1.54</v>
      </c>
      <c r="F472">
        <v>2.5</v>
      </c>
      <c r="G472" s="8">
        <f t="shared" si="7"/>
        <v>36.96</v>
      </c>
    </row>
    <row r="473" spans="1:7" x14ac:dyDescent="0.25">
      <c r="A473" s="87">
        <v>45804.375</v>
      </c>
      <c r="B473">
        <v>8</v>
      </c>
      <c r="C473" t="s">
        <v>13</v>
      </c>
      <c r="D473" t="s">
        <v>14</v>
      </c>
      <c r="E473">
        <v>1.54</v>
      </c>
      <c r="F473">
        <v>3.17</v>
      </c>
      <c r="G473" s="8">
        <f t="shared" si="7"/>
        <v>29.148264984227133</v>
      </c>
    </row>
    <row r="474" spans="1:7" x14ac:dyDescent="0.25">
      <c r="A474" s="87">
        <v>45804.375</v>
      </c>
      <c r="B474">
        <v>9</v>
      </c>
      <c r="C474" t="s">
        <v>14</v>
      </c>
      <c r="D474" t="s">
        <v>15</v>
      </c>
      <c r="E474">
        <v>1.52</v>
      </c>
      <c r="F474">
        <v>5.33</v>
      </c>
      <c r="G474" s="8">
        <f t="shared" si="7"/>
        <v>17.110694183864915</v>
      </c>
    </row>
    <row r="475" spans="1:7" x14ac:dyDescent="0.25">
      <c r="A475" s="87">
        <v>45804.375</v>
      </c>
      <c r="B475">
        <v>10</v>
      </c>
      <c r="C475" t="s">
        <v>15</v>
      </c>
      <c r="D475" t="s">
        <v>16</v>
      </c>
      <c r="E475">
        <v>1.5</v>
      </c>
      <c r="F475">
        <v>4.58</v>
      </c>
      <c r="G475" s="8">
        <f t="shared" si="7"/>
        <v>19.650655021834062</v>
      </c>
    </row>
    <row r="476" spans="1:7" x14ac:dyDescent="0.25">
      <c r="A476" s="87">
        <v>45804.375</v>
      </c>
      <c r="B476">
        <v>11</v>
      </c>
      <c r="C476" t="s">
        <v>16</v>
      </c>
      <c r="D476" t="s">
        <v>17</v>
      </c>
      <c r="E476">
        <v>1.48</v>
      </c>
      <c r="F476">
        <v>3.37</v>
      </c>
      <c r="G476" s="8">
        <f t="shared" si="7"/>
        <v>26.350148367952521</v>
      </c>
    </row>
    <row r="477" spans="1:7" x14ac:dyDescent="0.25">
      <c r="A477" s="87">
        <v>45804.375</v>
      </c>
      <c r="B477">
        <v>12</v>
      </c>
      <c r="C477" t="s">
        <v>17</v>
      </c>
      <c r="D477" t="s">
        <v>18</v>
      </c>
      <c r="E477">
        <v>1.46</v>
      </c>
      <c r="F477">
        <v>5.22</v>
      </c>
      <c r="G477" s="8">
        <f t="shared" si="7"/>
        <v>16.7816091954023</v>
      </c>
    </row>
    <row r="478" spans="1:7" x14ac:dyDescent="0.25">
      <c r="A478" s="87">
        <v>45804.375</v>
      </c>
      <c r="B478">
        <v>13</v>
      </c>
      <c r="C478" t="s">
        <v>18</v>
      </c>
      <c r="D478" t="s">
        <v>19</v>
      </c>
      <c r="E478">
        <v>1.52</v>
      </c>
      <c r="F478">
        <v>4.8</v>
      </c>
      <c r="G478" s="8">
        <f t="shared" si="7"/>
        <v>19</v>
      </c>
    </row>
    <row r="479" spans="1:7" x14ac:dyDescent="0.25">
      <c r="A479" s="87">
        <v>45804.375</v>
      </c>
      <c r="B479">
        <v>14</v>
      </c>
      <c r="C479" t="s">
        <v>19</v>
      </c>
      <c r="D479" t="s">
        <v>20</v>
      </c>
      <c r="E479">
        <v>1.51</v>
      </c>
      <c r="F479">
        <v>3.47</v>
      </c>
      <c r="G479" s="8">
        <f t="shared" si="7"/>
        <v>26.109510086455327</v>
      </c>
    </row>
    <row r="480" spans="1:7" x14ac:dyDescent="0.25">
      <c r="A480" s="87">
        <v>45804.375</v>
      </c>
      <c r="B480">
        <v>15</v>
      </c>
      <c r="C480" t="s">
        <v>20</v>
      </c>
      <c r="D480" t="s">
        <v>21</v>
      </c>
      <c r="E480">
        <v>1.47</v>
      </c>
      <c r="F480">
        <v>3.92</v>
      </c>
      <c r="G480" s="8">
        <f t="shared" si="7"/>
        <v>22.5</v>
      </c>
    </row>
    <row r="481" spans="1:7" x14ac:dyDescent="0.25">
      <c r="A481" s="87">
        <v>45804.375</v>
      </c>
      <c r="B481">
        <v>16</v>
      </c>
      <c r="C481" t="s">
        <v>21</v>
      </c>
      <c r="D481" t="s">
        <v>22</v>
      </c>
      <c r="E481">
        <v>1.5</v>
      </c>
      <c r="F481">
        <v>1.97</v>
      </c>
      <c r="G481" s="8">
        <f t="shared" si="7"/>
        <v>45.685279187817258</v>
      </c>
    </row>
    <row r="482" spans="1:7" x14ac:dyDescent="0.25">
      <c r="A482" s="87">
        <v>45804.375</v>
      </c>
      <c r="B482">
        <v>17</v>
      </c>
      <c r="C482" t="s">
        <v>22</v>
      </c>
      <c r="D482" t="s">
        <v>23</v>
      </c>
      <c r="E482">
        <v>1.51</v>
      </c>
      <c r="F482">
        <v>3.4</v>
      </c>
      <c r="G482" s="8">
        <f t="shared" si="7"/>
        <v>26.647058823529409</v>
      </c>
    </row>
    <row r="483" spans="1:7" x14ac:dyDescent="0.25">
      <c r="A483" s="87">
        <v>45804.375</v>
      </c>
      <c r="B483">
        <v>18</v>
      </c>
      <c r="C483" t="s">
        <v>23</v>
      </c>
      <c r="D483" t="s">
        <v>24</v>
      </c>
      <c r="E483">
        <v>1.51</v>
      </c>
      <c r="F483">
        <v>3.37</v>
      </c>
      <c r="G483" s="8">
        <f t="shared" si="7"/>
        <v>26.884272997032639</v>
      </c>
    </row>
    <row r="484" spans="1:7" x14ac:dyDescent="0.25">
      <c r="A484" s="87">
        <v>45804.375</v>
      </c>
      <c r="B484">
        <v>19</v>
      </c>
      <c r="C484" t="s">
        <v>25</v>
      </c>
      <c r="D484" t="s">
        <v>26</v>
      </c>
      <c r="E484">
        <v>1.5</v>
      </c>
      <c r="F484">
        <v>3.95</v>
      </c>
      <c r="G484" s="8">
        <f t="shared" si="7"/>
        <v>22.784810126582279</v>
      </c>
    </row>
    <row r="485" spans="1:7" x14ac:dyDescent="0.25">
      <c r="A485" s="87">
        <v>45804.375</v>
      </c>
      <c r="B485">
        <v>20</v>
      </c>
      <c r="C485" t="s">
        <v>26</v>
      </c>
      <c r="D485" t="s">
        <v>27</v>
      </c>
      <c r="E485">
        <v>1.48</v>
      </c>
      <c r="F485">
        <v>4.0199999999999996</v>
      </c>
      <c r="G485" s="8">
        <f t="shared" si="7"/>
        <v>22.089552238805972</v>
      </c>
    </row>
    <row r="486" spans="1:7" x14ac:dyDescent="0.25">
      <c r="A486" s="87">
        <v>45804.375</v>
      </c>
      <c r="B486">
        <v>21</v>
      </c>
      <c r="C486" t="s">
        <v>27</v>
      </c>
      <c r="D486" t="s">
        <v>28</v>
      </c>
      <c r="E486">
        <v>1.51</v>
      </c>
      <c r="F486">
        <v>3.42</v>
      </c>
      <c r="G486" s="8">
        <f t="shared" si="7"/>
        <v>26.491228070175438</v>
      </c>
    </row>
    <row r="487" spans="1:7" x14ac:dyDescent="0.25">
      <c r="A487" s="87">
        <v>45804.375</v>
      </c>
      <c r="B487">
        <v>22</v>
      </c>
      <c r="C487" t="s">
        <v>28</v>
      </c>
      <c r="D487" t="s">
        <v>29</v>
      </c>
      <c r="E487">
        <v>1.57</v>
      </c>
      <c r="F487">
        <v>4.25</v>
      </c>
      <c r="G487" s="8">
        <f t="shared" si="7"/>
        <v>22.164705882352941</v>
      </c>
    </row>
    <row r="488" spans="1:7" x14ac:dyDescent="0.25">
      <c r="A488" s="87">
        <v>45804.375</v>
      </c>
      <c r="B488">
        <v>23</v>
      </c>
      <c r="C488" t="s">
        <v>29</v>
      </c>
      <c r="D488" t="s">
        <v>30</v>
      </c>
      <c r="E488">
        <v>1.43</v>
      </c>
      <c r="F488">
        <v>4.42</v>
      </c>
      <c r="G488" s="8">
        <f t="shared" si="7"/>
        <v>19.411764705882351</v>
      </c>
    </row>
    <row r="489" spans="1:7" x14ac:dyDescent="0.25">
      <c r="A489" s="87">
        <v>45804.375</v>
      </c>
      <c r="B489">
        <v>24</v>
      </c>
      <c r="C489" t="s">
        <v>30</v>
      </c>
      <c r="D489" t="s">
        <v>31</v>
      </c>
      <c r="E489">
        <v>1.52</v>
      </c>
      <c r="F489">
        <v>3.85</v>
      </c>
      <c r="G489" s="8">
        <f t="shared" si="7"/>
        <v>23.688311688311689</v>
      </c>
    </row>
    <row r="490" spans="1:7" x14ac:dyDescent="0.25">
      <c r="A490" s="87">
        <v>45804.375</v>
      </c>
      <c r="B490">
        <v>25</v>
      </c>
      <c r="C490" t="s">
        <v>31</v>
      </c>
      <c r="D490" t="s">
        <v>32</v>
      </c>
      <c r="E490">
        <v>1.52</v>
      </c>
      <c r="F490">
        <v>3.55</v>
      </c>
      <c r="G490" s="8">
        <f t="shared" si="7"/>
        <v>25.690140845070424</v>
      </c>
    </row>
    <row r="491" spans="1:7" x14ac:dyDescent="0.25">
      <c r="A491" s="87">
        <v>45804.375</v>
      </c>
      <c r="B491">
        <v>26</v>
      </c>
      <c r="C491" t="s">
        <v>32</v>
      </c>
      <c r="D491" t="s">
        <v>33</v>
      </c>
      <c r="E491">
        <v>1.49</v>
      </c>
      <c r="F491">
        <v>4.2</v>
      </c>
      <c r="G491" s="8">
        <f t="shared" si="7"/>
        <v>21.285714285714285</v>
      </c>
    </row>
    <row r="492" spans="1:7" x14ac:dyDescent="0.25">
      <c r="A492" s="87">
        <v>45804.375</v>
      </c>
      <c r="B492">
        <v>27</v>
      </c>
      <c r="C492" t="s">
        <v>33</v>
      </c>
      <c r="D492" t="s">
        <v>34</v>
      </c>
      <c r="E492">
        <v>1.53</v>
      </c>
      <c r="F492">
        <v>4.28</v>
      </c>
      <c r="G492" s="8">
        <f t="shared" si="7"/>
        <v>21.44859813084112</v>
      </c>
    </row>
    <row r="493" spans="1:7" x14ac:dyDescent="0.25">
      <c r="A493" s="87">
        <v>45804.375</v>
      </c>
      <c r="B493">
        <v>28</v>
      </c>
      <c r="C493" t="s">
        <v>34</v>
      </c>
      <c r="D493" t="s">
        <v>35</v>
      </c>
      <c r="E493">
        <v>1.51</v>
      </c>
      <c r="F493">
        <v>4.1500000000000004</v>
      </c>
      <c r="G493" s="8">
        <f t="shared" si="7"/>
        <v>21.831325301204817</v>
      </c>
    </row>
    <row r="494" spans="1:7" x14ac:dyDescent="0.25">
      <c r="A494" s="87">
        <v>45804.375</v>
      </c>
      <c r="B494">
        <v>29</v>
      </c>
      <c r="C494" t="s">
        <v>36</v>
      </c>
      <c r="D494" t="s">
        <v>37</v>
      </c>
      <c r="E494">
        <v>1.57</v>
      </c>
      <c r="F494">
        <v>5.78</v>
      </c>
      <c r="G494" s="8">
        <f t="shared" si="7"/>
        <v>16.297577854671282</v>
      </c>
    </row>
    <row r="495" spans="1:7" x14ac:dyDescent="0.25">
      <c r="A495" s="87">
        <v>45804.375</v>
      </c>
      <c r="B495">
        <v>30</v>
      </c>
      <c r="C495" t="s">
        <v>37</v>
      </c>
      <c r="D495" t="s">
        <v>38</v>
      </c>
      <c r="E495">
        <v>1.57</v>
      </c>
      <c r="F495">
        <v>6.62</v>
      </c>
      <c r="G495" s="8">
        <f t="shared" si="7"/>
        <v>14.229607250755286</v>
      </c>
    </row>
    <row r="496" spans="1:7" x14ac:dyDescent="0.25">
      <c r="A496" s="87">
        <v>45804.375</v>
      </c>
      <c r="B496">
        <v>31</v>
      </c>
      <c r="C496" t="s">
        <v>38</v>
      </c>
      <c r="D496" t="s">
        <v>39</v>
      </c>
      <c r="E496">
        <v>1.52</v>
      </c>
      <c r="F496">
        <v>2.72</v>
      </c>
      <c r="G496" s="8">
        <f t="shared" si="7"/>
        <v>33.529411764705884</v>
      </c>
    </row>
    <row r="497" spans="1:7" x14ac:dyDescent="0.25">
      <c r="A497" s="87">
        <v>45804.375</v>
      </c>
      <c r="B497">
        <v>32</v>
      </c>
      <c r="C497" t="s">
        <v>39</v>
      </c>
      <c r="D497" t="s">
        <v>40</v>
      </c>
      <c r="E497">
        <v>1.5</v>
      </c>
      <c r="F497">
        <v>1.8</v>
      </c>
      <c r="G497" s="8">
        <f t="shared" si="7"/>
        <v>50</v>
      </c>
    </row>
    <row r="498" spans="1:7" x14ac:dyDescent="0.25">
      <c r="A498" s="87">
        <v>45804.375</v>
      </c>
      <c r="B498">
        <v>33</v>
      </c>
      <c r="C498" t="s">
        <v>40</v>
      </c>
      <c r="D498" t="s">
        <v>41</v>
      </c>
      <c r="E498">
        <v>1.51</v>
      </c>
      <c r="F498">
        <v>1.83</v>
      </c>
      <c r="G498" s="8">
        <f t="shared" si="7"/>
        <v>49.508196721311471</v>
      </c>
    </row>
    <row r="499" spans="1:7" x14ac:dyDescent="0.25">
      <c r="A499" s="87">
        <v>45804.375</v>
      </c>
      <c r="B499">
        <v>34</v>
      </c>
      <c r="C499" t="s">
        <v>41</v>
      </c>
      <c r="D499" t="s">
        <v>42</v>
      </c>
      <c r="E499">
        <v>1.5</v>
      </c>
      <c r="F499">
        <v>1.98</v>
      </c>
      <c r="G499" s="8">
        <f t="shared" si="7"/>
        <v>45.454545454545453</v>
      </c>
    </row>
    <row r="500" spans="1:7" x14ac:dyDescent="0.25">
      <c r="A500" s="87">
        <v>45804.375</v>
      </c>
      <c r="B500">
        <v>35</v>
      </c>
      <c r="C500" t="s">
        <v>43</v>
      </c>
      <c r="D500" t="s">
        <v>44</v>
      </c>
      <c r="E500">
        <v>1.55</v>
      </c>
      <c r="F500">
        <v>3.98</v>
      </c>
      <c r="G500" s="8">
        <f t="shared" si="7"/>
        <v>23.366834170854272</v>
      </c>
    </row>
    <row r="501" spans="1:7" x14ac:dyDescent="0.25">
      <c r="A501" s="87">
        <v>45804.375</v>
      </c>
      <c r="B501">
        <v>36</v>
      </c>
      <c r="C501" t="s">
        <v>44</v>
      </c>
      <c r="D501" t="s">
        <v>45</v>
      </c>
      <c r="E501">
        <v>1.5</v>
      </c>
      <c r="F501">
        <v>3.05</v>
      </c>
      <c r="G501" s="8">
        <f t="shared" si="7"/>
        <v>29.508196721311478</v>
      </c>
    </row>
    <row r="502" spans="1:7" x14ac:dyDescent="0.25">
      <c r="A502" s="87">
        <v>45804.375</v>
      </c>
      <c r="B502">
        <v>37</v>
      </c>
      <c r="C502" t="s">
        <v>45</v>
      </c>
      <c r="D502" t="s">
        <v>46</v>
      </c>
      <c r="E502">
        <v>1.38</v>
      </c>
      <c r="F502">
        <v>4.2300000000000004</v>
      </c>
      <c r="G502" s="8">
        <f t="shared" si="7"/>
        <v>19.574468085106382</v>
      </c>
    </row>
    <row r="503" spans="1:7" x14ac:dyDescent="0.25">
      <c r="A503" s="87">
        <v>45804.375</v>
      </c>
      <c r="B503">
        <v>38</v>
      </c>
      <c r="C503" t="s">
        <v>46</v>
      </c>
      <c r="D503" t="s">
        <v>47</v>
      </c>
      <c r="E503">
        <v>1.61</v>
      </c>
      <c r="F503">
        <v>3.77</v>
      </c>
      <c r="G503" s="8">
        <f t="shared" si="7"/>
        <v>25.623342175066316</v>
      </c>
    </row>
    <row r="504" spans="1:7" x14ac:dyDescent="0.25">
      <c r="A504" s="87">
        <v>45804.375</v>
      </c>
      <c r="B504">
        <v>39</v>
      </c>
      <c r="C504" t="s">
        <v>47</v>
      </c>
      <c r="D504" t="s">
        <v>48</v>
      </c>
      <c r="E504">
        <v>1.55</v>
      </c>
      <c r="F504">
        <v>3.5</v>
      </c>
      <c r="G504" s="8">
        <f t="shared" si="7"/>
        <v>26.571428571428573</v>
      </c>
    </row>
    <row r="505" spans="1:7" x14ac:dyDescent="0.25">
      <c r="A505" s="87">
        <v>45804.375</v>
      </c>
      <c r="B505">
        <v>40</v>
      </c>
      <c r="C505" t="s">
        <v>48</v>
      </c>
      <c r="D505" t="s">
        <v>49</v>
      </c>
      <c r="E505">
        <v>1.39</v>
      </c>
      <c r="F505">
        <v>2.92</v>
      </c>
      <c r="G505" s="8">
        <f t="shared" si="7"/>
        <v>28.561643835616437</v>
      </c>
    </row>
    <row r="506" spans="1:7" x14ac:dyDescent="0.25">
      <c r="A506" s="87">
        <v>45804.375</v>
      </c>
      <c r="B506">
        <v>41</v>
      </c>
      <c r="C506" t="s">
        <v>50</v>
      </c>
      <c r="D506" t="s">
        <v>51</v>
      </c>
      <c r="E506">
        <v>1.56</v>
      </c>
      <c r="F506">
        <v>4.88</v>
      </c>
      <c r="G506" s="8">
        <f t="shared" si="7"/>
        <v>19.180327868852462</v>
      </c>
    </row>
    <row r="507" spans="1:7" x14ac:dyDescent="0.25">
      <c r="A507" s="87">
        <v>45804.375</v>
      </c>
      <c r="B507">
        <v>42</v>
      </c>
      <c r="C507" t="s">
        <v>51</v>
      </c>
      <c r="D507" t="s">
        <v>52</v>
      </c>
      <c r="E507">
        <v>1.56</v>
      </c>
      <c r="F507">
        <v>4.3</v>
      </c>
      <c r="G507" s="8">
        <f t="shared" si="7"/>
        <v>21.767441860465119</v>
      </c>
    </row>
    <row r="508" spans="1:7" x14ac:dyDescent="0.25">
      <c r="A508" s="87">
        <v>45804.375</v>
      </c>
      <c r="B508">
        <v>43</v>
      </c>
      <c r="C508" t="s">
        <v>52</v>
      </c>
      <c r="D508" t="s">
        <v>53</v>
      </c>
      <c r="E508">
        <v>1.51</v>
      </c>
      <c r="F508">
        <v>3.6</v>
      </c>
      <c r="G508" s="8">
        <f t="shared" si="7"/>
        <v>25.166666666666664</v>
      </c>
    </row>
    <row r="509" spans="1:7" x14ac:dyDescent="0.25">
      <c r="A509" s="87">
        <v>45804.375</v>
      </c>
      <c r="B509">
        <v>44</v>
      </c>
      <c r="C509" t="s">
        <v>54</v>
      </c>
      <c r="D509" t="s">
        <v>55</v>
      </c>
      <c r="E509">
        <v>1.51</v>
      </c>
      <c r="F509">
        <v>4.6500000000000004</v>
      </c>
      <c r="G509" s="8">
        <f t="shared" si="7"/>
        <v>19.483870967741932</v>
      </c>
    </row>
    <row r="510" spans="1:7" x14ac:dyDescent="0.25">
      <c r="A510" s="87">
        <v>45804.375</v>
      </c>
      <c r="B510">
        <v>45</v>
      </c>
      <c r="C510" t="s">
        <v>55</v>
      </c>
      <c r="D510" t="s">
        <v>56</v>
      </c>
      <c r="E510">
        <v>1.49</v>
      </c>
      <c r="F510">
        <v>3.83</v>
      </c>
      <c r="G510" s="8">
        <f t="shared" si="7"/>
        <v>23.342036553524807</v>
      </c>
    </row>
    <row r="511" spans="1:7" x14ac:dyDescent="0.25">
      <c r="A511" s="87">
        <v>45804.375</v>
      </c>
      <c r="B511">
        <v>46</v>
      </c>
      <c r="C511" t="s">
        <v>56</v>
      </c>
      <c r="D511" t="s">
        <v>57</v>
      </c>
      <c r="E511">
        <v>1.52</v>
      </c>
      <c r="F511">
        <v>4.25</v>
      </c>
      <c r="G511" s="8">
        <f t="shared" si="7"/>
        <v>21.458823529411767</v>
      </c>
    </row>
    <row r="512" spans="1:7" x14ac:dyDescent="0.25">
      <c r="A512" s="87">
        <v>45804.375</v>
      </c>
      <c r="B512">
        <v>47</v>
      </c>
      <c r="C512" t="s">
        <v>58</v>
      </c>
      <c r="D512" t="s">
        <v>59</v>
      </c>
      <c r="E512">
        <v>1.52</v>
      </c>
      <c r="F512">
        <v>5.18</v>
      </c>
      <c r="G512" s="8">
        <f t="shared" si="7"/>
        <v>17.606177606177607</v>
      </c>
    </row>
    <row r="513" spans="1:7" x14ac:dyDescent="0.25">
      <c r="A513" s="87">
        <v>45804.375</v>
      </c>
      <c r="B513">
        <v>48</v>
      </c>
      <c r="C513" t="s">
        <v>59</v>
      </c>
      <c r="D513" t="s">
        <v>60</v>
      </c>
      <c r="E513">
        <v>1.5</v>
      </c>
      <c r="F513">
        <v>4.03</v>
      </c>
      <c r="G513" s="8">
        <f t="shared" si="7"/>
        <v>22.332506203473944</v>
      </c>
    </row>
    <row r="514" spans="1:7" x14ac:dyDescent="0.25">
      <c r="A514" s="87">
        <v>45804.375</v>
      </c>
      <c r="B514">
        <v>49</v>
      </c>
      <c r="C514" t="s">
        <v>60</v>
      </c>
      <c r="D514" t="s">
        <v>61</v>
      </c>
      <c r="E514">
        <v>1.57</v>
      </c>
      <c r="F514">
        <v>4.18</v>
      </c>
      <c r="G514" s="8">
        <f t="shared" si="7"/>
        <v>22.535885167464116</v>
      </c>
    </row>
    <row r="515" spans="1:7" x14ac:dyDescent="0.25">
      <c r="A515" s="87">
        <v>45804.375</v>
      </c>
      <c r="B515">
        <v>50</v>
      </c>
      <c r="C515" t="s">
        <v>62</v>
      </c>
      <c r="D515" t="s">
        <v>63</v>
      </c>
      <c r="E515">
        <v>1.38</v>
      </c>
      <c r="F515">
        <v>3.07</v>
      </c>
      <c r="G515" s="8">
        <f t="shared" ref="G515:G578" si="8">E515*60/F515</f>
        <v>26.970684039087949</v>
      </c>
    </row>
    <row r="516" spans="1:7" x14ac:dyDescent="0.25">
      <c r="A516" s="87">
        <v>45804.375</v>
      </c>
      <c r="B516">
        <v>51</v>
      </c>
      <c r="C516" t="s">
        <v>63</v>
      </c>
      <c r="D516" t="s">
        <v>64</v>
      </c>
      <c r="E516">
        <v>2.79</v>
      </c>
      <c r="F516">
        <v>5.58</v>
      </c>
      <c r="G516" s="8">
        <f t="shared" si="8"/>
        <v>30</v>
      </c>
    </row>
    <row r="517" spans="1:7" x14ac:dyDescent="0.25">
      <c r="A517" s="87">
        <v>45804.375</v>
      </c>
      <c r="B517">
        <v>52</v>
      </c>
      <c r="C517" t="s">
        <v>64</v>
      </c>
      <c r="D517" t="s">
        <v>65</v>
      </c>
      <c r="E517">
        <v>1.5</v>
      </c>
      <c r="F517">
        <v>2.88</v>
      </c>
      <c r="G517" s="8">
        <f t="shared" si="8"/>
        <v>31.25</v>
      </c>
    </row>
    <row r="518" spans="1:7" x14ac:dyDescent="0.25">
      <c r="A518" s="87">
        <v>45804.375</v>
      </c>
      <c r="B518">
        <v>53</v>
      </c>
      <c r="C518" t="s">
        <v>65</v>
      </c>
      <c r="D518" t="s">
        <v>66</v>
      </c>
      <c r="E518">
        <v>1.46</v>
      </c>
      <c r="F518">
        <v>3.85</v>
      </c>
      <c r="G518" s="8">
        <f t="shared" si="8"/>
        <v>22.753246753246753</v>
      </c>
    </row>
    <row r="519" spans="1:7" x14ac:dyDescent="0.25">
      <c r="A519" s="87">
        <v>45804.375</v>
      </c>
      <c r="B519">
        <v>54</v>
      </c>
      <c r="C519" t="s">
        <v>67</v>
      </c>
      <c r="D519" t="s">
        <v>68</v>
      </c>
      <c r="E519">
        <v>1.46</v>
      </c>
      <c r="F519">
        <v>5.53</v>
      </c>
      <c r="G519" s="8">
        <f t="shared" si="8"/>
        <v>15.840867992766725</v>
      </c>
    </row>
    <row r="520" spans="1:7" x14ac:dyDescent="0.25">
      <c r="A520" s="87">
        <v>45804.375</v>
      </c>
      <c r="B520">
        <v>55</v>
      </c>
      <c r="C520" t="s">
        <v>68</v>
      </c>
      <c r="D520" t="s">
        <v>69</v>
      </c>
      <c r="E520">
        <v>1.5</v>
      </c>
      <c r="F520">
        <v>2.25</v>
      </c>
      <c r="G520" s="8">
        <f t="shared" si="8"/>
        <v>40</v>
      </c>
    </row>
    <row r="521" spans="1:7" x14ac:dyDescent="0.25">
      <c r="A521" s="87">
        <v>45804.375</v>
      </c>
      <c r="B521">
        <v>56</v>
      </c>
      <c r="C521" t="s">
        <v>70</v>
      </c>
      <c r="D521" t="s">
        <v>71</v>
      </c>
      <c r="E521">
        <v>1.51</v>
      </c>
      <c r="F521">
        <v>4.68</v>
      </c>
      <c r="G521" s="8">
        <f t="shared" si="8"/>
        <v>19.358974358974358</v>
      </c>
    </row>
    <row r="522" spans="1:7" x14ac:dyDescent="0.25">
      <c r="A522" s="87">
        <v>45804.375</v>
      </c>
      <c r="B522">
        <v>57</v>
      </c>
      <c r="C522" t="s">
        <v>71</v>
      </c>
      <c r="D522" t="s">
        <v>72</v>
      </c>
      <c r="E522">
        <v>1.52</v>
      </c>
      <c r="F522">
        <v>4.17</v>
      </c>
      <c r="G522" s="8">
        <f t="shared" si="8"/>
        <v>21.870503597122305</v>
      </c>
    </row>
    <row r="523" spans="1:7" x14ac:dyDescent="0.25">
      <c r="A523" s="87">
        <v>45804.375</v>
      </c>
      <c r="B523">
        <v>58</v>
      </c>
      <c r="C523" t="s">
        <v>72</v>
      </c>
      <c r="D523" t="s">
        <v>73</v>
      </c>
      <c r="E523">
        <v>1.5</v>
      </c>
      <c r="F523">
        <v>3.7</v>
      </c>
      <c r="G523" s="8">
        <f t="shared" si="8"/>
        <v>24.324324324324323</v>
      </c>
    </row>
    <row r="524" spans="1:7" x14ac:dyDescent="0.25">
      <c r="A524" s="87">
        <v>45804.385416666664</v>
      </c>
      <c r="B524">
        <v>1</v>
      </c>
      <c r="C524" t="s">
        <v>6</v>
      </c>
      <c r="D524" t="s">
        <v>7</v>
      </c>
      <c r="E524">
        <v>1.53</v>
      </c>
      <c r="F524">
        <v>3.15</v>
      </c>
      <c r="G524" s="8">
        <f t="shared" si="8"/>
        <v>29.142857142857142</v>
      </c>
    </row>
    <row r="525" spans="1:7" x14ac:dyDescent="0.25">
      <c r="A525" s="87">
        <v>45804.385416666664</v>
      </c>
      <c r="B525">
        <v>2</v>
      </c>
      <c r="C525" t="s">
        <v>7</v>
      </c>
      <c r="D525" t="s">
        <v>8</v>
      </c>
      <c r="E525">
        <v>1.57</v>
      </c>
      <c r="F525">
        <v>4.82</v>
      </c>
      <c r="G525" s="8">
        <f t="shared" si="8"/>
        <v>19.543568464730289</v>
      </c>
    </row>
    <row r="526" spans="1:7" x14ac:dyDescent="0.25">
      <c r="A526" s="87">
        <v>45804.385416666664</v>
      </c>
      <c r="B526">
        <v>3</v>
      </c>
      <c r="C526" t="s">
        <v>8</v>
      </c>
      <c r="D526" t="s">
        <v>9</v>
      </c>
      <c r="E526">
        <v>1.5</v>
      </c>
      <c r="F526">
        <v>3.3</v>
      </c>
      <c r="G526" s="8">
        <f t="shared" si="8"/>
        <v>27.272727272727273</v>
      </c>
    </row>
    <row r="527" spans="1:7" x14ac:dyDescent="0.25">
      <c r="A527" s="87">
        <v>45804.385416666664</v>
      </c>
      <c r="B527">
        <v>4</v>
      </c>
      <c r="C527" t="s">
        <v>9</v>
      </c>
      <c r="D527" t="s">
        <v>10</v>
      </c>
      <c r="E527">
        <v>1.5</v>
      </c>
      <c r="F527">
        <v>2.78</v>
      </c>
      <c r="G527" s="8">
        <f t="shared" si="8"/>
        <v>32.374100719424462</v>
      </c>
    </row>
    <row r="528" spans="1:7" x14ac:dyDescent="0.25">
      <c r="A528" s="87">
        <v>45804.385416666664</v>
      </c>
      <c r="B528">
        <v>5</v>
      </c>
      <c r="C528" t="s">
        <v>10</v>
      </c>
      <c r="D528" t="s">
        <v>11</v>
      </c>
      <c r="E528">
        <v>1.52</v>
      </c>
      <c r="F528">
        <v>3.3</v>
      </c>
      <c r="G528" s="8">
        <f t="shared" si="8"/>
        <v>27.63636363636364</v>
      </c>
    </row>
    <row r="529" spans="1:7" x14ac:dyDescent="0.25">
      <c r="A529" s="87">
        <v>45804.385416666664</v>
      </c>
      <c r="B529">
        <v>6</v>
      </c>
      <c r="C529" t="s">
        <v>11</v>
      </c>
      <c r="D529" t="s">
        <v>12</v>
      </c>
      <c r="E529">
        <v>1.5</v>
      </c>
      <c r="F529">
        <v>2.7</v>
      </c>
      <c r="G529" s="8">
        <f t="shared" si="8"/>
        <v>33.333333333333329</v>
      </c>
    </row>
    <row r="530" spans="1:7" x14ac:dyDescent="0.25">
      <c r="A530" s="87">
        <v>45804.385416666664</v>
      </c>
      <c r="B530">
        <v>7</v>
      </c>
      <c r="C530" t="s">
        <v>12</v>
      </c>
      <c r="D530" t="s">
        <v>13</v>
      </c>
      <c r="E530">
        <v>1.54</v>
      </c>
      <c r="F530">
        <v>2.7</v>
      </c>
      <c r="G530" s="8">
        <f t="shared" si="8"/>
        <v>34.222222222222221</v>
      </c>
    </row>
    <row r="531" spans="1:7" x14ac:dyDescent="0.25">
      <c r="A531" s="87">
        <v>45804.385416666664</v>
      </c>
      <c r="B531">
        <v>8</v>
      </c>
      <c r="C531" t="s">
        <v>13</v>
      </c>
      <c r="D531" t="s">
        <v>14</v>
      </c>
      <c r="E531">
        <v>1.54</v>
      </c>
      <c r="F531">
        <v>3.28</v>
      </c>
      <c r="G531" s="8">
        <f t="shared" si="8"/>
        <v>28.170731707317078</v>
      </c>
    </row>
    <row r="532" spans="1:7" x14ac:dyDescent="0.25">
      <c r="A532" s="87">
        <v>45804.385416666664</v>
      </c>
      <c r="B532">
        <v>9</v>
      </c>
      <c r="C532" t="s">
        <v>14</v>
      </c>
      <c r="D532" t="s">
        <v>15</v>
      </c>
      <c r="E532">
        <v>1.52</v>
      </c>
      <c r="F532">
        <v>5.3</v>
      </c>
      <c r="G532" s="8">
        <f t="shared" si="8"/>
        <v>17.20754716981132</v>
      </c>
    </row>
    <row r="533" spans="1:7" x14ac:dyDescent="0.25">
      <c r="A533" s="87">
        <v>45804.385416666664</v>
      </c>
      <c r="B533">
        <v>10</v>
      </c>
      <c r="C533" t="s">
        <v>15</v>
      </c>
      <c r="D533" t="s">
        <v>16</v>
      </c>
      <c r="E533">
        <v>1.5</v>
      </c>
      <c r="F533">
        <v>4.5199999999999996</v>
      </c>
      <c r="G533" s="8">
        <f t="shared" si="8"/>
        <v>19.911504424778762</v>
      </c>
    </row>
    <row r="534" spans="1:7" x14ac:dyDescent="0.25">
      <c r="A534" s="87">
        <v>45804.385416666664</v>
      </c>
      <c r="B534">
        <v>11</v>
      </c>
      <c r="C534" t="s">
        <v>16</v>
      </c>
      <c r="D534" t="s">
        <v>17</v>
      </c>
      <c r="E534">
        <v>1.48</v>
      </c>
      <c r="F534">
        <v>3.02</v>
      </c>
      <c r="G534" s="8">
        <f t="shared" si="8"/>
        <v>29.403973509933774</v>
      </c>
    </row>
    <row r="535" spans="1:7" x14ac:dyDescent="0.25">
      <c r="A535" s="87">
        <v>45804.385416666664</v>
      </c>
      <c r="B535">
        <v>12</v>
      </c>
      <c r="C535" t="s">
        <v>17</v>
      </c>
      <c r="D535" t="s">
        <v>18</v>
      </c>
      <c r="E535">
        <v>1.46</v>
      </c>
      <c r="F535">
        <v>5.27</v>
      </c>
      <c r="G535" s="8">
        <f t="shared" si="8"/>
        <v>16.622390891840606</v>
      </c>
    </row>
    <row r="536" spans="1:7" x14ac:dyDescent="0.25">
      <c r="A536" s="87">
        <v>45804.385416666664</v>
      </c>
      <c r="B536">
        <v>13</v>
      </c>
      <c r="C536" t="s">
        <v>18</v>
      </c>
      <c r="D536" t="s">
        <v>19</v>
      </c>
      <c r="E536">
        <v>1.52</v>
      </c>
      <c r="F536">
        <v>4.78</v>
      </c>
      <c r="G536" s="8">
        <f t="shared" si="8"/>
        <v>19.07949790794979</v>
      </c>
    </row>
    <row r="537" spans="1:7" x14ac:dyDescent="0.25">
      <c r="A537" s="87">
        <v>45804.385416666664</v>
      </c>
      <c r="B537">
        <v>14</v>
      </c>
      <c r="C537" t="s">
        <v>19</v>
      </c>
      <c r="D537" t="s">
        <v>20</v>
      </c>
      <c r="E537">
        <v>1.51</v>
      </c>
      <c r="F537">
        <v>4.68</v>
      </c>
      <c r="G537" s="8">
        <f t="shared" si="8"/>
        <v>19.358974358974358</v>
      </c>
    </row>
    <row r="538" spans="1:7" x14ac:dyDescent="0.25">
      <c r="A538" s="87">
        <v>45804.385416666664</v>
      </c>
      <c r="B538">
        <v>15</v>
      </c>
      <c r="C538" t="s">
        <v>20</v>
      </c>
      <c r="D538" t="s">
        <v>21</v>
      </c>
      <c r="E538">
        <v>1.47</v>
      </c>
      <c r="F538">
        <v>2.92</v>
      </c>
      <c r="G538" s="8">
        <f t="shared" si="8"/>
        <v>30.205479452054796</v>
      </c>
    </row>
    <row r="539" spans="1:7" x14ac:dyDescent="0.25">
      <c r="A539" s="87">
        <v>45804.385416666664</v>
      </c>
      <c r="B539">
        <v>16</v>
      </c>
      <c r="C539" t="s">
        <v>21</v>
      </c>
      <c r="D539" t="s">
        <v>22</v>
      </c>
      <c r="E539">
        <v>1.5</v>
      </c>
      <c r="F539">
        <v>1.88</v>
      </c>
      <c r="G539" s="8">
        <f t="shared" si="8"/>
        <v>47.872340425531917</v>
      </c>
    </row>
    <row r="540" spans="1:7" x14ac:dyDescent="0.25">
      <c r="A540" s="87">
        <v>45804.385416666664</v>
      </c>
      <c r="B540">
        <v>17</v>
      </c>
      <c r="C540" t="s">
        <v>22</v>
      </c>
      <c r="D540" t="s">
        <v>23</v>
      </c>
      <c r="E540">
        <v>1.51</v>
      </c>
      <c r="F540">
        <v>3.17</v>
      </c>
      <c r="G540" s="8">
        <f t="shared" si="8"/>
        <v>28.580441640378549</v>
      </c>
    </row>
    <row r="541" spans="1:7" x14ac:dyDescent="0.25">
      <c r="A541" s="87">
        <v>45804.385416666664</v>
      </c>
      <c r="B541">
        <v>18</v>
      </c>
      <c r="C541" t="s">
        <v>23</v>
      </c>
      <c r="D541" t="s">
        <v>24</v>
      </c>
      <c r="E541">
        <v>1.51</v>
      </c>
      <c r="F541">
        <v>3.37</v>
      </c>
      <c r="G541" s="8">
        <f t="shared" si="8"/>
        <v>26.884272997032639</v>
      </c>
    </row>
    <row r="542" spans="1:7" x14ac:dyDescent="0.25">
      <c r="A542" s="87">
        <v>45804.385416666664</v>
      </c>
      <c r="B542">
        <v>19</v>
      </c>
      <c r="C542" t="s">
        <v>25</v>
      </c>
      <c r="D542" t="s">
        <v>26</v>
      </c>
      <c r="E542">
        <v>1.5</v>
      </c>
      <c r="F542">
        <v>4.62</v>
      </c>
      <c r="G542" s="8">
        <f t="shared" si="8"/>
        <v>19.480519480519479</v>
      </c>
    </row>
    <row r="543" spans="1:7" x14ac:dyDescent="0.25">
      <c r="A543" s="87">
        <v>45804.385416666664</v>
      </c>
      <c r="B543">
        <v>20</v>
      </c>
      <c r="C543" t="s">
        <v>26</v>
      </c>
      <c r="D543" t="s">
        <v>27</v>
      </c>
      <c r="E543">
        <v>1.48</v>
      </c>
      <c r="F543">
        <v>4.2699999999999996</v>
      </c>
      <c r="G543" s="8">
        <f t="shared" si="8"/>
        <v>20.79625292740047</v>
      </c>
    </row>
    <row r="544" spans="1:7" x14ac:dyDescent="0.25">
      <c r="A544" s="87">
        <v>45804.385416666664</v>
      </c>
      <c r="B544">
        <v>21</v>
      </c>
      <c r="C544" t="s">
        <v>27</v>
      </c>
      <c r="D544" t="s">
        <v>28</v>
      </c>
      <c r="E544">
        <v>1.51</v>
      </c>
      <c r="F544">
        <v>3.85</v>
      </c>
      <c r="G544" s="8">
        <f t="shared" si="8"/>
        <v>23.532467532467532</v>
      </c>
    </row>
    <row r="545" spans="1:7" x14ac:dyDescent="0.25">
      <c r="A545" s="87">
        <v>45804.385416666664</v>
      </c>
      <c r="B545">
        <v>22</v>
      </c>
      <c r="C545" t="s">
        <v>28</v>
      </c>
      <c r="D545" t="s">
        <v>29</v>
      </c>
      <c r="E545">
        <v>1.57</v>
      </c>
      <c r="F545">
        <v>3.88</v>
      </c>
      <c r="G545" s="8">
        <f t="shared" si="8"/>
        <v>24.27835051546392</v>
      </c>
    </row>
    <row r="546" spans="1:7" x14ac:dyDescent="0.25">
      <c r="A546" s="87">
        <v>45804.385416666664</v>
      </c>
      <c r="B546">
        <v>23</v>
      </c>
      <c r="C546" t="s">
        <v>29</v>
      </c>
      <c r="D546" t="s">
        <v>30</v>
      </c>
      <c r="E546">
        <v>1.43</v>
      </c>
      <c r="F546">
        <v>4.5</v>
      </c>
      <c r="G546" s="8">
        <f t="shared" si="8"/>
        <v>19.066666666666666</v>
      </c>
    </row>
    <row r="547" spans="1:7" x14ac:dyDescent="0.25">
      <c r="A547" s="87">
        <v>45804.385416666664</v>
      </c>
      <c r="B547">
        <v>24</v>
      </c>
      <c r="C547" t="s">
        <v>30</v>
      </c>
      <c r="D547" t="s">
        <v>31</v>
      </c>
      <c r="E547">
        <v>1.52</v>
      </c>
      <c r="F547">
        <v>3.32</v>
      </c>
      <c r="G547" s="8">
        <f t="shared" si="8"/>
        <v>27.46987951807229</v>
      </c>
    </row>
    <row r="548" spans="1:7" x14ac:dyDescent="0.25">
      <c r="A548" s="87">
        <v>45804.385416666664</v>
      </c>
      <c r="B548">
        <v>25</v>
      </c>
      <c r="C548" t="s">
        <v>31</v>
      </c>
      <c r="D548" t="s">
        <v>32</v>
      </c>
      <c r="E548">
        <v>1.52</v>
      </c>
      <c r="F548">
        <v>3.52</v>
      </c>
      <c r="G548" s="8">
        <f t="shared" si="8"/>
        <v>25.90909090909091</v>
      </c>
    </row>
    <row r="549" spans="1:7" x14ac:dyDescent="0.25">
      <c r="A549" s="87">
        <v>45804.385416666664</v>
      </c>
      <c r="B549">
        <v>26</v>
      </c>
      <c r="C549" t="s">
        <v>32</v>
      </c>
      <c r="D549" t="s">
        <v>33</v>
      </c>
      <c r="E549">
        <v>1.49</v>
      </c>
      <c r="F549">
        <v>4.72</v>
      </c>
      <c r="G549" s="8">
        <f t="shared" si="8"/>
        <v>18.940677966101696</v>
      </c>
    </row>
    <row r="550" spans="1:7" x14ac:dyDescent="0.25">
      <c r="A550" s="87">
        <v>45804.385416666664</v>
      </c>
      <c r="B550">
        <v>27</v>
      </c>
      <c r="C550" t="s">
        <v>33</v>
      </c>
      <c r="D550" t="s">
        <v>34</v>
      </c>
      <c r="E550">
        <v>1.53</v>
      </c>
      <c r="F550">
        <v>4.5</v>
      </c>
      <c r="G550" s="8">
        <f t="shared" si="8"/>
        <v>20.399999999999999</v>
      </c>
    </row>
    <row r="551" spans="1:7" x14ac:dyDescent="0.25">
      <c r="A551" s="87">
        <v>45804.385416666664</v>
      </c>
      <c r="B551">
        <v>28</v>
      </c>
      <c r="C551" t="s">
        <v>34</v>
      </c>
      <c r="D551" t="s">
        <v>35</v>
      </c>
      <c r="E551">
        <v>1.51</v>
      </c>
      <c r="F551">
        <v>4.42</v>
      </c>
      <c r="G551" s="8">
        <f t="shared" si="8"/>
        <v>20.497737556561084</v>
      </c>
    </row>
    <row r="552" spans="1:7" x14ac:dyDescent="0.25">
      <c r="A552" s="87">
        <v>45804.385416666664</v>
      </c>
      <c r="B552">
        <v>29</v>
      </c>
      <c r="C552" t="s">
        <v>36</v>
      </c>
      <c r="D552" t="s">
        <v>37</v>
      </c>
      <c r="E552">
        <v>1.57</v>
      </c>
      <c r="F552">
        <v>4.97</v>
      </c>
      <c r="G552" s="8">
        <f t="shared" si="8"/>
        <v>18.953722334004027</v>
      </c>
    </row>
    <row r="553" spans="1:7" x14ac:dyDescent="0.25">
      <c r="A553" s="87">
        <v>45804.385416666664</v>
      </c>
      <c r="B553">
        <v>30</v>
      </c>
      <c r="C553" t="s">
        <v>37</v>
      </c>
      <c r="D553" t="s">
        <v>38</v>
      </c>
      <c r="E553">
        <v>1.57</v>
      </c>
      <c r="F553">
        <v>6.58</v>
      </c>
      <c r="G553" s="8">
        <f t="shared" si="8"/>
        <v>14.316109422492401</v>
      </c>
    </row>
    <row r="554" spans="1:7" x14ac:dyDescent="0.25">
      <c r="A554" s="87">
        <v>45804.385416666664</v>
      </c>
      <c r="B554">
        <v>31</v>
      </c>
      <c r="C554" t="s">
        <v>38</v>
      </c>
      <c r="D554" t="s">
        <v>39</v>
      </c>
      <c r="E554">
        <v>1.52</v>
      </c>
      <c r="F554">
        <v>2.83</v>
      </c>
      <c r="G554" s="8">
        <f t="shared" si="8"/>
        <v>32.226148409893995</v>
      </c>
    </row>
    <row r="555" spans="1:7" x14ac:dyDescent="0.25">
      <c r="A555" s="87">
        <v>45804.385416666664</v>
      </c>
      <c r="B555">
        <v>32</v>
      </c>
      <c r="C555" t="s">
        <v>39</v>
      </c>
      <c r="D555" t="s">
        <v>40</v>
      </c>
      <c r="E555">
        <v>1.5</v>
      </c>
      <c r="F555">
        <v>1.82</v>
      </c>
      <c r="G555" s="8">
        <f t="shared" si="8"/>
        <v>49.450549450549445</v>
      </c>
    </row>
    <row r="556" spans="1:7" x14ac:dyDescent="0.25">
      <c r="A556" s="87">
        <v>45804.385416666664</v>
      </c>
      <c r="B556">
        <v>33</v>
      </c>
      <c r="C556" t="s">
        <v>40</v>
      </c>
      <c r="D556" t="s">
        <v>41</v>
      </c>
      <c r="E556">
        <v>1.51</v>
      </c>
      <c r="F556">
        <v>1.87</v>
      </c>
      <c r="G556" s="8">
        <f t="shared" si="8"/>
        <v>48.449197860962563</v>
      </c>
    </row>
    <row r="557" spans="1:7" x14ac:dyDescent="0.25">
      <c r="A557" s="87">
        <v>45804.385416666664</v>
      </c>
      <c r="B557">
        <v>34</v>
      </c>
      <c r="C557" t="s">
        <v>41</v>
      </c>
      <c r="D557" t="s">
        <v>42</v>
      </c>
      <c r="E557">
        <v>1.5</v>
      </c>
      <c r="F557">
        <v>2.15</v>
      </c>
      <c r="G557" s="8">
        <f t="shared" si="8"/>
        <v>41.860465116279073</v>
      </c>
    </row>
    <row r="558" spans="1:7" x14ac:dyDescent="0.25">
      <c r="A558" s="87">
        <v>45804.385416666664</v>
      </c>
      <c r="B558">
        <v>35</v>
      </c>
      <c r="C558" t="s">
        <v>43</v>
      </c>
      <c r="D558" t="s">
        <v>44</v>
      </c>
      <c r="E558">
        <v>1.55</v>
      </c>
      <c r="F558">
        <v>3.82</v>
      </c>
      <c r="G558" s="8">
        <f t="shared" si="8"/>
        <v>24.345549738219898</v>
      </c>
    </row>
    <row r="559" spans="1:7" x14ac:dyDescent="0.25">
      <c r="A559" s="87">
        <v>45804.385416666664</v>
      </c>
      <c r="B559">
        <v>36</v>
      </c>
      <c r="C559" t="s">
        <v>44</v>
      </c>
      <c r="D559" t="s">
        <v>45</v>
      </c>
      <c r="E559">
        <v>1.5</v>
      </c>
      <c r="F559">
        <v>3.12</v>
      </c>
      <c r="G559" s="8">
        <f t="shared" si="8"/>
        <v>28.846153846153847</v>
      </c>
    </row>
    <row r="560" spans="1:7" x14ac:dyDescent="0.25">
      <c r="A560" s="87">
        <v>45804.385416666664</v>
      </c>
      <c r="B560">
        <v>37</v>
      </c>
      <c r="C560" t="s">
        <v>45</v>
      </c>
      <c r="D560" t="s">
        <v>46</v>
      </c>
      <c r="E560">
        <v>1.38</v>
      </c>
      <c r="F560">
        <v>4.05</v>
      </c>
      <c r="G560" s="8">
        <f t="shared" si="8"/>
        <v>20.444444444444443</v>
      </c>
    </row>
    <row r="561" spans="1:7" x14ac:dyDescent="0.25">
      <c r="A561" s="87">
        <v>45804.385416666664</v>
      </c>
      <c r="B561">
        <v>38</v>
      </c>
      <c r="C561" t="s">
        <v>46</v>
      </c>
      <c r="D561" t="s">
        <v>47</v>
      </c>
      <c r="E561">
        <v>1.61</v>
      </c>
      <c r="F561">
        <v>3.78</v>
      </c>
      <c r="G561" s="8">
        <f t="shared" si="8"/>
        <v>25.555555555555561</v>
      </c>
    </row>
    <row r="562" spans="1:7" x14ac:dyDescent="0.25">
      <c r="A562" s="87">
        <v>45804.385416666664</v>
      </c>
      <c r="B562">
        <v>39</v>
      </c>
      <c r="C562" t="s">
        <v>47</v>
      </c>
      <c r="D562" t="s">
        <v>48</v>
      </c>
      <c r="E562">
        <v>1.55</v>
      </c>
      <c r="F562">
        <v>3.37</v>
      </c>
      <c r="G562" s="8">
        <f t="shared" si="8"/>
        <v>27.596439169139465</v>
      </c>
    </row>
    <row r="563" spans="1:7" x14ac:dyDescent="0.25">
      <c r="A563" s="87">
        <v>45804.385416666664</v>
      </c>
      <c r="B563">
        <v>40</v>
      </c>
      <c r="C563" t="s">
        <v>48</v>
      </c>
      <c r="D563" t="s">
        <v>49</v>
      </c>
      <c r="E563">
        <v>1.39</v>
      </c>
      <c r="F563">
        <v>2.83</v>
      </c>
      <c r="G563" s="8">
        <f t="shared" si="8"/>
        <v>29.46996466431095</v>
      </c>
    </row>
    <row r="564" spans="1:7" x14ac:dyDescent="0.25">
      <c r="A564" s="87">
        <v>45804.385416666664</v>
      </c>
      <c r="B564">
        <v>41</v>
      </c>
      <c r="C564" t="s">
        <v>50</v>
      </c>
      <c r="D564" t="s">
        <v>51</v>
      </c>
      <c r="E564">
        <v>1.56</v>
      </c>
      <c r="F564">
        <v>4.18</v>
      </c>
      <c r="G564" s="8">
        <f t="shared" si="8"/>
        <v>22.39234449760766</v>
      </c>
    </row>
    <row r="565" spans="1:7" x14ac:dyDescent="0.25">
      <c r="A565" s="87">
        <v>45804.385416666664</v>
      </c>
      <c r="B565">
        <v>42</v>
      </c>
      <c r="C565" t="s">
        <v>51</v>
      </c>
      <c r="D565" t="s">
        <v>52</v>
      </c>
      <c r="E565">
        <v>1.56</v>
      </c>
      <c r="F565">
        <v>4.03</v>
      </c>
      <c r="G565" s="8">
        <f t="shared" si="8"/>
        <v>23.225806451612904</v>
      </c>
    </row>
    <row r="566" spans="1:7" x14ac:dyDescent="0.25">
      <c r="A566" s="87">
        <v>45804.385416666664</v>
      </c>
      <c r="B566">
        <v>43</v>
      </c>
      <c r="C566" t="s">
        <v>52</v>
      </c>
      <c r="D566" t="s">
        <v>53</v>
      </c>
      <c r="E566">
        <v>1.51</v>
      </c>
      <c r="F566">
        <v>3.52</v>
      </c>
      <c r="G566" s="8">
        <f t="shared" si="8"/>
        <v>25.738636363636363</v>
      </c>
    </row>
    <row r="567" spans="1:7" x14ac:dyDescent="0.25">
      <c r="A567" s="87">
        <v>45804.385416666664</v>
      </c>
      <c r="B567">
        <v>44</v>
      </c>
      <c r="C567" t="s">
        <v>54</v>
      </c>
      <c r="D567" t="s">
        <v>55</v>
      </c>
      <c r="E567">
        <v>1.51</v>
      </c>
      <c r="F567">
        <v>4.67</v>
      </c>
      <c r="G567" s="8">
        <f t="shared" si="8"/>
        <v>19.400428265524624</v>
      </c>
    </row>
    <row r="568" spans="1:7" x14ac:dyDescent="0.25">
      <c r="A568" s="87">
        <v>45804.385416666664</v>
      </c>
      <c r="B568">
        <v>45</v>
      </c>
      <c r="C568" t="s">
        <v>55</v>
      </c>
      <c r="D568" t="s">
        <v>56</v>
      </c>
      <c r="E568">
        <v>1.49</v>
      </c>
      <c r="F568">
        <v>3.43</v>
      </c>
      <c r="G568" s="8">
        <f t="shared" si="8"/>
        <v>26.064139941690964</v>
      </c>
    </row>
    <row r="569" spans="1:7" x14ac:dyDescent="0.25">
      <c r="A569" s="87">
        <v>45804.385416666664</v>
      </c>
      <c r="B569">
        <v>46</v>
      </c>
      <c r="C569" t="s">
        <v>56</v>
      </c>
      <c r="D569" t="s">
        <v>57</v>
      </c>
      <c r="E569">
        <v>1.52</v>
      </c>
      <c r="F569">
        <v>3.97</v>
      </c>
      <c r="G569" s="8">
        <f t="shared" si="8"/>
        <v>22.972292191435766</v>
      </c>
    </row>
    <row r="570" spans="1:7" x14ac:dyDescent="0.25">
      <c r="A570" s="87">
        <v>45804.385416666664</v>
      </c>
      <c r="B570">
        <v>47</v>
      </c>
      <c r="C570" t="s">
        <v>58</v>
      </c>
      <c r="D570" t="s">
        <v>59</v>
      </c>
      <c r="E570">
        <v>1.52</v>
      </c>
      <c r="F570">
        <v>5.7</v>
      </c>
      <c r="G570" s="8">
        <f t="shared" si="8"/>
        <v>16</v>
      </c>
    </row>
    <row r="571" spans="1:7" x14ac:dyDescent="0.25">
      <c r="A571" s="87">
        <v>45804.385416666664</v>
      </c>
      <c r="B571">
        <v>48</v>
      </c>
      <c r="C571" t="s">
        <v>59</v>
      </c>
      <c r="D571" t="s">
        <v>60</v>
      </c>
      <c r="E571">
        <v>1.5</v>
      </c>
      <c r="F571">
        <v>3.8</v>
      </c>
      <c r="G571" s="8">
        <f t="shared" si="8"/>
        <v>23.684210526315791</v>
      </c>
    </row>
    <row r="572" spans="1:7" x14ac:dyDescent="0.25">
      <c r="A572" s="87">
        <v>45804.385416666664</v>
      </c>
      <c r="B572">
        <v>49</v>
      </c>
      <c r="C572" t="s">
        <v>60</v>
      </c>
      <c r="D572" t="s">
        <v>61</v>
      </c>
      <c r="E572">
        <v>1.54</v>
      </c>
      <c r="F572">
        <v>4.63</v>
      </c>
      <c r="G572" s="8">
        <f t="shared" si="8"/>
        <v>19.956803455723545</v>
      </c>
    </row>
    <row r="573" spans="1:7" x14ac:dyDescent="0.25">
      <c r="A573" s="87">
        <v>45804.385416666664</v>
      </c>
      <c r="B573">
        <v>50</v>
      </c>
      <c r="C573" t="s">
        <v>62</v>
      </c>
      <c r="D573" t="s">
        <v>63</v>
      </c>
      <c r="E573">
        <v>1.38</v>
      </c>
      <c r="F573">
        <v>3.15</v>
      </c>
      <c r="G573" s="8">
        <f t="shared" si="8"/>
        <v>26.285714285714285</v>
      </c>
    </row>
    <row r="574" spans="1:7" x14ac:dyDescent="0.25">
      <c r="A574" s="87">
        <v>45804.385416666664</v>
      </c>
      <c r="B574">
        <v>51</v>
      </c>
      <c r="C574" t="s">
        <v>63</v>
      </c>
      <c r="D574" t="s">
        <v>64</v>
      </c>
      <c r="E574">
        <v>2.79</v>
      </c>
      <c r="F574">
        <v>6.2</v>
      </c>
      <c r="G574" s="8">
        <f t="shared" si="8"/>
        <v>27</v>
      </c>
    </row>
    <row r="575" spans="1:7" x14ac:dyDescent="0.25">
      <c r="A575" s="87">
        <v>45804.385416666664</v>
      </c>
      <c r="B575">
        <v>52</v>
      </c>
      <c r="C575" t="s">
        <v>64</v>
      </c>
      <c r="D575" t="s">
        <v>65</v>
      </c>
      <c r="E575">
        <v>1.5</v>
      </c>
      <c r="F575">
        <v>2.92</v>
      </c>
      <c r="G575" s="8">
        <f t="shared" si="8"/>
        <v>30.82191780821918</v>
      </c>
    </row>
    <row r="576" spans="1:7" x14ac:dyDescent="0.25">
      <c r="A576" s="87">
        <v>45804.385416666664</v>
      </c>
      <c r="B576">
        <v>53</v>
      </c>
      <c r="C576" t="s">
        <v>65</v>
      </c>
      <c r="D576" t="s">
        <v>66</v>
      </c>
      <c r="E576">
        <v>1.46</v>
      </c>
      <c r="F576">
        <v>3.88</v>
      </c>
      <c r="G576" s="8">
        <f t="shared" si="8"/>
        <v>22.577319587628864</v>
      </c>
    </row>
    <row r="577" spans="1:7" x14ac:dyDescent="0.25">
      <c r="A577" s="87">
        <v>45804.385416666664</v>
      </c>
      <c r="B577">
        <v>54</v>
      </c>
      <c r="C577" t="s">
        <v>67</v>
      </c>
      <c r="D577" t="s">
        <v>68</v>
      </c>
      <c r="E577">
        <v>1.46</v>
      </c>
      <c r="F577">
        <v>5.58</v>
      </c>
      <c r="G577" s="8">
        <f t="shared" si="8"/>
        <v>15.698924731182794</v>
      </c>
    </row>
    <row r="578" spans="1:7" x14ac:dyDescent="0.25">
      <c r="A578" s="87">
        <v>45804.385416666664</v>
      </c>
      <c r="B578">
        <v>55</v>
      </c>
      <c r="C578" t="s">
        <v>68</v>
      </c>
      <c r="D578" t="s">
        <v>69</v>
      </c>
      <c r="E578">
        <v>1.5</v>
      </c>
      <c r="F578">
        <v>2.4300000000000002</v>
      </c>
      <c r="G578" s="8">
        <f t="shared" si="8"/>
        <v>37.037037037037038</v>
      </c>
    </row>
    <row r="579" spans="1:7" x14ac:dyDescent="0.25">
      <c r="A579" s="87">
        <v>45804.385416666664</v>
      </c>
      <c r="B579">
        <v>56</v>
      </c>
      <c r="C579" t="s">
        <v>70</v>
      </c>
      <c r="D579" t="s">
        <v>71</v>
      </c>
      <c r="E579">
        <v>1.51</v>
      </c>
      <c r="F579">
        <v>5.92</v>
      </c>
      <c r="G579" s="8">
        <f t="shared" ref="G579:G642" si="9">E579*60/F579</f>
        <v>15.304054054054053</v>
      </c>
    </row>
    <row r="580" spans="1:7" x14ac:dyDescent="0.25">
      <c r="A580" s="87">
        <v>45804.385416666664</v>
      </c>
      <c r="B580">
        <v>57</v>
      </c>
      <c r="C580" t="s">
        <v>71</v>
      </c>
      <c r="D580" t="s">
        <v>72</v>
      </c>
      <c r="E580">
        <v>1.52</v>
      </c>
      <c r="F580">
        <v>4.0199999999999996</v>
      </c>
      <c r="G580" s="8">
        <f t="shared" si="9"/>
        <v>22.686567164179106</v>
      </c>
    </row>
    <row r="581" spans="1:7" x14ac:dyDescent="0.25">
      <c r="A581" s="87">
        <v>45804.385416666664</v>
      </c>
      <c r="B581">
        <v>58</v>
      </c>
      <c r="C581" t="s">
        <v>72</v>
      </c>
      <c r="D581" t="s">
        <v>73</v>
      </c>
      <c r="E581">
        <v>1.5</v>
      </c>
      <c r="F581">
        <v>3.6</v>
      </c>
      <c r="G581" s="8">
        <f t="shared" si="9"/>
        <v>25</v>
      </c>
    </row>
    <row r="582" spans="1:7" x14ac:dyDescent="0.25">
      <c r="A582" s="87">
        <v>45804.395833333336</v>
      </c>
      <c r="B582">
        <v>1</v>
      </c>
      <c r="C582" t="s">
        <v>6</v>
      </c>
      <c r="D582" t="s">
        <v>7</v>
      </c>
      <c r="E582">
        <v>1.53</v>
      </c>
      <c r="F582">
        <v>3.25</v>
      </c>
      <c r="G582" s="8">
        <f t="shared" si="9"/>
        <v>28.246153846153845</v>
      </c>
    </row>
    <row r="583" spans="1:7" x14ac:dyDescent="0.25">
      <c r="A583" s="87">
        <v>45804.395833333336</v>
      </c>
      <c r="B583">
        <v>2</v>
      </c>
      <c r="C583" t="s">
        <v>7</v>
      </c>
      <c r="D583" t="s">
        <v>8</v>
      </c>
      <c r="E583">
        <v>1.57</v>
      </c>
      <c r="F583">
        <v>5.0199999999999996</v>
      </c>
      <c r="G583" s="8">
        <f t="shared" si="9"/>
        <v>18.764940239043828</v>
      </c>
    </row>
    <row r="584" spans="1:7" x14ac:dyDescent="0.25">
      <c r="A584" s="87">
        <v>45804.395833333336</v>
      </c>
      <c r="B584">
        <v>3</v>
      </c>
      <c r="C584" t="s">
        <v>8</v>
      </c>
      <c r="D584" t="s">
        <v>9</v>
      </c>
      <c r="E584">
        <v>1.5</v>
      </c>
      <c r="F584">
        <v>3.08</v>
      </c>
      <c r="G584" s="8">
        <f t="shared" si="9"/>
        <v>29.220779220779221</v>
      </c>
    </row>
    <row r="585" spans="1:7" x14ac:dyDescent="0.25">
      <c r="A585" s="87">
        <v>45804.395833333336</v>
      </c>
      <c r="B585">
        <v>4</v>
      </c>
      <c r="C585" t="s">
        <v>9</v>
      </c>
      <c r="D585" t="s">
        <v>10</v>
      </c>
      <c r="E585">
        <v>1.5</v>
      </c>
      <c r="F585">
        <v>2.82</v>
      </c>
      <c r="G585" s="8">
        <f t="shared" si="9"/>
        <v>31.914893617021278</v>
      </c>
    </row>
    <row r="586" spans="1:7" x14ac:dyDescent="0.25">
      <c r="A586" s="87">
        <v>45804.395833333336</v>
      </c>
      <c r="B586">
        <v>5</v>
      </c>
      <c r="C586" t="s">
        <v>10</v>
      </c>
      <c r="D586" t="s">
        <v>11</v>
      </c>
      <c r="E586">
        <v>1.52</v>
      </c>
      <c r="F586">
        <v>3.6</v>
      </c>
      <c r="G586" s="8">
        <f t="shared" si="9"/>
        <v>25.333333333333332</v>
      </c>
    </row>
    <row r="587" spans="1:7" x14ac:dyDescent="0.25">
      <c r="A587" s="87">
        <v>45804.395833333336</v>
      </c>
      <c r="B587">
        <v>6</v>
      </c>
      <c r="C587" t="s">
        <v>11</v>
      </c>
      <c r="D587" t="s">
        <v>12</v>
      </c>
      <c r="E587">
        <v>1.5</v>
      </c>
      <c r="F587">
        <v>2.83</v>
      </c>
      <c r="G587" s="8">
        <f t="shared" si="9"/>
        <v>31.802120141342755</v>
      </c>
    </row>
    <row r="588" spans="1:7" x14ac:dyDescent="0.25">
      <c r="A588" s="87">
        <v>45804.395833333336</v>
      </c>
      <c r="B588">
        <v>7</v>
      </c>
      <c r="C588" t="s">
        <v>12</v>
      </c>
      <c r="D588" t="s">
        <v>13</v>
      </c>
      <c r="E588">
        <v>1.54</v>
      </c>
      <c r="F588">
        <v>2.77</v>
      </c>
      <c r="G588" s="8">
        <f t="shared" si="9"/>
        <v>33.357400722021666</v>
      </c>
    </row>
    <row r="589" spans="1:7" x14ac:dyDescent="0.25">
      <c r="A589" s="87">
        <v>45804.395833333336</v>
      </c>
      <c r="B589">
        <v>8</v>
      </c>
      <c r="C589" t="s">
        <v>13</v>
      </c>
      <c r="D589" t="s">
        <v>14</v>
      </c>
      <c r="E589">
        <v>1.54</v>
      </c>
      <c r="F589">
        <v>3.43</v>
      </c>
      <c r="G589" s="8">
        <f t="shared" si="9"/>
        <v>26.938775510204081</v>
      </c>
    </row>
    <row r="590" spans="1:7" x14ac:dyDescent="0.25">
      <c r="A590" s="87">
        <v>45804.395833333336</v>
      </c>
      <c r="B590">
        <v>9</v>
      </c>
      <c r="C590" t="s">
        <v>14</v>
      </c>
      <c r="D590" t="s">
        <v>15</v>
      </c>
      <c r="E590">
        <v>1.52</v>
      </c>
      <c r="F590">
        <v>4.58</v>
      </c>
      <c r="G590" s="8">
        <f t="shared" si="9"/>
        <v>19.912663755458517</v>
      </c>
    </row>
    <row r="591" spans="1:7" x14ac:dyDescent="0.25">
      <c r="A591" s="87">
        <v>45804.395833333336</v>
      </c>
      <c r="B591">
        <v>10</v>
      </c>
      <c r="C591" t="s">
        <v>15</v>
      </c>
      <c r="D591" t="s">
        <v>16</v>
      </c>
      <c r="E591">
        <v>1.5</v>
      </c>
      <c r="F591">
        <v>4.62</v>
      </c>
      <c r="G591" s="8">
        <f t="shared" si="9"/>
        <v>19.480519480519479</v>
      </c>
    </row>
    <row r="592" spans="1:7" x14ac:dyDescent="0.25">
      <c r="A592" s="87">
        <v>45804.395833333336</v>
      </c>
      <c r="B592">
        <v>11</v>
      </c>
      <c r="C592" t="s">
        <v>16</v>
      </c>
      <c r="D592" t="s">
        <v>17</v>
      </c>
      <c r="E592">
        <v>1.48</v>
      </c>
      <c r="F592">
        <v>3.63</v>
      </c>
      <c r="G592" s="8">
        <f t="shared" si="9"/>
        <v>24.462809917355372</v>
      </c>
    </row>
    <row r="593" spans="1:7" x14ac:dyDescent="0.25">
      <c r="A593" s="87">
        <v>45804.395833333336</v>
      </c>
      <c r="B593">
        <v>12</v>
      </c>
      <c r="C593" t="s">
        <v>17</v>
      </c>
      <c r="D593" t="s">
        <v>18</v>
      </c>
      <c r="E593">
        <v>1.46</v>
      </c>
      <c r="F593">
        <v>4.68</v>
      </c>
      <c r="G593" s="8">
        <f t="shared" si="9"/>
        <v>18.717948717948719</v>
      </c>
    </row>
    <row r="594" spans="1:7" x14ac:dyDescent="0.25">
      <c r="A594" s="87">
        <v>45804.395833333336</v>
      </c>
      <c r="B594">
        <v>13</v>
      </c>
      <c r="C594" t="s">
        <v>18</v>
      </c>
      <c r="D594" t="s">
        <v>19</v>
      </c>
      <c r="E594">
        <v>1.52</v>
      </c>
      <c r="F594">
        <v>4</v>
      </c>
      <c r="G594" s="8">
        <f t="shared" si="9"/>
        <v>22.8</v>
      </c>
    </row>
    <row r="595" spans="1:7" x14ac:dyDescent="0.25">
      <c r="A595" s="87">
        <v>45804.395833333336</v>
      </c>
      <c r="B595">
        <v>14</v>
      </c>
      <c r="C595" t="s">
        <v>19</v>
      </c>
      <c r="D595" t="s">
        <v>20</v>
      </c>
      <c r="E595">
        <v>1.51</v>
      </c>
      <c r="F595">
        <v>4.57</v>
      </c>
      <c r="G595" s="8">
        <f t="shared" si="9"/>
        <v>19.824945295404813</v>
      </c>
    </row>
    <row r="596" spans="1:7" x14ac:dyDescent="0.25">
      <c r="A596" s="87">
        <v>45804.395833333336</v>
      </c>
      <c r="B596">
        <v>15</v>
      </c>
      <c r="C596" t="s">
        <v>20</v>
      </c>
      <c r="D596" t="s">
        <v>21</v>
      </c>
      <c r="E596">
        <v>1.47</v>
      </c>
      <c r="F596">
        <v>3.2</v>
      </c>
      <c r="G596" s="8">
        <f t="shared" si="9"/>
        <v>27.5625</v>
      </c>
    </row>
    <row r="597" spans="1:7" x14ac:dyDescent="0.25">
      <c r="A597" s="87">
        <v>45804.395833333336</v>
      </c>
      <c r="B597">
        <v>16</v>
      </c>
      <c r="C597" t="s">
        <v>21</v>
      </c>
      <c r="D597" t="s">
        <v>22</v>
      </c>
      <c r="E597">
        <v>1.5</v>
      </c>
      <c r="F597">
        <v>1.92</v>
      </c>
      <c r="G597" s="8">
        <f t="shared" si="9"/>
        <v>46.875</v>
      </c>
    </row>
    <row r="598" spans="1:7" x14ac:dyDescent="0.25">
      <c r="A598" s="87">
        <v>45804.395833333336</v>
      </c>
      <c r="B598">
        <v>17</v>
      </c>
      <c r="C598" t="s">
        <v>22</v>
      </c>
      <c r="D598" t="s">
        <v>23</v>
      </c>
      <c r="E598">
        <v>1.51</v>
      </c>
      <c r="F598">
        <v>3.15</v>
      </c>
      <c r="G598" s="8">
        <f t="shared" si="9"/>
        <v>28.761904761904759</v>
      </c>
    </row>
    <row r="599" spans="1:7" x14ac:dyDescent="0.25">
      <c r="A599" s="87">
        <v>45804.395833333336</v>
      </c>
      <c r="B599">
        <v>18</v>
      </c>
      <c r="C599" t="s">
        <v>23</v>
      </c>
      <c r="D599" t="s">
        <v>24</v>
      </c>
      <c r="E599">
        <v>1.51</v>
      </c>
      <c r="F599">
        <v>3.55</v>
      </c>
      <c r="G599" s="8">
        <f t="shared" si="9"/>
        <v>25.52112676056338</v>
      </c>
    </row>
    <row r="600" spans="1:7" x14ac:dyDescent="0.25">
      <c r="A600" s="87">
        <v>45804.395833333336</v>
      </c>
      <c r="B600">
        <v>19</v>
      </c>
      <c r="C600" t="s">
        <v>25</v>
      </c>
      <c r="D600" t="s">
        <v>26</v>
      </c>
      <c r="E600">
        <v>1.5</v>
      </c>
      <c r="F600">
        <v>4.28</v>
      </c>
      <c r="G600" s="8">
        <f t="shared" si="9"/>
        <v>21.028037383177569</v>
      </c>
    </row>
    <row r="601" spans="1:7" x14ac:dyDescent="0.25">
      <c r="A601" s="87">
        <v>45804.395833333336</v>
      </c>
      <c r="B601">
        <v>20</v>
      </c>
      <c r="C601" t="s">
        <v>26</v>
      </c>
      <c r="D601" t="s">
        <v>27</v>
      </c>
      <c r="E601">
        <v>1.48</v>
      </c>
      <c r="F601">
        <v>4.7</v>
      </c>
      <c r="G601" s="8">
        <f t="shared" si="9"/>
        <v>18.893617021276594</v>
      </c>
    </row>
    <row r="602" spans="1:7" x14ac:dyDescent="0.25">
      <c r="A602" s="87">
        <v>45804.395833333336</v>
      </c>
      <c r="B602">
        <v>21</v>
      </c>
      <c r="C602" t="s">
        <v>27</v>
      </c>
      <c r="D602" t="s">
        <v>28</v>
      </c>
      <c r="E602">
        <v>1.51</v>
      </c>
      <c r="F602">
        <v>4.33</v>
      </c>
      <c r="G602" s="8">
        <f t="shared" si="9"/>
        <v>20.92378752886836</v>
      </c>
    </row>
    <row r="603" spans="1:7" x14ac:dyDescent="0.25">
      <c r="A603" s="87">
        <v>45804.395833333336</v>
      </c>
      <c r="B603">
        <v>22</v>
      </c>
      <c r="C603" t="s">
        <v>28</v>
      </c>
      <c r="D603" t="s">
        <v>29</v>
      </c>
      <c r="E603">
        <v>1.57</v>
      </c>
      <c r="F603">
        <v>3.57</v>
      </c>
      <c r="G603" s="8">
        <f t="shared" si="9"/>
        <v>26.386554621848742</v>
      </c>
    </row>
    <row r="604" spans="1:7" x14ac:dyDescent="0.25">
      <c r="A604" s="87">
        <v>45804.395833333336</v>
      </c>
      <c r="B604">
        <v>23</v>
      </c>
      <c r="C604" t="s">
        <v>29</v>
      </c>
      <c r="D604" t="s">
        <v>30</v>
      </c>
      <c r="E604">
        <v>1.43</v>
      </c>
      <c r="F604">
        <v>4.32</v>
      </c>
      <c r="G604" s="8">
        <f t="shared" si="9"/>
        <v>19.861111111111111</v>
      </c>
    </row>
    <row r="605" spans="1:7" x14ac:dyDescent="0.25">
      <c r="A605" s="87">
        <v>45804.395833333336</v>
      </c>
      <c r="B605">
        <v>24</v>
      </c>
      <c r="C605" t="s">
        <v>30</v>
      </c>
      <c r="D605" t="s">
        <v>31</v>
      </c>
      <c r="E605">
        <v>1.52</v>
      </c>
      <c r="F605">
        <v>3.4</v>
      </c>
      <c r="G605" s="8">
        <f t="shared" si="9"/>
        <v>26.823529411764707</v>
      </c>
    </row>
    <row r="606" spans="1:7" x14ac:dyDescent="0.25">
      <c r="A606" s="87">
        <v>45804.395833333336</v>
      </c>
      <c r="B606">
        <v>25</v>
      </c>
      <c r="C606" t="s">
        <v>31</v>
      </c>
      <c r="D606" t="s">
        <v>32</v>
      </c>
      <c r="E606">
        <v>1.52</v>
      </c>
      <c r="F606">
        <v>3.55</v>
      </c>
      <c r="G606" s="8">
        <f t="shared" si="9"/>
        <v>25.690140845070424</v>
      </c>
    </row>
    <row r="607" spans="1:7" x14ac:dyDescent="0.25">
      <c r="A607" s="87">
        <v>45804.395833333336</v>
      </c>
      <c r="B607">
        <v>26</v>
      </c>
      <c r="C607" t="s">
        <v>32</v>
      </c>
      <c r="D607" t="s">
        <v>33</v>
      </c>
      <c r="E607">
        <v>1.49</v>
      </c>
      <c r="F607">
        <v>3.95</v>
      </c>
      <c r="G607" s="8">
        <f t="shared" si="9"/>
        <v>22.632911392405063</v>
      </c>
    </row>
    <row r="608" spans="1:7" x14ac:dyDescent="0.25">
      <c r="A608" s="87">
        <v>45804.395833333336</v>
      </c>
      <c r="B608">
        <v>27</v>
      </c>
      <c r="C608" t="s">
        <v>33</v>
      </c>
      <c r="D608" t="s">
        <v>34</v>
      </c>
      <c r="E608">
        <v>1.53</v>
      </c>
      <c r="F608">
        <v>5.55</v>
      </c>
      <c r="G608" s="8">
        <f t="shared" si="9"/>
        <v>16.54054054054054</v>
      </c>
    </row>
    <row r="609" spans="1:7" x14ac:dyDescent="0.25">
      <c r="A609" s="87">
        <v>45804.395833333336</v>
      </c>
      <c r="B609">
        <v>28</v>
      </c>
      <c r="C609" t="s">
        <v>34</v>
      </c>
      <c r="D609" t="s">
        <v>35</v>
      </c>
      <c r="E609">
        <v>1.51</v>
      </c>
      <c r="F609">
        <v>4.1500000000000004</v>
      </c>
      <c r="G609" s="8">
        <f t="shared" si="9"/>
        <v>21.831325301204817</v>
      </c>
    </row>
    <row r="610" spans="1:7" x14ac:dyDescent="0.25">
      <c r="A610" s="87">
        <v>45804.395833333336</v>
      </c>
      <c r="B610">
        <v>29</v>
      </c>
      <c r="C610" t="s">
        <v>36</v>
      </c>
      <c r="D610" t="s">
        <v>37</v>
      </c>
      <c r="E610">
        <v>1.57</v>
      </c>
      <c r="F610">
        <v>5.13</v>
      </c>
      <c r="G610" s="8">
        <f t="shared" si="9"/>
        <v>18.362573099415204</v>
      </c>
    </row>
    <row r="611" spans="1:7" x14ac:dyDescent="0.25">
      <c r="A611" s="87">
        <v>45804.395833333336</v>
      </c>
      <c r="B611">
        <v>30</v>
      </c>
      <c r="C611" t="s">
        <v>37</v>
      </c>
      <c r="D611" t="s">
        <v>38</v>
      </c>
      <c r="E611">
        <v>1.57</v>
      </c>
      <c r="F611">
        <v>6.68</v>
      </c>
      <c r="G611" s="8">
        <f t="shared" si="9"/>
        <v>14.101796407185629</v>
      </c>
    </row>
    <row r="612" spans="1:7" x14ac:dyDescent="0.25">
      <c r="A612" s="87">
        <v>45804.395833333336</v>
      </c>
      <c r="B612">
        <v>31</v>
      </c>
      <c r="C612" t="s">
        <v>38</v>
      </c>
      <c r="D612" t="s">
        <v>39</v>
      </c>
      <c r="E612">
        <v>1.52</v>
      </c>
      <c r="F612">
        <v>2.83</v>
      </c>
      <c r="G612" s="8">
        <f t="shared" si="9"/>
        <v>32.226148409893995</v>
      </c>
    </row>
    <row r="613" spans="1:7" x14ac:dyDescent="0.25">
      <c r="A613" s="87">
        <v>45804.395833333336</v>
      </c>
      <c r="B613">
        <v>32</v>
      </c>
      <c r="C613" t="s">
        <v>39</v>
      </c>
      <c r="D613" t="s">
        <v>40</v>
      </c>
      <c r="E613">
        <v>1.5</v>
      </c>
      <c r="F613">
        <v>1.8</v>
      </c>
      <c r="G613" s="8">
        <f t="shared" si="9"/>
        <v>50</v>
      </c>
    </row>
    <row r="614" spans="1:7" x14ac:dyDescent="0.25">
      <c r="A614" s="87">
        <v>45804.395833333336</v>
      </c>
      <c r="B614">
        <v>33</v>
      </c>
      <c r="C614" t="s">
        <v>40</v>
      </c>
      <c r="D614" t="s">
        <v>41</v>
      </c>
      <c r="E614">
        <v>1.51</v>
      </c>
      <c r="F614">
        <v>1.85</v>
      </c>
      <c r="G614" s="8">
        <f t="shared" si="9"/>
        <v>48.972972972972968</v>
      </c>
    </row>
    <row r="615" spans="1:7" x14ac:dyDescent="0.25">
      <c r="A615" s="87">
        <v>45804.395833333336</v>
      </c>
      <c r="B615">
        <v>34</v>
      </c>
      <c r="C615" t="s">
        <v>41</v>
      </c>
      <c r="D615" t="s">
        <v>42</v>
      </c>
      <c r="E615">
        <v>1.5</v>
      </c>
      <c r="F615">
        <v>1.95</v>
      </c>
      <c r="G615" s="8">
        <f t="shared" si="9"/>
        <v>46.153846153846153</v>
      </c>
    </row>
    <row r="616" spans="1:7" x14ac:dyDescent="0.25">
      <c r="A616" s="87">
        <v>45804.395833333336</v>
      </c>
      <c r="B616">
        <v>35</v>
      </c>
      <c r="C616" t="s">
        <v>43</v>
      </c>
      <c r="D616" t="s">
        <v>44</v>
      </c>
      <c r="E616">
        <v>1.55</v>
      </c>
      <c r="F616">
        <v>5.37</v>
      </c>
      <c r="G616" s="8">
        <f t="shared" si="9"/>
        <v>17.318435754189945</v>
      </c>
    </row>
    <row r="617" spans="1:7" x14ac:dyDescent="0.25">
      <c r="A617" s="87">
        <v>45804.395833333336</v>
      </c>
      <c r="B617">
        <v>36</v>
      </c>
      <c r="C617" t="s">
        <v>44</v>
      </c>
      <c r="D617" t="s">
        <v>45</v>
      </c>
      <c r="E617">
        <v>1.5</v>
      </c>
      <c r="F617">
        <v>3.2</v>
      </c>
      <c r="G617" s="8">
        <f t="shared" si="9"/>
        <v>28.125</v>
      </c>
    </row>
    <row r="618" spans="1:7" x14ac:dyDescent="0.25">
      <c r="A618" s="87">
        <v>45804.395833333336</v>
      </c>
      <c r="B618">
        <v>37</v>
      </c>
      <c r="C618" t="s">
        <v>45</v>
      </c>
      <c r="D618" t="s">
        <v>46</v>
      </c>
      <c r="E618">
        <v>1.38</v>
      </c>
      <c r="F618">
        <v>4.07</v>
      </c>
      <c r="G618" s="8">
        <f t="shared" si="9"/>
        <v>20.343980343980341</v>
      </c>
    </row>
    <row r="619" spans="1:7" x14ac:dyDescent="0.25">
      <c r="A619" s="87">
        <v>45804.395833333336</v>
      </c>
      <c r="B619">
        <v>38</v>
      </c>
      <c r="C619" t="s">
        <v>46</v>
      </c>
      <c r="D619" t="s">
        <v>47</v>
      </c>
      <c r="E619">
        <v>1.61</v>
      </c>
      <c r="F619">
        <v>3.73</v>
      </c>
      <c r="G619" s="8">
        <f t="shared" si="9"/>
        <v>25.898123324396785</v>
      </c>
    </row>
    <row r="620" spans="1:7" x14ac:dyDescent="0.25">
      <c r="A620" s="87">
        <v>45804.395833333336</v>
      </c>
      <c r="B620">
        <v>39</v>
      </c>
      <c r="C620" t="s">
        <v>47</v>
      </c>
      <c r="D620" t="s">
        <v>48</v>
      </c>
      <c r="E620">
        <v>1.55</v>
      </c>
      <c r="F620">
        <v>3.33</v>
      </c>
      <c r="G620" s="8">
        <f t="shared" si="9"/>
        <v>27.927927927927929</v>
      </c>
    </row>
    <row r="621" spans="1:7" x14ac:dyDescent="0.25">
      <c r="A621" s="87">
        <v>45804.395833333336</v>
      </c>
      <c r="B621">
        <v>40</v>
      </c>
      <c r="C621" t="s">
        <v>48</v>
      </c>
      <c r="D621" t="s">
        <v>49</v>
      </c>
      <c r="E621">
        <v>1.39</v>
      </c>
      <c r="F621">
        <v>2.88</v>
      </c>
      <c r="G621" s="8">
        <f t="shared" si="9"/>
        <v>28.958333333333332</v>
      </c>
    </row>
    <row r="622" spans="1:7" x14ac:dyDescent="0.25">
      <c r="A622" s="87">
        <v>45804.395833333336</v>
      </c>
      <c r="B622">
        <v>41</v>
      </c>
      <c r="C622" t="s">
        <v>50</v>
      </c>
      <c r="D622" t="s">
        <v>51</v>
      </c>
      <c r="E622">
        <v>1.56</v>
      </c>
      <c r="F622">
        <v>4.33</v>
      </c>
      <c r="G622" s="8">
        <f t="shared" si="9"/>
        <v>21.616628175519633</v>
      </c>
    </row>
    <row r="623" spans="1:7" x14ac:dyDescent="0.25">
      <c r="A623" s="87">
        <v>45804.395833333336</v>
      </c>
      <c r="B623">
        <v>42</v>
      </c>
      <c r="C623" t="s">
        <v>51</v>
      </c>
      <c r="D623" t="s">
        <v>52</v>
      </c>
      <c r="E623">
        <v>1.56</v>
      </c>
      <c r="F623">
        <v>4.55</v>
      </c>
      <c r="G623" s="8">
        <f t="shared" si="9"/>
        <v>20.571428571428573</v>
      </c>
    </row>
    <row r="624" spans="1:7" x14ac:dyDescent="0.25">
      <c r="A624" s="87">
        <v>45804.395833333336</v>
      </c>
      <c r="B624">
        <v>43</v>
      </c>
      <c r="C624" t="s">
        <v>52</v>
      </c>
      <c r="D624" t="s">
        <v>53</v>
      </c>
      <c r="E624">
        <v>1.51</v>
      </c>
      <c r="F624">
        <v>3.62</v>
      </c>
      <c r="G624" s="8">
        <f t="shared" si="9"/>
        <v>25.027624309392262</v>
      </c>
    </row>
    <row r="625" spans="1:7" x14ac:dyDescent="0.25">
      <c r="A625" s="87">
        <v>45804.395833333336</v>
      </c>
      <c r="B625">
        <v>44</v>
      </c>
      <c r="C625" t="s">
        <v>54</v>
      </c>
      <c r="D625" t="s">
        <v>55</v>
      </c>
      <c r="E625">
        <v>1.51</v>
      </c>
      <c r="F625">
        <v>4.82</v>
      </c>
      <c r="G625" s="8">
        <f t="shared" si="9"/>
        <v>18.796680497925308</v>
      </c>
    </row>
    <row r="626" spans="1:7" x14ac:dyDescent="0.25">
      <c r="A626" s="87">
        <v>45804.395833333336</v>
      </c>
      <c r="B626">
        <v>45</v>
      </c>
      <c r="C626" t="s">
        <v>55</v>
      </c>
      <c r="D626" t="s">
        <v>56</v>
      </c>
      <c r="E626">
        <v>1.49</v>
      </c>
      <c r="F626">
        <v>3.38</v>
      </c>
      <c r="G626" s="8">
        <f t="shared" si="9"/>
        <v>26.449704142011836</v>
      </c>
    </row>
    <row r="627" spans="1:7" x14ac:dyDescent="0.25">
      <c r="A627" s="87">
        <v>45804.395833333336</v>
      </c>
      <c r="B627">
        <v>46</v>
      </c>
      <c r="C627" t="s">
        <v>56</v>
      </c>
      <c r="D627" t="s">
        <v>57</v>
      </c>
      <c r="E627">
        <v>1.52</v>
      </c>
      <c r="F627">
        <v>3.67</v>
      </c>
      <c r="G627" s="8">
        <f t="shared" si="9"/>
        <v>24.850136239782017</v>
      </c>
    </row>
    <row r="628" spans="1:7" x14ac:dyDescent="0.25">
      <c r="A628" s="87">
        <v>45804.395833333336</v>
      </c>
      <c r="B628">
        <v>47</v>
      </c>
      <c r="C628" t="s">
        <v>58</v>
      </c>
      <c r="D628" t="s">
        <v>59</v>
      </c>
      <c r="E628">
        <v>1.52</v>
      </c>
      <c r="F628">
        <v>6.3</v>
      </c>
      <c r="G628" s="8">
        <f t="shared" si="9"/>
        <v>14.476190476190476</v>
      </c>
    </row>
    <row r="629" spans="1:7" x14ac:dyDescent="0.25">
      <c r="A629" s="87">
        <v>45804.395833333336</v>
      </c>
      <c r="B629">
        <v>48</v>
      </c>
      <c r="C629" t="s">
        <v>59</v>
      </c>
      <c r="D629" t="s">
        <v>60</v>
      </c>
      <c r="E629">
        <v>1.5</v>
      </c>
      <c r="F629">
        <v>3.95</v>
      </c>
      <c r="G629" s="8">
        <f t="shared" si="9"/>
        <v>22.784810126582279</v>
      </c>
    </row>
    <row r="630" spans="1:7" x14ac:dyDescent="0.25">
      <c r="A630" s="87">
        <v>45804.395833333336</v>
      </c>
      <c r="B630">
        <v>49</v>
      </c>
      <c r="C630" t="s">
        <v>60</v>
      </c>
      <c r="D630" t="s">
        <v>61</v>
      </c>
      <c r="E630">
        <v>1.54</v>
      </c>
      <c r="F630">
        <v>3.98</v>
      </c>
      <c r="G630" s="8">
        <f t="shared" si="9"/>
        <v>23.216080402010054</v>
      </c>
    </row>
    <row r="631" spans="1:7" x14ac:dyDescent="0.25">
      <c r="A631" s="87">
        <v>45804.395833333336</v>
      </c>
      <c r="B631">
        <v>50</v>
      </c>
      <c r="C631" t="s">
        <v>62</v>
      </c>
      <c r="D631" t="s">
        <v>63</v>
      </c>
      <c r="E631">
        <v>1.38</v>
      </c>
      <c r="F631">
        <v>3.15</v>
      </c>
      <c r="G631" s="8">
        <f t="shared" si="9"/>
        <v>26.285714285714285</v>
      </c>
    </row>
    <row r="632" spans="1:7" x14ac:dyDescent="0.25">
      <c r="A632" s="87">
        <v>45804.395833333336</v>
      </c>
      <c r="B632">
        <v>51</v>
      </c>
      <c r="C632" t="s">
        <v>63</v>
      </c>
      <c r="D632" t="s">
        <v>64</v>
      </c>
      <c r="E632">
        <v>2.79</v>
      </c>
      <c r="F632">
        <v>6.03</v>
      </c>
      <c r="G632" s="8">
        <f t="shared" si="9"/>
        <v>27.761194029850746</v>
      </c>
    </row>
    <row r="633" spans="1:7" x14ac:dyDescent="0.25">
      <c r="A633" s="87">
        <v>45804.395833333336</v>
      </c>
      <c r="B633">
        <v>52</v>
      </c>
      <c r="C633" t="s">
        <v>64</v>
      </c>
      <c r="D633" t="s">
        <v>65</v>
      </c>
      <c r="E633">
        <v>1.5</v>
      </c>
      <c r="F633">
        <v>2.82</v>
      </c>
      <c r="G633" s="8">
        <f t="shared" si="9"/>
        <v>31.914893617021278</v>
      </c>
    </row>
    <row r="634" spans="1:7" x14ac:dyDescent="0.25">
      <c r="A634" s="87">
        <v>45804.395833333336</v>
      </c>
      <c r="B634">
        <v>53</v>
      </c>
      <c r="C634" t="s">
        <v>65</v>
      </c>
      <c r="D634" t="s">
        <v>66</v>
      </c>
      <c r="E634">
        <v>1.46</v>
      </c>
      <c r="F634">
        <v>3.88</v>
      </c>
      <c r="G634" s="8">
        <f t="shared" si="9"/>
        <v>22.577319587628864</v>
      </c>
    </row>
    <row r="635" spans="1:7" x14ac:dyDescent="0.25">
      <c r="A635" s="87">
        <v>45804.395833333336</v>
      </c>
      <c r="B635">
        <v>54</v>
      </c>
      <c r="C635" t="s">
        <v>67</v>
      </c>
      <c r="D635" t="s">
        <v>68</v>
      </c>
      <c r="E635">
        <v>1.46</v>
      </c>
      <c r="F635">
        <v>5.75</v>
      </c>
      <c r="G635" s="8">
        <f t="shared" si="9"/>
        <v>15.234782608695651</v>
      </c>
    </row>
    <row r="636" spans="1:7" x14ac:dyDescent="0.25">
      <c r="A636" s="87">
        <v>45804.395833333336</v>
      </c>
      <c r="B636">
        <v>55</v>
      </c>
      <c r="C636" t="s">
        <v>68</v>
      </c>
      <c r="D636" t="s">
        <v>69</v>
      </c>
      <c r="E636">
        <v>1.5</v>
      </c>
      <c r="F636">
        <v>2.38</v>
      </c>
      <c r="G636" s="8">
        <f t="shared" si="9"/>
        <v>37.815126050420169</v>
      </c>
    </row>
    <row r="637" spans="1:7" x14ac:dyDescent="0.25">
      <c r="A637" s="87">
        <v>45804.395833333336</v>
      </c>
      <c r="B637">
        <v>56</v>
      </c>
      <c r="C637" t="s">
        <v>70</v>
      </c>
      <c r="D637" t="s">
        <v>71</v>
      </c>
      <c r="E637">
        <v>1.51</v>
      </c>
      <c r="F637">
        <v>6.23</v>
      </c>
      <c r="G637" s="8">
        <f t="shared" si="9"/>
        <v>14.542536115569822</v>
      </c>
    </row>
    <row r="638" spans="1:7" x14ac:dyDescent="0.25">
      <c r="A638" s="87">
        <v>45804.395833333336</v>
      </c>
      <c r="B638">
        <v>57</v>
      </c>
      <c r="C638" t="s">
        <v>71</v>
      </c>
      <c r="D638" t="s">
        <v>72</v>
      </c>
      <c r="E638">
        <v>1.52</v>
      </c>
      <c r="F638">
        <v>4.05</v>
      </c>
      <c r="G638" s="8">
        <f t="shared" si="9"/>
        <v>22.518518518518519</v>
      </c>
    </row>
    <row r="639" spans="1:7" x14ac:dyDescent="0.25">
      <c r="A639" s="87">
        <v>45804.395833333336</v>
      </c>
      <c r="B639">
        <v>58</v>
      </c>
      <c r="C639" t="s">
        <v>72</v>
      </c>
      <c r="D639" t="s">
        <v>73</v>
      </c>
      <c r="E639">
        <v>1.5</v>
      </c>
      <c r="F639">
        <v>3.83</v>
      </c>
      <c r="G639" s="8">
        <f t="shared" si="9"/>
        <v>23.49869451697128</v>
      </c>
    </row>
    <row r="640" spans="1:7" x14ac:dyDescent="0.25">
      <c r="A640" s="87">
        <v>45804.40625</v>
      </c>
      <c r="B640">
        <v>1</v>
      </c>
      <c r="C640" t="s">
        <v>6</v>
      </c>
      <c r="D640" t="s">
        <v>7</v>
      </c>
      <c r="E640">
        <v>1.53</v>
      </c>
      <c r="F640">
        <v>3.3</v>
      </c>
      <c r="G640" s="8">
        <f t="shared" si="9"/>
        <v>27.81818181818182</v>
      </c>
    </row>
    <row r="641" spans="1:7" x14ac:dyDescent="0.25">
      <c r="A641" s="87">
        <v>45804.40625</v>
      </c>
      <c r="B641">
        <v>2</v>
      </c>
      <c r="C641" t="s">
        <v>7</v>
      </c>
      <c r="D641" t="s">
        <v>8</v>
      </c>
      <c r="E641">
        <v>1.57</v>
      </c>
      <c r="F641">
        <v>5.0199999999999996</v>
      </c>
      <c r="G641" s="8">
        <f t="shared" si="9"/>
        <v>18.764940239043828</v>
      </c>
    </row>
    <row r="642" spans="1:7" x14ac:dyDescent="0.25">
      <c r="A642" s="87">
        <v>45804.40625</v>
      </c>
      <c r="B642">
        <v>3</v>
      </c>
      <c r="C642" t="s">
        <v>8</v>
      </c>
      <c r="D642" t="s">
        <v>9</v>
      </c>
      <c r="E642">
        <v>1.5</v>
      </c>
      <c r="F642">
        <v>3.07</v>
      </c>
      <c r="G642" s="8">
        <f t="shared" si="9"/>
        <v>29.31596091205212</v>
      </c>
    </row>
    <row r="643" spans="1:7" x14ac:dyDescent="0.25">
      <c r="A643" s="87">
        <v>45804.40625</v>
      </c>
      <c r="B643">
        <v>4</v>
      </c>
      <c r="C643" t="s">
        <v>9</v>
      </c>
      <c r="D643" t="s">
        <v>10</v>
      </c>
      <c r="E643">
        <v>1.5</v>
      </c>
      <c r="F643">
        <v>2.63</v>
      </c>
      <c r="G643" s="8">
        <f t="shared" ref="G643:G706" si="10">E643*60/F643</f>
        <v>34.220532319391637</v>
      </c>
    </row>
    <row r="644" spans="1:7" x14ac:dyDescent="0.25">
      <c r="A644" s="87">
        <v>45804.40625</v>
      </c>
      <c r="B644">
        <v>5</v>
      </c>
      <c r="C644" t="s">
        <v>10</v>
      </c>
      <c r="D644" t="s">
        <v>11</v>
      </c>
      <c r="E644">
        <v>1.52</v>
      </c>
      <c r="F644">
        <v>3.25</v>
      </c>
      <c r="G644" s="8">
        <f t="shared" si="10"/>
        <v>28.061538461538461</v>
      </c>
    </row>
    <row r="645" spans="1:7" x14ac:dyDescent="0.25">
      <c r="A645" s="87">
        <v>45804.40625</v>
      </c>
      <c r="B645">
        <v>6</v>
      </c>
      <c r="C645" t="s">
        <v>11</v>
      </c>
      <c r="D645" t="s">
        <v>12</v>
      </c>
      <c r="E645">
        <v>1.5</v>
      </c>
      <c r="F645">
        <v>2.67</v>
      </c>
      <c r="G645" s="8">
        <f t="shared" si="10"/>
        <v>33.707865168539328</v>
      </c>
    </row>
    <row r="646" spans="1:7" x14ac:dyDescent="0.25">
      <c r="A646" s="87">
        <v>45804.40625</v>
      </c>
      <c r="B646">
        <v>7</v>
      </c>
      <c r="C646" t="s">
        <v>12</v>
      </c>
      <c r="D646" t="s">
        <v>13</v>
      </c>
      <c r="E646">
        <v>1.54</v>
      </c>
      <c r="F646">
        <v>2.4700000000000002</v>
      </c>
      <c r="G646" s="8">
        <f t="shared" si="10"/>
        <v>37.40890688259109</v>
      </c>
    </row>
    <row r="647" spans="1:7" x14ac:dyDescent="0.25">
      <c r="A647" s="87">
        <v>45804.40625</v>
      </c>
      <c r="B647">
        <v>8</v>
      </c>
      <c r="C647" t="s">
        <v>13</v>
      </c>
      <c r="D647" t="s">
        <v>14</v>
      </c>
      <c r="E647">
        <v>1.54</v>
      </c>
      <c r="F647">
        <v>3.45</v>
      </c>
      <c r="G647" s="8">
        <f t="shared" si="10"/>
        <v>26.782608695652176</v>
      </c>
    </row>
    <row r="648" spans="1:7" x14ac:dyDescent="0.25">
      <c r="A648" s="87">
        <v>45804.40625</v>
      </c>
      <c r="B648">
        <v>9</v>
      </c>
      <c r="C648" t="s">
        <v>14</v>
      </c>
      <c r="D648" t="s">
        <v>15</v>
      </c>
      <c r="E648">
        <v>1.52</v>
      </c>
      <c r="F648">
        <v>5.4</v>
      </c>
      <c r="G648" s="8">
        <f t="shared" si="10"/>
        <v>16.888888888888889</v>
      </c>
    </row>
    <row r="649" spans="1:7" x14ac:dyDescent="0.25">
      <c r="A649" s="87">
        <v>45804.40625</v>
      </c>
      <c r="B649">
        <v>10</v>
      </c>
      <c r="C649" t="s">
        <v>15</v>
      </c>
      <c r="D649" t="s">
        <v>16</v>
      </c>
      <c r="E649">
        <v>1.5</v>
      </c>
      <c r="F649">
        <v>4.37</v>
      </c>
      <c r="G649" s="8">
        <f t="shared" si="10"/>
        <v>20.594965675057207</v>
      </c>
    </row>
    <row r="650" spans="1:7" x14ac:dyDescent="0.25">
      <c r="A650" s="87">
        <v>45804.40625</v>
      </c>
      <c r="B650">
        <v>11</v>
      </c>
      <c r="C650" t="s">
        <v>16</v>
      </c>
      <c r="D650" t="s">
        <v>17</v>
      </c>
      <c r="E650">
        <v>1.48</v>
      </c>
      <c r="F650">
        <v>4.4800000000000004</v>
      </c>
      <c r="G650" s="8">
        <f t="shared" si="10"/>
        <v>19.821428571428569</v>
      </c>
    </row>
    <row r="651" spans="1:7" x14ac:dyDescent="0.25">
      <c r="A651" s="87">
        <v>45804.40625</v>
      </c>
      <c r="B651">
        <v>12</v>
      </c>
      <c r="C651" t="s">
        <v>17</v>
      </c>
      <c r="D651" t="s">
        <v>18</v>
      </c>
      <c r="E651">
        <v>1.46</v>
      </c>
      <c r="F651">
        <v>6.53</v>
      </c>
      <c r="G651" s="8">
        <f t="shared" si="10"/>
        <v>13.415007656967839</v>
      </c>
    </row>
    <row r="652" spans="1:7" x14ac:dyDescent="0.25">
      <c r="A652" s="87">
        <v>45804.40625</v>
      </c>
      <c r="B652">
        <v>13</v>
      </c>
      <c r="C652" t="s">
        <v>18</v>
      </c>
      <c r="D652" t="s">
        <v>19</v>
      </c>
      <c r="E652">
        <v>1.52</v>
      </c>
      <c r="F652">
        <v>4.75</v>
      </c>
      <c r="G652" s="8">
        <f t="shared" si="10"/>
        <v>19.2</v>
      </c>
    </row>
    <row r="653" spans="1:7" x14ac:dyDescent="0.25">
      <c r="A653" s="87">
        <v>45804.40625</v>
      </c>
      <c r="B653">
        <v>14</v>
      </c>
      <c r="C653" t="s">
        <v>19</v>
      </c>
      <c r="D653" t="s">
        <v>20</v>
      </c>
      <c r="E653">
        <v>1.51</v>
      </c>
      <c r="F653">
        <v>3.62</v>
      </c>
      <c r="G653" s="8">
        <f t="shared" si="10"/>
        <v>25.027624309392262</v>
      </c>
    </row>
    <row r="654" spans="1:7" x14ac:dyDescent="0.25">
      <c r="A654" s="87">
        <v>45804.40625</v>
      </c>
      <c r="B654">
        <v>15</v>
      </c>
      <c r="C654" t="s">
        <v>20</v>
      </c>
      <c r="D654" t="s">
        <v>21</v>
      </c>
      <c r="E654">
        <v>1.47</v>
      </c>
      <c r="F654">
        <v>2.78</v>
      </c>
      <c r="G654" s="8">
        <f t="shared" si="10"/>
        <v>31.726618705035975</v>
      </c>
    </row>
    <row r="655" spans="1:7" x14ac:dyDescent="0.25">
      <c r="A655" s="87">
        <v>45804.40625</v>
      </c>
      <c r="B655">
        <v>16</v>
      </c>
      <c r="C655" t="s">
        <v>21</v>
      </c>
      <c r="D655" t="s">
        <v>22</v>
      </c>
      <c r="E655">
        <v>1.5</v>
      </c>
      <c r="F655">
        <v>1.85</v>
      </c>
      <c r="G655" s="8">
        <f t="shared" si="10"/>
        <v>48.648648648648646</v>
      </c>
    </row>
    <row r="656" spans="1:7" x14ac:dyDescent="0.25">
      <c r="A656" s="87">
        <v>45804.40625</v>
      </c>
      <c r="B656">
        <v>17</v>
      </c>
      <c r="C656" t="s">
        <v>22</v>
      </c>
      <c r="D656" t="s">
        <v>23</v>
      </c>
      <c r="E656">
        <v>1.51</v>
      </c>
      <c r="F656">
        <v>3.32</v>
      </c>
      <c r="G656" s="8">
        <f t="shared" si="10"/>
        <v>27.289156626506024</v>
      </c>
    </row>
    <row r="657" spans="1:7" x14ac:dyDescent="0.25">
      <c r="A657" s="87">
        <v>45804.40625</v>
      </c>
      <c r="B657">
        <v>18</v>
      </c>
      <c r="C657" t="s">
        <v>23</v>
      </c>
      <c r="D657" t="s">
        <v>24</v>
      </c>
      <c r="E657">
        <v>1.51</v>
      </c>
      <c r="F657">
        <v>3.53</v>
      </c>
      <c r="G657" s="8">
        <f t="shared" si="10"/>
        <v>25.665722379603398</v>
      </c>
    </row>
    <row r="658" spans="1:7" x14ac:dyDescent="0.25">
      <c r="A658" s="87">
        <v>45804.40625</v>
      </c>
      <c r="B658">
        <v>19</v>
      </c>
      <c r="C658" t="s">
        <v>25</v>
      </c>
      <c r="D658" t="s">
        <v>26</v>
      </c>
      <c r="E658">
        <v>1.5</v>
      </c>
      <c r="F658">
        <v>4.32</v>
      </c>
      <c r="G658" s="8">
        <f t="shared" si="10"/>
        <v>20.833333333333332</v>
      </c>
    </row>
    <row r="659" spans="1:7" x14ac:dyDescent="0.25">
      <c r="A659" s="87">
        <v>45804.40625</v>
      </c>
      <c r="B659">
        <v>20</v>
      </c>
      <c r="C659" t="s">
        <v>26</v>
      </c>
      <c r="D659" t="s">
        <v>27</v>
      </c>
      <c r="E659">
        <v>1.48</v>
      </c>
      <c r="F659">
        <v>4.92</v>
      </c>
      <c r="G659" s="8">
        <f t="shared" si="10"/>
        <v>18.048780487804876</v>
      </c>
    </row>
    <row r="660" spans="1:7" x14ac:dyDescent="0.25">
      <c r="A660" s="87">
        <v>45804.40625</v>
      </c>
      <c r="B660">
        <v>21</v>
      </c>
      <c r="C660" t="s">
        <v>27</v>
      </c>
      <c r="D660" t="s">
        <v>28</v>
      </c>
      <c r="E660">
        <v>1.51</v>
      </c>
      <c r="F660">
        <v>3.97</v>
      </c>
      <c r="G660" s="8">
        <f t="shared" si="10"/>
        <v>22.821158690176318</v>
      </c>
    </row>
    <row r="661" spans="1:7" x14ac:dyDescent="0.25">
      <c r="A661" s="87">
        <v>45804.40625</v>
      </c>
      <c r="B661">
        <v>22</v>
      </c>
      <c r="C661" t="s">
        <v>28</v>
      </c>
      <c r="D661" t="s">
        <v>29</v>
      </c>
      <c r="E661">
        <v>1.57</v>
      </c>
      <c r="F661">
        <v>3.88</v>
      </c>
      <c r="G661" s="8">
        <f t="shared" si="10"/>
        <v>24.27835051546392</v>
      </c>
    </row>
    <row r="662" spans="1:7" x14ac:dyDescent="0.25">
      <c r="A662" s="87">
        <v>45804.40625</v>
      </c>
      <c r="B662">
        <v>23</v>
      </c>
      <c r="C662" t="s">
        <v>29</v>
      </c>
      <c r="D662" t="s">
        <v>30</v>
      </c>
      <c r="E662">
        <v>1.43</v>
      </c>
      <c r="F662">
        <v>3.98</v>
      </c>
      <c r="G662" s="8">
        <f t="shared" si="10"/>
        <v>21.557788944723619</v>
      </c>
    </row>
    <row r="663" spans="1:7" x14ac:dyDescent="0.25">
      <c r="A663" s="87">
        <v>45804.40625</v>
      </c>
      <c r="B663">
        <v>24</v>
      </c>
      <c r="C663" t="s">
        <v>30</v>
      </c>
      <c r="D663" t="s">
        <v>31</v>
      </c>
      <c r="E663">
        <v>1.52</v>
      </c>
      <c r="F663">
        <v>3.58</v>
      </c>
      <c r="G663" s="8">
        <f t="shared" si="10"/>
        <v>25.47486033519553</v>
      </c>
    </row>
    <row r="664" spans="1:7" x14ac:dyDescent="0.25">
      <c r="A664" s="87">
        <v>45804.40625</v>
      </c>
      <c r="B664">
        <v>25</v>
      </c>
      <c r="C664" t="s">
        <v>31</v>
      </c>
      <c r="D664" t="s">
        <v>32</v>
      </c>
      <c r="E664">
        <v>1.52</v>
      </c>
      <c r="F664">
        <v>3.62</v>
      </c>
      <c r="G664" s="8">
        <f t="shared" si="10"/>
        <v>25.193370165745858</v>
      </c>
    </row>
    <row r="665" spans="1:7" x14ac:dyDescent="0.25">
      <c r="A665" s="87">
        <v>45804.40625</v>
      </c>
      <c r="B665">
        <v>26</v>
      </c>
      <c r="C665" t="s">
        <v>32</v>
      </c>
      <c r="D665" t="s">
        <v>33</v>
      </c>
      <c r="E665">
        <v>1.49</v>
      </c>
      <c r="F665">
        <v>4.5999999999999996</v>
      </c>
      <c r="G665" s="8">
        <f t="shared" si="10"/>
        <v>19.434782608695656</v>
      </c>
    </row>
    <row r="666" spans="1:7" x14ac:dyDescent="0.25">
      <c r="A666" s="87">
        <v>45804.40625</v>
      </c>
      <c r="B666">
        <v>27</v>
      </c>
      <c r="C666" t="s">
        <v>33</v>
      </c>
      <c r="D666" t="s">
        <v>34</v>
      </c>
      <c r="E666">
        <v>1.53</v>
      </c>
      <c r="F666">
        <v>5.5</v>
      </c>
      <c r="G666" s="8">
        <f t="shared" si="10"/>
        <v>16.690909090909091</v>
      </c>
    </row>
    <row r="667" spans="1:7" x14ac:dyDescent="0.25">
      <c r="A667" s="87">
        <v>45804.40625</v>
      </c>
      <c r="B667">
        <v>28</v>
      </c>
      <c r="C667" t="s">
        <v>34</v>
      </c>
      <c r="D667" t="s">
        <v>35</v>
      </c>
      <c r="E667">
        <v>1.51</v>
      </c>
      <c r="F667">
        <v>4.3499999999999996</v>
      </c>
      <c r="G667" s="8">
        <f t="shared" si="10"/>
        <v>20.827586206896552</v>
      </c>
    </row>
    <row r="668" spans="1:7" x14ac:dyDescent="0.25">
      <c r="A668" s="87">
        <v>45804.40625</v>
      </c>
      <c r="B668">
        <v>29</v>
      </c>
      <c r="C668" t="s">
        <v>36</v>
      </c>
      <c r="D668" t="s">
        <v>37</v>
      </c>
      <c r="E668">
        <v>1.57</v>
      </c>
      <c r="F668">
        <v>5.17</v>
      </c>
      <c r="G668" s="8">
        <f t="shared" si="10"/>
        <v>18.220502901353967</v>
      </c>
    </row>
    <row r="669" spans="1:7" x14ac:dyDescent="0.25">
      <c r="A669" s="87">
        <v>45804.40625</v>
      </c>
      <c r="B669">
        <v>30</v>
      </c>
      <c r="C669" t="s">
        <v>37</v>
      </c>
      <c r="D669" t="s">
        <v>38</v>
      </c>
      <c r="E669">
        <v>1.57</v>
      </c>
      <c r="F669">
        <v>6.5</v>
      </c>
      <c r="G669" s="8">
        <f t="shared" si="10"/>
        <v>14.492307692307692</v>
      </c>
    </row>
    <row r="670" spans="1:7" x14ac:dyDescent="0.25">
      <c r="A670" s="87">
        <v>45804.40625</v>
      </c>
      <c r="B670">
        <v>31</v>
      </c>
      <c r="C670" t="s">
        <v>38</v>
      </c>
      <c r="D670" t="s">
        <v>39</v>
      </c>
      <c r="E670">
        <v>1.52</v>
      </c>
      <c r="F670">
        <v>3.6</v>
      </c>
      <c r="G670" s="8">
        <f t="shared" si="10"/>
        <v>25.333333333333332</v>
      </c>
    </row>
    <row r="671" spans="1:7" x14ac:dyDescent="0.25">
      <c r="A671" s="87">
        <v>45804.40625</v>
      </c>
      <c r="B671">
        <v>32</v>
      </c>
      <c r="C671" t="s">
        <v>39</v>
      </c>
      <c r="D671" t="s">
        <v>40</v>
      </c>
      <c r="E671">
        <v>1.5</v>
      </c>
      <c r="F671">
        <v>1.75</v>
      </c>
      <c r="G671" s="8">
        <f t="shared" si="10"/>
        <v>51.428571428571431</v>
      </c>
    </row>
    <row r="672" spans="1:7" x14ac:dyDescent="0.25">
      <c r="A672" s="87">
        <v>45804.40625</v>
      </c>
      <c r="B672">
        <v>33</v>
      </c>
      <c r="C672" t="s">
        <v>40</v>
      </c>
      <c r="D672" t="s">
        <v>41</v>
      </c>
      <c r="E672">
        <v>1.51</v>
      </c>
      <c r="F672">
        <v>1.87</v>
      </c>
      <c r="G672" s="8">
        <f t="shared" si="10"/>
        <v>48.449197860962563</v>
      </c>
    </row>
    <row r="673" spans="1:7" x14ac:dyDescent="0.25">
      <c r="A673" s="87">
        <v>45804.40625</v>
      </c>
      <c r="B673">
        <v>34</v>
      </c>
      <c r="C673" t="s">
        <v>41</v>
      </c>
      <c r="D673" t="s">
        <v>42</v>
      </c>
      <c r="E673">
        <v>1.5</v>
      </c>
      <c r="F673">
        <v>2.4500000000000002</v>
      </c>
      <c r="G673" s="8">
        <f t="shared" si="10"/>
        <v>36.734693877551017</v>
      </c>
    </row>
    <row r="674" spans="1:7" x14ac:dyDescent="0.25">
      <c r="A674" s="87">
        <v>45804.40625</v>
      </c>
      <c r="B674">
        <v>35</v>
      </c>
      <c r="C674" t="s">
        <v>43</v>
      </c>
      <c r="D674" t="s">
        <v>44</v>
      </c>
      <c r="E674">
        <v>1.55</v>
      </c>
      <c r="F674">
        <v>4.9800000000000004</v>
      </c>
      <c r="G674" s="8">
        <f t="shared" si="10"/>
        <v>18.674698795180721</v>
      </c>
    </row>
    <row r="675" spans="1:7" x14ac:dyDescent="0.25">
      <c r="A675" s="87">
        <v>45804.40625</v>
      </c>
      <c r="B675">
        <v>36</v>
      </c>
      <c r="C675" t="s">
        <v>44</v>
      </c>
      <c r="D675" t="s">
        <v>45</v>
      </c>
      <c r="E675">
        <v>1.5</v>
      </c>
      <c r="F675">
        <v>3.05</v>
      </c>
      <c r="G675" s="8">
        <f t="shared" si="10"/>
        <v>29.508196721311478</v>
      </c>
    </row>
    <row r="676" spans="1:7" x14ac:dyDescent="0.25">
      <c r="A676" s="87">
        <v>45804.40625</v>
      </c>
      <c r="B676">
        <v>37</v>
      </c>
      <c r="C676" t="s">
        <v>45</v>
      </c>
      <c r="D676" t="s">
        <v>46</v>
      </c>
      <c r="E676">
        <v>1.38</v>
      </c>
      <c r="F676">
        <v>4.03</v>
      </c>
      <c r="G676" s="8">
        <f t="shared" si="10"/>
        <v>20.545905707196027</v>
      </c>
    </row>
    <row r="677" spans="1:7" x14ac:dyDescent="0.25">
      <c r="A677" s="87">
        <v>45804.40625</v>
      </c>
      <c r="B677">
        <v>38</v>
      </c>
      <c r="C677" t="s">
        <v>46</v>
      </c>
      <c r="D677" t="s">
        <v>47</v>
      </c>
      <c r="E677">
        <v>1.61</v>
      </c>
      <c r="F677">
        <v>3.83</v>
      </c>
      <c r="G677" s="8">
        <f t="shared" si="10"/>
        <v>25.22193211488251</v>
      </c>
    </row>
    <row r="678" spans="1:7" x14ac:dyDescent="0.25">
      <c r="A678" s="87">
        <v>45804.40625</v>
      </c>
      <c r="B678">
        <v>39</v>
      </c>
      <c r="C678" t="s">
        <v>47</v>
      </c>
      <c r="D678" t="s">
        <v>48</v>
      </c>
      <c r="E678">
        <v>1.55</v>
      </c>
      <c r="F678">
        <v>3.37</v>
      </c>
      <c r="G678" s="8">
        <f t="shared" si="10"/>
        <v>27.596439169139465</v>
      </c>
    </row>
    <row r="679" spans="1:7" x14ac:dyDescent="0.25">
      <c r="A679" s="87">
        <v>45804.40625</v>
      </c>
      <c r="B679">
        <v>40</v>
      </c>
      <c r="C679" t="s">
        <v>48</v>
      </c>
      <c r="D679" t="s">
        <v>49</v>
      </c>
      <c r="E679">
        <v>1.39</v>
      </c>
      <c r="F679">
        <v>2.9</v>
      </c>
      <c r="G679" s="8">
        <f t="shared" si="10"/>
        <v>28.758620689655171</v>
      </c>
    </row>
    <row r="680" spans="1:7" x14ac:dyDescent="0.25">
      <c r="A680" s="87">
        <v>45804.40625</v>
      </c>
      <c r="B680">
        <v>41</v>
      </c>
      <c r="C680" t="s">
        <v>50</v>
      </c>
      <c r="D680" t="s">
        <v>51</v>
      </c>
      <c r="E680">
        <v>1.56</v>
      </c>
      <c r="F680">
        <v>4.63</v>
      </c>
      <c r="G680" s="8">
        <f t="shared" si="10"/>
        <v>20.215982721382293</v>
      </c>
    </row>
    <row r="681" spans="1:7" x14ac:dyDescent="0.25">
      <c r="A681" s="87">
        <v>45804.40625</v>
      </c>
      <c r="B681">
        <v>42</v>
      </c>
      <c r="C681" t="s">
        <v>51</v>
      </c>
      <c r="D681" t="s">
        <v>52</v>
      </c>
      <c r="E681">
        <v>1.56</v>
      </c>
      <c r="F681">
        <v>4.33</v>
      </c>
      <c r="G681" s="8">
        <f t="shared" si="10"/>
        <v>21.616628175519633</v>
      </c>
    </row>
    <row r="682" spans="1:7" x14ac:dyDescent="0.25">
      <c r="A682" s="87">
        <v>45804.40625</v>
      </c>
      <c r="B682">
        <v>43</v>
      </c>
      <c r="C682" t="s">
        <v>52</v>
      </c>
      <c r="D682" t="s">
        <v>53</v>
      </c>
      <c r="E682">
        <v>1.51</v>
      </c>
      <c r="F682">
        <v>3.58</v>
      </c>
      <c r="G682" s="8">
        <f t="shared" si="10"/>
        <v>25.3072625698324</v>
      </c>
    </row>
    <row r="683" spans="1:7" x14ac:dyDescent="0.25">
      <c r="A683" s="87">
        <v>45804.40625</v>
      </c>
      <c r="B683">
        <v>44</v>
      </c>
      <c r="C683" t="s">
        <v>54</v>
      </c>
      <c r="D683" t="s">
        <v>55</v>
      </c>
      <c r="E683">
        <v>1.51</v>
      </c>
      <c r="F683">
        <v>4.58</v>
      </c>
      <c r="G683" s="8">
        <f t="shared" si="10"/>
        <v>19.781659388646286</v>
      </c>
    </row>
    <row r="684" spans="1:7" x14ac:dyDescent="0.25">
      <c r="A684" s="87">
        <v>45804.40625</v>
      </c>
      <c r="B684">
        <v>45</v>
      </c>
      <c r="C684" t="s">
        <v>55</v>
      </c>
      <c r="D684" t="s">
        <v>56</v>
      </c>
      <c r="E684">
        <v>1.49</v>
      </c>
      <c r="F684">
        <v>3.38</v>
      </c>
      <c r="G684" s="8">
        <f t="shared" si="10"/>
        <v>26.449704142011836</v>
      </c>
    </row>
    <row r="685" spans="1:7" x14ac:dyDescent="0.25">
      <c r="A685" s="87">
        <v>45804.40625</v>
      </c>
      <c r="B685">
        <v>46</v>
      </c>
      <c r="C685" t="s">
        <v>56</v>
      </c>
      <c r="D685" t="s">
        <v>57</v>
      </c>
      <c r="E685">
        <v>1.52</v>
      </c>
      <c r="F685">
        <v>3.83</v>
      </c>
      <c r="G685" s="8">
        <f t="shared" si="10"/>
        <v>23.812010443864231</v>
      </c>
    </row>
    <row r="686" spans="1:7" x14ac:dyDescent="0.25">
      <c r="A686" s="87">
        <v>45804.40625</v>
      </c>
      <c r="B686">
        <v>47</v>
      </c>
      <c r="C686" t="s">
        <v>58</v>
      </c>
      <c r="D686" t="s">
        <v>59</v>
      </c>
      <c r="E686">
        <v>1.52</v>
      </c>
      <c r="F686">
        <v>5.35</v>
      </c>
      <c r="G686" s="8">
        <f t="shared" si="10"/>
        <v>17.046728971962619</v>
      </c>
    </row>
    <row r="687" spans="1:7" x14ac:dyDescent="0.25">
      <c r="A687" s="87">
        <v>45804.40625</v>
      </c>
      <c r="B687">
        <v>48</v>
      </c>
      <c r="C687" t="s">
        <v>59</v>
      </c>
      <c r="D687" t="s">
        <v>60</v>
      </c>
      <c r="E687">
        <v>1.5</v>
      </c>
      <c r="F687">
        <v>3.82</v>
      </c>
      <c r="G687" s="8">
        <f t="shared" si="10"/>
        <v>23.560209424083769</v>
      </c>
    </row>
    <row r="688" spans="1:7" x14ac:dyDescent="0.25">
      <c r="A688" s="87">
        <v>45804.40625</v>
      </c>
      <c r="B688">
        <v>49</v>
      </c>
      <c r="C688" t="s">
        <v>60</v>
      </c>
      <c r="D688" t="s">
        <v>61</v>
      </c>
      <c r="E688">
        <v>1.54</v>
      </c>
      <c r="F688">
        <v>4.0199999999999996</v>
      </c>
      <c r="G688" s="8">
        <f t="shared" si="10"/>
        <v>22.985074626865675</v>
      </c>
    </row>
    <row r="689" spans="1:7" x14ac:dyDescent="0.25">
      <c r="A689" s="87">
        <v>45804.40625</v>
      </c>
      <c r="B689">
        <v>50</v>
      </c>
      <c r="C689" t="s">
        <v>62</v>
      </c>
      <c r="D689" t="s">
        <v>63</v>
      </c>
      <c r="E689">
        <v>1.38</v>
      </c>
      <c r="F689">
        <v>3.22</v>
      </c>
      <c r="G689" s="8">
        <f t="shared" si="10"/>
        <v>25.714285714285712</v>
      </c>
    </row>
    <row r="690" spans="1:7" x14ac:dyDescent="0.25">
      <c r="A690" s="87">
        <v>45804.40625</v>
      </c>
      <c r="B690">
        <v>51</v>
      </c>
      <c r="C690" t="s">
        <v>63</v>
      </c>
      <c r="D690" t="s">
        <v>64</v>
      </c>
      <c r="E690">
        <v>2.79</v>
      </c>
      <c r="F690">
        <v>6.1</v>
      </c>
      <c r="G690" s="8">
        <f t="shared" si="10"/>
        <v>27.442622950819676</v>
      </c>
    </row>
    <row r="691" spans="1:7" x14ac:dyDescent="0.25">
      <c r="A691" s="87">
        <v>45804.40625</v>
      </c>
      <c r="B691">
        <v>52</v>
      </c>
      <c r="C691" t="s">
        <v>64</v>
      </c>
      <c r="D691" t="s">
        <v>65</v>
      </c>
      <c r="E691">
        <v>1.5</v>
      </c>
      <c r="F691">
        <v>2.98</v>
      </c>
      <c r="G691" s="8">
        <f t="shared" si="10"/>
        <v>30.201342281879196</v>
      </c>
    </row>
    <row r="692" spans="1:7" x14ac:dyDescent="0.25">
      <c r="A692" s="87">
        <v>45804.40625</v>
      </c>
      <c r="B692">
        <v>53</v>
      </c>
      <c r="C692" t="s">
        <v>65</v>
      </c>
      <c r="D692" t="s">
        <v>66</v>
      </c>
      <c r="E692">
        <v>1.46</v>
      </c>
      <c r="F692">
        <v>3.87</v>
      </c>
      <c r="G692" s="8">
        <f t="shared" si="10"/>
        <v>22.63565891472868</v>
      </c>
    </row>
    <row r="693" spans="1:7" x14ac:dyDescent="0.25">
      <c r="A693" s="87">
        <v>45804.40625</v>
      </c>
      <c r="B693">
        <v>54</v>
      </c>
      <c r="C693" t="s">
        <v>67</v>
      </c>
      <c r="D693" t="s">
        <v>68</v>
      </c>
      <c r="E693">
        <v>1.46</v>
      </c>
      <c r="F693">
        <v>3.12</v>
      </c>
      <c r="G693" s="8">
        <f t="shared" si="10"/>
        <v>28.076923076923073</v>
      </c>
    </row>
    <row r="694" spans="1:7" x14ac:dyDescent="0.25">
      <c r="A694" s="87">
        <v>45804.40625</v>
      </c>
      <c r="B694">
        <v>55</v>
      </c>
      <c r="C694" t="s">
        <v>68</v>
      </c>
      <c r="D694" t="s">
        <v>69</v>
      </c>
      <c r="E694">
        <v>1.5</v>
      </c>
      <c r="F694">
        <v>2.37</v>
      </c>
      <c r="G694" s="8">
        <f t="shared" si="10"/>
        <v>37.974683544303794</v>
      </c>
    </row>
    <row r="695" spans="1:7" x14ac:dyDescent="0.25">
      <c r="A695" s="87">
        <v>45804.40625</v>
      </c>
      <c r="B695">
        <v>56</v>
      </c>
      <c r="C695" t="s">
        <v>70</v>
      </c>
      <c r="D695" t="s">
        <v>71</v>
      </c>
      <c r="E695">
        <v>1.51</v>
      </c>
      <c r="F695">
        <v>6.42</v>
      </c>
      <c r="G695" s="8">
        <f t="shared" si="10"/>
        <v>14.11214953271028</v>
      </c>
    </row>
    <row r="696" spans="1:7" x14ac:dyDescent="0.25">
      <c r="A696" s="87">
        <v>45804.40625</v>
      </c>
      <c r="B696">
        <v>57</v>
      </c>
      <c r="C696" t="s">
        <v>71</v>
      </c>
      <c r="D696" t="s">
        <v>72</v>
      </c>
      <c r="E696">
        <v>1.52</v>
      </c>
      <c r="F696">
        <v>3.75</v>
      </c>
      <c r="G696" s="8">
        <f t="shared" si="10"/>
        <v>24.32</v>
      </c>
    </row>
    <row r="697" spans="1:7" x14ac:dyDescent="0.25">
      <c r="A697" s="87">
        <v>45804.40625</v>
      </c>
      <c r="B697">
        <v>58</v>
      </c>
      <c r="C697" t="s">
        <v>72</v>
      </c>
      <c r="D697" t="s">
        <v>73</v>
      </c>
      <c r="E697">
        <v>1.5</v>
      </c>
      <c r="F697">
        <v>3.88</v>
      </c>
      <c r="G697" s="8">
        <f t="shared" si="10"/>
        <v>23.195876288659793</v>
      </c>
    </row>
    <row r="698" spans="1:7" x14ac:dyDescent="0.25">
      <c r="A698" s="87">
        <v>45804.416666666664</v>
      </c>
      <c r="B698">
        <v>1</v>
      </c>
      <c r="C698" t="s">
        <v>6</v>
      </c>
      <c r="D698" t="s">
        <v>7</v>
      </c>
      <c r="E698">
        <v>1.53</v>
      </c>
      <c r="F698">
        <v>3.27</v>
      </c>
      <c r="G698" s="8">
        <f t="shared" si="10"/>
        <v>28.073394495412842</v>
      </c>
    </row>
    <row r="699" spans="1:7" x14ac:dyDescent="0.25">
      <c r="A699" s="87">
        <v>45804.416666666664</v>
      </c>
      <c r="B699">
        <v>2</v>
      </c>
      <c r="C699" t="s">
        <v>7</v>
      </c>
      <c r="D699" t="s">
        <v>8</v>
      </c>
      <c r="E699">
        <v>1.57</v>
      </c>
      <c r="F699">
        <v>4.87</v>
      </c>
      <c r="G699" s="8">
        <f t="shared" si="10"/>
        <v>19.342915811088297</v>
      </c>
    </row>
    <row r="700" spans="1:7" x14ac:dyDescent="0.25">
      <c r="A700" s="87">
        <v>45804.416666666664</v>
      </c>
      <c r="B700">
        <v>3</v>
      </c>
      <c r="C700" t="s">
        <v>8</v>
      </c>
      <c r="D700" t="s">
        <v>9</v>
      </c>
      <c r="E700">
        <v>1.5</v>
      </c>
      <c r="F700">
        <v>3.1</v>
      </c>
      <c r="G700" s="8">
        <f t="shared" si="10"/>
        <v>29.032258064516128</v>
      </c>
    </row>
    <row r="701" spans="1:7" x14ac:dyDescent="0.25">
      <c r="A701" s="87">
        <v>45804.416666666664</v>
      </c>
      <c r="B701">
        <v>4</v>
      </c>
      <c r="C701" t="s">
        <v>9</v>
      </c>
      <c r="D701" t="s">
        <v>10</v>
      </c>
      <c r="E701">
        <v>1.5</v>
      </c>
      <c r="F701">
        <v>2.73</v>
      </c>
      <c r="G701" s="8">
        <f t="shared" si="10"/>
        <v>32.967032967032971</v>
      </c>
    </row>
    <row r="702" spans="1:7" x14ac:dyDescent="0.25">
      <c r="A702" s="87">
        <v>45804.416666666664</v>
      </c>
      <c r="B702">
        <v>5</v>
      </c>
      <c r="C702" t="s">
        <v>10</v>
      </c>
      <c r="D702" t="s">
        <v>11</v>
      </c>
      <c r="E702">
        <v>1.52</v>
      </c>
      <c r="F702">
        <v>3.18</v>
      </c>
      <c r="G702" s="8">
        <f t="shared" si="10"/>
        <v>28.679245283018869</v>
      </c>
    </row>
    <row r="703" spans="1:7" x14ac:dyDescent="0.25">
      <c r="A703" s="87">
        <v>45804.416666666664</v>
      </c>
      <c r="B703">
        <v>6</v>
      </c>
      <c r="C703" t="s">
        <v>11</v>
      </c>
      <c r="D703" t="s">
        <v>12</v>
      </c>
      <c r="E703">
        <v>1.5</v>
      </c>
      <c r="F703">
        <v>2.72</v>
      </c>
      <c r="G703" s="8">
        <f t="shared" si="10"/>
        <v>33.088235294117645</v>
      </c>
    </row>
    <row r="704" spans="1:7" x14ac:dyDescent="0.25">
      <c r="A704" s="87">
        <v>45804.416666666664</v>
      </c>
      <c r="B704">
        <v>7</v>
      </c>
      <c r="C704" t="s">
        <v>12</v>
      </c>
      <c r="D704" t="s">
        <v>13</v>
      </c>
      <c r="E704">
        <v>1.54</v>
      </c>
      <c r="F704">
        <v>2.68</v>
      </c>
      <c r="G704" s="8">
        <f t="shared" si="10"/>
        <v>34.477611940298509</v>
      </c>
    </row>
    <row r="705" spans="1:7" x14ac:dyDescent="0.25">
      <c r="A705" s="87">
        <v>45804.416666666664</v>
      </c>
      <c r="B705">
        <v>8</v>
      </c>
      <c r="C705" t="s">
        <v>13</v>
      </c>
      <c r="D705" t="s">
        <v>14</v>
      </c>
      <c r="E705">
        <v>1.54</v>
      </c>
      <c r="F705">
        <v>3.4</v>
      </c>
      <c r="G705" s="8">
        <f t="shared" si="10"/>
        <v>27.176470588235297</v>
      </c>
    </row>
    <row r="706" spans="1:7" x14ac:dyDescent="0.25">
      <c r="A706" s="87">
        <v>45804.416666666664</v>
      </c>
      <c r="B706">
        <v>9</v>
      </c>
      <c r="C706" t="s">
        <v>14</v>
      </c>
      <c r="D706" t="s">
        <v>15</v>
      </c>
      <c r="E706">
        <v>1.52</v>
      </c>
      <c r="F706">
        <v>6.15</v>
      </c>
      <c r="G706" s="8">
        <f t="shared" si="10"/>
        <v>14.829268292682926</v>
      </c>
    </row>
    <row r="707" spans="1:7" x14ac:dyDescent="0.25">
      <c r="A707" s="87">
        <v>45804.416666666664</v>
      </c>
      <c r="B707">
        <v>10</v>
      </c>
      <c r="C707" t="s">
        <v>15</v>
      </c>
      <c r="D707" t="s">
        <v>16</v>
      </c>
      <c r="E707">
        <v>1.5</v>
      </c>
      <c r="F707">
        <v>4.8499999999999996</v>
      </c>
      <c r="G707" s="8">
        <f t="shared" ref="G707:G770" si="11">E707*60/F707</f>
        <v>18.556701030927837</v>
      </c>
    </row>
    <row r="708" spans="1:7" x14ac:dyDescent="0.25">
      <c r="A708" s="87">
        <v>45804.416666666664</v>
      </c>
      <c r="B708">
        <v>11</v>
      </c>
      <c r="C708" t="s">
        <v>16</v>
      </c>
      <c r="D708" t="s">
        <v>17</v>
      </c>
      <c r="E708">
        <v>1.48</v>
      </c>
      <c r="F708">
        <v>3.58</v>
      </c>
      <c r="G708" s="8">
        <f t="shared" si="11"/>
        <v>24.804469273743017</v>
      </c>
    </row>
    <row r="709" spans="1:7" x14ac:dyDescent="0.25">
      <c r="A709" s="87">
        <v>45804.416666666664</v>
      </c>
      <c r="B709">
        <v>12</v>
      </c>
      <c r="C709" t="s">
        <v>17</v>
      </c>
      <c r="D709" t="s">
        <v>18</v>
      </c>
      <c r="E709">
        <v>1.46</v>
      </c>
      <c r="F709">
        <v>7.6</v>
      </c>
      <c r="G709" s="8">
        <f t="shared" si="11"/>
        <v>11.526315789473683</v>
      </c>
    </row>
    <row r="710" spans="1:7" x14ac:dyDescent="0.25">
      <c r="A710" s="87">
        <v>45804.416666666664</v>
      </c>
      <c r="B710">
        <v>13</v>
      </c>
      <c r="C710" t="s">
        <v>18</v>
      </c>
      <c r="D710" t="s">
        <v>19</v>
      </c>
      <c r="E710">
        <v>1.52</v>
      </c>
      <c r="F710">
        <v>4.75</v>
      </c>
      <c r="G710" s="8">
        <f t="shared" si="11"/>
        <v>19.2</v>
      </c>
    </row>
    <row r="711" spans="1:7" x14ac:dyDescent="0.25">
      <c r="A711" s="87">
        <v>45804.416666666664</v>
      </c>
      <c r="B711">
        <v>14</v>
      </c>
      <c r="C711" t="s">
        <v>19</v>
      </c>
      <c r="D711" t="s">
        <v>20</v>
      </c>
      <c r="E711">
        <v>1.51</v>
      </c>
      <c r="F711">
        <v>3.77</v>
      </c>
      <c r="G711" s="8">
        <f t="shared" si="11"/>
        <v>24.031830238726791</v>
      </c>
    </row>
    <row r="712" spans="1:7" x14ac:dyDescent="0.25">
      <c r="A712" s="87">
        <v>45804.416666666664</v>
      </c>
      <c r="B712">
        <v>15</v>
      </c>
      <c r="C712" t="s">
        <v>20</v>
      </c>
      <c r="D712" t="s">
        <v>21</v>
      </c>
      <c r="E712">
        <v>1.47</v>
      </c>
      <c r="F712">
        <v>2.9</v>
      </c>
      <c r="G712" s="8">
        <f t="shared" si="11"/>
        <v>30.413793103448278</v>
      </c>
    </row>
    <row r="713" spans="1:7" x14ac:dyDescent="0.25">
      <c r="A713" s="87">
        <v>45804.416666666664</v>
      </c>
      <c r="B713">
        <v>16</v>
      </c>
      <c r="C713" t="s">
        <v>21</v>
      </c>
      <c r="D713" t="s">
        <v>22</v>
      </c>
      <c r="E713">
        <v>1.5</v>
      </c>
      <c r="F713">
        <v>2.17</v>
      </c>
      <c r="G713" s="8">
        <f t="shared" si="11"/>
        <v>41.474654377880185</v>
      </c>
    </row>
    <row r="714" spans="1:7" x14ac:dyDescent="0.25">
      <c r="A714" s="87">
        <v>45804.416666666664</v>
      </c>
      <c r="B714">
        <v>17</v>
      </c>
      <c r="C714" t="s">
        <v>22</v>
      </c>
      <c r="D714" t="s">
        <v>23</v>
      </c>
      <c r="E714">
        <v>1.51</v>
      </c>
      <c r="F714">
        <v>3.38</v>
      </c>
      <c r="G714" s="8">
        <f t="shared" si="11"/>
        <v>26.80473372781065</v>
      </c>
    </row>
    <row r="715" spans="1:7" x14ac:dyDescent="0.25">
      <c r="A715" s="87">
        <v>45804.416666666664</v>
      </c>
      <c r="B715">
        <v>18</v>
      </c>
      <c r="C715" t="s">
        <v>23</v>
      </c>
      <c r="D715" t="s">
        <v>24</v>
      </c>
      <c r="E715">
        <v>1.51</v>
      </c>
      <c r="F715">
        <v>3.73</v>
      </c>
      <c r="G715" s="8">
        <f t="shared" si="11"/>
        <v>24.289544235924932</v>
      </c>
    </row>
    <row r="716" spans="1:7" x14ac:dyDescent="0.25">
      <c r="A716" s="87">
        <v>45804.416666666664</v>
      </c>
      <c r="B716">
        <v>19</v>
      </c>
      <c r="C716" t="s">
        <v>25</v>
      </c>
      <c r="D716" t="s">
        <v>26</v>
      </c>
      <c r="E716">
        <v>1.5</v>
      </c>
      <c r="F716">
        <v>4.88</v>
      </c>
      <c r="G716" s="8">
        <f t="shared" si="11"/>
        <v>18.442622950819672</v>
      </c>
    </row>
    <row r="717" spans="1:7" x14ac:dyDescent="0.25">
      <c r="A717" s="87">
        <v>45804.416666666664</v>
      </c>
      <c r="B717">
        <v>20</v>
      </c>
      <c r="C717" t="s">
        <v>26</v>
      </c>
      <c r="D717" t="s">
        <v>27</v>
      </c>
      <c r="E717">
        <v>1.48</v>
      </c>
      <c r="F717">
        <v>4.5999999999999996</v>
      </c>
      <c r="G717" s="8">
        <f t="shared" si="11"/>
        <v>19.304347826086957</v>
      </c>
    </row>
    <row r="718" spans="1:7" x14ac:dyDescent="0.25">
      <c r="A718" s="87">
        <v>45804.416666666664</v>
      </c>
      <c r="B718">
        <v>21</v>
      </c>
      <c r="C718" t="s">
        <v>27</v>
      </c>
      <c r="D718" t="s">
        <v>28</v>
      </c>
      <c r="E718">
        <v>1.51</v>
      </c>
      <c r="F718">
        <v>4.07</v>
      </c>
      <c r="G718" s="8">
        <f t="shared" si="11"/>
        <v>22.260442260442257</v>
      </c>
    </row>
    <row r="719" spans="1:7" x14ac:dyDescent="0.25">
      <c r="A719" s="87">
        <v>45804.416666666664</v>
      </c>
      <c r="B719">
        <v>22</v>
      </c>
      <c r="C719" t="s">
        <v>28</v>
      </c>
      <c r="D719" t="s">
        <v>29</v>
      </c>
      <c r="E719">
        <v>1.57</v>
      </c>
      <c r="F719">
        <v>3.92</v>
      </c>
      <c r="G719" s="8">
        <f t="shared" si="11"/>
        <v>24.030612244897959</v>
      </c>
    </row>
    <row r="720" spans="1:7" x14ac:dyDescent="0.25">
      <c r="A720" s="87">
        <v>45804.416666666664</v>
      </c>
      <c r="B720">
        <v>23</v>
      </c>
      <c r="C720" t="s">
        <v>29</v>
      </c>
      <c r="D720" t="s">
        <v>30</v>
      </c>
      <c r="E720">
        <v>1.43</v>
      </c>
      <c r="F720">
        <v>4.4800000000000004</v>
      </c>
      <c r="G720" s="8">
        <f t="shared" si="11"/>
        <v>19.151785714285712</v>
      </c>
    </row>
    <row r="721" spans="1:7" x14ac:dyDescent="0.25">
      <c r="A721" s="87">
        <v>45804.416666666664</v>
      </c>
      <c r="B721">
        <v>24</v>
      </c>
      <c r="C721" t="s">
        <v>30</v>
      </c>
      <c r="D721" t="s">
        <v>31</v>
      </c>
      <c r="E721">
        <v>1.52</v>
      </c>
      <c r="F721">
        <v>3.65</v>
      </c>
      <c r="G721" s="8">
        <f t="shared" si="11"/>
        <v>24.986301369863014</v>
      </c>
    </row>
    <row r="722" spans="1:7" x14ac:dyDescent="0.25">
      <c r="A722" s="87">
        <v>45804.416666666664</v>
      </c>
      <c r="B722">
        <v>25</v>
      </c>
      <c r="C722" t="s">
        <v>31</v>
      </c>
      <c r="D722" t="s">
        <v>32</v>
      </c>
      <c r="E722">
        <v>1.52</v>
      </c>
      <c r="F722">
        <v>3.62</v>
      </c>
      <c r="G722" s="8">
        <f t="shared" si="11"/>
        <v>25.193370165745858</v>
      </c>
    </row>
    <row r="723" spans="1:7" x14ac:dyDescent="0.25">
      <c r="A723" s="87">
        <v>45804.416666666664</v>
      </c>
      <c r="B723">
        <v>26</v>
      </c>
      <c r="C723" t="s">
        <v>32</v>
      </c>
      <c r="D723" t="s">
        <v>33</v>
      </c>
      <c r="E723">
        <v>1.49</v>
      </c>
      <c r="F723">
        <v>7.63</v>
      </c>
      <c r="G723" s="8">
        <f t="shared" si="11"/>
        <v>11.716906946264745</v>
      </c>
    </row>
    <row r="724" spans="1:7" x14ac:dyDescent="0.25">
      <c r="A724" s="87">
        <v>45804.416666666664</v>
      </c>
      <c r="B724">
        <v>27</v>
      </c>
      <c r="C724" t="s">
        <v>33</v>
      </c>
      <c r="D724" t="s">
        <v>34</v>
      </c>
      <c r="E724">
        <v>1.53</v>
      </c>
      <c r="F724">
        <v>4.63</v>
      </c>
      <c r="G724" s="8">
        <f t="shared" si="11"/>
        <v>19.827213822894169</v>
      </c>
    </row>
    <row r="725" spans="1:7" x14ac:dyDescent="0.25">
      <c r="A725" s="87">
        <v>45804.416666666664</v>
      </c>
      <c r="B725">
        <v>28</v>
      </c>
      <c r="C725" t="s">
        <v>34</v>
      </c>
      <c r="D725" t="s">
        <v>35</v>
      </c>
      <c r="E725">
        <v>1.51</v>
      </c>
      <c r="F725">
        <v>4.47</v>
      </c>
      <c r="G725" s="8">
        <f t="shared" si="11"/>
        <v>20.268456375838927</v>
      </c>
    </row>
    <row r="726" spans="1:7" x14ac:dyDescent="0.25">
      <c r="A726" s="87">
        <v>45804.416666666664</v>
      </c>
      <c r="B726">
        <v>29</v>
      </c>
      <c r="C726" t="s">
        <v>36</v>
      </c>
      <c r="D726" t="s">
        <v>37</v>
      </c>
      <c r="E726">
        <v>1.57</v>
      </c>
      <c r="F726">
        <v>5.67</v>
      </c>
      <c r="G726" s="8">
        <f t="shared" si="11"/>
        <v>16.613756613756614</v>
      </c>
    </row>
    <row r="727" spans="1:7" x14ac:dyDescent="0.25">
      <c r="A727" s="87">
        <v>45804.416666666664</v>
      </c>
      <c r="B727">
        <v>30</v>
      </c>
      <c r="C727" t="s">
        <v>37</v>
      </c>
      <c r="D727" t="s">
        <v>38</v>
      </c>
      <c r="E727">
        <v>1.57</v>
      </c>
      <c r="F727">
        <v>6.92</v>
      </c>
      <c r="G727" s="8">
        <f t="shared" si="11"/>
        <v>13.61271676300578</v>
      </c>
    </row>
    <row r="728" spans="1:7" x14ac:dyDescent="0.25">
      <c r="A728" s="87">
        <v>45804.416666666664</v>
      </c>
      <c r="B728">
        <v>31</v>
      </c>
      <c r="C728" t="s">
        <v>38</v>
      </c>
      <c r="D728" t="s">
        <v>39</v>
      </c>
      <c r="E728">
        <v>1.52</v>
      </c>
      <c r="F728">
        <v>2.72</v>
      </c>
      <c r="G728" s="8">
        <f t="shared" si="11"/>
        <v>33.529411764705884</v>
      </c>
    </row>
    <row r="729" spans="1:7" x14ac:dyDescent="0.25">
      <c r="A729" s="87">
        <v>45804.416666666664</v>
      </c>
      <c r="B729">
        <v>32</v>
      </c>
      <c r="C729" t="s">
        <v>39</v>
      </c>
      <c r="D729" t="s">
        <v>40</v>
      </c>
      <c r="E729">
        <v>1.5</v>
      </c>
      <c r="F729">
        <v>1.78</v>
      </c>
      <c r="G729" s="8">
        <f t="shared" si="11"/>
        <v>50.561797752808985</v>
      </c>
    </row>
    <row r="730" spans="1:7" x14ac:dyDescent="0.25">
      <c r="A730" s="87">
        <v>45804.416666666664</v>
      </c>
      <c r="B730">
        <v>33</v>
      </c>
      <c r="C730" t="s">
        <v>40</v>
      </c>
      <c r="D730" t="s">
        <v>41</v>
      </c>
      <c r="E730">
        <v>1.51</v>
      </c>
      <c r="F730">
        <v>1.88</v>
      </c>
      <c r="G730" s="8">
        <f t="shared" si="11"/>
        <v>48.191489361702125</v>
      </c>
    </row>
    <row r="731" spans="1:7" x14ac:dyDescent="0.25">
      <c r="A731" s="87">
        <v>45804.416666666664</v>
      </c>
      <c r="B731">
        <v>34</v>
      </c>
      <c r="C731" t="s">
        <v>41</v>
      </c>
      <c r="D731" t="s">
        <v>42</v>
      </c>
      <c r="E731">
        <v>1.5</v>
      </c>
      <c r="F731">
        <v>1.92</v>
      </c>
      <c r="G731" s="8">
        <f t="shared" si="11"/>
        <v>46.875</v>
      </c>
    </row>
    <row r="732" spans="1:7" x14ac:dyDescent="0.25">
      <c r="A732" s="87">
        <v>45804.416666666664</v>
      </c>
      <c r="B732">
        <v>35</v>
      </c>
      <c r="C732" t="s">
        <v>43</v>
      </c>
      <c r="D732" t="s">
        <v>44</v>
      </c>
      <c r="E732">
        <v>1.55</v>
      </c>
      <c r="F732">
        <v>3.82</v>
      </c>
      <c r="G732" s="8">
        <f t="shared" si="11"/>
        <v>24.345549738219898</v>
      </c>
    </row>
    <row r="733" spans="1:7" x14ac:dyDescent="0.25">
      <c r="A733" s="87">
        <v>45804.416666666664</v>
      </c>
      <c r="B733">
        <v>36</v>
      </c>
      <c r="C733" t="s">
        <v>44</v>
      </c>
      <c r="D733" t="s">
        <v>45</v>
      </c>
      <c r="E733">
        <v>1.5</v>
      </c>
      <c r="F733">
        <v>3.02</v>
      </c>
      <c r="G733" s="8">
        <f t="shared" si="11"/>
        <v>29.801324503311257</v>
      </c>
    </row>
    <row r="734" spans="1:7" x14ac:dyDescent="0.25">
      <c r="A734" s="87">
        <v>45804.416666666664</v>
      </c>
      <c r="B734">
        <v>37</v>
      </c>
      <c r="C734" t="s">
        <v>45</v>
      </c>
      <c r="D734" t="s">
        <v>46</v>
      </c>
      <c r="E734">
        <v>1.38</v>
      </c>
      <c r="F734">
        <v>3.98</v>
      </c>
      <c r="G734" s="8">
        <f t="shared" si="11"/>
        <v>20.804020100502512</v>
      </c>
    </row>
    <row r="735" spans="1:7" x14ac:dyDescent="0.25">
      <c r="A735" s="87">
        <v>45804.416666666664</v>
      </c>
      <c r="B735">
        <v>38</v>
      </c>
      <c r="C735" t="s">
        <v>46</v>
      </c>
      <c r="D735" t="s">
        <v>47</v>
      </c>
      <c r="E735">
        <v>1.61</v>
      </c>
      <c r="F735">
        <v>3.82</v>
      </c>
      <c r="G735" s="8">
        <f t="shared" si="11"/>
        <v>25.287958115183251</v>
      </c>
    </row>
    <row r="736" spans="1:7" x14ac:dyDescent="0.25">
      <c r="A736" s="87">
        <v>45804.416666666664</v>
      </c>
      <c r="B736">
        <v>39</v>
      </c>
      <c r="C736" t="s">
        <v>47</v>
      </c>
      <c r="D736" t="s">
        <v>48</v>
      </c>
      <c r="E736">
        <v>1.55</v>
      </c>
      <c r="F736">
        <v>3.5</v>
      </c>
      <c r="G736" s="8">
        <f t="shared" si="11"/>
        <v>26.571428571428573</v>
      </c>
    </row>
    <row r="737" spans="1:7" x14ac:dyDescent="0.25">
      <c r="A737" s="87">
        <v>45804.416666666664</v>
      </c>
      <c r="B737">
        <v>40</v>
      </c>
      <c r="C737" t="s">
        <v>48</v>
      </c>
      <c r="D737" t="s">
        <v>49</v>
      </c>
      <c r="E737">
        <v>1.39</v>
      </c>
      <c r="F737">
        <v>2.83</v>
      </c>
      <c r="G737" s="8">
        <f t="shared" si="11"/>
        <v>29.46996466431095</v>
      </c>
    </row>
    <row r="738" spans="1:7" x14ac:dyDescent="0.25">
      <c r="A738" s="87">
        <v>45804.416666666664</v>
      </c>
      <c r="B738">
        <v>41</v>
      </c>
      <c r="C738" t="s">
        <v>50</v>
      </c>
      <c r="D738" t="s">
        <v>51</v>
      </c>
      <c r="E738">
        <v>1.56</v>
      </c>
      <c r="F738">
        <v>4.33</v>
      </c>
      <c r="G738" s="8">
        <f t="shared" si="11"/>
        <v>21.616628175519633</v>
      </c>
    </row>
    <row r="739" spans="1:7" x14ac:dyDescent="0.25">
      <c r="A739" s="87">
        <v>45804.416666666664</v>
      </c>
      <c r="B739">
        <v>42</v>
      </c>
      <c r="C739" t="s">
        <v>51</v>
      </c>
      <c r="D739" t="s">
        <v>52</v>
      </c>
      <c r="E739">
        <v>1.56</v>
      </c>
      <c r="F739">
        <v>4</v>
      </c>
      <c r="G739" s="8">
        <f t="shared" si="11"/>
        <v>23.400000000000002</v>
      </c>
    </row>
    <row r="740" spans="1:7" x14ac:dyDescent="0.25">
      <c r="A740" s="87">
        <v>45804.416666666664</v>
      </c>
      <c r="B740">
        <v>43</v>
      </c>
      <c r="C740" t="s">
        <v>52</v>
      </c>
      <c r="D740" t="s">
        <v>53</v>
      </c>
      <c r="E740">
        <v>1.51</v>
      </c>
      <c r="F740">
        <v>3.52</v>
      </c>
      <c r="G740" s="8">
        <f t="shared" si="11"/>
        <v>25.738636363636363</v>
      </c>
    </row>
    <row r="741" spans="1:7" x14ac:dyDescent="0.25">
      <c r="A741" s="87">
        <v>45804.416666666664</v>
      </c>
      <c r="B741">
        <v>44</v>
      </c>
      <c r="C741" t="s">
        <v>54</v>
      </c>
      <c r="D741" t="s">
        <v>55</v>
      </c>
      <c r="E741">
        <v>1.51</v>
      </c>
      <c r="F741">
        <v>4.93</v>
      </c>
      <c r="G741" s="8">
        <f t="shared" si="11"/>
        <v>18.377281947261665</v>
      </c>
    </row>
    <row r="742" spans="1:7" x14ac:dyDescent="0.25">
      <c r="A742" s="87">
        <v>45804.416666666664</v>
      </c>
      <c r="B742">
        <v>45</v>
      </c>
      <c r="C742" t="s">
        <v>55</v>
      </c>
      <c r="D742" t="s">
        <v>56</v>
      </c>
      <c r="E742">
        <v>1.49</v>
      </c>
      <c r="F742">
        <v>3.63</v>
      </c>
      <c r="G742" s="8">
        <f t="shared" si="11"/>
        <v>24.628099173553721</v>
      </c>
    </row>
    <row r="743" spans="1:7" x14ac:dyDescent="0.25">
      <c r="A743" s="87">
        <v>45804.416666666664</v>
      </c>
      <c r="B743">
        <v>46</v>
      </c>
      <c r="C743" t="s">
        <v>56</v>
      </c>
      <c r="D743" t="s">
        <v>57</v>
      </c>
      <c r="E743">
        <v>1.52</v>
      </c>
      <c r="F743">
        <v>3.77</v>
      </c>
      <c r="G743" s="8">
        <f t="shared" si="11"/>
        <v>24.190981432360743</v>
      </c>
    </row>
    <row r="744" spans="1:7" x14ac:dyDescent="0.25">
      <c r="A744" s="87">
        <v>45804.416666666664</v>
      </c>
      <c r="B744">
        <v>47</v>
      </c>
      <c r="C744" t="s">
        <v>58</v>
      </c>
      <c r="D744" t="s">
        <v>59</v>
      </c>
      <c r="E744">
        <v>1.52</v>
      </c>
      <c r="F744">
        <v>6.07</v>
      </c>
      <c r="G744" s="8">
        <f t="shared" si="11"/>
        <v>15.024711696869851</v>
      </c>
    </row>
    <row r="745" spans="1:7" x14ac:dyDescent="0.25">
      <c r="A745" s="87">
        <v>45804.416666666664</v>
      </c>
      <c r="B745">
        <v>48</v>
      </c>
      <c r="C745" t="s">
        <v>59</v>
      </c>
      <c r="D745" t="s">
        <v>60</v>
      </c>
      <c r="E745">
        <v>1.5</v>
      </c>
      <c r="F745">
        <v>3.95</v>
      </c>
      <c r="G745" s="8">
        <f t="shared" si="11"/>
        <v>22.784810126582279</v>
      </c>
    </row>
    <row r="746" spans="1:7" x14ac:dyDescent="0.25">
      <c r="A746" s="87">
        <v>45804.416666666664</v>
      </c>
      <c r="B746">
        <v>49</v>
      </c>
      <c r="C746" t="s">
        <v>60</v>
      </c>
      <c r="D746" t="s">
        <v>61</v>
      </c>
      <c r="E746">
        <v>1.54</v>
      </c>
      <c r="F746">
        <v>4</v>
      </c>
      <c r="G746" s="8">
        <f t="shared" si="11"/>
        <v>23.1</v>
      </c>
    </row>
    <row r="747" spans="1:7" x14ac:dyDescent="0.25">
      <c r="A747" s="87">
        <v>45804.416666666664</v>
      </c>
      <c r="B747">
        <v>50</v>
      </c>
      <c r="C747" t="s">
        <v>62</v>
      </c>
      <c r="D747" t="s">
        <v>63</v>
      </c>
      <c r="E747">
        <v>1.38</v>
      </c>
      <c r="F747">
        <v>3.13</v>
      </c>
      <c r="G747" s="8">
        <f t="shared" si="11"/>
        <v>26.453674121405751</v>
      </c>
    </row>
    <row r="748" spans="1:7" x14ac:dyDescent="0.25">
      <c r="A748" s="87">
        <v>45804.416666666664</v>
      </c>
      <c r="B748">
        <v>51</v>
      </c>
      <c r="C748" t="s">
        <v>63</v>
      </c>
      <c r="D748" t="s">
        <v>64</v>
      </c>
      <c r="E748">
        <v>2.79</v>
      </c>
      <c r="F748">
        <v>5.9</v>
      </c>
      <c r="G748" s="8">
        <f t="shared" si="11"/>
        <v>28.372881355932204</v>
      </c>
    </row>
    <row r="749" spans="1:7" x14ac:dyDescent="0.25">
      <c r="A749" s="87">
        <v>45804.416666666664</v>
      </c>
      <c r="B749">
        <v>52</v>
      </c>
      <c r="C749" t="s">
        <v>64</v>
      </c>
      <c r="D749" t="s">
        <v>65</v>
      </c>
      <c r="E749">
        <v>1.5</v>
      </c>
      <c r="F749">
        <v>2.87</v>
      </c>
      <c r="G749" s="8">
        <f t="shared" si="11"/>
        <v>31.358885017421603</v>
      </c>
    </row>
    <row r="750" spans="1:7" x14ac:dyDescent="0.25">
      <c r="A750" s="87">
        <v>45804.416666666664</v>
      </c>
      <c r="B750">
        <v>53</v>
      </c>
      <c r="C750" t="s">
        <v>65</v>
      </c>
      <c r="D750" t="s">
        <v>66</v>
      </c>
      <c r="E750">
        <v>1.46</v>
      </c>
      <c r="F750">
        <v>3.8</v>
      </c>
      <c r="G750" s="8">
        <f t="shared" si="11"/>
        <v>23.052631578947366</v>
      </c>
    </row>
    <row r="751" spans="1:7" x14ac:dyDescent="0.25">
      <c r="A751" s="87">
        <v>45804.416666666664</v>
      </c>
      <c r="B751">
        <v>54</v>
      </c>
      <c r="C751" t="s">
        <v>67</v>
      </c>
      <c r="D751" t="s">
        <v>68</v>
      </c>
      <c r="E751">
        <v>1.46</v>
      </c>
      <c r="F751">
        <v>3.57</v>
      </c>
      <c r="G751" s="8">
        <f t="shared" si="11"/>
        <v>24.537815126050418</v>
      </c>
    </row>
    <row r="752" spans="1:7" x14ac:dyDescent="0.25">
      <c r="A752" s="87">
        <v>45804.416666666664</v>
      </c>
      <c r="B752">
        <v>55</v>
      </c>
      <c r="C752" t="s">
        <v>68</v>
      </c>
      <c r="D752" t="s">
        <v>69</v>
      </c>
      <c r="E752">
        <v>1.5</v>
      </c>
      <c r="F752">
        <v>2.33</v>
      </c>
      <c r="G752" s="8">
        <f t="shared" si="11"/>
        <v>38.626609442060087</v>
      </c>
    </row>
    <row r="753" spans="1:7" x14ac:dyDescent="0.25">
      <c r="A753" s="87">
        <v>45804.416666666664</v>
      </c>
      <c r="B753">
        <v>56</v>
      </c>
      <c r="C753" t="s">
        <v>70</v>
      </c>
      <c r="D753" t="s">
        <v>71</v>
      </c>
      <c r="E753">
        <v>1.51</v>
      </c>
      <c r="F753">
        <v>6.12</v>
      </c>
      <c r="G753" s="8">
        <f t="shared" si="11"/>
        <v>14.80392156862745</v>
      </c>
    </row>
    <row r="754" spans="1:7" x14ac:dyDescent="0.25">
      <c r="A754" s="87">
        <v>45804.416666666664</v>
      </c>
      <c r="B754">
        <v>57</v>
      </c>
      <c r="C754" t="s">
        <v>71</v>
      </c>
      <c r="D754" t="s">
        <v>72</v>
      </c>
      <c r="E754">
        <v>1.52</v>
      </c>
      <c r="F754">
        <v>3.77</v>
      </c>
      <c r="G754" s="8">
        <f t="shared" si="11"/>
        <v>24.190981432360743</v>
      </c>
    </row>
    <row r="755" spans="1:7" x14ac:dyDescent="0.25">
      <c r="A755" s="87">
        <v>45804.416666666664</v>
      </c>
      <c r="B755">
        <v>58</v>
      </c>
      <c r="C755" t="s">
        <v>72</v>
      </c>
      <c r="D755" t="s">
        <v>73</v>
      </c>
      <c r="E755">
        <v>1.5</v>
      </c>
      <c r="F755">
        <v>3.67</v>
      </c>
      <c r="G755" s="8">
        <f t="shared" si="11"/>
        <v>24.52316076294278</v>
      </c>
    </row>
    <row r="756" spans="1:7" s="3" customFormat="1" x14ac:dyDescent="0.25">
      <c r="A756" s="87">
        <v>45804.666666666664</v>
      </c>
      <c r="B756" s="3">
        <v>1</v>
      </c>
      <c r="C756" s="3" t="s">
        <v>6</v>
      </c>
      <c r="D756" s="3" t="s">
        <v>7</v>
      </c>
      <c r="E756" s="3">
        <v>1.53</v>
      </c>
      <c r="F756" s="3">
        <v>3.27</v>
      </c>
      <c r="G756" s="8">
        <f t="shared" si="11"/>
        <v>28.073394495412842</v>
      </c>
    </row>
    <row r="757" spans="1:7" x14ac:dyDescent="0.25">
      <c r="A757" s="87">
        <v>45804.666666666664</v>
      </c>
      <c r="B757">
        <v>2</v>
      </c>
      <c r="C757" t="s">
        <v>7</v>
      </c>
      <c r="D757" t="s">
        <v>8</v>
      </c>
      <c r="E757">
        <v>1.57</v>
      </c>
      <c r="F757">
        <v>5.35</v>
      </c>
      <c r="G757" s="8">
        <f t="shared" si="11"/>
        <v>17.607476635514022</v>
      </c>
    </row>
    <row r="758" spans="1:7" x14ac:dyDescent="0.25">
      <c r="A758" s="87">
        <v>45804.666666666664</v>
      </c>
      <c r="B758">
        <v>3</v>
      </c>
      <c r="C758" t="s">
        <v>8</v>
      </c>
      <c r="D758" t="s">
        <v>9</v>
      </c>
      <c r="E758">
        <v>1.5</v>
      </c>
      <c r="F758">
        <v>3.13</v>
      </c>
      <c r="G758" s="8">
        <f t="shared" si="11"/>
        <v>28.753993610223642</v>
      </c>
    </row>
    <row r="759" spans="1:7" x14ac:dyDescent="0.25">
      <c r="A759" s="87">
        <v>45804.666666666664</v>
      </c>
      <c r="B759">
        <v>4</v>
      </c>
      <c r="C759" t="s">
        <v>9</v>
      </c>
      <c r="D759" t="s">
        <v>10</v>
      </c>
      <c r="E759">
        <v>1.5</v>
      </c>
      <c r="F759">
        <v>2.95</v>
      </c>
      <c r="G759" s="8">
        <f t="shared" si="11"/>
        <v>30.508474576271183</v>
      </c>
    </row>
    <row r="760" spans="1:7" x14ac:dyDescent="0.25">
      <c r="A760" s="87">
        <v>45804.666666666664</v>
      </c>
      <c r="B760">
        <v>5</v>
      </c>
      <c r="C760" t="s">
        <v>10</v>
      </c>
      <c r="D760" t="s">
        <v>11</v>
      </c>
      <c r="E760">
        <v>1.52</v>
      </c>
      <c r="F760">
        <v>3.28</v>
      </c>
      <c r="G760" s="8">
        <f t="shared" si="11"/>
        <v>27.804878048780491</v>
      </c>
    </row>
    <row r="761" spans="1:7" x14ac:dyDescent="0.25">
      <c r="A761" s="87">
        <v>45804.666666666664</v>
      </c>
      <c r="B761">
        <v>6</v>
      </c>
      <c r="C761" t="s">
        <v>11</v>
      </c>
      <c r="D761" t="s">
        <v>12</v>
      </c>
      <c r="E761">
        <v>1.5</v>
      </c>
      <c r="F761">
        <v>2.68</v>
      </c>
      <c r="G761" s="8">
        <f t="shared" si="11"/>
        <v>33.582089552238806</v>
      </c>
    </row>
    <row r="762" spans="1:7" x14ac:dyDescent="0.25">
      <c r="A762" s="87">
        <v>45804.666666666664</v>
      </c>
      <c r="B762">
        <v>7</v>
      </c>
      <c r="C762" t="s">
        <v>12</v>
      </c>
      <c r="D762" t="s">
        <v>13</v>
      </c>
      <c r="E762">
        <v>1.54</v>
      </c>
      <c r="F762">
        <v>2.48</v>
      </c>
      <c r="G762" s="8">
        <f t="shared" si="11"/>
        <v>37.258064516129032</v>
      </c>
    </row>
    <row r="763" spans="1:7" x14ac:dyDescent="0.25">
      <c r="A763" s="87">
        <v>45804.666666666664</v>
      </c>
      <c r="B763">
        <v>8</v>
      </c>
      <c r="C763" t="s">
        <v>13</v>
      </c>
      <c r="D763" t="s">
        <v>14</v>
      </c>
      <c r="E763">
        <v>1.54</v>
      </c>
      <c r="F763">
        <v>3.25</v>
      </c>
      <c r="G763" s="8">
        <f t="shared" si="11"/>
        <v>28.430769230769233</v>
      </c>
    </row>
    <row r="764" spans="1:7" x14ac:dyDescent="0.25">
      <c r="A764" s="87">
        <v>45804.666666666664</v>
      </c>
      <c r="B764">
        <v>9</v>
      </c>
      <c r="C764" t="s">
        <v>14</v>
      </c>
      <c r="D764" t="s">
        <v>15</v>
      </c>
      <c r="E764">
        <v>1.52</v>
      </c>
      <c r="F764">
        <v>3.63</v>
      </c>
      <c r="G764" s="8">
        <f t="shared" si="11"/>
        <v>25.123966942148762</v>
      </c>
    </row>
    <row r="765" spans="1:7" x14ac:dyDescent="0.25">
      <c r="A765" s="87">
        <v>45804.666666666664</v>
      </c>
      <c r="B765">
        <v>10</v>
      </c>
      <c r="C765" t="s">
        <v>15</v>
      </c>
      <c r="D765" t="s">
        <v>16</v>
      </c>
      <c r="E765">
        <v>1.5</v>
      </c>
      <c r="F765">
        <v>3.85</v>
      </c>
      <c r="G765" s="8">
        <f t="shared" si="11"/>
        <v>23.376623376623375</v>
      </c>
    </row>
    <row r="766" spans="1:7" x14ac:dyDescent="0.25">
      <c r="A766" s="87">
        <v>45804.666666666664</v>
      </c>
      <c r="B766">
        <v>11</v>
      </c>
      <c r="C766" t="s">
        <v>16</v>
      </c>
      <c r="D766" t="s">
        <v>17</v>
      </c>
      <c r="E766">
        <v>1.48</v>
      </c>
      <c r="F766">
        <v>2.98</v>
      </c>
      <c r="G766" s="8">
        <f t="shared" si="11"/>
        <v>29.798657718120804</v>
      </c>
    </row>
    <row r="767" spans="1:7" x14ac:dyDescent="0.25">
      <c r="A767" s="87">
        <v>45804.666666666664</v>
      </c>
      <c r="B767">
        <v>12</v>
      </c>
      <c r="C767" t="s">
        <v>17</v>
      </c>
      <c r="D767" t="s">
        <v>18</v>
      </c>
      <c r="E767">
        <v>1.46</v>
      </c>
      <c r="F767">
        <v>4.53</v>
      </c>
      <c r="G767" s="8">
        <f t="shared" si="11"/>
        <v>19.337748344370858</v>
      </c>
    </row>
    <row r="768" spans="1:7" x14ac:dyDescent="0.25">
      <c r="A768" s="87">
        <v>45804.666666666664</v>
      </c>
      <c r="B768">
        <v>13</v>
      </c>
      <c r="C768" t="s">
        <v>18</v>
      </c>
      <c r="D768" t="s">
        <v>19</v>
      </c>
      <c r="E768">
        <v>1.52</v>
      </c>
      <c r="F768">
        <v>4.68</v>
      </c>
      <c r="G768" s="8">
        <f t="shared" si="11"/>
        <v>19.487179487179489</v>
      </c>
    </row>
    <row r="769" spans="1:7" x14ac:dyDescent="0.25">
      <c r="A769" s="87">
        <v>45804.666666666664</v>
      </c>
      <c r="B769">
        <v>14</v>
      </c>
      <c r="C769" t="s">
        <v>19</v>
      </c>
      <c r="D769" t="s">
        <v>20</v>
      </c>
      <c r="E769">
        <v>1.51</v>
      </c>
      <c r="F769">
        <v>3.78</v>
      </c>
      <c r="G769" s="8">
        <f t="shared" si="11"/>
        <v>23.968253968253968</v>
      </c>
    </row>
    <row r="770" spans="1:7" x14ac:dyDescent="0.25">
      <c r="A770" s="87">
        <v>45804.666666666664</v>
      </c>
      <c r="B770">
        <v>15</v>
      </c>
      <c r="C770" t="s">
        <v>20</v>
      </c>
      <c r="D770" t="s">
        <v>21</v>
      </c>
      <c r="E770">
        <v>1.47</v>
      </c>
      <c r="F770">
        <v>2.57</v>
      </c>
      <c r="G770" s="8">
        <f t="shared" si="11"/>
        <v>34.319066147859928</v>
      </c>
    </row>
    <row r="771" spans="1:7" x14ac:dyDescent="0.25">
      <c r="A771" s="87">
        <v>45804.666666666664</v>
      </c>
      <c r="B771">
        <v>16</v>
      </c>
      <c r="C771" t="s">
        <v>21</v>
      </c>
      <c r="D771" t="s">
        <v>22</v>
      </c>
      <c r="E771">
        <v>1.5</v>
      </c>
      <c r="F771">
        <v>1.9</v>
      </c>
      <c r="G771" s="8">
        <f t="shared" ref="G771:G834" si="12">E771*60/F771</f>
        <v>47.368421052631582</v>
      </c>
    </row>
    <row r="772" spans="1:7" x14ac:dyDescent="0.25">
      <c r="A772" s="87">
        <v>45804.666666666664</v>
      </c>
      <c r="B772">
        <v>17</v>
      </c>
      <c r="C772" t="s">
        <v>22</v>
      </c>
      <c r="D772" t="s">
        <v>23</v>
      </c>
      <c r="E772">
        <v>1.51</v>
      </c>
      <c r="F772">
        <v>3.72</v>
      </c>
      <c r="G772" s="8">
        <f t="shared" si="12"/>
        <v>24.354838709677416</v>
      </c>
    </row>
    <row r="773" spans="1:7" x14ac:dyDescent="0.25">
      <c r="A773" s="87">
        <v>45804.666666666664</v>
      </c>
      <c r="B773">
        <v>18</v>
      </c>
      <c r="C773" t="s">
        <v>23</v>
      </c>
      <c r="D773" t="s">
        <v>24</v>
      </c>
      <c r="E773">
        <v>1.51</v>
      </c>
      <c r="F773">
        <v>3.7</v>
      </c>
      <c r="G773" s="8">
        <f t="shared" si="12"/>
        <v>24.486486486486484</v>
      </c>
    </row>
    <row r="774" spans="1:7" x14ac:dyDescent="0.25">
      <c r="A774" s="87">
        <v>45804.666666666664</v>
      </c>
      <c r="B774">
        <v>19</v>
      </c>
      <c r="C774" t="s">
        <v>25</v>
      </c>
      <c r="D774" t="s">
        <v>26</v>
      </c>
      <c r="E774">
        <v>1.5</v>
      </c>
      <c r="F774">
        <v>3.73</v>
      </c>
      <c r="G774" s="8">
        <f t="shared" si="12"/>
        <v>24.128686327077748</v>
      </c>
    </row>
    <row r="775" spans="1:7" x14ac:dyDescent="0.25">
      <c r="A775" s="87">
        <v>45804.666666666664</v>
      </c>
      <c r="B775">
        <v>20</v>
      </c>
      <c r="C775" t="s">
        <v>26</v>
      </c>
      <c r="D775" t="s">
        <v>27</v>
      </c>
      <c r="E775">
        <v>1.48</v>
      </c>
      <c r="F775">
        <v>3.73</v>
      </c>
      <c r="G775" s="8">
        <f t="shared" si="12"/>
        <v>23.806970509383376</v>
      </c>
    </row>
    <row r="776" spans="1:7" x14ac:dyDescent="0.25">
      <c r="A776" s="87">
        <v>45804.666666666664</v>
      </c>
      <c r="B776">
        <v>21</v>
      </c>
      <c r="C776" t="s">
        <v>27</v>
      </c>
      <c r="D776" t="s">
        <v>28</v>
      </c>
      <c r="E776">
        <v>1.51</v>
      </c>
      <c r="F776">
        <v>3.48</v>
      </c>
      <c r="G776" s="8">
        <f t="shared" si="12"/>
        <v>26.034482758620687</v>
      </c>
    </row>
    <row r="777" spans="1:7" x14ac:dyDescent="0.25">
      <c r="A777" s="87">
        <v>45804.666666666664</v>
      </c>
      <c r="B777">
        <v>22</v>
      </c>
      <c r="C777" t="s">
        <v>28</v>
      </c>
      <c r="D777" t="s">
        <v>29</v>
      </c>
      <c r="E777">
        <v>1.57</v>
      </c>
      <c r="F777">
        <v>3.53</v>
      </c>
      <c r="G777" s="8">
        <f t="shared" si="12"/>
        <v>26.685552407932015</v>
      </c>
    </row>
    <row r="778" spans="1:7" x14ac:dyDescent="0.25">
      <c r="A778" s="87">
        <v>45804.666666666664</v>
      </c>
      <c r="B778">
        <v>23</v>
      </c>
      <c r="C778" t="s">
        <v>29</v>
      </c>
      <c r="D778" t="s">
        <v>30</v>
      </c>
      <c r="E778">
        <v>1.43</v>
      </c>
      <c r="F778">
        <v>4.3</v>
      </c>
      <c r="G778" s="8">
        <f t="shared" si="12"/>
        <v>19.953488372093023</v>
      </c>
    </row>
    <row r="779" spans="1:7" x14ac:dyDescent="0.25">
      <c r="A779" s="87">
        <v>45804.666666666664</v>
      </c>
      <c r="B779">
        <v>24</v>
      </c>
      <c r="C779" t="s">
        <v>30</v>
      </c>
      <c r="D779" t="s">
        <v>31</v>
      </c>
      <c r="E779">
        <v>1.52</v>
      </c>
      <c r="F779">
        <v>3.57</v>
      </c>
      <c r="G779" s="8">
        <f t="shared" si="12"/>
        <v>25.54621848739496</v>
      </c>
    </row>
    <row r="780" spans="1:7" x14ac:dyDescent="0.25">
      <c r="A780" s="87">
        <v>45804.666666666664</v>
      </c>
      <c r="B780">
        <v>25</v>
      </c>
      <c r="C780" t="s">
        <v>31</v>
      </c>
      <c r="D780" t="s">
        <v>32</v>
      </c>
      <c r="E780">
        <v>1.52</v>
      </c>
      <c r="F780">
        <v>3.68</v>
      </c>
      <c r="G780" s="8">
        <f t="shared" si="12"/>
        <v>24.782608695652172</v>
      </c>
    </row>
    <row r="781" spans="1:7" x14ac:dyDescent="0.25">
      <c r="A781" s="87">
        <v>45804.666666666664</v>
      </c>
      <c r="B781">
        <v>26</v>
      </c>
      <c r="C781" t="s">
        <v>32</v>
      </c>
      <c r="D781" t="s">
        <v>33</v>
      </c>
      <c r="E781">
        <v>1.49</v>
      </c>
      <c r="F781">
        <v>5.22</v>
      </c>
      <c r="G781" s="8">
        <f t="shared" si="12"/>
        <v>17.126436781609197</v>
      </c>
    </row>
    <row r="782" spans="1:7" x14ac:dyDescent="0.25">
      <c r="A782" s="87">
        <v>45804.666666666664</v>
      </c>
      <c r="B782">
        <v>27</v>
      </c>
      <c r="C782" t="s">
        <v>33</v>
      </c>
      <c r="D782" t="s">
        <v>34</v>
      </c>
      <c r="E782">
        <v>1.53</v>
      </c>
      <c r="F782">
        <v>3.8</v>
      </c>
      <c r="G782" s="8">
        <f t="shared" si="12"/>
        <v>24.157894736842106</v>
      </c>
    </row>
    <row r="783" spans="1:7" x14ac:dyDescent="0.25">
      <c r="A783" s="87">
        <v>45804.666666666664</v>
      </c>
      <c r="B783">
        <v>28</v>
      </c>
      <c r="C783" t="s">
        <v>34</v>
      </c>
      <c r="D783" t="s">
        <v>35</v>
      </c>
      <c r="E783">
        <v>1.51</v>
      </c>
      <c r="F783">
        <v>4.43</v>
      </c>
      <c r="G783" s="8">
        <f t="shared" si="12"/>
        <v>20.451467268623023</v>
      </c>
    </row>
    <row r="784" spans="1:7" x14ac:dyDescent="0.25">
      <c r="A784" s="87">
        <v>45804.666666666664</v>
      </c>
      <c r="B784">
        <v>29</v>
      </c>
      <c r="C784" t="s">
        <v>36</v>
      </c>
      <c r="D784" t="s">
        <v>37</v>
      </c>
      <c r="E784">
        <v>1.57</v>
      </c>
      <c r="F784">
        <v>3.88</v>
      </c>
      <c r="G784" s="8">
        <f t="shared" si="12"/>
        <v>24.27835051546392</v>
      </c>
    </row>
    <row r="785" spans="1:7" x14ac:dyDescent="0.25">
      <c r="A785" s="87">
        <v>45804.666666666664</v>
      </c>
      <c r="B785">
        <v>30</v>
      </c>
      <c r="C785" t="s">
        <v>37</v>
      </c>
      <c r="D785" t="s">
        <v>38</v>
      </c>
      <c r="E785">
        <v>1.57</v>
      </c>
      <c r="F785">
        <v>5.0199999999999996</v>
      </c>
      <c r="G785" s="8">
        <f t="shared" si="12"/>
        <v>18.764940239043828</v>
      </c>
    </row>
    <row r="786" spans="1:7" x14ac:dyDescent="0.25">
      <c r="A786" s="87">
        <v>45804.666666666664</v>
      </c>
      <c r="B786">
        <v>31</v>
      </c>
      <c r="C786" t="s">
        <v>38</v>
      </c>
      <c r="D786" t="s">
        <v>39</v>
      </c>
      <c r="E786">
        <v>1.52</v>
      </c>
      <c r="F786">
        <v>2.77</v>
      </c>
      <c r="G786" s="8">
        <f t="shared" si="12"/>
        <v>32.924187725631768</v>
      </c>
    </row>
    <row r="787" spans="1:7" x14ac:dyDescent="0.25">
      <c r="A787" s="87">
        <v>45804.666666666664</v>
      </c>
      <c r="B787">
        <v>32</v>
      </c>
      <c r="C787" t="s">
        <v>39</v>
      </c>
      <c r="D787" t="s">
        <v>40</v>
      </c>
      <c r="E787">
        <v>1.5</v>
      </c>
      <c r="F787">
        <v>1.92</v>
      </c>
      <c r="G787" s="8">
        <f t="shared" si="12"/>
        <v>46.875</v>
      </c>
    </row>
    <row r="788" spans="1:7" x14ac:dyDescent="0.25">
      <c r="A788" s="87">
        <v>45804.666666666664</v>
      </c>
      <c r="B788">
        <v>33</v>
      </c>
      <c r="C788" t="s">
        <v>40</v>
      </c>
      <c r="D788" t="s">
        <v>41</v>
      </c>
      <c r="E788">
        <v>1.51</v>
      </c>
      <c r="F788">
        <v>2.12</v>
      </c>
      <c r="G788" s="8">
        <f t="shared" si="12"/>
        <v>42.735849056603769</v>
      </c>
    </row>
    <row r="789" spans="1:7" x14ac:dyDescent="0.25">
      <c r="A789" s="87">
        <v>45804.666666666664</v>
      </c>
      <c r="B789">
        <v>34</v>
      </c>
      <c r="C789" t="s">
        <v>41</v>
      </c>
      <c r="D789" t="s">
        <v>42</v>
      </c>
      <c r="E789">
        <v>1.5</v>
      </c>
      <c r="F789">
        <v>2.1</v>
      </c>
      <c r="G789" s="8">
        <f t="shared" si="12"/>
        <v>42.857142857142854</v>
      </c>
    </row>
    <row r="790" spans="1:7" x14ac:dyDescent="0.25">
      <c r="A790" s="87">
        <v>45804.666666666664</v>
      </c>
      <c r="B790">
        <v>35</v>
      </c>
      <c r="C790" t="s">
        <v>43</v>
      </c>
      <c r="D790" t="s">
        <v>44</v>
      </c>
      <c r="E790">
        <v>1.55</v>
      </c>
      <c r="F790">
        <v>3.77</v>
      </c>
      <c r="G790" s="8">
        <f t="shared" si="12"/>
        <v>24.668435013262599</v>
      </c>
    </row>
    <row r="791" spans="1:7" x14ac:dyDescent="0.25">
      <c r="A791" s="87">
        <v>45804.666666666664</v>
      </c>
      <c r="B791">
        <v>36</v>
      </c>
      <c r="C791" t="s">
        <v>44</v>
      </c>
      <c r="D791" t="s">
        <v>45</v>
      </c>
      <c r="E791">
        <v>1.5</v>
      </c>
      <c r="F791">
        <v>3.27</v>
      </c>
      <c r="G791" s="8">
        <f t="shared" si="12"/>
        <v>27.522935779816514</v>
      </c>
    </row>
    <row r="792" spans="1:7" x14ac:dyDescent="0.25">
      <c r="A792" s="87">
        <v>45804.666666666664</v>
      </c>
      <c r="B792">
        <v>37</v>
      </c>
      <c r="C792" t="s">
        <v>45</v>
      </c>
      <c r="D792" t="s">
        <v>46</v>
      </c>
      <c r="E792">
        <v>1.38</v>
      </c>
      <c r="F792">
        <v>4.75</v>
      </c>
      <c r="G792" s="8">
        <f t="shared" si="12"/>
        <v>17.431578947368422</v>
      </c>
    </row>
    <row r="793" spans="1:7" x14ac:dyDescent="0.25">
      <c r="A793" s="87">
        <v>45804.666666666664</v>
      </c>
      <c r="B793">
        <v>38</v>
      </c>
      <c r="C793" t="s">
        <v>46</v>
      </c>
      <c r="D793" t="s">
        <v>47</v>
      </c>
      <c r="E793">
        <v>1.61</v>
      </c>
      <c r="F793">
        <v>4.2</v>
      </c>
      <c r="G793" s="8">
        <f t="shared" si="12"/>
        <v>23</v>
      </c>
    </row>
    <row r="794" spans="1:7" x14ac:dyDescent="0.25">
      <c r="A794" s="87">
        <v>45804.666666666664</v>
      </c>
      <c r="B794">
        <v>39</v>
      </c>
      <c r="C794" t="s">
        <v>47</v>
      </c>
      <c r="D794" t="s">
        <v>48</v>
      </c>
      <c r="E794">
        <v>1.55</v>
      </c>
      <c r="F794">
        <v>3.5</v>
      </c>
      <c r="G794" s="8">
        <f t="shared" si="12"/>
        <v>26.571428571428573</v>
      </c>
    </row>
    <row r="795" spans="1:7" x14ac:dyDescent="0.25">
      <c r="A795" s="87">
        <v>45804.666666666664</v>
      </c>
      <c r="B795">
        <v>40</v>
      </c>
      <c r="C795" t="s">
        <v>48</v>
      </c>
      <c r="D795" t="s">
        <v>49</v>
      </c>
      <c r="E795">
        <v>1.39</v>
      </c>
      <c r="F795">
        <v>3.05</v>
      </c>
      <c r="G795" s="8">
        <f t="shared" si="12"/>
        <v>27.344262295081965</v>
      </c>
    </row>
    <row r="796" spans="1:7" x14ac:dyDescent="0.25">
      <c r="A796" s="87">
        <v>45804.666666666664</v>
      </c>
      <c r="B796">
        <v>41</v>
      </c>
      <c r="C796" t="s">
        <v>50</v>
      </c>
      <c r="D796" t="s">
        <v>51</v>
      </c>
      <c r="E796">
        <v>1.56</v>
      </c>
      <c r="F796">
        <v>4.28</v>
      </c>
      <c r="G796" s="8">
        <f t="shared" si="12"/>
        <v>21.869158878504674</v>
      </c>
    </row>
    <row r="797" spans="1:7" x14ac:dyDescent="0.25">
      <c r="A797" s="87">
        <v>45804.666666666664</v>
      </c>
      <c r="B797">
        <v>42</v>
      </c>
      <c r="C797" t="s">
        <v>51</v>
      </c>
      <c r="D797" t="s">
        <v>52</v>
      </c>
      <c r="E797">
        <v>1.56</v>
      </c>
      <c r="F797">
        <v>4.05</v>
      </c>
      <c r="G797" s="8">
        <f t="shared" si="12"/>
        <v>23.111111111111114</v>
      </c>
    </row>
    <row r="798" spans="1:7" x14ac:dyDescent="0.25">
      <c r="A798" s="87">
        <v>45804.666666666664</v>
      </c>
      <c r="B798">
        <v>43</v>
      </c>
      <c r="C798" t="s">
        <v>52</v>
      </c>
      <c r="D798" t="s">
        <v>53</v>
      </c>
      <c r="E798">
        <v>1.51</v>
      </c>
      <c r="F798">
        <v>3.68</v>
      </c>
      <c r="G798" s="8">
        <f t="shared" si="12"/>
        <v>24.619565217391301</v>
      </c>
    </row>
    <row r="799" spans="1:7" x14ac:dyDescent="0.25">
      <c r="A799" s="87">
        <v>45804.666666666664</v>
      </c>
      <c r="B799">
        <v>44</v>
      </c>
      <c r="C799" t="s">
        <v>54</v>
      </c>
      <c r="D799" t="s">
        <v>55</v>
      </c>
      <c r="E799">
        <v>1.51</v>
      </c>
      <c r="F799">
        <v>4.92</v>
      </c>
      <c r="G799" s="8">
        <f t="shared" si="12"/>
        <v>18.414634146341463</v>
      </c>
    </row>
    <row r="800" spans="1:7" x14ac:dyDescent="0.25">
      <c r="A800" s="87">
        <v>45804.666666666664</v>
      </c>
      <c r="B800">
        <v>45</v>
      </c>
      <c r="C800" t="s">
        <v>55</v>
      </c>
      <c r="D800" t="s">
        <v>56</v>
      </c>
      <c r="E800">
        <v>1.49</v>
      </c>
      <c r="F800">
        <v>3.75</v>
      </c>
      <c r="G800" s="8">
        <f t="shared" si="12"/>
        <v>23.84</v>
      </c>
    </row>
    <row r="801" spans="1:7" x14ac:dyDescent="0.25">
      <c r="A801" s="87">
        <v>45804.666666666664</v>
      </c>
      <c r="B801">
        <v>46</v>
      </c>
      <c r="C801" t="s">
        <v>56</v>
      </c>
      <c r="D801" t="s">
        <v>57</v>
      </c>
      <c r="E801">
        <v>1.52</v>
      </c>
      <c r="F801">
        <v>3.88</v>
      </c>
      <c r="G801" s="8">
        <f t="shared" si="12"/>
        <v>23.505154639175259</v>
      </c>
    </row>
    <row r="802" spans="1:7" x14ac:dyDescent="0.25">
      <c r="A802" s="87">
        <v>45804.666666666664</v>
      </c>
      <c r="B802">
        <v>47</v>
      </c>
      <c r="C802" t="s">
        <v>58</v>
      </c>
      <c r="D802" t="s">
        <v>59</v>
      </c>
      <c r="E802">
        <v>1.52</v>
      </c>
      <c r="F802">
        <v>4.18</v>
      </c>
      <c r="G802" s="8">
        <f t="shared" si="12"/>
        <v>21.81818181818182</v>
      </c>
    </row>
    <row r="803" spans="1:7" x14ac:dyDescent="0.25">
      <c r="A803" s="87">
        <v>45804.666666666664</v>
      </c>
      <c r="B803">
        <v>48</v>
      </c>
      <c r="C803" t="s">
        <v>59</v>
      </c>
      <c r="D803" t="s">
        <v>60</v>
      </c>
      <c r="E803">
        <v>1.5</v>
      </c>
      <c r="F803">
        <v>3.68</v>
      </c>
      <c r="G803" s="8">
        <f t="shared" si="12"/>
        <v>24.456521739130434</v>
      </c>
    </row>
    <row r="804" spans="1:7" x14ac:dyDescent="0.25">
      <c r="A804" s="87">
        <v>45804.666666666664</v>
      </c>
      <c r="B804">
        <v>49</v>
      </c>
      <c r="C804" t="s">
        <v>60</v>
      </c>
      <c r="D804" t="s">
        <v>61</v>
      </c>
      <c r="E804">
        <v>1.54</v>
      </c>
      <c r="F804">
        <v>4.0199999999999996</v>
      </c>
      <c r="G804" s="8">
        <f t="shared" si="12"/>
        <v>22.985074626865675</v>
      </c>
    </row>
    <row r="805" spans="1:7" x14ac:dyDescent="0.25">
      <c r="A805" s="87">
        <v>45804.666666666664</v>
      </c>
      <c r="B805">
        <v>50</v>
      </c>
      <c r="C805" t="s">
        <v>62</v>
      </c>
      <c r="D805" t="s">
        <v>63</v>
      </c>
      <c r="E805">
        <v>1.38</v>
      </c>
      <c r="F805">
        <v>3.13</v>
      </c>
      <c r="G805" s="8">
        <f t="shared" si="12"/>
        <v>26.453674121405751</v>
      </c>
    </row>
    <row r="806" spans="1:7" x14ac:dyDescent="0.25">
      <c r="A806" s="87">
        <v>45804.666666666664</v>
      </c>
      <c r="B806">
        <v>51</v>
      </c>
      <c r="C806" t="s">
        <v>63</v>
      </c>
      <c r="D806" t="s">
        <v>64</v>
      </c>
      <c r="E806">
        <v>2.79</v>
      </c>
      <c r="F806">
        <v>5.82</v>
      </c>
      <c r="G806" s="8">
        <f t="shared" si="12"/>
        <v>28.762886597938145</v>
      </c>
    </row>
    <row r="807" spans="1:7" x14ac:dyDescent="0.25">
      <c r="A807" s="87">
        <v>45804.666666666664</v>
      </c>
      <c r="B807">
        <v>52</v>
      </c>
      <c r="C807" t="s">
        <v>64</v>
      </c>
      <c r="D807" t="s">
        <v>65</v>
      </c>
      <c r="E807">
        <v>1.5</v>
      </c>
      <c r="F807">
        <v>2.88</v>
      </c>
      <c r="G807" s="8">
        <f t="shared" si="12"/>
        <v>31.25</v>
      </c>
    </row>
    <row r="808" spans="1:7" x14ac:dyDescent="0.25">
      <c r="A808" s="87">
        <v>45804.666666666664</v>
      </c>
      <c r="B808">
        <v>53</v>
      </c>
      <c r="C808" t="s">
        <v>65</v>
      </c>
      <c r="D808" t="s">
        <v>66</v>
      </c>
      <c r="E808">
        <v>1.46</v>
      </c>
      <c r="F808">
        <v>3.8</v>
      </c>
      <c r="G808" s="8">
        <f t="shared" si="12"/>
        <v>23.052631578947366</v>
      </c>
    </row>
    <row r="809" spans="1:7" x14ac:dyDescent="0.25">
      <c r="A809" s="87">
        <v>45804.666666666664</v>
      </c>
      <c r="B809">
        <v>54</v>
      </c>
      <c r="C809" t="s">
        <v>67</v>
      </c>
      <c r="D809" t="s">
        <v>68</v>
      </c>
      <c r="E809">
        <v>1.46</v>
      </c>
      <c r="F809">
        <v>3.2</v>
      </c>
      <c r="G809" s="8">
        <f t="shared" si="12"/>
        <v>27.374999999999996</v>
      </c>
    </row>
    <row r="810" spans="1:7" x14ac:dyDescent="0.25">
      <c r="A810" s="87">
        <v>45804.666666666664</v>
      </c>
      <c r="B810">
        <v>55</v>
      </c>
      <c r="C810" t="s">
        <v>68</v>
      </c>
      <c r="D810" t="s">
        <v>69</v>
      </c>
      <c r="E810">
        <v>1.5</v>
      </c>
      <c r="F810">
        <v>2.2000000000000002</v>
      </c>
      <c r="G810" s="8">
        <f t="shared" si="12"/>
        <v>40.909090909090907</v>
      </c>
    </row>
    <row r="811" spans="1:7" x14ac:dyDescent="0.25">
      <c r="A811" s="87">
        <v>45804.666666666664</v>
      </c>
      <c r="B811">
        <v>56</v>
      </c>
      <c r="C811" t="s">
        <v>70</v>
      </c>
      <c r="D811" t="s">
        <v>71</v>
      </c>
      <c r="E811">
        <v>1.51</v>
      </c>
      <c r="F811">
        <v>6.25</v>
      </c>
      <c r="G811" s="8">
        <f t="shared" si="12"/>
        <v>14.495999999999999</v>
      </c>
    </row>
    <row r="812" spans="1:7" x14ac:dyDescent="0.25">
      <c r="A812" s="87">
        <v>45804.666666666664</v>
      </c>
      <c r="B812">
        <v>57</v>
      </c>
      <c r="C812" t="s">
        <v>71</v>
      </c>
      <c r="D812" t="s">
        <v>72</v>
      </c>
      <c r="E812">
        <v>1.52</v>
      </c>
      <c r="F812">
        <v>4.92</v>
      </c>
      <c r="G812" s="8">
        <f t="shared" si="12"/>
        <v>18.536585365853661</v>
      </c>
    </row>
    <row r="813" spans="1:7" x14ac:dyDescent="0.25">
      <c r="A813" s="87">
        <v>45804.666666666664</v>
      </c>
      <c r="B813">
        <v>58</v>
      </c>
      <c r="C813" t="s">
        <v>72</v>
      </c>
      <c r="D813" t="s">
        <v>73</v>
      </c>
      <c r="E813">
        <v>1.5</v>
      </c>
      <c r="F813">
        <v>4.13</v>
      </c>
      <c r="G813" s="8">
        <f t="shared" si="12"/>
        <v>21.791767554479421</v>
      </c>
    </row>
    <row r="814" spans="1:7" x14ac:dyDescent="0.25">
      <c r="A814" s="87">
        <v>45804.677083333336</v>
      </c>
      <c r="B814">
        <v>1</v>
      </c>
      <c r="C814" t="s">
        <v>6</v>
      </c>
      <c r="D814" t="s">
        <v>7</v>
      </c>
      <c r="E814">
        <v>1.53</v>
      </c>
      <c r="F814">
        <v>3.12</v>
      </c>
      <c r="G814" s="8">
        <f t="shared" si="12"/>
        <v>29.42307692307692</v>
      </c>
    </row>
    <row r="815" spans="1:7" x14ac:dyDescent="0.25">
      <c r="A815" s="87">
        <v>45804.677083333336</v>
      </c>
      <c r="B815">
        <v>2</v>
      </c>
      <c r="C815" t="s">
        <v>7</v>
      </c>
      <c r="D815" t="s">
        <v>8</v>
      </c>
      <c r="E815">
        <v>1.57</v>
      </c>
      <c r="F815">
        <v>5.7</v>
      </c>
      <c r="G815" s="8">
        <f t="shared" si="12"/>
        <v>16.526315789473685</v>
      </c>
    </row>
    <row r="816" spans="1:7" x14ac:dyDescent="0.25">
      <c r="A816" s="87">
        <v>45804.677083333336</v>
      </c>
      <c r="B816">
        <v>3</v>
      </c>
      <c r="C816" t="s">
        <v>8</v>
      </c>
      <c r="D816" t="s">
        <v>9</v>
      </c>
      <c r="E816">
        <v>1.5</v>
      </c>
      <c r="F816">
        <v>3.3</v>
      </c>
      <c r="G816" s="8">
        <f t="shared" si="12"/>
        <v>27.272727272727273</v>
      </c>
    </row>
    <row r="817" spans="1:7" x14ac:dyDescent="0.25">
      <c r="A817" s="87">
        <v>45804.677083333336</v>
      </c>
      <c r="B817">
        <v>4</v>
      </c>
      <c r="C817" t="s">
        <v>9</v>
      </c>
      <c r="D817" t="s">
        <v>10</v>
      </c>
      <c r="E817">
        <v>1.5</v>
      </c>
      <c r="F817">
        <v>3.08</v>
      </c>
      <c r="G817" s="8">
        <f t="shared" si="12"/>
        <v>29.220779220779221</v>
      </c>
    </row>
    <row r="818" spans="1:7" x14ac:dyDescent="0.25">
      <c r="A818" s="87">
        <v>45804.677083333336</v>
      </c>
      <c r="B818">
        <v>5</v>
      </c>
      <c r="C818" t="s">
        <v>10</v>
      </c>
      <c r="D818" t="s">
        <v>11</v>
      </c>
      <c r="E818">
        <v>1.52</v>
      </c>
      <c r="F818">
        <v>3.52</v>
      </c>
      <c r="G818" s="8">
        <f t="shared" si="12"/>
        <v>25.90909090909091</v>
      </c>
    </row>
    <row r="819" spans="1:7" x14ac:dyDescent="0.25">
      <c r="A819" s="87">
        <v>45804.677083333336</v>
      </c>
      <c r="B819">
        <v>6</v>
      </c>
      <c r="C819" t="s">
        <v>11</v>
      </c>
      <c r="D819" t="s">
        <v>12</v>
      </c>
      <c r="E819">
        <v>1.5</v>
      </c>
      <c r="F819">
        <v>2.65</v>
      </c>
      <c r="G819" s="8">
        <f t="shared" si="12"/>
        <v>33.962264150943398</v>
      </c>
    </row>
    <row r="820" spans="1:7" x14ac:dyDescent="0.25">
      <c r="A820" s="87">
        <v>45804.677083333336</v>
      </c>
      <c r="B820">
        <v>7</v>
      </c>
      <c r="C820" t="s">
        <v>12</v>
      </c>
      <c r="D820" t="s">
        <v>13</v>
      </c>
      <c r="E820">
        <v>1.54</v>
      </c>
      <c r="F820">
        <v>2.75</v>
      </c>
      <c r="G820" s="8">
        <f t="shared" si="12"/>
        <v>33.6</v>
      </c>
    </row>
    <row r="821" spans="1:7" x14ac:dyDescent="0.25">
      <c r="A821" s="87">
        <v>45804.677083333336</v>
      </c>
      <c r="B821">
        <v>8</v>
      </c>
      <c r="C821" t="s">
        <v>13</v>
      </c>
      <c r="D821" t="s">
        <v>14</v>
      </c>
      <c r="E821">
        <v>1.54</v>
      </c>
      <c r="F821">
        <v>3.35</v>
      </c>
      <c r="G821" s="8">
        <f t="shared" si="12"/>
        <v>27.582089552238806</v>
      </c>
    </row>
    <row r="822" spans="1:7" x14ac:dyDescent="0.25">
      <c r="A822" s="87">
        <v>45804.677083333336</v>
      </c>
      <c r="B822">
        <v>9</v>
      </c>
      <c r="C822" t="s">
        <v>14</v>
      </c>
      <c r="D822" t="s">
        <v>15</v>
      </c>
      <c r="E822">
        <v>1.52</v>
      </c>
      <c r="F822">
        <v>4.13</v>
      </c>
      <c r="G822" s="8">
        <f t="shared" si="12"/>
        <v>22.082324455205811</v>
      </c>
    </row>
    <row r="823" spans="1:7" x14ac:dyDescent="0.25">
      <c r="A823" s="87">
        <v>45804.677083333336</v>
      </c>
      <c r="B823">
        <v>10</v>
      </c>
      <c r="C823" t="s">
        <v>15</v>
      </c>
      <c r="D823" t="s">
        <v>16</v>
      </c>
      <c r="E823">
        <v>1.5</v>
      </c>
      <c r="F823">
        <v>4.2</v>
      </c>
      <c r="G823" s="8">
        <f t="shared" si="12"/>
        <v>21.428571428571427</v>
      </c>
    </row>
    <row r="824" spans="1:7" x14ac:dyDescent="0.25">
      <c r="A824" s="87">
        <v>45804.677083333336</v>
      </c>
      <c r="B824">
        <v>11</v>
      </c>
      <c r="C824" t="s">
        <v>16</v>
      </c>
      <c r="D824" t="s">
        <v>17</v>
      </c>
      <c r="E824">
        <v>1.48</v>
      </c>
      <c r="F824">
        <v>2.85</v>
      </c>
      <c r="G824" s="8">
        <f t="shared" si="12"/>
        <v>31.157894736842103</v>
      </c>
    </row>
    <row r="825" spans="1:7" x14ac:dyDescent="0.25">
      <c r="A825" s="87">
        <v>45804.677083333336</v>
      </c>
      <c r="B825">
        <v>12</v>
      </c>
      <c r="C825" t="s">
        <v>17</v>
      </c>
      <c r="D825" t="s">
        <v>18</v>
      </c>
      <c r="E825">
        <v>1.46</v>
      </c>
      <c r="F825">
        <v>4.5199999999999996</v>
      </c>
      <c r="G825" s="8">
        <f t="shared" si="12"/>
        <v>19.380530973451329</v>
      </c>
    </row>
    <row r="826" spans="1:7" x14ac:dyDescent="0.25">
      <c r="A826" s="87">
        <v>45804.677083333336</v>
      </c>
      <c r="B826">
        <v>13</v>
      </c>
      <c r="C826" t="s">
        <v>18</v>
      </c>
      <c r="D826" t="s">
        <v>19</v>
      </c>
      <c r="E826">
        <v>1.52</v>
      </c>
      <c r="F826">
        <v>4.33</v>
      </c>
      <c r="G826" s="8">
        <f t="shared" si="12"/>
        <v>21.062355658198616</v>
      </c>
    </row>
    <row r="827" spans="1:7" x14ac:dyDescent="0.25">
      <c r="A827" s="87">
        <v>45804.677083333336</v>
      </c>
      <c r="B827">
        <v>14</v>
      </c>
      <c r="C827" t="s">
        <v>19</v>
      </c>
      <c r="D827" t="s">
        <v>20</v>
      </c>
      <c r="E827">
        <v>1.51</v>
      </c>
      <c r="F827">
        <v>4.07</v>
      </c>
      <c r="G827" s="8">
        <f t="shared" si="12"/>
        <v>22.260442260442257</v>
      </c>
    </row>
    <row r="828" spans="1:7" x14ac:dyDescent="0.25">
      <c r="A828" s="87">
        <v>45804.677083333336</v>
      </c>
      <c r="B828">
        <v>15</v>
      </c>
      <c r="C828" t="s">
        <v>20</v>
      </c>
      <c r="D828" t="s">
        <v>21</v>
      </c>
      <c r="E828">
        <v>1.47</v>
      </c>
      <c r="F828">
        <v>2.52</v>
      </c>
      <c r="G828" s="8">
        <f t="shared" si="12"/>
        <v>35</v>
      </c>
    </row>
    <row r="829" spans="1:7" x14ac:dyDescent="0.25">
      <c r="A829" s="87">
        <v>45804.677083333336</v>
      </c>
      <c r="B829">
        <v>16</v>
      </c>
      <c r="C829" t="s">
        <v>21</v>
      </c>
      <c r="D829" t="s">
        <v>22</v>
      </c>
      <c r="E829">
        <v>1.5</v>
      </c>
      <c r="F829">
        <v>1.92</v>
      </c>
      <c r="G829" s="8">
        <f t="shared" si="12"/>
        <v>46.875</v>
      </c>
    </row>
    <row r="830" spans="1:7" x14ac:dyDescent="0.25">
      <c r="A830" s="87">
        <v>45804.677083333336</v>
      </c>
      <c r="B830">
        <v>17</v>
      </c>
      <c r="C830" t="s">
        <v>22</v>
      </c>
      <c r="D830" t="s">
        <v>23</v>
      </c>
      <c r="E830">
        <v>1.51</v>
      </c>
      <c r="F830">
        <v>4.05</v>
      </c>
      <c r="G830" s="8">
        <f t="shared" si="12"/>
        <v>22.37037037037037</v>
      </c>
    </row>
    <row r="831" spans="1:7" x14ac:dyDescent="0.25">
      <c r="A831" s="87">
        <v>45804.677083333336</v>
      </c>
      <c r="B831">
        <v>18</v>
      </c>
      <c r="C831" t="s">
        <v>23</v>
      </c>
      <c r="D831" t="s">
        <v>24</v>
      </c>
      <c r="E831">
        <v>1.51</v>
      </c>
      <c r="F831">
        <v>4.0999999999999996</v>
      </c>
      <c r="G831" s="8">
        <f t="shared" si="12"/>
        <v>22.097560975609756</v>
      </c>
    </row>
    <row r="832" spans="1:7" x14ac:dyDescent="0.25">
      <c r="A832" s="87">
        <v>45804.677083333336</v>
      </c>
      <c r="B832">
        <v>19</v>
      </c>
      <c r="C832" t="s">
        <v>25</v>
      </c>
      <c r="D832" t="s">
        <v>26</v>
      </c>
      <c r="E832">
        <v>1.5</v>
      </c>
      <c r="F832">
        <v>3.9</v>
      </c>
      <c r="G832" s="8">
        <f t="shared" si="12"/>
        <v>23.076923076923077</v>
      </c>
    </row>
    <row r="833" spans="1:7" x14ac:dyDescent="0.25">
      <c r="A833" s="87">
        <v>45804.677083333336</v>
      </c>
      <c r="B833">
        <v>20</v>
      </c>
      <c r="C833" t="s">
        <v>26</v>
      </c>
      <c r="D833" t="s">
        <v>27</v>
      </c>
      <c r="E833">
        <v>1.48</v>
      </c>
      <c r="F833">
        <v>3.55</v>
      </c>
      <c r="G833" s="8">
        <f t="shared" si="12"/>
        <v>25.014084507042256</v>
      </c>
    </row>
    <row r="834" spans="1:7" x14ac:dyDescent="0.25">
      <c r="A834" s="87">
        <v>45804.677083333336</v>
      </c>
      <c r="B834">
        <v>21</v>
      </c>
      <c r="C834" t="s">
        <v>27</v>
      </c>
      <c r="D834" t="s">
        <v>28</v>
      </c>
      <c r="E834">
        <v>1.51</v>
      </c>
      <c r="F834">
        <v>3.5</v>
      </c>
      <c r="G834" s="8">
        <f t="shared" si="12"/>
        <v>25.885714285714283</v>
      </c>
    </row>
    <row r="835" spans="1:7" x14ac:dyDescent="0.25">
      <c r="A835" s="87">
        <v>45804.677083333336</v>
      </c>
      <c r="B835">
        <v>22</v>
      </c>
      <c r="C835" t="s">
        <v>28</v>
      </c>
      <c r="D835" t="s">
        <v>29</v>
      </c>
      <c r="E835">
        <v>1.57</v>
      </c>
      <c r="F835">
        <v>3.65</v>
      </c>
      <c r="G835" s="8">
        <f t="shared" ref="G835:G898" si="13">E835*60/F835</f>
        <v>25.808219178082194</v>
      </c>
    </row>
    <row r="836" spans="1:7" x14ac:dyDescent="0.25">
      <c r="A836" s="87">
        <v>45804.677083333336</v>
      </c>
      <c r="B836">
        <v>23</v>
      </c>
      <c r="C836" t="s">
        <v>29</v>
      </c>
      <c r="D836" t="s">
        <v>30</v>
      </c>
      <c r="E836">
        <v>1.43</v>
      </c>
      <c r="F836">
        <v>4.55</v>
      </c>
      <c r="G836" s="8">
        <f t="shared" si="13"/>
        <v>18.857142857142858</v>
      </c>
    </row>
    <row r="837" spans="1:7" x14ac:dyDescent="0.25">
      <c r="A837" s="87">
        <v>45804.677083333336</v>
      </c>
      <c r="B837">
        <v>24</v>
      </c>
      <c r="C837" t="s">
        <v>30</v>
      </c>
      <c r="D837" t="s">
        <v>31</v>
      </c>
      <c r="E837">
        <v>1.52</v>
      </c>
      <c r="F837">
        <v>3.48</v>
      </c>
      <c r="G837" s="8">
        <f t="shared" si="13"/>
        <v>26.206896551724139</v>
      </c>
    </row>
    <row r="838" spans="1:7" x14ac:dyDescent="0.25">
      <c r="A838" s="87">
        <v>45804.677083333336</v>
      </c>
      <c r="B838">
        <v>25</v>
      </c>
      <c r="C838" t="s">
        <v>31</v>
      </c>
      <c r="D838" t="s">
        <v>32</v>
      </c>
      <c r="E838">
        <v>1.52</v>
      </c>
      <c r="F838">
        <v>3.63</v>
      </c>
      <c r="G838" s="8">
        <f t="shared" si="13"/>
        <v>25.123966942148762</v>
      </c>
    </row>
    <row r="839" spans="1:7" x14ac:dyDescent="0.25">
      <c r="A839" s="87">
        <v>45804.677083333336</v>
      </c>
      <c r="B839">
        <v>26</v>
      </c>
      <c r="C839" t="s">
        <v>32</v>
      </c>
      <c r="D839" t="s">
        <v>33</v>
      </c>
      <c r="E839">
        <v>1.49</v>
      </c>
      <c r="F839">
        <v>5.38</v>
      </c>
      <c r="G839" s="8">
        <f t="shared" si="13"/>
        <v>16.617100371747213</v>
      </c>
    </row>
    <row r="840" spans="1:7" x14ac:dyDescent="0.25">
      <c r="A840" s="87">
        <v>45804.677083333336</v>
      </c>
      <c r="B840">
        <v>27</v>
      </c>
      <c r="C840" t="s">
        <v>33</v>
      </c>
      <c r="D840" t="s">
        <v>34</v>
      </c>
      <c r="E840">
        <v>1.53</v>
      </c>
      <c r="F840">
        <v>3.85</v>
      </c>
      <c r="G840" s="8">
        <f t="shared" si="13"/>
        <v>23.844155844155843</v>
      </c>
    </row>
    <row r="841" spans="1:7" x14ac:dyDescent="0.25">
      <c r="A841" s="87">
        <v>45804.677083333336</v>
      </c>
      <c r="B841">
        <v>28</v>
      </c>
      <c r="C841" t="s">
        <v>34</v>
      </c>
      <c r="D841" t="s">
        <v>35</v>
      </c>
      <c r="E841">
        <v>1.51</v>
      </c>
      <c r="F841">
        <v>4.28</v>
      </c>
      <c r="G841" s="8">
        <f t="shared" si="13"/>
        <v>21.168224299065418</v>
      </c>
    </row>
    <row r="842" spans="1:7" x14ac:dyDescent="0.25">
      <c r="A842" s="87">
        <v>45804.677083333336</v>
      </c>
      <c r="B842">
        <v>29</v>
      </c>
      <c r="C842" t="s">
        <v>36</v>
      </c>
      <c r="D842" t="s">
        <v>37</v>
      </c>
      <c r="E842">
        <v>1.57</v>
      </c>
      <c r="F842">
        <v>3.85</v>
      </c>
      <c r="G842" s="8">
        <f t="shared" si="13"/>
        <v>24.467532467532468</v>
      </c>
    </row>
    <row r="843" spans="1:7" x14ac:dyDescent="0.25">
      <c r="A843" s="87">
        <v>45804.677083333336</v>
      </c>
      <c r="B843">
        <v>30</v>
      </c>
      <c r="C843" t="s">
        <v>37</v>
      </c>
      <c r="D843" t="s">
        <v>38</v>
      </c>
      <c r="E843">
        <v>1.57</v>
      </c>
      <c r="F843">
        <v>5.03</v>
      </c>
      <c r="G843" s="8">
        <f t="shared" si="13"/>
        <v>18.727634194831012</v>
      </c>
    </row>
    <row r="844" spans="1:7" x14ac:dyDescent="0.25">
      <c r="A844" s="87">
        <v>45804.677083333336</v>
      </c>
      <c r="B844">
        <v>31</v>
      </c>
      <c r="C844" t="s">
        <v>38</v>
      </c>
      <c r="D844" t="s">
        <v>39</v>
      </c>
      <c r="E844">
        <v>1.52</v>
      </c>
      <c r="F844">
        <v>2.9</v>
      </c>
      <c r="G844" s="8">
        <f t="shared" si="13"/>
        <v>31.448275862068968</v>
      </c>
    </row>
    <row r="845" spans="1:7" x14ac:dyDescent="0.25">
      <c r="A845" s="87">
        <v>45804.677083333336</v>
      </c>
      <c r="B845">
        <v>32</v>
      </c>
      <c r="C845" t="s">
        <v>39</v>
      </c>
      <c r="D845" t="s">
        <v>40</v>
      </c>
      <c r="E845">
        <v>1.5</v>
      </c>
      <c r="F845">
        <v>1.9</v>
      </c>
      <c r="G845" s="8">
        <f t="shared" si="13"/>
        <v>47.368421052631582</v>
      </c>
    </row>
    <row r="846" spans="1:7" x14ac:dyDescent="0.25">
      <c r="A846" s="87">
        <v>45804.677083333336</v>
      </c>
      <c r="B846">
        <v>33</v>
      </c>
      <c r="C846" t="s">
        <v>40</v>
      </c>
      <c r="D846" t="s">
        <v>41</v>
      </c>
      <c r="E846">
        <v>1.51</v>
      </c>
      <c r="F846">
        <v>2.2200000000000002</v>
      </c>
      <c r="G846" s="8">
        <f t="shared" si="13"/>
        <v>40.810810810810807</v>
      </c>
    </row>
    <row r="847" spans="1:7" x14ac:dyDescent="0.25">
      <c r="A847" s="87">
        <v>45804.677083333336</v>
      </c>
      <c r="B847">
        <v>34</v>
      </c>
      <c r="C847" t="s">
        <v>41</v>
      </c>
      <c r="D847" t="s">
        <v>42</v>
      </c>
      <c r="E847">
        <v>1.5</v>
      </c>
      <c r="F847">
        <v>2.23</v>
      </c>
      <c r="G847" s="8">
        <f t="shared" si="13"/>
        <v>40.358744394618832</v>
      </c>
    </row>
    <row r="848" spans="1:7" x14ac:dyDescent="0.25">
      <c r="A848" s="87">
        <v>45804.677083333336</v>
      </c>
      <c r="B848">
        <v>35</v>
      </c>
      <c r="C848" t="s">
        <v>43</v>
      </c>
      <c r="D848" t="s">
        <v>44</v>
      </c>
      <c r="E848">
        <v>1.55</v>
      </c>
      <c r="F848">
        <v>3.95</v>
      </c>
      <c r="G848" s="8">
        <f t="shared" si="13"/>
        <v>23.544303797468352</v>
      </c>
    </row>
    <row r="849" spans="1:7" x14ac:dyDescent="0.25">
      <c r="A849" s="87">
        <v>45804.677083333336</v>
      </c>
      <c r="B849">
        <v>36</v>
      </c>
      <c r="C849" t="s">
        <v>44</v>
      </c>
      <c r="D849" t="s">
        <v>45</v>
      </c>
      <c r="E849">
        <v>1.5</v>
      </c>
      <c r="F849">
        <v>3.22</v>
      </c>
      <c r="G849" s="8">
        <f t="shared" si="13"/>
        <v>27.950310559006208</v>
      </c>
    </row>
    <row r="850" spans="1:7" x14ac:dyDescent="0.25">
      <c r="A850" s="87">
        <v>45804.677083333336</v>
      </c>
      <c r="B850">
        <v>37</v>
      </c>
      <c r="C850" t="s">
        <v>45</v>
      </c>
      <c r="D850" t="s">
        <v>46</v>
      </c>
      <c r="E850">
        <v>1.38</v>
      </c>
      <c r="F850">
        <v>4.0999999999999996</v>
      </c>
      <c r="G850" s="8">
        <f t="shared" si="13"/>
        <v>20.195121951219512</v>
      </c>
    </row>
    <row r="851" spans="1:7" x14ac:dyDescent="0.25">
      <c r="A851" s="87">
        <v>45804.677083333336</v>
      </c>
      <c r="B851">
        <v>38</v>
      </c>
      <c r="C851" t="s">
        <v>46</v>
      </c>
      <c r="D851" t="s">
        <v>47</v>
      </c>
      <c r="E851">
        <v>1.61</v>
      </c>
      <c r="F851">
        <v>4.2699999999999996</v>
      </c>
      <c r="G851" s="8">
        <f t="shared" si="13"/>
        <v>22.622950819672134</v>
      </c>
    </row>
    <row r="852" spans="1:7" x14ac:dyDescent="0.25">
      <c r="A852" s="87">
        <v>45804.677083333336</v>
      </c>
      <c r="B852">
        <v>39</v>
      </c>
      <c r="C852" t="s">
        <v>47</v>
      </c>
      <c r="D852" t="s">
        <v>48</v>
      </c>
      <c r="E852">
        <v>1.55</v>
      </c>
      <c r="F852">
        <v>3.47</v>
      </c>
      <c r="G852" s="8">
        <f t="shared" si="13"/>
        <v>26.801152737752158</v>
      </c>
    </row>
    <row r="853" spans="1:7" x14ac:dyDescent="0.25">
      <c r="A853" s="87">
        <v>45804.677083333336</v>
      </c>
      <c r="B853">
        <v>40</v>
      </c>
      <c r="C853" t="s">
        <v>48</v>
      </c>
      <c r="D853" t="s">
        <v>49</v>
      </c>
      <c r="E853">
        <v>1.39</v>
      </c>
      <c r="F853">
        <v>3.1</v>
      </c>
      <c r="G853" s="8">
        <f t="shared" si="13"/>
        <v>26.903225806451609</v>
      </c>
    </row>
    <row r="854" spans="1:7" x14ac:dyDescent="0.25">
      <c r="A854" s="87">
        <v>45804.677083333336</v>
      </c>
      <c r="B854">
        <v>41</v>
      </c>
      <c r="C854" t="s">
        <v>50</v>
      </c>
      <c r="D854" t="s">
        <v>51</v>
      </c>
      <c r="E854">
        <v>1.56</v>
      </c>
      <c r="F854">
        <v>4.2</v>
      </c>
      <c r="G854" s="8">
        <f t="shared" si="13"/>
        <v>22.285714285714288</v>
      </c>
    </row>
    <row r="855" spans="1:7" x14ac:dyDescent="0.25">
      <c r="A855" s="87">
        <v>45804.677083333336</v>
      </c>
      <c r="B855">
        <v>42</v>
      </c>
      <c r="C855" t="s">
        <v>51</v>
      </c>
      <c r="D855" t="s">
        <v>52</v>
      </c>
      <c r="E855">
        <v>1.56</v>
      </c>
      <c r="F855">
        <v>4.43</v>
      </c>
      <c r="G855" s="8">
        <f t="shared" si="13"/>
        <v>21.128668171557564</v>
      </c>
    </row>
    <row r="856" spans="1:7" x14ac:dyDescent="0.25">
      <c r="A856" s="87">
        <v>45804.677083333336</v>
      </c>
      <c r="B856">
        <v>43</v>
      </c>
      <c r="C856" t="s">
        <v>52</v>
      </c>
      <c r="D856" t="s">
        <v>53</v>
      </c>
      <c r="E856">
        <v>1.51</v>
      </c>
      <c r="F856">
        <v>3.67</v>
      </c>
      <c r="G856" s="8">
        <f t="shared" si="13"/>
        <v>24.686648501362395</v>
      </c>
    </row>
    <row r="857" spans="1:7" x14ac:dyDescent="0.25">
      <c r="A857" s="87">
        <v>45804.677083333336</v>
      </c>
      <c r="B857">
        <v>44</v>
      </c>
      <c r="C857" t="s">
        <v>54</v>
      </c>
      <c r="D857" t="s">
        <v>55</v>
      </c>
      <c r="E857">
        <v>1.51</v>
      </c>
      <c r="F857">
        <v>4.32</v>
      </c>
      <c r="G857" s="8">
        <f t="shared" si="13"/>
        <v>20.972222222222218</v>
      </c>
    </row>
    <row r="858" spans="1:7" x14ac:dyDescent="0.25">
      <c r="A858" s="87">
        <v>45804.677083333336</v>
      </c>
      <c r="B858">
        <v>45</v>
      </c>
      <c r="C858" t="s">
        <v>55</v>
      </c>
      <c r="D858" t="s">
        <v>56</v>
      </c>
      <c r="E858">
        <v>1.49</v>
      </c>
      <c r="F858">
        <v>3.7</v>
      </c>
      <c r="G858" s="8">
        <f t="shared" si="13"/>
        <v>24.162162162162161</v>
      </c>
    </row>
    <row r="859" spans="1:7" x14ac:dyDescent="0.25">
      <c r="A859" s="87">
        <v>45804.677083333336</v>
      </c>
      <c r="B859">
        <v>46</v>
      </c>
      <c r="C859" t="s">
        <v>56</v>
      </c>
      <c r="D859" t="s">
        <v>57</v>
      </c>
      <c r="E859">
        <v>1.52</v>
      </c>
      <c r="F859">
        <v>3.85</v>
      </c>
      <c r="G859" s="8">
        <f t="shared" si="13"/>
        <v>23.688311688311689</v>
      </c>
    </row>
    <row r="860" spans="1:7" x14ac:dyDescent="0.25">
      <c r="A860" s="87">
        <v>45804.677083333336</v>
      </c>
      <c r="B860">
        <v>47</v>
      </c>
      <c r="C860" t="s">
        <v>58</v>
      </c>
      <c r="D860" t="s">
        <v>59</v>
      </c>
      <c r="E860">
        <v>1.52</v>
      </c>
      <c r="F860">
        <v>3.98</v>
      </c>
      <c r="G860" s="8">
        <f t="shared" si="13"/>
        <v>22.91457286432161</v>
      </c>
    </row>
    <row r="861" spans="1:7" x14ac:dyDescent="0.25">
      <c r="A861" s="87">
        <v>45804.677083333336</v>
      </c>
      <c r="B861">
        <v>48</v>
      </c>
      <c r="C861" t="s">
        <v>59</v>
      </c>
      <c r="D861" t="s">
        <v>60</v>
      </c>
      <c r="E861">
        <v>1.5</v>
      </c>
      <c r="F861">
        <v>3.75</v>
      </c>
      <c r="G861" s="8">
        <f t="shared" si="13"/>
        <v>24</v>
      </c>
    </row>
    <row r="862" spans="1:7" x14ac:dyDescent="0.25">
      <c r="A862" s="87">
        <v>45804.677083333336</v>
      </c>
      <c r="B862">
        <v>49</v>
      </c>
      <c r="C862" t="s">
        <v>60</v>
      </c>
      <c r="D862" t="s">
        <v>61</v>
      </c>
      <c r="E862">
        <v>1.54</v>
      </c>
      <c r="F862">
        <v>4</v>
      </c>
      <c r="G862" s="8">
        <f t="shared" si="13"/>
        <v>23.1</v>
      </c>
    </row>
    <row r="863" spans="1:7" x14ac:dyDescent="0.25">
      <c r="A863" s="87">
        <v>45804.677083333336</v>
      </c>
      <c r="B863">
        <v>50</v>
      </c>
      <c r="C863" t="s">
        <v>62</v>
      </c>
      <c r="D863" t="s">
        <v>63</v>
      </c>
      <c r="E863">
        <v>1.38</v>
      </c>
      <c r="F863">
        <v>3.23</v>
      </c>
      <c r="G863" s="8">
        <f t="shared" si="13"/>
        <v>25.634674922600617</v>
      </c>
    </row>
    <row r="864" spans="1:7" x14ac:dyDescent="0.25">
      <c r="A864" s="87">
        <v>45804.677083333336</v>
      </c>
      <c r="B864">
        <v>51</v>
      </c>
      <c r="C864" t="s">
        <v>63</v>
      </c>
      <c r="D864" t="s">
        <v>64</v>
      </c>
      <c r="E864">
        <v>2.79</v>
      </c>
      <c r="F864">
        <v>5.77</v>
      </c>
      <c r="G864" s="8">
        <f t="shared" si="13"/>
        <v>29.012131715771233</v>
      </c>
    </row>
    <row r="865" spans="1:7" x14ac:dyDescent="0.25">
      <c r="A865" s="87">
        <v>45804.677083333336</v>
      </c>
      <c r="B865">
        <v>52</v>
      </c>
      <c r="C865" t="s">
        <v>64</v>
      </c>
      <c r="D865" t="s">
        <v>65</v>
      </c>
      <c r="E865">
        <v>1.5</v>
      </c>
      <c r="F865">
        <v>2.88</v>
      </c>
      <c r="G865" s="8">
        <f t="shared" si="13"/>
        <v>31.25</v>
      </c>
    </row>
    <row r="866" spans="1:7" x14ac:dyDescent="0.25">
      <c r="A866" s="87">
        <v>45804.677083333336</v>
      </c>
      <c r="B866">
        <v>53</v>
      </c>
      <c r="C866" t="s">
        <v>65</v>
      </c>
      <c r="D866" t="s">
        <v>66</v>
      </c>
      <c r="E866">
        <v>1.46</v>
      </c>
      <c r="F866">
        <v>4.05</v>
      </c>
      <c r="G866" s="8">
        <f t="shared" si="13"/>
        <v>21.62962962962963</v>
      </c>
    </row>
    <row r="867" spans="1:7" x14ac:dyDescent="0.25">
      <c r="A867" s="87">
        <v>45804.677083333336</v>
      </c>
      <c r="B867">
        <v>54</v>
      </c>
      <c r="C867" t="s">
        <v>67</v>
      </c>
      <c r="D867" t="s">
        <v>68</v>
      </c>
      <c r="E867">
        <v>1.46</v>
      </c>
      <c r="F867">
        <v>3.05</v>
      </c>
      <c r="G867" s="8">
        <f t="shared" si="13"/>
        <v>28.721311475409834</v>
      </c>
    </row>
    <row r="868" spans="1:7" x14ac:dyDescent="0.25">
      <c r="A868" s="87">
        <v>45804.677083333336</v>
      </c>
      <c r="B868">
        <v>55</v>
      </c>
      <c r="C868" t="s">
        <v>68</v>
      </c>
      <c r="D868" t="s">
        <v>69</v>
      </c>
      <c r="E868">
        <v>1.5</v>
      </c>
      <c r="F868">
        <v>2.2999999999999998</v>
      </c>
      <c r="G868" s="8">
        <f t="shared" si="13"/>
        <v>39.130434782608695</v>
      </c>
    </row>
    <row r="869" spans="1:7" x14ac:dyDescent="0.25">
      <c r="A869" s="87">
        <v>45804.677083333336</v>
      </c>
      <c r="B869">
        <v>56</v>
      </c>
      <c r="C869" t="s">
        <v>70</v>
      </c>
      <c r="D869" t="s">
        <v>71</v>
      </c>
      <c r="E869">
        <v>1.51</v>
      </c>
      <c r="F869">
        <v>5.5</v>
      </c>
      <c r="G869" s="8">
        <f t="shared" si="13"/>
        <v>16.472727272727273</v>
      </c>
    </row>
    <row r="870" spans="1:7" x14ac:dyDescent="0.25">
      <c r="A870" s="87">
        <v>45804.677083333336</v>
      </c>
      <c r="B870">
        <v>57</v>
      </c>
      <c r="C870" t="s">
        <v>71</v>
      </c>
      <c r="D870" t="s">
        <v>72</v>
      </c>
      <c r="E870">
        <v>1.52</v>
      </c>
      <c r="F870">
        <v>3.92</v>
      </c>
      <c r="G870" s="8">
        <f t="shared" si="13"/>
        <v>23.26530612244898</v>
      </c>
    </row>
    <row r="871" spans="1:7" x14ac:dyDescent="0.25">
      <c r="A871" s="87">
        <v>45804.677083333336</v>
      </c>
      <c r="B871">
        <v>58</v>
      </c>
      <c r="C871" t="s">
        <v>72</v>
      </c>
      <c r="D871" t="s">
        <v>73</v>
      </c>
      <c r="E871">
        <v>1.5</v>
      </c>
      <c r="F871">
        <v>4.3499999999999996</v>
      </c>
      <c r="G871" s="8">
        <f t="shared" si="13"/>
        <v>20.689655172413794</v>
      </c>
    </row>
    <row r="872" spans="1:7" x14ac:dyDescent="0.25">
      <c r="A872" s="87">
        <v>45804.6875</v>
      </c>
      <c r="B872">
        <v>1</v>
      </c>
      <c r="C872" t="s">
        <v>6</v>
      </c>
      <c r="D872" t="s">
        <v>7</v>
      </c>
      <c r="E872">
        <v>1.53</v>
      </c>
      <c r="F872">
        <v>3.17</v>
      </c>
      <c r="G872" s="8">
        <f t="shared" si="13"/>
        <v>28.958990536277604</v>
      </c>
    </row>
    <row r="873" spans="1:7" x14ac:dyDescent="0.25">
      <c r="A873" s="87">
        <v>45804.6875</v>
      </c>
      <c r="B873">
        <v>2</v>
      </c>
      <c r="C873" t="s">
        <v>7</v>
      </c>
      <c r="D873" t="s">
        <v>8</v>
      </c>
      <c r="E873">
        <v>1.57</v>
      </c>
      <c r="F873">
        <v>6.37</v>
      </c>
      <c r="G873" s="8">
        <f t="shared" si="13"/>
        <v>14.78806907378336</v>
      </c>
    </row>
    <row r="874" spans="1:7" x14ac:dyDescent="0.25">
      <c r="A874" s="87">
        <v>45804.6875</v>
      </c>
      <c r="B874">
        <v>3</v>
      </c>
      <c r="C874" t="s">
        <v>8</v>
      </c>
      <c r="D874" t="s">
        <v>9</v>
      </c>
      <c r="E874">
        <v>1.5</v>
      </c>
      <c r="F874">
        <v>3.2</v>
      </c>
      <c r="G874" s="8">
        <f t="shared" si="13"/>
        <v>28.125</v>
      </c>
    </row>
    <row r="875" spans="1:7" x14ac:dyDescent="0.25">
      <c r="A875" s="87">
        <v>45804.6875</v>
      </c>
      <c r="B875">
        <v>4</v>
      </c>
      <c r="C875" t="s">
        <v>9</v>
      </c>
      <c r="D875" t="s">
        <v>10</v>
      </c>
      <c r="E875">
        <v>1.5</v>
      </c>
      <c r="F875">
        <v>3.23</v>
      </c>
      <c r="G875" s="8">
        <f t="shared" si="13"/>
        <v>27.86377708978328</v>
      </c>
    </row>
    <row r="876" spans="1:7" x14ac:dyDescent="0.25">
      <c r="A876" s="87">
        <v>45804.6875</v>
      </c>
      <c r="B876">
        <v>5</v>
      </c>
      <c r="C876" t="s">
        <v>10</v>
      </c>
      <c r="D876" t="s">
        <v>11</v>
      </c>
      <c r="E876">
        <v>1.52</v>
      </c>
      <c r="F876">
        <v>3.45</v>
      </c>
      <c r="G876" s="8">
        <f t="shared" si="13"/>
        <v>26.434782608695652</v>
      </c>
    </row>
    <row r="877" spans="1:7" x14ac:dyDescent="0.25">
      <c r="A877" s="87">
        <v>45804.6875</v>
      </c>
      <c r="B877">
        <v>6</v>
      </c>
      <c r="C877" t="s">
        <v>11</v>
      </c>
      <c r="D877" t="s">
        <v>12</v>
      </c>
      <c r="E877">
        <v>1.5</v>
      </c>
      <c r="F877">
        <v>2.83</v>
      </c>
      <c r="G877" s="8">
        <f t="shared" si="13"/>
        <v>31.802120141342755</v>
      </c>
    </row>
    <row r="878" spans="1:7" x14ac:dyDescent="0.25">
      <c r="A878" s="87">
        <v>45804.6875</v>
      </c>
      <c r="B878">
        <v>7</v>
      </c>
      <c r="C878" t="s">
        <v>12</v>
      </c>
      <c r="D878" t="s">
        <v>13</v>
      </c>
      <c r="E878">
        <v>1.54</v>
      </c>
      <c r="F878">
        <v>2.93</v>
      </c>
      <c r="G878" s="8">
        <f t="shared" si="13"/>
        <v>31.535836177474405</v>
      </c>
    </row>
    <row r="879" spans="1:7" x14ac:dyDescent="0.25">
      <c r="A879" s="87">
        <v>45804.6875</v>
      </c>
      <c r="B879">
        <v>8</v>
      </c>
      <c r="C879" t="s">
        <v>13</v>
      </c>
      <c r="D879" t="s">
        <v>14</v>
      </c>
      <c r="E879">
        <v>1.54</v>
      </c>
      <c r="F879">
        <v>3.48</v>
      </c>
      <c r="G879" s="8">
        <f t="shared" si="13"/>
        <v>26.551724137931036</v>
      </c>
    </row>
    <row r="880" spans="1:7" x14ac:dyDescent="0.25">
      <c r="A880" s="87">
        <v>45804.6875</v>
      </c>
      <c r="B880">
        <v>9</v>
      </c>
      <c r="C880" t="s">
        <v>14</v>
      </c>
      <c r="D880" t="s">
        <v>15</v>
      </c>
      <c r="E880">
        <v>1.52</v>
      </c>
      <c r="F880">
        <v>3.87</v>
      </c>
      <c r="G880" s="8">
        <f t="shared" si="13"/>
        <v>23.565891472868216</v>
      </c>
    </row>
    <row r="881" spans="1:7" x14ac:dyDescent="0.25">
      <c r="A881" s="87">
        <v>45804.6875</v>
      </c>
      <c r="B881">
        <v>10</v>
      </c>
      <c r="C881" t="s">
        <v>15</v>
      </c>
      <c r="D881" t="s">
        <v>16</v>
      </c>
      <c r="E881">
        <v>1.5</v>
      </c>
      <c r="F881">
        <v>5.05</v>
      </c>
      <c r="G881" s="8">
        <f t="shared" si="13"/>
        <v>17.821782178217823</v>
      </c>
    </row>
    <row r="882" spans="1:7" x14ac:dyDescent="0.25">
      <c r="A882" s="87">
        <v>45804.6875</v>
      </c>
      <c r="B882">
        <v>11</v>
      </c>
      <c r="C882" t="s">
        <v>16</v>
      </c>
      <c r="D882" t="s">
        <v>17</v>
      </c>
      <c r="E882">
        <v>1.48</v>
      </c>
      <c r="F882">
        <v>2.67</v>
      </c>
      <c r="G882" s="8">
        <f t="shared" si="13"/>
        <v>33.258426966292134</v>
      </c>
    </row>
    <row r="883" spans="1:7" x14ac:dyDescent="0.25">
      <c r="A883" s="87">
        <v>45804.6875</v>
      </c>
      <c r="B883">
        <v>12</v>
      </c>
      <c r="C883" t="s">
        <v>17</v>
      </c>
      <c r="D883" t="s">
        <v>18</v>
      </c>
      <c r="E883">
        <v>1.46</v>
      </c>
      <c r="F883">
        <v>4.22</v>
      </c>
      <c r="G883" s="8">
        <f t="shared" si="13"/>
        <v>20.75829383886256</v>
      </c>
    </row>
    <row r="884" spans="1:7" x14ac:dyDescent="0.25">
      <c r="A884" s="87">
        <v>45804.6875</v>
      </c>
      <c r="B884">
        <v>13</v>
      </c>
      <c r="C884" t="s">
        <v>18</v>
      </c>
      <c r="D884" t="s">
        <v>19</v>
      </c>
      <c r="E884">
        <v>1.52</v>
      </c>
      <c r="F884">
        <v>4.07</v>
      </c>
      <c r="G884" s="8">
        <f t="shared" si="13"/>
        <v>22.407862407862407</v>
      </c>
    </row>
    <row r="885" spans="1:7" x14ac:dyDescent="0.25">
      <c r="A885" s="87">
        <v>45804.6875</v>
      </c>
      <c r="B885">
        <v>14</v>
      </c>
      <c r="C885" t="s">
        <v>19</v>
      </c>
      <c r="D885" t="s">
        <v>20</v>
      </c>
      <c r="E885">
        <v>1.51</v>
      </c>
      <c r="F885">
        <v>3.67</v>
      </c>
      <c r="G885" s="8">
        <f t="shared" si="13"/>
        <v>24.686648501362395</v>
      </c>
    </row>
    <row r="886" spans="1:7" x14ac:dyDescent="0.25">
      <c r="A886" s="87">
        <v>45804.6875</v>
      </c>
      <c r="B886">
        <v>15</v>
      </c>
      <c r="C886" t="s">
        <v>20</v>
      </c>
      <c r="D886" t="s">
        <v>21</v>
      </c>
      <c r="E886">
        <v>1.47</v>
      </c>
      <c r="F886">
        <v>2.63</v>
      </c>
      <c r="G886" s="8">
        <f t="shared" si="13"/>
        <v>33.536121673003805</v>
      </c>
    </row>
    <row r="887" spans="1:7" x14ac:dyDescent="0.25">
      <c r="A887" s="87">
        <v>45804.6875</v>
      </c>
      <c r="B887">
        <v>16</v>
      </c>
      <c r="C887" t="s">
        <v>21</v>
      </c>
      <c r="D887" t="s">
        <v>22</v>
      </c>
      <c r="E887">
        <v>1.5</v>
      </c>
      <c r="F887">
        <v>1.97</v>
      </c>
      <c r="G887" s="8">
        <f t="shared" si="13"/>
        <v>45.685279187817258</v>
      </c>
    </row>
    <row r="888" spans="1:7" x14ac:dyDescent="0.25">
      <c r="A888" s="87">
        <v>45804.6875</v>
      </c>
      <c r="B888">
        <v>17</v>
      </c>
      <c r="C888" t="s">
        <v>22</v>
      </c>
      <c r="D888" t="s">
        <v>23</v>
      </c>
      <c r="E888">
        <v>1.51</v>
      </c>
      <c r="F888">
        <v>3.35</v>
      </c>
      <c r="G888" s="8">
        <f t="shared" si="13"/>
        <v>27.044776119402982</v>
      </c>
    </row>
    <row r="889" spans="1:7" x14ac:dyDescent="0.25">
      <c r="A889" s="87">
        <v>45804.6875</v>
      </c>
      <c r="B889">
        <v>18</v>
      </c>
      <c r="C889" t="s">
        <v>23</v>
      </c>
      <c r="D889" t="s">
        <v>24</v>
      </c>
      <c r="E889">
        <v>1.51</v>
      </c>
      <c r="F889">
        <v>3.55</v>
      </c>
      <c r="G889" s="8">
        <f t="shared" si="13"/>
        <v>25.52112676056338</v>
      </c>
    </row>
    <row r="890" spans="1:7" x14ac:dyDescent="0.25">
      <c r="A890" s="87">
        <v>45804.6875</v>
      </c>
      <c r="B890">
        <v>19</v>
      </c>
      <c r="C890" t="s">
        <v>25</v>
      </c>
      <c r="D890" t="s">
        <v>26</v>
      </c>
      <c r="E890">
        <v>1.5</v>
      </c>
      <c r="F890">
        <v>3.95</v>
      </c>
      <c r="G890" s="8">
        <f t="shared" si="13"/>
        <v>22.784810126582279</v>
      </c>
    </row>
    <row r="891" spans="1:7" x14ac:dyDescent="0.25">
      <c r="A891" s="87">
        <v>45804.6875</v>
      </c>
      <c r="B891">
        <v>20</v>
      </c>
      <c r="C891" t="s">
        <v>26</v>
      </c>
      <c r="D891" t="s">
        <v>27</v>
      </c>
      <c r="E891">
        <v>1.48</v>
      </c>
      <c r="F891">
        <v>3.65</v>
      </c>
      <c r="G891" s="8">
        <f t="shared" si="13"/>
        <v>24.328767123287673</v>
      </c>
    </row>
    <row r="892" spans="1:7" x14ac:dyDescent="0.25">
      <c r="A892" s="87">
        <v>45804.6875</v>
      </c>
      <c r="B892">
        <v>21</v>
      </c>
      <c r="C892" t="s">
        <v>27</v>
      </c>
      <c r="D892" t="s">
        <v>28</v>
      </c>
      <c r="E892">
        <v>1.51</v>
      </c>
      <c r="F892">
        <v>3.33</v>
      </c>
      <c r="G892" s="8">
        <f t="shared" si="13"/>
        <v>27.207207207207205</v>
      </c>
    </row>
    <row r="893" spans="1:7" x14ac:dyDescent="0.25">
      <c r="A893" s="87">
        <v>45804.6875</v>
      </c>
      <c r="B893">
        <v>22</v>
      </c>
      <c r="C893" t="s">
        <v>28</v>
      </c>
      <c r="D893" t="s">
        <v>29</v>
      </c>
      <c r="E893">
        <v>1.57</v>
      </c>
      <c r="F893">
        <v>3.15</v>
      </c>
      <c r="G893" s="8">
        <f t="shared" si="13"/>
        <v>29.904761904761905</v>
      </c>
    </row>
    <row r="894" spans="1:7" x14ac:dyDescent="0.25">
      <c r="A894" s="87">
        <v>45804.6875</v>
      </c>
      <c r="B894">
        <v>23</v>
      </c>
      <c r="C894" t="s">
        <v>29</v>
      </c>
      <c r="D894" t="s">
        <v>30</v>
      </c>
      <c r="E894">
        <v>1.43</v>
      </c>
      <c r="F894">
        <v>4.83</v>
      </c>
      <c r="G894" s="8">
        <f t="shared" si="13"/>
        <v>17.763975155279503</v>
      </c>
    </row>
    <row r="895" spans="1:7" x14ac:dyDescent="0.25">
      <c r="A895" s="87">
        <v>45804.6875</v>
      </c>
      <c r="B895">
        <v>24</v>
      </c>
      <c r="C895" t="s">
        <v>30</v>
      </c>
      <c r="D895" t="s">
        <v>31</v>
      </c>
      <c r="E895">
        <v>1.52</v>
      </c>
      <c r="F895">
        <v>3.53</v>
      </c>
      <c r="G895" s="8">
        <f t="shared" si="13"/>
        <v>25.835694050991503</v>
      </c>
    </row>
    <row r="896" spans="1:7" x14ac:dyDescent="0.25">
      <c r="A896" s="87">
        <v>45804.6875</v>
      </c>
      <c r="B896">
        <v>25</v>
      </c>
      <c r="C896" t="s">
        <v>31</v>
      </c>
      <c r="D896" t="s">
        <v>32</v>
      </c>
      <c r="E896">
        <v>1.52</v>
      </c>
      <c r="F896">
        <v>3.63</v>
      </c>
      <c r="G896" s="8">
        <f t="shared" si="13"/>
        <v>25.123966942148762</v>
      </c>
    </row>
    <row r="897" spans="1:7" x14ac:dyDescent="0.25">
      <c r="A897" s="87">
        <v>45804.6875</v>
      </c>
      <c r="B897">
        <v>26</v>
      </c>
      <c r="C897" t="s">
        <v>32</v>
      </c>
      <c r="D897" t="s">
        <v>33</v>
      </c>
      <c r="E897">
        <v>1.49</v>
      </c>
      <c r="F897">
        <v>4.95</v>
      </c>
      <c r="G897" s="8">
        <f t="shared" si="13"/>
        <v>18.060606060606062</v>
      </c>
    </row>
    <row r="898" spans="1:7" x14ac:dyDescent="0.25">
      <c r="A898" s="87">
        <v>45804.6875</v>
      </c>
      <c r="B898">
        <v>27</v>
      </c>
      <c r="C898" t="s">
        <v>33</v>
      </c>
      <c r="D898" t="s">
        <v>34</v>
      </c>
      <c r="E898">
        <v>1.53</v>
      </c>
      <c r="F898">
        <v>3.72</v>
      </c>
      <c r="G898" s="8">
        <f t="shared" si="13"/>
        <v>24.677419354838708</v>
      </c>
    </row>
    <row r="899" spans="1:7" x14ac:dyDescent="0.25">
      <c r="A899" s="87">
        <v>45804.6875</v>
      </c>
      <c r="B899">
        <v>28</v>
      </c>
      <c r="C899" t="s">
        <v>34</v>
      </c>
      <c r="D899" t="s">
        <v>35</v>
      </c>
      <c r="E899">
        <v>1.51</v>
      </c>
      <c r="F899">
        <v>4.32</v>
      </c>
      <c r="G899" s="8">
        <f t="shared" ref="G899:G962" si="14">E899*60/F899</f>
        <v>20.972222222222218</v>
      </c>
    </row>
    <row r="900" spans="1:7" x14ac:dyDescent="0.25">
      <c r="A900" s="87">
        <v>45804.6875</v>
      </c>
      <c r="B900">
        <v>29</v>
      </c>
      <c r="C900" t="s">
        <v>36</v>
      </c>
      <c r="D900" t="s">
        <v>37</v>
      </c>
      <c r="E900">
        <v>1.57</v>
      </c>
      <c r="F900">
        <v>4.13</v>
      </c>
      <c r="G900" s="8">
        <f t="shared" si="14"/>
        <v>22.808716707021794</v>
      </c>
    </row>
    <row r="901" spans="1:7" x14ac:dyDescent="0.25">
      <c r="A901" s="87">
        <v>45804.6875</v>
      </c>
      <c r="B901">
        <v>30</v>
      </c>
      <c r="C901" t="s">
        <v>37</v>
      </c>
      <c r="D901" t="s">
        <v>38</v>
      </c>
      <c r="E901">
        <v>1.57</v>
      </c>
      <c r="F901">
        <v>4.75</v>
      </c>
      <c r="G901" s="8">
        <f t="shared" si="14"/>
        <v>19.831578947368421</v>
      </c>
    </row>
    <row r="902" spans="1:7" x14ac:dyDescent="0.25">
      <c r="A902" s="87">
        <v>45804.6875</v>
      </c>
      <c r="B902">
        <v>31</v>
      </c>
      <c r="C902" t="s">
        <v>38</v>
      </c>
      <c r="D902" t="s">
        <v>39</v>
      </c>
      <c r="E902">
        <v>1.52</v>
      </c>
      <c r="F902">
        <v>3.28</v>
      </c>
      <c r="G902" s="8">
        <f t="shared" si="14"/>
        <v>27.804878048780491</v>
      </c>
    </row>
    <row r="903" spans="1:7" x14ac:dyDescent="0.25">
      <c r="A903" s="87">
        <v>45804.6875</v>
      </c>
      <c r="B903">
        <v>32</v>
      </c>
      <c r="C903" t="s">
        <v>39</v>
      </c>
      <c r="D903" t="s">
        <v>40</v>
      </c>
      <c r="E903">
        <v>1.5</v>
      </c>
      <c r="F903">
        <v>1.92</v>
      </c>
      <c r="G903" s="8">
        <f t="shared" si="14"/>
        <v>46.875</v>
      </c>
    </row>
    <row r="904" spans="1:7" x14ac:dyDescent="0.25">
      <c r="A904" s="87">
        <v>45804.6875</v>
      </c>
      <c r="B904">
        <v>33</v>
      </c>
      <c r="C904" t="s">
        <v>40</v>
      </c>
      <c r="D904" t="s">
        <v>41</v>
      </c>
      <c r="E904">
        <v>1.51</v>
      </c>
      <c r="F904">
        <v>1.98</v>
      </c>
      <c r="G904" s="8">
        <f t="shared" si="14"/>
        <v>45.757575757575758</v>
      </c>
    </row>
    <row r="905" spans="1:7" x14ac:dyDescent="0.25">
      <c r="A905" s="87">
        <v>45804.6875</v>
      </c>
      <c r="B905">
        <v>34</v>
      </c>
      <c r="C905" t="s">
        <v>41</v>
      </c>
      <c r="D905" t="s">
        <v>42</v>
      </c>
      <c r="E905">
        <v>1.5</v>
      </c>
      <c r="F905">
        <v>2.95</v>
      </c>
      <c r="G905" s="8">
        <f t="shared" si="14"/>
        <v>30.508474576271183</v>
      </c>
    </row>
    <row r="906" spans="1:7" x14ac:dyDescent="0.25">
      <c r="A906" s="87">
        <v>45804.6875</v>
      </c>
      <c r="B906">
        <v>35</v>
      </c>
      <c r="C906" t="s">
        <v>43</v>
      </c>
      <c r="D906" t="s">
        <v>44</v>
      </c>
      <c r="E906">
        <v>1.55</v>
      </c>
      <c r="F906">
        <v>3.57</v>
      </c>
      <c r="G906" s="8">
        <f t="shared" si="14"/>
        <v>26.050420168067227</v>
      </c>
    </row>
    <row r="907" spans="1:7" x14ac:dyDescent="0.25">
      <c r="A907" s="87">
        <v>45804.6875</v>
      </c>
      <c r="B907">
        <v>36</v>
      </c>
      <c r="C907" t="s">
        <v>44</v>
      </c>
      <c r="D907" t="s">
        <v>45</v>
      </c>
      <c r="E907">
        <v>1.5</v>
      </c>
      <c r="F907">
        <v>3.23</v>
      </c>
      <c r="G907" s="8">
        <f t="shared" si="14"/>
        <v>27.86377708978328</v>
      </c>
    </row>
    <row r="908" spans="1:7" x14ac:dyDescent="0.25">
      <c r="A908" s="87">
        <v>45804.6875</v>
      </c>
      <c r="B908">
        <v>37</v>
      </c>
      <c r="C908" t="s">
        <v>45</v>
      </c>
      <c r="D908" t="s">
        <v>46</v>
      </c>
      <c r="E908">
        <v>1.38</v>
      </c>
      <c r="F908">
        <v>4</v>
      </c>
      <c r="G908" s="8">
        <f t="shared" si="14"/>
        <v>20.7</v>
      </c>
    </row>
    <row r="909" spans="1:7" x14ac:dyDescent="0.25">
      <c r="A909" s="87">
        <v>45804.6875</v>
      </c>
      <c r="B909">
        <v>38</v>
      </c>
      <c r="C909" t="s">
        <v>46</v>
      </c>
      <c r="D909" t="s">
        <v>47</v>
      </c>
      <c r="E909">
        <v>1.61</v>
      </c>
      <c r="F909">
        <v>4.42</v>
      </c>
      <c r="G909" s="8">
        <f t="shared" si="14"/>
        <v>21.855203619909503</v>
      </c>
    </row>
    <row r="910" spans="1:7" x14ac:dyDescent="0.25">
      <c r="A910" s="87">
        <v>45804.6875</v>
      </c>
      <c r="B910">
        <v>39</v>
      </c>
      <c r="C910" t="s">
        <v>47</v>
      </c>
      <c r="D910" t="s">
        <v>48</v>
      </c>
      <c r="E910">
        <v>1.55</v>
      </c>
      <c r="F910">
        <v>3.68</v>
      </c>
      <c r="G910" s="8">
        <f t="shared" si="14"/>
        <v>25.271739130434781</v>
      </c>
    </row>
    <row r="911" spans="1:7" x14ac:dyDescent="0.25">
      <c r="A911" s="87">
        <v>45804.6875</v>
      </c>
      <c r="B911">
        <v>40</v>
      </c>
      <c r="C911" t="s">
        <v>48</v>
      </c>
      <c r="D911" t="s">
        <v>49</v>
      </c>
      <c r="E911">
        <v>1.39</v>
      </c>
      <c r="F911">
        <v>3.18</v>
      </c>
      <c r="G911" s="8">
        <f t="shared" si="14"/>
        <v>26.226415094339618</v>
      </c>
    </row>
    <row r="912" spans="1:7" x14ac:dyDescent="0.25">
      <c r="A912" s="87">
        <v>45804.6875</v>
      </c>
      <c r="B912">
        <v>41</v>
      </c>
      <c r="C912" t="s">
        <v>50</v>
      </c>
      <c r="D912" t="s">
        <v>51</v>
      </c>
      <c r="E912">
        <v>1.56</v>
      </c>
      <c r="F912">
        <v>4.72</v>
      </c>
      <c r="G912" s="8">
        <f t="shared" si="14"/>
        <v>19.830508474576273</v>
      </c>
    </row>
    <row r="913" spans="1:7" x14ac:dyDescent="0.25">
      <c r="A913" s="87">
        <v>45804.6875</v>
      </c>
      <c r="B913">
        <v>42</v>
      </c>
      <c r="C913" t="s">
        <v>51</v>
      </c>
      <c r="D913" t="s">
        <v>52</v>
      </c>
      <c r="E913">
        <v>1.56</v>
      </c>
      <c r="F913">
        <v>4.58</v>
      </c>
      <c r="G913" s="8">
        <f t="shared" si="14"/>
        <v>20.436681222707424</v>
      </c>
    </row>
    <row r="914" spans="1:7" x14ac:dyDescent="0.25">
      <c r="A914" s="87">
        <v>45804.6875</v>
      </c>
      <c r="B914">
        <v>43</v>
      </c>
      <c r="C914" t="s">
        <v>52</v>
      </c>
      <c r="D914" t="s">
        <v>53</v>
      </c>
      <c r="E914">
        <v>1.51</v>
      </c>
      <c r="F914">
        <v>3.73</v>
      </c>
      <c r="G914" s="8">
        <f t="shared" si="14"/>
        <v>24.289544235924932</v>
      </c>
    </row>
    <row r="915" spans="1:7" x14ac:dyDescent="0.25">
      <c r="A915" s="87">
        <v>45804.6875</v>
      </c>
      <c r="B915">
        <v>44</v>
      </c>
      <c r="C915" t="s">
        <v>54</v>
      </c>
      <c r="D915" t="s">
        <v>55</v>
      </c>
      <c r="E915">
        <v>1.51</v>
      </c>
      <c r="F915">
        <v>4.4800000000000004</v>
      </c>
      <c r="G915" s="8">
        <f t="shared" si="14"/>
        <v>20.223214285714281</v>
      </c>
    </row>
    <row r="916" spans="1:7" x14ac:dyDescent="0.25">
      <c r="A916" s="87">
        <v>45804.6875</v>
      </c>
      <c r="B916">
        <v>45</v>
      </c>
      <c r="C916" t="s">
        <v>55</v>
      </c>
      <c r="D916" t="s">
        <v>56</v>
      </c>
      <c r="E916">
        <v>1.49</v>
      </c>
      <c r="F916">
        <v>3.65</v>
      </c>
      <c r="G916" s="8">
        <f t="shared" si="14"/>
        <v>24.493150684931511</v>
      </c>
    </row>
    <row r="917" spans="1:7" x14ac:dyDescent="0.25">
      <c r="A917" s="87">
        <v>45804.6875</v>
      </c>
      <c r="B917">
        <v>46</v>
      </c>
      <c r="C917" t="s">
        <v>56</v>
      </c>
      <c r="D917" t="s">
        <v>57</v>
      </c>
      <c r="E917">
        <v>1.52</v>
      </c>
      <c r="F917">
        <v>4.03</v>
      </c>
      <c r="G917" s="8">
        <f t="shared" si="14"/>
        <v>22.630272952853598</v>
      </c>
    </row>
    <row r="918" spans="1:7" x14ac:dyDescent="0.25">
      <c r="A918" s="87">
        <v>45804.6875</v>
      </c>
      <c r="B918">
        <v>47</v>
      </c>
      <c r="C918" t="s">
        <v>58</v>
      </c>
      <c r="D918" t="s">
        <v>59</v>
      </c>
      <c r="E918">
        <v>1.52</v>
      </c>
      <c r="F918">
        <v>4.42</v>
      </c>
      <c r="G918" s="8">
        <f t="shared" si="14"/>
        <v>20.633484162895929</v>
      </c>
    </row>
    <row r="919" spans="1:7" x14ac:dyDescent="0.25">
      <c r="A919" s="87">
        <v>45804.6875</v>
      </c>
      <c r="B919">
        <v>48</v>
      </c>
      <c r="C919" t="s">
        <v>59</v>
      </c>
      <c r="D919" t="s">
        <v>60</v>
      </c>
      <c r="E919">
        <v>1.5</v>
      </c>
      <c r="F919">
        <v>4.17</v>
      </c>
      <c r="G919" s="8">
        <f t="shared" si="14"/>
        <v>21.582733812949641</v>
      </c>
    </row>
    <row r="920" spans="1:7" x14ac:dyDescent="0.25">
      <c r="A920" s="87">
        <v>45804.6875</v>
      </c>
      <c r="B920">
        <v>49</v>
      </c>
      <c r="C920" t="s">
        <v>60</v>
      </c>
      <c r="D920" t="s">
        <v>61</v>
      </c>
      <c r="E920">
        <v>1.54</v>
      </c>
      <c r="F920">
        <v>4.28</v>
      </c>
      <c r="G920" s="8">
        <f t="shared" si="14"/>
        <v>21.588785046728972</v>
      </c>
    </row>
    <row r="921" spans="1:7" x14ac:dyDescent="0.25">
      <c r="A921" s="87">
        <v>45804.6875</v>
      </c>
      <c r="B921">
        <v>50</v>
      </c>
      <c r="C921" t="s">
        <v>62</v>
      </c>
      <c r="D921" t="s">
        <v>63</v>
      </c>
      <c r="E921">
        <v>1.38</v>
      </c>
      <c r="F921">
        <v>3.28</v>
      </c>
      <c r="G921" s="8">
        <f t="shared" si="14"/>
        <v>25.243902439024392</v>
      </c>
    </row>
    <row r="922" spans="1:7" x14ac:dyDescent="0.25">
      <c r="A922" s="87">
        <v>45804.6875</v>
      </c>
      <c r="B922">
        <v>51</v>
      </c>
      <c r="C922" t="s">
        <v>63</v>
      </c>
      <c r="D922" t="s">
        <v>64</v>
      </c>
      <c r="E922">
        <v>2.79</v>
      </c>
      <c r="F922">
        <v>5.98</v>
      </c>
      <c r="G922" s="8">
        <f t="shared" si="14"/>
        <v>27.993311036789297</v>
      </c>
    </row>
    <row r="923" spans="1:7" x14ac:dyDescent="0.25">
      <c r="A923" s="87">
        <v>45804.6875</v>
      </c>
      <c r="B923">
        <v>52</v>
      </c>
      <c r="C923" t="s">
        <v>64</v>
      </c>
      <c r="D923" t="s">
        <v>65</v>
      </c>
      <c r="E923">
        <v>1.5</v>
      </c>
      <c r="F923">
        <v>2.97</v>
      </c>
      <c r="G923" s="8">
        <f t="shared" si="14"/>
        <v>30.303030303030301</v>
      </c>
    </row>
    <row r="924" spans="1:7" x14ac:dyDescent="0.25">
      <c r="A924" s="87">
        <v>45804.6875</v>
      </c>
      <c r="B924">
        <v>53</v>
      </c>
      <c r="C924" t="s">
        <v>65</v>
      </c>
      <c r="D924" t="s">
        <v>66</v>
      </c>
      <c r="E924">
        <v>1.46</v>
      </c>
      <c r="F924">
        <v>3.88</v>
      </c>
      <c r="G924" s="8">
        <f t="shared" si="14"/>
        <v>22.577319587628864</v>
      </c>
    </row>
    <row r="925" spans="1:7" x14ac:dyDescent="0.25">
      <c r="A925" s="87">
        <v>45804.6875</v>
      </c>
      <c r="B925">
        <v>54</v>
      </c>
      <c r="C925" t="s">
        <v>67</v>
      </c>
      <c r="D925" t="s">
        <v>68</v>
      </c>
      <c r="E925">
        <v>1.46</v>
      </c>
      <c r="F925">
        <v>3.28</v>
      </c>
      <c r="G925" s="8">
        <f t="shared" si="14"/>
        <v>26.707317073170731</v>
      </c>
    </row>
    <row r="926" spans="1:7" x14ac:dyDescent="0.25">
      <c r="A926" s="87">
        <v>45804.6875</v>
      </c>
      <c r="B926">
        <v>55</v>
      </c>
      <c r="C926" t="s">
        <v>68</v>
      </c>
      <c r="D926" t="s">
        <v>69</v>
      </c>
      <c r="E926">
        <v>1.5</v>
      </c>
      <c r="F926">
        <v>2.35</v>
      </c>
      <c r="G926" s="8">
        <f t="shared" si="14"/>
        <v>38.297872340425528</v>
      </c>
    </row>
    <row r="927" spans="1:7" x14ac:dyDescent="0.25">
      <c r="A927" s="87">
        <v>45804.6875</v>
      </c>
      <c r="B927">
        <v>56</v>
      </c>
      <c r="C927" t="s">
        <v>70</v>
      </c>
      <c r="D927" t="s">
        <v>71</v>
      </c>
      <c r="E927">
        <v>1.51</v>
      </c>
      <c r="F927">
        <v>5.3</v>
      </c>
      <c r="G927" s="8">
        <f t="shared" si="14"/>
        <v>17.09433962264151</v>
      </c>
    </row>
    <row r="928" spans="1:7" x14ac:dyDescent="0.25">
      <c r="A928" s="87">
        <v>45804.6875</v>
      </c>
      <c r="B928">
        <v>57</v>
      </c>
      <c r="C928" t="s">
        <v>71</v>
      </c>
      <c r="D928" t="s">
        <v>72</v>
      </c>
      <c r="E928">
        <v>1.52</v>
      </c>
      <c r="F928">
        <v>4.68</v>
      </c>
      <c r="G928" s="8">
        <f t="shared" si="14"/>
        <v>19.487179487179489</v>
      </c>
    </row>
    <row r="929" spans="1:7" x14ac:dyDescent="0.25">
      <c r="A929" s="87">
        <v>45804.6875</v>
      </c>
      <c r="B929">
        <v>58</v>
      </c>
      <c r="C929" t="s">
        <v>72</v>
      </c>
      <c r="D929" t="s">
        <v>73</v>
      </c>
      <c r="E929">
        <v>1.5</v>
      </c>
      <c r="F929">
        <v>4.22</v>
      </c>
      <c r="G929" s="8">
        <f t="shared" si="14"/>
        <v>21.327014218009481</v>
      </c>
    </row>
    <row r="930" spans="1:7" x14ac:dyDescent="0.25">
      <c r="A930" s="87">
        <v>45804.697916666664</v>
      </c>
      <c r="B930">
        <v>1</v>
      </c>
      <c r="C930" t="s">
        <v>6</v>
      </c>
      <c r="D930" t="s">
        <v>7</v>
      </c>
      <c r="E930">
        <v>1.53</v>
      </c>
      <c r="F930">
        <v>3.33</v>
      </c>
      <c r="G930" s="8">
        <f t="shared" si="14"/>
        <v>27.567567567567565</v>
      </c>
    </row>
    <row r="931" spans="1:7" x14ac:dyDescent="0.25">
      <c r="A931" s="87">
        <v>45804.697916666664</v>
      </c>
      <c r="B931">
        <v>2</v>
      </c>
      <c r="C931" t="s">
        <v>7</v>
      </c>
      <c r="D931" t="s">
        <v>8</v>
      </c>
      <c r="E931">
        <v>1.57</v>
      </c>
      <c r="F931">
        <v>6.02</v>
      </c>
      <c r="G931" s="8">
        <f t="shared" si="14"/>
        <v>15.647840531561464</v>
      </c>
    </row>
    <row r="932" spans="1:7" x14ac:dyDescent="0.25">
      <c r="A932" s="87">
        <v>45804.697916666664</v>
      </c>
      <c r="B932">
        <v>3</v>
      </c>
      <c r="C932" t="s">
        <v>8</v>
      </c>
      <c r="D932" t="s">
        <v>9</v>
      </c>
      <c r="E932">
        <v>1.5</v>
      </c>
      <c r="F932">
        <v>3.12</v>
      </c>
      <c r="G932" s="8">
        <f t="shared" si="14"/>
        <v>28.846153846153847</v>
      </c>
    </row>
    <row r="933" spans="1:7" x14ac:dyDescent="0.25">
      <c r="A933" s="87">
        <v>45804.697916666664</v>
      </c>
      <c r="B933">
        <v>4</v>
      </c>
      <c r="C933" t="s">
        <v>9</v>
      </c>
      <c r="D933" t="s">
        <v>10</v>
      </c>
      <c r="E933">
        <v>1.5</v>
      </c>
      <c r="F933">
        <v>2.88</v>
      </c>
      <c r="G933" s="8">
        <f t="shared" si="14"/>
        <v>31.25</v>
      </c>
    </row>
    <row r="934" spans="1:7" x14ac:dyDescent="0.25">
      <c r="A934" s="87">
        <v>45804.697916666664</v>
      </c>
      <c r="B934">
        <v>5</v>
      </c>
      <c r="C934" t="s">
        <v>10</v>
      </c>
      <c r="D934" t="s">
        <v>11</v>
      </c>
      <c r="E934">
        <v>1.52</v>
      </c>
      <c r="F934">
        <v>3.62</v>
      </c>
      <c r="G934" s="8">
        <f t="shared" si="14"/>
        <v>25.193370165745858</v>
      </c>
    </row>
    <row r="935" spans="1:7" x14ac:dyDescent="0.25">
      <c r="A935" s="87">
        <v>45804.697916666664</v>
      </c>
      <c r="B935">
        <v>6</v>
      </c>
      <c r="C935" t="s">
        <v>11</v>
      </c>
      <c r="D935" t="s">
        <v>12</v>
      </c>
      <c r="E935">
        <v>1.5</v>
      </c>
      <c r="F935">
        <v>2.82</v>
      </c>
      <c r="G935" s="8">
        <f t="shared" si="14"/>
        <v>31.914893617021278</v>
      </c>
    </row>
    <row r="936" spans="1:7" x14ac:dyDescent="0.25">
      <c r="A936" s="87">
        <v>45804.697916666664</v>
      </c>
      <c r="B936">
        <v>7</v>
      </c>
      <c r="C936" t="s">
        <v>12</v>
      </c>
      <c r="D936" t="s">
        <v>13</v>
      </c>
      <c r="E936">
        <v>1.54</v>
      </c>
      <c r="F936">
        <v>2.48</v>
      </c>
      <c r="G936" s="8">
        <f t="shared" si="14"/>
        <v>37.258064516129032</v>
      </c>
    </row>
    <row r="937" spans="1:7" x14ac:dyDescent="0.25">
      <c r="A937" s="87">
        <v>45804.697916666664</v>
      </c>
      <c r="B937">
        <v>8</v>
      </c>
      <c r="C937" t="s">
        <v>13</v>
      </c>
      <c r="D937" t="s">
        <v>14</v>
      </c>
      <c r="E937">
        <v>1.54</v>
      </c>
      <c r="F937">
        <v>3.17</v>
      </c>
      <c r="G937" s="8">
        <f t="shared" si="14"/>
        <v>29.148264984227133</v>
      </c>
    </row>
    <row r="938" spans="1:7" x14ac:dyDescent="0.25">
      <c r="A938" s="87">
        <v>45804.697916666664</v>
      </c>
      <c r="B938">
        <v>9</v>
      </c>
      <c r="C938" t="s">
        <v>14</v>
      </c>
      <c r="D938" t="s">
        <v>15</v>
      </c>
      <c r="E938">
        <v>1.52</v>
      </c>
      <c r="F938">
        <v>4.22</v>
      </c>
      <c r="G938" s="8">
        <f t="shared" si="14"/>
        <v>21.611374407582939</v>
      </c>
    </row>
    <row r="939" spans="1:7" x14ac:dyDescent="0.25">
      <c r="A939" s="87">
        <v>45804.697916666664</v>
      </c>
      <c r="B939">
        <v>10</v>
      </c>
      <c r="C939" t="s">
        <v>15</v>
      </c>
      <c r="D939" t="s">
        <v>16</v>
      </c>
      <c r="E939">
        <v>1.5</v>
      </c>
      <c r="F939">
        <v>5.73</v>
      </c>
      <c r="G939" s="8">
        <f t="shared" si="14"/>
        <v>15.706806282722512</v>
      </c>
    </row>
    <row r="940" spans="1:7" x14ac:dyDescent="0.25">
      <c r="A940" s="87">
        <v>45804.697916666664</v>
      </c>
      <c r="B940">
        <v>11</v>
      </c>
      <c r="C940" t="s">
        <v>16</v>
      </c>
      <c r="D940" t="s">
        <v>17</v>
      </c>
      <c r="E940">
        <v>1.48</v>
      </c>
      <c r="F940">
        <v>3.07</v>
      </c>
      <c r="G940" s="8">
        <f t="shared" si="14"/>
        <v>28.925081433224758</v>
      </c>
    </row>
    <row r="941" spans="1:7" x14ac:dyDescent="0.25">
      <c r="A941" s="87">
        <v>45804.697916666664</v>
      </c>
      <c r="B941">
        <v>12</v>
      </c>
      <c r="C941" t="s">
        <v>17</v>
      </c>
      <c r="D941" t="s">
        <v>18</v>
      </c>
      <c r="E941">
        <v>1.46</v>
      </c>
      <c r="F941">
        <v>4.5</v>
      </c>
      <c r="G941" s="8">
        <f t="shared" si="14"/>
        <v>19.466666666666665</v>
      </c>
    </row>
    <row r="942" spans="1:7" x14ac:dyDescent="0.25">
      <c r="A942" s="87">
        <v>45804.697916666664</v>
      </c>
      <c r="B942">
        <v>13</v>
      </c>
      <c r="C942" t="s">
        <v>18</v>
      </c>
      <c r="D942" t="s">
        <v>19</v>
      </c>
      <c r="E942">
        <v>1.52</v>
      </c>
      <c r="F942">
        <v>4.25</v>
      </c>
      <c r="G942" s="8">
        <f t="shared" si="14"/>
        <v>21.458823529411767</v>
      </c>
    </row>
    <row r="943" spans="1:7" x14ac:dyDescent="0.25">
      <c r="A943" s="87">
        <v>45804.697916666664</v>
      </c>
      <c r="B943">
        <v>14</v>
      </c>
      <c r="C943" t="s">
        <v>19</v>
      </c>
      <c r="D943" t="s">
        <v>20</v>
      </c>
      <c r="E943">
        <v>1.51</v>
      </c>
      <c r="F943">
        <v>4.17</v>
      </c>
      <c r="G943" s="8">
        <f t="shared" si="14"/>
        <v>21.726618705035971</v>
      </c>
    </row>
    <row r="944" spans="1:7" x14ac:dyDescent="0.25">
      <c r="A944" s="87">
        <v>45804.697916666664</v>
      </c>
      <c r="B944">
        <v>15</v>
      </c>
      <c r="C944" t="s">
        <v>20</v>
      </c>
      <c r="D944" t="s">
        <v>21</v>
      </c>
      <c r="E944">
        <v>1.47</v>
      </c>
      <c r="F944">
        <v>2.33</v>
      </c>
      <c r="G944" s="8">
        <f t="shared" si="14"/>
        <v>37.854077253218883</v>
      </c>
    </row>
    <row r="945" spans="1:7" x14ac:dyDescent="0.25">
      <c r="A945" s="87">
        <v>45804.697916666664</v>
      </c>
      <c r="B945">
        <v>16</v>
      </c>
      <c r="C945" t="s">
        <v>21</v>
      </c>
      <c r="D945" t="s">
        <v>22</v>
      </c>
      <c r="E945">
        <v>1.5</v>
      </c>
      <c r="F945">
        <v>1.8</v>
      </c>
      <c r="G945" s="8">
        <f t="shared" si="14"/>
        <v>50</v>
      </c>
    </row>
    <row r="946" spans="1:7" x14ac:dyDescent="0.25">
      <c r="A946" s="87">
        <v>45804.697916666664</v>
      </c>
      <c r="B946">
        <v>17</v>
      </c>
      <c r="C946" t="s">
        <v>22</v>
      </c>
      <c r="D946" t="s">
        <v>23</v>
      </c>
      <c r="E946">
        <v>1.51</v>
      </c>
      <c r="F946">
        <v>3.27</v>
      </c>
      <c r="G946" s="8">
        <f t="shared" si="14"/>
        <v>27.706422018348622</v>
      </c>
    </row>
    <row r="947" spans="1:7" x14ac:dyDescent="0.25">
      <c r="A947" s="87">
        <v>45804.697916666664</v>
      </c>
      <c r="B947">
        <v>18</v>
      </c>
      <c r="C947" t="s">
        <v>23</v>
      </c>
      <c r="D947" t="s">
        <v>24</v>
      </c>
      <c r="E947">
        <v>1.51</v>
      </c>
      <c r="F947">
        <v>3.32</v>
      </c>
      <c r="G947" s="8">
        <f t="shared" si="14"/>
        <v>27.289156626506024</v>
      </c>
    </row>
    <row r="948" spans="1:7" x14ac:dyDescent="0.25">
      <c r="A948" s="87">
        <v>45804.697916666664</v>
      </c>
      <c r="B948">
        <v>19</v>
      </c>
      <c r="C948" t="s">
        <v>25</v>
      </c>
      <c r="D948" t="s">
        <v>26</v>
      </c>
      <c r="E948">
        <v>1.5</v>
      </c>
      <c r="F948">
        <v>4.05</v>
      </c>
      <c r="G948" s="8">
        <f t="shared" si="14"/>
        <v>22.222222222222221</v>
      </c>
    </row>
    <row r="949" spans="1:7" x14ac:dyDescent="0.25">
      <c r="A949" s="87">
        <v>45804.697916666664</v>
      </c>
      <c r="B949">
        <v>20</v>
      </c>
      <c r="C949" t="s">
        <v>26</v>
      </c>
      <c r="D949" t="s">
        <v>27</v>
      </c>
      <c r="E949">
        <v>1.48</v>
      </c>
      <c r="F949">
        <v>3.73</v>
      </c>
      <c r="G949" s="8">
        <f t="shared" si="14"/>
        <v>23.806970509383376</v>
      </c>
    </row>
    <row r="950" spans="1:7" x14ac:dyDescent="0.25">
      <c r="A950" s="87">
        <v>45804.697916666664</v>
      </c>
      <c r="B950">
        <v>21</v>
      </c>
      <c r="C950" t="s">
        <v>27</v>
      </c>
      <c r="D950" t="s">
        <v>28</v>
      </c>
      <c r="E950">
        <v>1.51</v>
      </c>
      <c r="F950">
        <v>3.97</v>
      </c>
      <c r="G950" s="8">
        <f t="shared" si="14"/>
        <v>22.821158690176318</v>
      </c>
    </row>
    <row r="951" spans="1:7" x14ac:dyDescent="0.25">
      <c r="A951" s="87">
        <v>45804.697916666664</v>
      </c>
      <c r="B951">
        <v>22</v>
      </c>
      <c r="C951" t="s">
        <v>28</v>
      </c>
      <c r="D951" t="s">
        <v>29</v>
      </c>
      <c r="E951">
        <v>1.57</v>
      </c>
      <c r="F951">
        <v>3.57</v>
      </c>
      <c r="G951" s="8">
        <f t="shared" si="14"/>
        <v>26.386554621848742</v>
      </c>
    </row>
    <row r="952" spans="1:7" x14ac:dyDescent="0.25">
      <c r="A952" s="87">
        <v>45804.697916666664</v>
      </c>
      <c r="B952">
        <v>23</v>
      </c>
      <c r="C952" t="s">
        <v>29</v>
      </c>
      <c r="D952" t="s">
        <v>30</v>
      </c>
      <c r="E952">
        <v>1.43</v>
      </c>
      <c r="F952">
        <v>4.3</v>
      </c>
      <c r="G952" s="8">
        <f t="shared" si="14"/>
        <v>19.953488372093023</v>
      </c>
    </row>
    <row r="953" spans="1:7" x14ac:dyDescent="0.25">
      <c r="A953" s="87">
        <v>45804.697916666664</v>
      </c>
      <c r="B953">
        <v>24</v>
      </c>
      <c r="C953" t="s">
        <v>30</v>
      </c>
      <c r="D953" t="s">
        <v>31</v>
      </c>
      <c r="E953">
        <v>1.52</v>
      </c>
      <c r="F953">
        <v>4.08</v>
      </c>
      <c r="G953" s="8">
        <f t="shared" si="14"/>
        <v>22.352941176470587</v>
      </c>
    </row>
    <row r="954" spans="1:7" x14ac:dyDescent="0.25">
      <c r="A954" s="87">
        <v>45804.697916666664</v>
      </c>
      <c r="B954">
        <v>25</v>
      </c>
      <c r="C954" t="s">
        <v>31</v>
      </c>
      <c r="D954" t="s">
        <v>32</v>
      </c>
      <c r="E954">
        <v>1.52</v>
      </c>
      <c r="F954">
        <v>3.48</v>
      </c>
      <c r="G954" s="8">
        <f t="shared" si="14"/>
        <v>26.206896551724139</v>
      </c>
    </row>
    <row r="955" spans="1:7" x14ac:dyDescent="0.25">
      <c r="A955" s="87">
        <v>45804.697916666664</v>
      </c>
      <c r="B955">
        <v>26</v>
      </c>
      <c r="C955" t="s">
        <v>32</v>
      </c>
      <c r="D955" t="s">
        <v>33</v>
      </c>
      <c r="E955">
        <v>1.49</v>
      </c>
      <c r="F955">
        <v>4.9800000000000004</v>
      </c>
      <c r="G955" s="8">
        <f t="shared" si="14"/>
        <v>17.951807228915662</v>
      </c>
    </row>
    <row r="956" spans="1:7" x14ac:dyDescent="0.25">
      <c r="A956" s="87">
        <v>45804.697916666664</v>
      </c>
      <c r="B956">
        <v>27</v>
      </c>
      <c r="C956" t="s">
        <v>33</v>
      </c>
      <c r="D956" t="s">
        <v>34</v>
      </c>
      <c r="E956">
        <v>1.53</v>
      </c>
      <c r="F956">
        <v>4.2699999999999996</v>
      </c>
      <c r="G956" s="8">
        <f t="shared" si="14"/>
        <v>21.498829039812648</v>
      </c>
    </row>
    <row r="957" spans="1:7" x14ac:dyDescent="0.25">
      <c r="A957" s="87">
        <v>45804.697916666664</v>
      </c>
      <c r="B957">
        <v>28</v>
      </c>
      <c r="C957" t="s">
        <v>34</v>
      </c>
      <c r="D957" t="s">
        <v>35</v>
      </c>
      <c r="E957">
        <v>1.51</v>
      </c>
      <c r="F957">
        <v>4.8</v>
      </c>
      <c r="G957" s="8">
        <f t="shared" si="14"/>
        <v>18.875</v>
      </c>
    </row>
    <row r="958" spans="1:7" x14ac:dyDescent="0.25">
      <c r="A958" s="87">
        <v>45804.697916666664</v>
      </c>
      <c r="B958">
        <v>29</v>
      </c>
      <c r="C958" t="s">
        <v>36</v>
      </c>
      <c r="D958" t="s">
        <v>37</v>
      </c>
      <c r="E958">
        <v>1.57</v>
      </c>
      <c r="F958">
        <v>4.17</v>
      </c>
      <c r="G958" s="8">
        <f t="shared" si="14"/>
        <v>22.589928057553958</v>
      </c>
    </row>
    <row r="959" spans="1:7" x14ac:dyDescent="0.25">
      <c r="A959" s="87">
        <v>45804.697916666664</v>
      </c>
      <c r="B959">
        <v>30</v>
      </c>
      <c r="C959" t="s">
        <v>37</v>
      </c>
      <c r="D959" t="s">
        <v>38</v>
      </c>
      <c r="E959">
        <v>1.57</v>
      </c>
      <c r="F959">
        <v>4.1500000000000004</v>
      </c>
      <c r="G959" s="8">
        <f t="shared" si="14"/>
        <v>22.69879518072289</v>
      </c>
    </row>
    <row r="960" spans="1:7" x14ac:dyDescent="0.25">
      <c r="A960" s="87">
        <v>45804.697916666664</v>
      </c>
      <c r="B960">
        <v>31</v>
      </c>
      <c r="C960" t="s">
        <v>38</v>
      </c>
      <c r="D960" t="s">
        <v>39</v>
      </c>
      <c r="E960">
        <v>1.52</v>
      </c>
      <c r="F960">
        <v>2.9</v>
      </c>
      <c r="G960" s="8">
        <f t="shared" si="14"/>
        <v>31.448275862068968</v>
      </c>
    </row>
    <row r="961" spans="1:7" x14ac:dyDescent="0.25">
      <c r="A961" s="87">
        <v>45804.697916666664</v>
      </c>
      <c r="B961">
        <v>32</v>
      </c>
      <c r="C961" t="s">
        <v>39</v>
      </c>
      <c r="D961" t="s">
        <v>40</v>
      </c>
      <c r="E961">
        <v>1.5</v>
      </c>
      <c r="F961">
        <v>1.95</v>
      </c>
      <c r="G961" s="8">
        <f t="shared" si="14"/>
        <v>46.153846153846153</v>
      </c>
    </row>
    <row r="962" spans="1:7" x14ac:dyDescent="0.25">
      <c r="A962" s="87">
        <v>45804.697916666664</v>
      </c>
      <c r="B962">
        <v>33</v>
      </c>
      <c r="C962" t="s">
        <v>40</v>
      </c>
      <c r="D962" t="s">
        <v>41</v>
      </c>
      <c r="E962">
        <v>1.51</v>
      </c>
      <c r="F962">
        <v>2.17</v>
      </c>
      <c r="G962" s="8">
        <f t="shared" si="14"/>
        <v>41.751152073732719</v>
      </c>
    </row>
    <row r="963" spans="1:7" x14ac:dyDescent="0.25">
      <c r="A963" s="87">
        <v>45804.697916666664</v>
      </c>
      <c r="B963">
        <v>34</v>
      </c>
      <c r="C963" t="s">
        <v>41</v>
      </c>
      <c r="D963" t="s">
        <v>42</v>
      </c>
      <c r="E963">
        <v>1.5</v>
      </c>
      <c r="F963">
        <v>2.95</v>
      </c>
      <c r="G963" s="8">
        <f t="shared" ref="G963:G1026" si="15">E963*60/F963</f>
        <v>30.508474576271183</v>
      </c>
    </row>
    <row r="964" spans="1:7" x14ac:dyDescent="0.25">
      <c r="A964" s="87">
        <v>45804.697916666664</v>
      </c>
      <c r="B964">
        <v>35</v>
      </c>
      <c r="C964" t="s">
        <v>43</v>
      </c>
      <c r="D964" t="s">
        <v>44</v>
      </c>
      <c r="E964">
        <v>1.55</v>
      </c>
      <c r="F964">
        <v>3.75</v>
      </c>
      <c r="G964" s="8">
        <f t="shared" si="15"/>
        <v>24.8</v>
      </c>
    </row>
    <row r="965" spans="1:7" x14ac:dyDescent="0.25">
      <c r="A965" s="87">
        <v>45804.697916666664</v>
      </c>
      <c r="B965">
        <v>36</v>
      </c>
      <c r="C965" t="s">
        <v>44</v>
      </c>
      <c r="D965" t="s">
        <v>45</v>
      </c>
      <c r="E965">
        <v>1.5</v>
      </c>
      <c r="F965">
        <v>3.15</v>
      </c>
      <c r="G965" s="8">
        <f t="shared" si="15"/>
        <v>28.571428571428573</v>
      </c>
    </row>
    <row r="966" spans="1:7" x14ac:dyDescent="0.25">
      <c r="A966" s="87">
        <v>45804.697916666664</v>
      </c>
      <c r="B966">
        <v>37</v>
      </c>
      <c r="C966" t="s">
        <v>45</v>
      </c>
      <c r="D966" t="s">
        <v>46</v>
      </c>
      <c r="E966">
        <v>1.38</v>
      </c>
      <c r="F966">
        <v>4.5199999999999996</v>
      </c>
      <c r="G966" s="8">
        <f t="shared" si="15"/>
        <v>18.318584070796462</v>
      </c>
    </row>
    <row r="967" spans="1:7" x14ac:dyDescent="0.25">
      <c r="A967" s="87">
        <v>45804.697916666664</v>
      </c>
      <c r="B967">
        <v>38</v>
      </c>
      <c r="C967" t="s">
        <v>46</v>
      </c>
      <c r="D967" t="s">
        <v>47</v>
      </c>
      <c r="E967">
        <v>1.61</v>
      </c>
      <c r="F967">
        <v>4.4800000000000004</v>
      </c>
      <c r="G967" s="8">
        <f t="shared" si="15"/>
        <v>21.5625</v>
      </c>
    </row>
    <row r="968" spans="1:7" x14ac:dyDescent="0.25">
      <c r="A968" s="87">
        <v>45804.697916666664</v>
      </c>
      <c r="B968">
        <v>39</v>
      </c>
      <c r="C968" t="s">
        <v>47</v>
      </c>
      <c r="D968" t="s">
        <v>48</v>
      </c>
      <c r="E968">
        <v>1.55</v>
      </c>
      <c r="F968">
        <v>3.68</v>
      </c>
      <c r="G968" s="8">
        <f t="shared" si="15"/>
        <v>25.271739130434781</v>
      </c>
    </row>
    <row r="969" spans="1:7" x14ac:dyDescent="0.25">
      <c r="A969" s="87">
        <v>45804.697916666664</v>
      </c>
      <c r="B969">
        <v>40</v>
      </c>
      <c r="C969" t="s">
        <v>48</v>
      </c>
      <c r="D969" t="s">
        <v>49</v>
      </c>
      <c r="E969">
        <v>1.39</v>
      </c>
      <c r="F969">
        <v>3.23</v>
      </c>
      <c r="G969" s="8">
        <f t="shared" si="15"/>
        <v>25.820433436532504</v>
      </c>
    </row>
    <row r="970" spans="1:7" x14ac:dyDescent="0.25">
      <c r="A970" s="87">
        <v>45804.697916666664</v>
      </c>
      <c r="B970">
        <v>41</v>
      </c>
      <c r="C970" t="s">
        <v>50</v>
      </c>
      <c r="D970" t="s">
        <v>51</v>
      </c>
      <c r="E970">
        <v>1.56</v>
      </c>
      <c r="F970">
        <v>4.83</v>
      </c>
      <c r="G970" s="8">
        <f t="shared" si="15"/>
        <v>19.378881987577643</v>
      </c>
    </row>
    <row r="971" spans="1:7" x14ac:dyDescent="0.25">
      <c r="A971" s="87">
        <v>45804.697916666664</v>
      </c>
      <c r="B971">
        <v>42</v>
      </c>
      <c r="C971" t="s">
        <v>51</v>
      </c>
      <c r="D971" t="s">
        <v>52</v>
      </c>
      <c r="E971">
        <v>1.56</v>
      </c>
      <c r="F971">
        <v>4.5</v>
      </c>
      <c r="G971" s="8">
        <f t="shared" si="15"/>
        <v>20.8</v>
      </c>
    </row>
    <row r="972" spans="1:7" x14ac:dyDescent="0.25">
      <c r="A972" s="87">
        <v>45804.697916666664</v>
      </c>
      <c r="B972">
        <v>43</v>
      </c>
      <c r="C972" t="s">
        <v>52</v>
      </c>
      <c r="D972" t="s">
        <v>53</v>
      </c>
      <c r="E972">
        <v>1.51</v>
      </c>
      <c r="F972">
        <v>3.78</v>
      </c>
      <c r="G972" s="8">
        <f t="shared" si="15"/>
        <v>23.968253968253968</v>
      </c>
    </row>
    <row r="973" spans="1:7" x14ac:dyDescent="0.25">
      <c r="A973" s="87">
        <v>45804.697916666664</v>
      </c>
      <c r="B973">
        <v>44</v>
      </c>
      <c r="C973" t="s">
        <v>54</v>
      </c>
      <c r="D973" t="s">
        <v>55</v>
      </c>
      <c r="E973">
        <v>1.51</v>
      </c>
      <c r="F973">
        <v>4.53</v>
      </c>
      <c r="G973" s="8">
        <f t="shared" si="15"/>
        <v>19.999999999999996</v>
      </c>
    </row>
    <row r="974" spans="1:7" x14ac:dyDescent="0.25">
      <c r="A974" s="87">
        <v>45804.697916666664</v>
      </c>
      <c r="B974">
        <v>45</v>
      </c>
      <c r="C974" t="s">
        <v>55</v>
      </c>
      <c r="D974" t="s">
        <v>56</v>
      </c>
      <c r="E974">
        <v>1.49</v>
      </c>
      <c r="F974">
        <v>3.73</v>
      </c>
      <c r="G974" s="8">
        <f t="shared" si="15"/>
        <v>23.967828418230564</v>
      </c>
    </row>
    <row r="975" spans="1:7" x14ac:dyDescent="0.25">
      <c r="A975" s="87">
        <v>45804.697916666664</v>
      </c>
      <c r="B975">
        <v>46</v>
      </c>
      <c r="C975" t="s">
        <v>56</v>
      </c>
      <c r="D975" t="s">
        <v>57</v>
      </c>
      <c r="E975">
        <v>1.52</v>
      </c>
      <c r="F975">
        <v>4.0199999999999996</v>
      </c>
      <c r="G975" s="8">
        <f t="shared" si="15"/>
        <v>22.686567164179106</v>
      </c>
    </row>
    <row r="976" spans="1:7" x14ac:dyDescent="0.25">
      <c r="A976" s="87">
        <v>45804.697916666664</v>
      </c>
      <c r="B976">
        <v>47</v>
      </c>
      <c r="C976" t="s">
        <v>58</v>
      </c>
      <c r="D976" t="s">
        <v>59</v>
      </c>
      <c r="E976">
        <v>1.52</v>
      </c>
      <c r="F976">
        <v>5.17</v>
      </c>
      <c r="G976" s="8">
        <f t="shared" si="15"/>
        <v>17.640232108317214</v>
      </c>
    </row>
    <row r="977" spans="1:7" x14ac:dyDescent="0.25">
      <c r="A977" s="87">
        <v>45804.697916666664</v>
      </c>
      <c r="B977">
        <v>48</v>
      </c>
      <c r="C977" t="s">
        <v>59</v>
      </c>
      <c r="D977" t="s">
        <v>60</v>
      </c>
      <c r="E977">
        <v>1.5</v>
      </c>
      <c r="F977">
        <v>4.18</v>
      </c>
      <c r="G977" s="8">
        <f t="shared" si="15"/>
        <v>21.5311004784689</v>
      </c>
    </row>
    <row r="978" spans="1:7" x14ac:dyDescent="0.25">
      <c r="A978" s="87">
        <v>45804.697916666664</v>
      </c>
      <c r="B978">
        <v>49</v>
      </c>
      <c r="C978" t="s">
        <v>60</v>
      </c>
      <c r="D978" t="s">
        <v>61</v>
      </c>
      <c r="E978">
        <v>1.54</v>
      </c>
      <c r="F978">
        <v>4.6500000000000004</v>
      </c>
      <c r="G978" s="8">
        <f t="shared" si="15"/>
        <v>19.870967741935484</v>
      </c>
    </row>
    <row r="979" spans="1:7" x14ac:dyDescent="0.25">
      <c r="A979" s="87">
        <v>45804.697916666664</v>
      </c>
      <c r="B979">
        <v>50</v>
      </c>
      <c r="C979" t="s">
        <v>62</v>
      </c>
      <c r="D979" t="s">
        <v>63</v>
      </c>
      <c r="E979">
        <v>1.38</v>
      </c>
      <c r="F979">
        <v>3.42</v>
      </c>
      <c r="G979" s="8">
        <f t="shared" si="15"/>
        <v>24.210526315789473</v>
      </c>
    </row>
    <row r="980" spans="1:7" x14ac:dyDescent="0.25">
      <c r="A980" s="87">
        <v>45804.697916666664</v>
      </c>
      <c r="B980">
        <v>51</v>
      </c>
      <c r="C980" t="s">
        <v>63</v>
      </c>
      <c r="D980" t="s">
        <v>64</v>
      </c>
      <c r="E980">
        <v>2.79</v>
      </c>
      <c r="F980">
        <v>5.9</v>
      </c>
      <c r="G980" s="8">
        <f t="shared" si="15"/>
        <v>28.372881355932204</v>
      </c>
    </row>
    <row r="981" spans="1:7" x14ac:dyDescent="0.25">
      <c r="A981" s="87">
        <v>45804.697916666664</v>
      </c>
      <c r="B981">
        <v>52</v>
      </c>
      <c r="C981" t="s">
        <v>64</v>
      </c>
      <c r="D981" t="s">
        <v>65</v>
      </c>
      <c r="E981">
        <v>1.5</v>
      </c>
      <c r="F981">
        <v>3.1</v>
      </c>
      <c r="G981" s="8">
        <f t="shared" si="15"/>
        <v>29.032258064516128</v>
      </c>
    </row>
    <row r="982" spans="1:7" x14ac:dyDescent="0.25">
      <c r="A982" s="87">
        <v>45804.697916666664</v>
      </c>
      <c r="B982">
        <v>53</v>
      </c>
      <c r="C982" t="s">
        <v>65</v>
      </c>
      <c r="D982" t="s">
        <v>66</v>
      </c>
      <c r="E982">
        <v>1.46</v>
      </c>
      <c r="F982">
        <v>4.08</v>
      </c>
      <c r="G982" s="8">
        <f t="shared" si="15"/>
        <v>21.470588235294116</v>
      </c>
    </row>
    <row r="983" spans="1:7" x14ac:dyDescent="0.25">
      <c r="A983" s="87">
        <v>45804.697916666664</v>
      </c>
      <c r="B983">
        <v>54</v>
      </c>
      <c r="C983" t="s">
        <v>67</v>
      </c>
      <c r="D983" t="s">
        <v>68</v>
      </c>
      <c r="E983">
        <v>1.46</v>
      </c>
      <c r="F983">
        <v>3.15</v>
      </c>
      <c r="G983" s="8">
        <f t="shared" si="15"/>
        <v>27.80952380952381</v>
      </c>
    </row>
    <row r="984" spans="1:7" x14ac:dyDescent="0.25">
      <c r="A984" s="87">
        <v>45804.697916666664</v>
      </c>
      <c r="B984">
        <v>55</v>
      </c>
      <c r="C984" t="s">
        <v>68</v>
      </c>
      <c r="D984" t="s">
        <v>69</v>
      </c>
      <c r="E984">
        <v>1.5</v>
      </c>
      <c r="F984">
        <v>2.25</v>
      </c>
      <c r="G984" s="8">
        <f t="shared" si="15"/>
        <v>40</v>
      </c>
    </row>
    <row r="985" spans="1:7" x14ac:dyDescent="0.25">
      <c r="A985" s="87">
        <v>45804.697916666664</v>
      </c>
      <c r="B985">
        <v>56</v>
      </c>
      <c r="C985" t="s">
        <v>70</v>
      </c>
      <c r="D985" t="s">
        <v>71</v>
      </c>
      <c r="E985">
        <v>1.51</v>
      </c>
      <c r="F985">
        <v>4.4800000000000004</v>
      </c>
      <c r="G985" s="8">
        <f t="shared" si="15"/>
        <v>20.223214285714281</v>
      </c>
    </row>
    <row r="986" spans="1:7" x14ac:dyDescent="0.25">
      <c r="A986" s="87">
        <v>45804.697916666664</v>
      </c>
      <c r="B986">
        <v>57</v>
      </c>
      <c r="C986" t="s">
        <v>71</v>
      </c>
      <c r="D986" t="s">
        <v>72</v>
      </c>
      <c r="E986">
        <v>1.52</v>
      </c>
      <c r="F986">
        <v>4.92</v>
      </c>
      <c r="G986" s="8">
        <f t="shared" si="15"/>
        <v>18.536585365853661</v>
      </c>
    </row>
    <row r="987" spans="1:7" x14ac:dyDescent="0.25">
      <c r="A987" s="87">
        <v>45804.697916666664</v>
      </c>
      <c r="B987">
        <v>58</v>
      </c>
      <c r="C987" t="s">
        <v>72</v>
      </c>
      <c r="D987" t="s">
        <v>73</v>
      </c>
      <c r="E987">
        <v>1.5</v>
      </c>
      <c r="F987">
        <v>4.4000000000000004</v>
      </c>
      <c r="G987" s="8">
        <f t="shared" si="15"/>
        <v>20.454545454545453</v>
      </c>
    </row>
    <row r="988" spans="1:7" x14ac:dyDescent="0.25">
      <c r="A988" s="87">
        <v>45804.708333333336</v>
      </c>
      <c r="B988">
        <v>1</v>
      </c>
      <c r="C988" t="s">
        <v>6</v>
      </c>
      <c r="D988" t="s">
        <v>7</v>
      </c>
      <c r="E988">
        <v>1.53</v>
      </c>
      <c r="F988">
        <v>3.32</v>
      </c>
      <c r="G988" s="8">
        <f t="shared" si="15"/>
        <v>27.650602409638555</v>
      </c>
    </row>
    <row r="989" spans="1:7" x14ac:dyDescent="0.25">
      <c r="A989" s="87">
        <v>45804.708333333336</v>
      </c>
      <c r="B989">
        <v>2</v>
      </c>
      <c r="C989" t="s">
        <v>7</v>
      </c>
      <c r="D989" t="s">
        <v>8</v>
      </c>
      <c r="E989">
        <v>1.57</v>
      </c>
      <c r="F989">
        <v>6.03</v>
      </c>
      <c r="G989" s="8">
        <f t="shared" si="15"/>
        <v>15.621890547263682</v>
      </c>
    </row>
    <row r="990" spans="1:7" x14ac:dyDescent="0.25">
      <c r="A990" s="87">
        <v>45804.708333333336</v>
      </c>
      <c r="B990">
        <v>3</v>
      </c>
      <c r="C990" t="s">
        <v>8</v>
      </c>
      <c r="D990" t="s">
        <v>9</v>
      </c>
      <c r="E990">
        <v>1.5</v>
      </c>
      <c r="F990">
        <v>3.22</v>
      </c>
      <c r="G990" s="8">
        <f t="shared" si="15"/>
        <v>27.950310559006208</v>
      </c>
    </row>
    <row r="991" spans="1:7" x14ac:dyDescent="0.25">
      <c r="A991" s="87">
        <v>45804.708333333336</v>
      </c>
      <c r="B991">
        <v>4</v>
      </c>
      <c r="C991" t="s">
        <v>9</v>
      </c>
      <c r="D991" t="s">
        <v>10</v>
      </c>
      <c r="E991">
        <v>1.5</v>
      </c>
      <c r="F991">
        <v>3.02</v>
      </c>
      <c r="G991" s="8">
        <f t="shared" si="15"/>
        <v>29.801324503311257</v>
      </c>
    </row>
    <row r="992" spans="1:7" x14ac:dyDescent="0.25">
      <c r="A992" s="87">
        <v>45804.708333333336</v>
      </c>
      <c r="B992">
        <v>5</v>
      </c>
      <c r="C992" t="s">
        <v>10</v>
      </c>
      <c r="D992" t="s">
        <v>11</v>
      </c>
      <c r="E992">
        <v>1.52</v>
      </c>
      <c r="F992">
        <v>3.82</v>
      </c>
      <c r="G992" s="8">
        <f t="shared" si="15"/>
        <v>23.874345549738223</v>
      </c>
    </row>
    <row r="993" spans="1:7" x14ac:dyDescent="0.25">
      <c r="A993" s="87">
        <v>45804.708333333336</v>
      </c>
      <c r="B993">
        <v>6</v>
      </c>
      <c r="C993" t="s">
        <v>11</v>
      </c>
      <c r="D993" t="s">
        <v>12</v>
      </c>
      <c r="E993">
        <v>1.5</v>
      </c>
      <c r="F993">
        <v>2.77</v>
      </c>
      <c r="G993" s="8">
        <f t="shared" si="15"/>
        <v>32.490974729241877</v>
      </c>
    </row>
    <row r="994" spans="1:7" x14ac:dyDescent="0.25">
      <c r="A994" s="87">
        <v>45804.708333333336</v>
      </c>
      <c r="B994">
        <v>7</v>
      </c>
      <c r="C994" t="s">
        <v>12</v>
      </c>
      <c r="D994" t="s">
        <v>13</v>
      </c>
      <c r="E994">
        <v>1.54</v>
      </c>
      <c r="F994">
        <v>2.85</v>
      </c>
      <c r="G994" s="8">
        <f t="shared" si="15"/>
        <v>32.421052631578945</v>
      </c>
    </row>
    <row r="995" spans="1:7" x14ac:dyDescent="0.25">
      <c r="A995" s="87">
        <v>45804.708333333336</v>
      </c>
      <c r="B995">
        <v>8</v>
      </c>
      <c r="C995" t="s">
        <v>13</v>
      </c>
      <c r="D995" t="s">
        <v>14</v>
      </c>
      <c r="E995">
        <v>1.54</v>
      </c>
      <c r="F995">
        <v>3.23</v>
      </c>
      <c r="G995" s="8">
        <f t="shared" si="15"/>
        <v>28.606811145510839</v>
      </c>
    </row>
    <row r="996" spans="1:7" x14ac:dyDescent="0.25">
      <c r="A996" s="87">
        <v>45804.708333333336</v>
      </c>
      <c r="B996">
        <v>9</v>
      </c>
      <c r="C996" t="s">
        <v>14</v>
      </c>
      <c r="D996" t="s">
        <v>15</v>
      </c>
      <c r="E996">
        <v>1.52</v>
      </c>
      <c r="F996">
        <v>3.82</v>
      </c>
      <c r="G996" s="8">
        <f t="shared" si="15"/>
        <v>23.874345549738223</v>
      </c>
    </row>
    <row r="997" spans="1:7" x14ac:dyDescent="0.25">
      <c r="A997" s="87">
        <v>45804.708333333336</v>
      </c>
      <c r="B997">
        <v>10</v>
      </c>
      <c r="C997" t="s">
        <v>15</v>
      </c>
      <c r="D997" t="s">
        <v>16</v>
      </c>
      <c r="E997">
        <v>1.5</v>
      </c>
      <c r="F997">
        <v>4.8</v>
      </c>
      <c r="G997" s="8">
        <f t="shared" si="15"/>
        <v>18.75</v>
      </c>
    </row>
    <row r="998" spans="1:7" x14ac:dyDescent="0.25">
      <c r="A998" s="87">
        <v>45804.708333333336</v>
      </c>
      <c r="B998">
        <v>11</v>
      </c>
      <c r="C998" t="s">
        <v>16</v>
      </c>
      <c r="D998" t="s">
        <v>17</v>
      </c>
      <c r="E998">
        <v>1.48</v>
      </c>
      <c r="F998">
        <v>2.8</v>
      </c>
      <c r="G998" s="8">
        <f t="shared" si="15"/>
        <v>31.714285714285715</v>
      </c>
    </row>
    <row r="999" spans="1:7" x14ac:dyDescent="0.25">
      <c r="A999" s="87">
        <v>45804.708333333336</v>
      </c>
      <c r="B999">
        <v>12</v>
      </c>
      <c r="C999" t="s">
        <v>17</v>
      </c>
      <c r="D999" t="s">
        <v>18</v>
      </c>
      <c r="E999">
        <v>1.46</v>
      </c>
      <c r="F999">
        <v>3.93</v>
      </c>
      <c r="G999" s="8">
        <f t="shared" si="15"/>
        <v>22.29007633587786</v>
      </c>
    </row>
    <row r="1000" spans="1:7" x14ac:dyDescent="0.25">
      <c r="A1000" s="87">
        <v>45804.708333333336</v>
      </c>
      <c r="B1000">
        <v>13</v>
      </c>
      <c r="C1000" t="s">
        <v>18</v>
      </c>
      <c r="D1000" t="s">
        <v>19</v>
      </c>
      <c r="E1000">
        <v>1.52</v>
      </c>
      <c r="F1000">
        <v>4.2699999999999996</v>
      </c>
      <c r="G1000" s="8">
        <f t="shared" si="15"/>
        <v>21.358313817330213</v>
      </c>
    </row>
    <row r="1001" spans="1:7" x14ac:dyDescent="0.25">
      <c r="A1001" s="87">
        <v>45804.708333333336</v>
      </c>
      <c r="B1001">
        <v>14</v>
      </c>
      <c r="C1001" t="s">
        <v>19</v>
      </c>
      <c r="D1001" t="s">
        <v>20</v>
      </c>
      <c r="E1001">
        <v>1.51</v>
      </c>
      <c r="F1001">
        <v>4.0999999999999996</v>
      </c>
      <c r="G1001" s="8">
        <f t="shared" si="15"/>
        <v>22.097560975609756</v>
      </c>
    </row>
    <row r="1002" spans="1:7" x14ac:dyDescent="0.25">
      <c r="A1002" s="87">
        <v>45804.708333333336</v>
      </c>
      <c r="B1002">
        <v>15</v>
      </c>
      <c r="C1002" t="s">
        <v>20</v>
      </c>
      <c r="D1002" t="s">
        <v>21</v>
      </c>
      <c r="E1002">
        <v>1.47</v>
      </c>
      <c r="F1002">
        <v>2.68</v>
      </c>
      <c r="G1002" s="8">
        <f t="shared" si="15"/>
        <v>32.910447761194028</v>
      </c>
    </row>
    <row r="1003" spans="1:7" x14ac:dyDescent="0.25">
      <c r="A1003" s="87">
        <v>45804.708333333336</v>
      </c>
      <c r="B1003">
        <v>16</v>
      </c>
      <c r="C1003" t="s">
        <v>21</v>
      </c>
      <c r="D1003" t="s">
        <v>22</v>
      </c>
      <c r="E1003">
        <v>1.5</v>
      </c>
      <c r="F1003">
        <v>1.83</v>
      </c>
      <c r="G1003" s="8">
        <f t="shared" si="15"/>
        <v>49.180327868852459</v>
      </c>
    </row>
    <row r="1004" spans="1:7" x14ac:dyDescent="0.25">
      <c r="A1004" s="87">
        <v>45804.708333333336</v>
      </c>
      <c r="B1004">
        <v>17</v>
      </c>
      <c r="C1004" t="s">
        <v>22</v>
      </c>
      <c r="D1004" t="s">
        <v>23</v>
      </c>
      <c r="E1004">
        <v>1.51</v>
      </c>
      <c r="F1004">
        <v>3.42</v>
      </c>
      <c r="G1004" s="8">
        <f t="shared" si="15"/>
        <v>26.491228070175438</v>
      </c>
    </row>
    <row r="1005" spans="1:7" x14ac:dyDescent="0.25">
      <c r="A1005" s="87">
        <v>45804.708333333336</v>
      </c>
      <c r="B1005">
        <v>18</v>
      </c>
      <c r="C1005" t="s">
        <v>23</v>
      </c>
      <c r="D1005" t="s">
        <v>24</v>
      </c>
      <c r="E1005">
        <v>1.51</v>
      </c>
      <c r="F1005">
        <v>3.25</v>
      </c>
      <c r="G1005" s="8">
        <f t="shared" si="15"/>
        <v>27.876923076923074</v>
      </c>
    </row>
    <row r="1006" spans="1:7" x14ac:dyDescent="0.25">
      <c r="A1006" s="87">
        <v>45804.708333333336</v>
      </c>
      <c r="B1006">
        <v>19</v>
      </c>
      <c r="C1006" t="s">
        <v>25</v>
      </c>
      <c r="D1006" t="s">
        <v>26</v>
      </c>
      <c r="E1006">
        <v>1.5</v>
      </c>
      <c r="F1006">
        <v>3.73</v>
      </c>
      <c r="G1006" s="8">
        <f t="shared" si="15"/>
        <v>24.128686327077748</v>
      </c>
    </row>
    <row r="1007" spans="1:7" x14ac:dyDescent="0.25">
      <c r="A1007" s="87">
        <v>45804.708333333336</v>
      </c>
      <c r="B1007">
        <v>20</v>
      </c>
      <c r="C1007" t="s">
        <v>26</v>
      </c>
      <c r="D1007" t="s">
        <v>27</v>
      </c>
      <c r="E1007">
        <v>1.48</v>
      </c>
      <c r="F1007">
        <v>3.55</v>
      </c>
      <c r="G1007" s="8">
        <f t="shared" si="15"/>
        <v>25.014084507042256</v>
      </c>
    </row>
    <row r="1008" spans="1:7" x14ac:dyDescent="0.25">
      <c r="A1008" s="87">
        <v>45804.708333333336</v>
      </c>
      <c r="B1008">
        <v>21</v>
      </c>
      <c r="C1008" t="s">
        <v>27</v>
      </c>
      <c r="D1008" t="s">
        <v>28</v>
      </c>
      <c r="E1008">
        <v>1.51</v>
      </c>
      <c r="F1008">
        <v>3.87</v>
      </c>
      <c r="G1008" s="8">
        <f t="shared" si="15"/>
        <v>23.410852713178294</v>
      </c>
    </row>
    <row r="1009" spans="1:7" x14ac:dyDescent="0.25">
      <c r="A1009" s="87">
        <v>45804.708333333336</v>
      </c>
      <c r="B1009">
        <v>22</v>
      </c>
      <c r="C1009" t="s">
        <v>28</v>
      </c>
      <c r="D1009" t="s">
        <v>29</v>
      </c>
      <c r="E1009">
        <v>1.57</v>
      </c>
      <c r="F1009">
        <v>3.65</v>
      </c>
      <c r="G1009" s="8">
        <f t="shared" si="15"/>
        <v>25.808219178082194</v>
      </c>
    </row>
    <row r="1010" spans="1:7" x14ac:dyDescent="0.25">
      <c r="A1010" s="87">
        <v>45804.708333333336</v>
      </c>
      <c r="B1010">
        <v>23</v>
      </c>
      <c r="C1010" t="s">
        <v>29</v>
      </c>
      <c r="D1010" t="s">
        <v>30</v>
      </c>
      <c r="E1010">
        <v>1.43</v>
      </c>
      <c r="F1010">
        <v>4.72</v>
      </c>
      <c r="G1010" s="8">
        <f t="shared" si="15"/>
        <v>18.177966101694917</v>
      </c>
    </row>
    <row r="1011" spans="1:7" x14ac:dyDescent="0.25">
      <c r="A1011" s="87">
        <v>45804.708333333336</v>
      </c>
      <c r="B1011">
        <v>24</v>
      </c>
      <c r="C1011" t="s">
        <v>30</v>
      </c>
      <c r="D1011" t="s">
        <v>31</v>
      </c>
      <c r="E1011">
        <v>1.52</v>
      </c>
      <c r="F1011">
        <v>4.12</v>
      </c>
      <c r="G1011" s="8">
        <f t="shared" si="15"/>
        <v>22.135922330097088</v>
      </c>
    </row>
    <row r="1012" spans="1:7" x14ac:dyDescent="0.25">
      <c r="A1012" s="87">
        <v>45804.708333333336</v>
      </c>
      <c r="B1012">
        <v>25</v>
      </c>
      <c r="C1012" t="s">
        <v>31</v>
      </c>
      <c r="D1012" t="s">
        <v>32</v>
      </c>
      <c r="E1012">
        <v>1.52</v>
      </c>
      <c r="F1012">
        <v>3.57</v>
      </c>
      <c r="G1012" s="8">
        <f t="shared" si="15"/>
        <v>25.54621848739496</v>
      </c>
    </row>
    <row r="1013" spans="1:7" x14ac:dyDescent="0.25">
      <c r="A1013" s="87">
        <v>45804.708333333336</v>
      </c>
      <c r="B1013">
        <v>26</v>
      </c>
      <c r="C1013" t="s">
        <v>32</v>
      </c>
      <c r="D1013" t="s">
        <v>33</v>
      </c>
      <c r="E1013">
        <v>1.49</v>
      </c>
      <c r="F1013">
        <v>6.32</v>
      </c>
      <c r="G1013" s="8">
        <f t="shared" si="15"/>
        <v>14.145569620253164</v>
      </c>
    </row>
    <row r="1014" spans="1:7" x14ac:dyDescent="0.25">
      <c r="A1014" s="87">
        <v>45804.708333333336</v>
      </c>
      <c r="B1014">
        <v>27</v>
      </c>
      <c r="C1014" t="s">
        <v>33</v>
      </c>
      <c r="D1014" t="s">
        <v>34</v>
      </c>
      <c r="E1014">
        <v>1.53</v>
      </c>
      <c r="F1014">
        <v>4.0999999999999996</v>
      </c>
      <c r="G1014" s="8">
        <f t="shared" si="15"/>
        <v>22.390243902439025</v>
      </c>
    </row>
    <row r="1015" spans="1:7" x14ac:dyDescent="0.25">
      <c r="A1015" s="87">
        <v>45804.708333333336</v>
      </c>
      <c r="B1015">
        <v>28</v>
      </c>
      <c r="C1015" t="s">
        <v>34</v>
      </c>
      <c r="D1015" t="s">
        <v>35</v>
      </c>
      <c r="E1015">
        <v>1.51</v>
      </c>
      <c r="F1015">
        <v>4.55</v>
      </c>
      <c r="G1015" s="8">
        <f t="shared" si="15"/>
        <v>19.912087912087912</v>
      </c>
    </row>
    <row r="1016" spans="1:7" x14ac:dyDescent="0.25">
      <c r="A1016" s="87">
        <v>45804.708333333336</v>
      </c>
      <c r="B1016">
        <v>29</v>
      </c>
      <c r="C1016" t="s">
        <v>36</v>
      </c>
      <c r="D1016" t="s">
        <v>37</v>
      </c>
      <c r="E1016">
        <v>1.57</v>
      </c>
      <c r="F1016">
        <v>4.17</v>
      </c>
      <c r="G1016" s="8">
        <f t="shared" si="15"/>
        <v>22.589928057553958</v>
      </c>
    </row>
    <row r="1017" spans="1:7" x14ac:dyDescent="0.25">
      <c r="A1017" s="87">
        <v>45804.708333333336</v>
      </c>
      <c r="B1017">
        <v>30</v>
      </c>
      <c r="C1017" t="s">
        <v>37</v>
      </c>
      <c r="D1017" t="s">
        <v>38</v>
      </c>
      <c r="E1017">
        <v>1.57</v>
      </c>
      <c r="F1017">
        <v>4.82</v>
      </c>
      <c r="G1017" s="8">
        <f t="shared" si="15"/>
        <v>19.543568464730289</v>
      </c>
    </row>
    <row r="1018" spans="1:7" x14ac:dyDescent="0.25">
      <c r="A1018" s="87">
        <v>45804.708333333336</v>
      </c>
      <c r="B1018">
        <v>31</v>
      </c>
      <c r="C1018" t="s">
        <v>38</v>
      </c>
      <c r="D1018" t="s">
        <v>39</v>
      </c>
      <c r="E1018">
        <v>1.52</v>
      </c>
      <c r="F1018">
        <v>4.72</v>
      </c>
      <c r="G1018" s="8">
        <f t="shared" si="15"/>
        <v>19.322033898305087</v>
      </c>
    </row>
    <row r="1019" spans="1:7" x14ac:dyDescent="0.25">
      <c r="A1019" s="87">
        <v>45804.708333333336</v>
      </c>
      <c r="B1019">
        <v>32</v>
      </c>
      <c r="C1019" t="s">
        <v>39</v>
      </c>
      <c r="D1019" t="s">
        <v>40</v>
      </c>
      <c r="E1019">
        <v>1.5</v>
      </c>
      <c r="F1019">
        <v>1.93</v>
      </c>
      <c r="G1019" s="8">
        <f t="shared" si="15"/>
        <v>46.632124352331608</v>
      </c>
    </row>
    <row r="1020" spans="1:7" x14ac:dyDescent="0.25">
      <c r="A1020" s="87">
        <v>45804.708333333336</v>
      </c>
      <c r="B1020">
        <v>33</v>
      </c>
      <c r="C1020" t="s">
        <v>40</v>
      </c>
      <c r="D1020" t="s">
        <v>41</v>
      </c>
      <c r="E1020">
        <v>1.51</v>
      </c>
      <c r="F1020">
        <v>2.17</v>
      </c>
      <c r="G1020" s="8">
        <f t="shared" si="15"/>
        <v>41.751152073732719</v>
      </c>
    </row>
    <row r="1021" spans="1:7" x14ac:dyDescent="0.25">
      <c r="A1021" s="87">
        <v>45804.708333333336</v>
      </c>
      <c r="B1021">
        <v>34</v>
      </c>
      <c r="C1021" t="s">
        <v>41</v>
      </c>
      <c r="D1021" t="s">
        <v>42</v>
      </c>
      <c r="E1021">
        <v>1.5</v>
      </c>
      <c r="F1021">
        <v>2.2000000000000002</v>
      </c>
      <c r="G1021" s="8">
        <f t="shared" si="15"/>
        <v>40.909090909090907</v>
      </c>
    </row>
    <row r="1022" spans="1:7" x14ac:dyDescent="0.25">
      <c r="A1022" s="87">
        <v>45804.708333333336</v>
      </c>
      <c r="B1022">
        <v>35</v>
      </c>
      <c r="C1022" t="s">
        <v>43</v>
      </c>
      <c r="D1022" t="s">
        <v>44</v>
      </c>
      <c r="E1022">
        <v>1.55</v>
      </c>
      <c r="F1022">
        <v>3.67</v>
      </c>
      <c r="G1022" s="8">
        <f t="shared" si="15"/>
        <v>25.340599455040874</v>
      </c>
    </row>
    <row r="1023" spans="1:7" x14ac:dyDescent="0.25">
      <c r="A1023" s="87">
        <v>45804.708333333336</v>
      </c>
      <c r="B1023">
        <v>36</v>
      </c>
      <c r="C1023" t="s">
        <v>44</v>
      </c>
      <c r="D1023" t="s">
        <v>45</v>
      </c>
      <c r="E1023">
        <v>1.5</v>
      </c>
      <c r="F1023">
        <v>3.33</v>
      </c>
      <c r="G1023" s="8">
        <f t="shared" si="15"/>
        <v>27.027027027027028</v>
      </c>
    </row>
    <row r="1024" spans="1:7" x14ac:dyDescent="0.25">
      <c r="A1024" s="87">
        <v>45804.708333333336</v>
      </c>
      <c r="B1024">
        <v>37</v>
      </c>
      <c r="C1024" t="s">
        <v>45</v>
      </c>
      <c r="D1024" t="s">
        <v>46</v>
      </c>
      <c r="E1024">
        <v>1.38</v>
      </c>
      <c r="F1024">
        <v>4.5999999999999996</v>
      </c>
      <c r="G1024" s="8">
        <f t="shared" si="15"/>
        <v>18</v>
      </c>
    </row>
    <row r="1025" spans="1:7" x14ac:dyDescent="0.25">
      <c r="A1025" s="87">
        <v>45804.708333333336</v>
      </c>
      <c r="B1025">
        <v>38</v>
      </c>
      <c r="C1025" t="s">
        <v>46</v>
      </c>
      <c r="D1025" t="s">
        <v>47</v>
      </c>
      <c r="E1025">
        <v>1.61</v>
      </c>
      <c r="F1025">
        <v>4.5199999999999996</v>
      </c>
      <c r="G1025" s="8">
        <f t="shared" si="15"/>
        <v>21.371681415929206</v>
      </c>
    </row>
    <row r="1026" spans="1:7" x14ac:dyDescent="0.25">
      <c r="A1026" s="87">
        <v>45804.708333333336</v>
      </c>
      <c r="B1026">
        <v>39</v>
      </c>
      <c r="C1026" t="s">
        <v>47</v>
      </c>
      <c r="D1026" t="s">
        <v>48</v>
      </c>
      <c r="E1026">
        <v>1.55</v>
      </c>
      <c r="F1026">
        <v>3.72</v>
      </c>
      <c r="G1026" s="8">
        <f t="shared" si="15"/>
        <v>25</v>
      </c>
    </row>
    <row r="1027" spans="1:7" x14ac:dyDescent="0.25">
      <c r="A1027" s="87">
        <v>45804.708333333336</v>
      </c>
      <c r="B1027">
        <v>40</v>
      </c>
      <c r="C1027" t="s">
        <v>48</v>
      </c>
      <c r="D1027" t="s">
        <v>49</v>
      </c>
      <c r="E1027">
        <v>1.39</v>
      </c>
      <c r="F1027">
        <v>3.32</v>
      </c>
      <c r="G1027" s="8">
        <f t="shared" ref="G1027:G1090" si="16">E1027*60/F1027</f>
        <v>25.120481927710841</v>
      </c>
    </row>
    <row r="1028" spans="1:7" x14ac:dyDescent="0.25">
      <c r="A1028" s="87">
        <v>45804.708333333336</v>
      </c>
      <c r="B1028">
        <v>41</v>
      </c>
      <c r="C1028" t="s">
        <v>50</v>
      </c>
      <c r="D1028" t="s">
        <v>51</v>
      </c>
      <c r="E1028">
        <v>1.56</v>
      </c>
      <c r="F1028">
        <v>4.47</v>
      </c>
      <c r="G1028" s="8">
        <f t="shared" si="16"/>
        <v>20.939597315436245</v>
      </c>
    </row>
    <row r="1029" spans="1:7" x14ac:dyDescent="0.25">
      <c r="A1029" s="87">
        <v>45804.708333333336</v>
      </c>
      <c r="B1029">
        <v>42</v>
      </c>
      <c r="C1029" t="s">
        <v>51</v>
      </c>
      <c r="D1029" t="s">
        <v>52</v>
      </c>
      <c r="E1029">
        <v>1.56</v>
      </c>
      <c r="F1029">
        <v>4.62</v>
      </c>
      <c r="G1029" s="8">
        <f t="shared" si="16"/>
        <v>20.259740259740262</v>
      </c>
    </row>
    <row r="1030" spans="1:7" x14ac:dyDescent="0.25">
      <c r="A1030" s="87">
        <v>45804.708333333336</v>
      </c>
      <c r="B1030">
        <v>43</v>
      </c>
      <c r="C1030" t="s">
        <v>52</v>
      </c>
      <c r="D1030" t="s">
        <v>53</v>
      </c>
      <c r="E1030">
        <v>1.51</v>
      </c>
      <c r="F1030">
        <v>3.88</v>
      </c>
      <c r="G1030" s="8">
        <f t="shared" si="16"/>
        <v>23.350515463917525</v>
      </c>
    </row>
    <row r="1031" spans="1:7" x14ac:dyDescent="0.25">
      <c r="A1031" s="87">
        <v>45804.708333333336</v>
      </c>
      <c r="B1031">
        <v>44</v>
      </c>
      <c r="C1031" t="s">
        <v>54</v>
      </c>
      <c r="D1031" t="s">
        <v>55</v>
      </c>
      <c r="E1031">
        <v>1.51</v>
      </c>
      <c r="F1031">
        <v>4.37</v>
      </c>
      <c r="G1031" s="8">
        <f t="shared" si="16"/>
        <v>20.732265446224254</v>
      </c>
    </row>
    <row r="1032" spans="1:7" x14ac:dyDescent="0.25">
      <c r="A1032" s="87">
        <v>45804.708333333336</v>
      </c>
      <c r="B1032">
        <v>45</v>
      </c>
      <c r="C1032" t="s">
        <v>55</v>
      </c>
      <c r="D1032" t="s">
        <v>56</v>
      </c>
      <c r="E1032">
        <v>1.49</v>
      </c>
      <c r="F1032">
        <v>3.95</v>
      </c>
      <c r="G1032" s="8">
        <f t="shared" si="16"/>
        <v>22.632911392405063</v>
      </c>
    </row>
    <row r="1033" spans="1:7" x14ac:dyDescent="0.25">
      <c r="A1033" s="87">
        <v>45804.708333333336</v>
      </c>
      <c r="B1033">
        <v>46</v>
      </c>
      <c r="C1033" t="s">
        <v>56</v>
      </c>
      <c r="D1033" t="s">
        <v>57</v>
      </c>
      <c r="E1033">
        <v>1.52</v>
      </c>
      <c r="F1033">
        <v>4.05</v>
      </c>
      <c r="G1033" s="8">
        <f t="shared" si="16"/>
        <v>22.518518518518519</v>
      </c>
    </row>
    <row r="1034" spans="1:7" x14ac:dyDescent="0.25">
      <c r="A1034" s="87">
        <v>45804.708333333336</v>
      </c>
      <c r="B1034">
        <v>47</v>
      </c>
      <c r="C1034" t="s">
        <v>58</v>
      </c>
      <c r="D1034" t="s">
        <v>59</v>
      </c>
      <c r="E1034">
        <v>1.52</v>
      </c>
      <c r="F1034">
        <v>4.32</v>
      </c>
      <c r="G1034" s="8">
        <f t="shared" si="16"/>
        <v>21.111111111111111</v>
      </c>
    </row>
    <row r="1035" spans="1:7" x14ac:dyDescent="0.25">
      <c r="A1035" s="87">
        <v>45804.708333333336</v>
      </c>
      <c r="B1035">
        <v>48</v>
      </c>
      <c r="C1035" t="s">
        <v>59</v>
      </c>
      <c r="D1035" t="s">
        <v>60</v>
      </c>
      <c r="E1035">
        <v>1.5</v>
      </c>
      <c r="F1035">
        <v>4.05</v>
      </c>
      <c r="G1035" s="8">
        <f t="shared" si="16"/>
        <v>22.222222222222221</v>
      </c>
    </row>
    <row r="1036" spans="1:7" x14ac:dyDescent="0.25">
      <c r="A1036" s="87">
        <v>45804.708333333336</v>
      </c>
      <c r="B1036">
        <v>49</v>
      </c>
      <c r="C1036" t="s">
        <v>60</v>
      </c>
      <c r="D1036" t="s">
        <v>61</v>
      </c>
      <c r="E1036">
        <v>1.54</v>
      </c>
      <c r="F1036">
        <v>4.88</v>
      </c>
      <c r="G1036" s="8">
        <f t="shared" si="16"/>
        <v>18.934426229508198</v>
      </c>
    </row>
    <row r="1037" spans="1:7" x14ac:dyDescent="0.25">
      <c r="A1037" s="87">
        <v>45804.708333333336</v>
      </c>
      <c r="B1037">
        <v>50</v>
      </c>
      <c r="C1037" t="s">
        <v>62</v>
      </c>
      <c r="D1037" t="s">
        <v>63</v>
      </c>
      <c r="E1037">
        <v>1.38</v>
      </c>
      <c r="F1037">
        <v>3.5</v>
      </c>
      <c r="G1037" s="8">
        <f t="shared" si="16"/>
        <v>23.657142857142855</v>
      </c>
    </row>
    <row r="1038" spans="1:7" x14ac:dyDescent="0.25">
      <c r="A1038" s="87">
        <v>45804.708333333336</v>
      </c>
      <c r="B1038">
        <v>51</v>
      </c>
      <c r="C1038" t="s">
        <v>63</v>
      </c>
      <c r="D1038" t="s">
        <v>64</v>
      </c>
      <c r="E1038">
        <v>2.79</v>
      </c>
      <c r="F1038">
        <v>6</v>
      </c>
      <c r="G1038" s="8">
        <f t="shared" si="16"/>
        <v>27.900000000000002</v>
      </c>
    </row>
    <row r="1039" spans="1:7" x14ac:dyDescent="0.25">
      <c r="A1039" s="87">
        <v>45804.708333333336</v>
      </c>
      <c r="B1039">
        <v>52</v>
      </c>
      <c r="C1039" t="s">
        <v>64</v>
      </c>
      <c r="D1039" t="s">
        <v>65</v>
      </c>
      <c r="E1039">
        <v>1.5</v>
      </c>
      <c r="F1039">
        <v>2.93</v>
      </c>
      <c r="G1039" s="8">
        <f t="shared" si="16"/>
        <v>30.716723549488052</v>
      </c>
    </row>
    <row r="1040" spans="1:7" x14ac:dyDescent="0.25">
      <c r="A1040" s="87">
        <v>45804.708333333336</v>
      </c>
      <c r="B1040">
        <v>53</v>
      </c>
      <c r="C1040" t="s">
        <v>65</v>
      </c>
      <c r="D1040" t="s">
        <v>66</v>
      </c>
      <c r="E1040">
        <v>1.46</v>
      </c>
      <c r="F1040">
        <v>3.93</v>
      </c>
      <c r="G1040" s="8">
        <f t="shared" si="16"/>
        <v>22.29007633587786</v>
      </c>
    </row>
    <row r="1041" spans="1:7" x14ac:dyDescent="0.25">
      <c r="A1041" s="87">
        <v>45804.708333333336</v>
      </c>
      <c r="B1041">
        <v>54</v>
      </c>
      <c r="C1041" t="s">
        <v>67</v>
      </c>
      <c r="D1041" t="s">
        <v>68</v>
      </c>
      <c r="E1041">
        <v>1.46</v>
      </c>
      <c r="F1041">
        <v>3.27</v>
      </c>
      <c r="G1041" s="8">
        <f t="shared" si="16"/>
        <v>26.788990825688071</v>
      </c>
    </row>
    <row r="1042" spans="1:7" x14ac:dyDescent="0.25">
      <c r="A1042" s="87">
        <v>45804.708333333336</v>
      </c>
      <c r="B1042">
        <v>55</v>
      </c>
      <c r="C1042" t="s">
        <v>68</v>
      </c>
      <c r="D1042" t="s">
        <v>69</v>
      </c>
      <c r="E1042">
        <v>1.5</v>
      </c>
      <c r="F1042">
        <v>2.2799999999999998</v>
      </c>
      <c r="G1042" s="8">
        <f t="shared" si="16"/>
        <v>39.473684210526322</v>
      </c>
    </row>
    <row r="1043" spans="1:7" x14ac:dyDescent="0.25">
      <c r="A1043" s="87">
        <v>45804.708333333336</v>
      </c>
      <c r="B1043">
        <v>56</v>
      </c>
      <c r="C1043" t="s">
        <v>70</v>
      </c>
      <c r="D1043" t="s">
        <v>71</v>
      </c>
      <c r="E1043">
        <v>1.51</v>
      </c>
      <c r="F1043">
        <v>4.4000000000000004</v>
      </c>
      <c r="G1043" s="8">
        <f t="shared" si="16"/>
        <v>20.590909090909086</v>
      </c>
    </row>
    <row r="1044" spans="1:7" x14ac:dyDescent="0.25">
      <c r="A1044" s="87">
        <v>45804.708333333336</v>
      </c>
      <c r="B1044">
        <v>57</v>
      </c>
      <c r="C1044" t="s">
        <v>71</v>
      </c>
      <c r="D1044" t="s">
        <v>72</v>
      </c>
      <c r="E1044">
        <v>1.52</v>
      </c>
      <c r="F1044">
        <v>4.2300000000000004</v>
      </c>
      <c r="G1044" s="8">
        <f t="shared" si="16"/>
        <v>21.560283687943262</v>
      </c>
    </row>
    <row r="1045" spans="1:7" x14ac:dyDescent="0.25">
      <c r="A1045" s="87">
        <v>45804.708333333336</v>
      </c>
      <c r="B1045">
        <v>58</v>
      </c>
      <c r="C1045" t="s">
        <v>72</v>
      </c>
      <c r="D1045" t="s">
        <v>73</v>
      </c>
      <c r="E1045">
        <v>1.5</v>
      </c>
      <c r="F1045">
        <v>4.42</v>
      </c>
      <c r="G1045" s="8">
        <f t="shared" si="16"/>
        <v>20.361990950226243</v>
      </c>
    </row>
    <row r="1046" spans="1:7" x14ac:dyDescent="0.25">
      <c r="A1046" s="87">
        <v>45804.71875</v>
      </c>
      <c r="B1046">
        <v>1</v>
      </c>
      <c r="C1046" t="s">
        <v>6</v>
      </c>
      <c r="D1046" t="s">
        <v>7</v>
      </c>
      <c r="E1046">
        <v>1.53</v>
      </c>
      <c r="F1046">
        <v>3.3</v>
      </c>
      <c r="G1046" s="8">
        <f t="shared" si="16"/>
        <v>27.81818181818182</v>
      </c>
    </row>
    <row r="1047" spans="1:7" x14ac:dyDescent="0.25">
      <c r="A1047" s="87">
        <v>45804.71875</v>
      </c>
      <c r="B1047">
        <v>2</v>
      </c>
      <c r="C1047" t="s">
        <v>7</v>
      </c>
      <c r="D1047" t="s">
        <v>8</v>
      </c>
      <c r="E1047">
        <v>1.57</v>
      </c>
      <c r="F1047">
        <v>5</v>
      </c>
      <c r="G1047" s="8">
        <f t="shared" si="16"/>
        <v>18.84</v>
      </c>
    </row>
    <row r="1048" spans="1:7" x14ac:dyDescent="0.25">
      <c r="A1048" s="87">
        <v>45804.71875</v>
      </c>
      <c r="B1048">
        <v>3</v>
      </c>
      <c r="C1048" t="s">
        <v>8</v>
      </c>
      <c r="D1048" t="s">
        <v>9</v>
      </c>
      <c r="E1048">
        <v>1.5</v>
      </c>
      <c r="F1048">
        <v>3.42</v>
      </c>
      <c r="G1048" s="8">
        <f t="shared" si="16"/>
        <v>26.315789473684212</v>
      </c>
    </row>
    <row r="1049" spans="1:7" x14ac:dyDescent="0.25">
      <c r="A1049" s="87">
        <v>45804.71875</v>
      </c>
      <c r="B1049">
        <v>4</v>
      </c>
      <c r="C1049" t="s">
        <v>9</v>
      </c>
      <c r="D1049" t="s">
        <v>10</v>
      </c>
      <c r="E1049">
        <v>1.5</v>
      </c>
      <c r="F1049">
        <v>3.25</v>
      </c>
      <c r="G1049" s="8">
        <f t="shared" si="16"/>
        <v>27.692307692307693</v>
      </c>
    </row>
    <row r="1050" spans="1:7" x14ac:dyDescent="0.25">
      <c r="A1050" s="87">
        <v>45804.71875</v>
      </c>
      <c r="B1050">
        <v>5</v>
      </c>
      <c r="C1050" t="s">
        <v>10</v>
      </c>
      <c r="D1050" t="s">
        <v>11</v>
      </c>
      <c r="E1050">
        <v>1.52</v>
      </c>
      <c r="F1050">
        <v>3.85</v>
      </c>
      <c r="G1050" s="8">
        <f t="shared" si="16"/>
        <v>23.688311688311689</v>
      </c>
    </row>
    <row r="1051" spans="1:7" x14ac:dyDescent="0.25">
      <c r="A1051" s="87">
        <v>45804.71875</v>
      </c>
      <c r="B1051">
        <v>6</v>
      </c>
      <c r="C1051" t="s">
        <v>11</v>
      </c>
      <c r="D1051" t="s">
        <v>12</v>
      </c>
      <c r="E1051">
        <v>1.5</v>
      </c>
      <c r="F1051">
        <v>2.78</v>
      </c>
      <c r="G1051" s="8">
        <f t="shared" si="16"/>
        <v>32.374100719424462</v>
      </c>
    </row>
    <row r="1052" spans="1:7" x14ac:dyDescent="0.25">
      <c r="A1052" s="87">
        <v>45804.71875</v>
      </c>
      <c r="B1052">
        <v>7</v>
      </c>
      <c r="C1052" t="s">
        <v>12</v>
      </c>
      <c r="D1052" t="s">
        <v>13</v>
      </c>
      <c r="E1052">
        <v>1.54</v>
      </c>
      <c r="F1052">
        <v>2.77</v>
      </c>
      <c r="G1052" s="8">
        <f t="shared" si="16"/>
        <v>33.357400722021666</v>
      </c>
    </row>
    <row r="1053" spans="1:7" x14ac:dyDescent="0.25">
      <c r="A1053" s="87">
        <v>45804.71875</v>
      </c>
      <c r="B1053">
        <v>8</v>
      </c>
      <c r="C1053" t="s">
        <v>13</v>
      </c>
      <c r="D1053" t="s">
        <v>14</v>
      </c>
      <c r="E1053">
        <v>1.54</v>
      </c>
      <c r="F1053">
        <v>3.43</v>
      </c>
      <c r="G1053" s="8">
        <f t="shared" si="16"/>
        <v>26.938775510204081</v>
      </c>
    </row>
    <row r="1054" spans="1:7" x14ac:dyDescent="0.25">
      <c r="A1054" s="87">
        <v>45804.71875</v>
      </c>
      <c r="B1054">
        <v>9</v>
      </c>
      <c r="C1054" t="s">
        <v>14</v>
      </c>
      <c r="D1054" t="s">
        <v>15</v>
      </c>
      <c r="E1054">
        <v>1.52</v>
      </c>
      <c r="F1054">
        <v>3.7</v>
      </c>
      <c r="G1054" s="8">
        <f t="shared" si="16"/>
        <v>24.648648648648649</v>
      </c>
    </row>
    <row r="1055" spans="1:7" x14ac:dyDescent="0.25">
      <c r="A1055" s="87">
        <v>45804.71875</v>
      </c>
      <c r="B1055">
        <v>10</v>
      </c>
      <c r="C1055" t="s">
        <v>15</v>
      </c>
      <c r="D1055" t="s">
        <v>16</v>
      </c>
      <c r="E1055">
        <v>1.5</v>
      </c>
      <c r="F1055">
        <v>5</v>
      </c>
      <c r="G1055" s="8">
        <f t="shared" si="16"/>
        <v>18</v>
      </c>
    </row>
    <row r="1056" spans="1:7" x14ac:dyDescent="0.25">
      <c r="A1056" s="87">
        <v>45804.71875</v>
      </c>
      <c r="B1056">
        <v>11</v>
      </c>
      <c r="C1056" t="s">
        <v>16</v>
      </c>
      <c r="D1056" t="s">
        <v>17</v>
      </c>
      <c r="E1056">
        <v>1.48</v>
      </c>
      <c r="F1056">
        <v>3.02</v>
      </c>
      <c r="G1056" s="8">
        <f t="shared" si="16"/>
        <v>29.403973509933774</v>
      </c>
    </row>
    <row r="1057" spans="1:7" x14ac:dyDescent="0.25">
      <c r="A1057" s="87">
        <v>45804.71875</v>
      </c>
      <c r="B1057">
        <v>12</v>
      </c>
      <c r="C1057" t="s">
        <v>17</v>
      </c>
      <c r="D1057" t="s">
        <v>18</v>
      </c>
      <c r="E1057">
        <v>1.46</v>
      </c>
      <c r="F1057">
        <v>3.97</v>
      </c>
      <c r="G1057" s="8">
        <f t="shared" si="16"/>
        <v>22.065491183879089</v>
      </c>
    </row>
    <row r="1058" spans="1:7" x14ac:dyDescent="0.25">
      <c r="A1058" s="87">
        <v>45804.71875</v>
      </c>
      <c r="B1058">
        <v>13</v>
      </c>
      <c r="C1058" t="s">
        <v>18</v>
      </c>
      <c r="D1058" t="s">
        <v>19</v>
      </c>
      <c r="E1058">
        <v>1.52</v>
      </c>
      <c r="F1058">
        <v>4.32</v>
      </c>
      <c r="G1058" s="8">
        <f t="shared" si="16"/>
        <v>21.111111111111111</v>
      </c>
    </row>
    <row r="1059" spans="1:7" x14ac:dyDescent="0.25">
      <c r="A1059" s="87">
        <v>45804.71875</v>
      </c>
      <c r="B1059">
        <v>14</v>
      </c>
      <c r="C1059" t="s">
        <v>19</v>
      </c>
      <c r="D1059" t="s">
        <v>20</v>
      </c>
      <c r="E1059">
        <v>1.51</v>
      </c>
      <c r="F1059">
        <v>4.45</v>
      </c>
      <c r="G1059" s="8">
        <f t="shared" si="16"/>
        <v>20.35955056179775</v>
      </c>
    </row>
    <row r="1060" spans="1:7" x14ac:dyDescent="0.25">
      <c r="A1060" s="87">
        <v>45804.71875</v>
      </c>
      <c r="B1060">
        <v>15</v>
      </c>
      <c r="C1060" t="s">
        <v>20</v>
      </c>
      <c r="D1060" t="s">
        <v>21</v>
      </c>
      <c r="E1060">
        <v>1.47</v>
      </c>
      <c r="F1060">
        <v>2.78</v>
      </c>
      <c r="G1060" s="8">
        <f t="shared" si="16"/>
        <v>31.726618705035975</v>
      </c>
    </row>
    <row r="1061" spans="1:7" x14ac:dyDescent="0.25">
      <c r="A1061" s="87">
        <v>45804.71875</v>
      </c>
      <c r="B1061">
        <v>16</v>
      </c>
      <c r="C1061" t="s">
        <v>21</v>
      </c>
      <c r="D1061" t="s">
        <v>22</v>
      </c>
      <c r="E1061">
        <v>1.5</v>
      </c>
      <c r="F1061">
        <v>2.17</v>
      </c>
      <c r="G1061" s="8">
        <f t="shared" si="16"/>
        <v>41.474654377880185</v>
      </c>
    </row>
    <row r="1062" spans="1:7" x14ac:dyDescent="0.25">
      <c r="A1062" s="87">
        <v>45804.71875</v>
      </c>
      <c r="B1062">
        <v>17</v>
      </c>
      <c r="C1062" t="s">
        <v>22</v>
      </c>
      <c r="D1062" t="s">
        <v>23</v>
      </c>
      <c r="E1062">
        <v>1.51</v>
      </c>
      <c r="F1062">
        <v>3.78</v>
      </c>
      <c r="G1062" s="8">
        <f t="shared" si="16"/>
        <v>23.968253968253968</v>
      </c>
    </row>
    <row r="1063" spans="1:7" x14ac:dyDescent="0.25">
      <c r="A1063" s="87">
        <v>45804.71875</v>
      </c>
      <c r="B1063">
        <v>18</v>
      </c>
      <c r="C1063" t="s">
        <v>23</v>
      </c>
      <c r="D1063" t="s">
        <v>24</v>
      </c>
      <c r="E1063">
        <v>1.51</v>
      </c>
      <c r="F1063">
        <v>3.58</v>
      </c>
      <c r="G1063" s="8">
        <f t="shared" si="16"/>
        <v>25.3072625698324</v>
      </c>
    </row>
    <row r="1064" spans="1:7" x14ac:dyDescent="0.25">
      <c r="A1064" s="87">
        <v>45804.71875</v>
      </c>
      <c r="B1064">
        <v>19</v>
      </c>
      <c r="C1064" t="s">
        <v>25</v>
      </c>
      <c r="D1064" t="s">
        <v>26</v>
      </c>
      <c r="E1064">
        <v>1.5</v>
      </c>
      <c r="F1064">
        <v>3.8</v>
      </c>
      <c r="G1064" s="8">
        <f t="shared" si="16"/>
        <v>23.684210526315791</v>
      </c>
    </row>
    <row r="1065" spans="1:7" x14ac:dyDescent="0.25">
      <c r="A1065" s="87">
        <v>45804.71875</v>
      </c>
      <c r="B1065">
        <v>20</v>
      </c>
      <c r="C1065" t="s">
        <v>26</v>
      </c>
      <c r="D1065" t="s">
        <v>27</v>
      </c>
      <c r="E1065">
        <v>1.48</v>
      </c>
      <c r="F1065">
        <v>4.13</v>
      </c>
      <c r="G1065" s="8">
        <f t="shared" si="16"/>
        <v>21.501210653753027</v>
      </c>
    </row>
    <row r="1066" spans="1:7" x14ac:dyDescent="0.25">
      <c r="A1066" s="87">
        <v>45804.71875</v>
      </c>
      <c r="B1066">
        <v>21</v>
      </c>
      <c r="C1066" t="s">
        <v>27</v>
      </c>
      <c r="D1066" t="s">
        <v>28</v>
      </c>
      <c r="E1066">
        <v>1.51</v>
      </c>
      <c r="F1066">
        <v>3.4</v>
      </c>
      <c r="G1066" s="8">
        <f t="shared" si="16"/>
        <v>26.647058823529409</v>
      </c>
    </row>
    <row r="1067" spans="1:7" x14ac:dyDescent="0.25">
      <c r="A1067" s="87">
        <v>45804.71875</v>
      </c>
      <c r="B1067">
        <v>22</v>
      </c>
      <c r="C1067" t="s">
        <v>28</v>
      </c>
      <c r="D1067" t="s">
        <v>29</v>
      </c>
      <c r="E1067">
        <v>1.57</v>
      </c>
      <c r="F1067">
        <v>3.45</v>
      </c>
      <c r="G1067" s="8">
        <f t="shared" si="16"/>
        <v>27.304347826086957</v>
      </c>
    </row>
    <row r="1068" spans="1:7" x14ac:dyDescent="0.25">
      <c r="A1068" s="87">
        <v>45804.71875</v>
      </c>
      <c r="B1068">
        <v>23</v>
      </c>
      <c r="C1068" t="s">
        <v>29</v>
      </c>
      <c r="D1068" t="s">
        <v>30</v>
      </c>
      <c r="E1068">
        <v>1.43</v>
      </c>
      <c r="F1068">
        <v>4.47</v>
      </c>
      <c r="G1068" s="8">
        <f t="shared" si="16"/>
        <v>19.194630872483224</v>
      </c>
    </row>
    <row r="1069" spans="1:7" x14ac:dyDescent="0.25">
      <c r="A1069" s="87">
        <v>45804.71875</v>
      </c>
      <c r="B1069">
        <v>24</v>
      </c>
      <c r="C1069" t="s">
        <v>30</v>
      </c>
      <c r="D1069" t="s">
        <v>31</v>
      </c>
      <c r="E1069">
        <v>1.52</v>
      </c>
      <c r="F1069">
        <v>4.17</v>
      </c>
      <c r="G1069" s="8">
        <f t="shared" si="16"/>
        <v>21.870503597122305</v>
      </c>
    </row>
    <row r="1070" spans="1:7" x14ac:dyDescent="0.25">
      <c r="A1070" s="87">
        <v>45804.71875</v>
      </c>
      <c r="B1070">
        <v>25</v>
      </c>
      <c r="C1070" t="s">
        <v>31</v>
      </c>
      <c r="D1070" t="s">
        <v>32</v>
      </c>
      <c r="E1070">
        <v>1.52</v>
      </c>
      <c r="F1070">
        <v>3.32</v>
      </c>
      <c r="G1070" s="8">
        <f t="shared" si="16"/>
        <v>27.46987951807229</v>
      </c>
    </row>
    <row r="1071" spans="1:7" x14ac:dyDescent="0.25">
      <c r="A1071" s="87">
        <v>45804.71875</v>
      </c>
      <c r="B1071">
        <v>26</v>
      </c>
      <c r="C1071" t="s">
        <v>32</v>
      </c>
      <c r="D1071" t="s">
        <v>33</v>
      </c>
      <c r="E1071">
        <v>1.49</v>
      </c>
      <c r="F1071">
        <v>5.85</v>
      </c>
      <c r="G1071" s="8">
        <f t="shared" si="16"/>
        <v>15.282051282051285</v>
      </c>
    </row>
    <row r="1072" spans="1:7" x14ac:dyDescent="0.25">
      <c r="A1072" s="87">
        <v>45804.71875</v>
      </c>
      <c r="B1072">
        <v>27</v>
      </c>
      <c r="C1072" t="s">
        <v>33</v>
      </c>
      <c r="D1072" t="s">
        <v>34</v>
      </c>
      <c r="E1072">
        <v>1.53</v>
      </c>
      <c r="F1072">
        <v>4.53</v>
      </c>
      <c r="G1072" s="8">
        <f t="shared" si="16"/>
        <v>20.264900662251655</v>
      </c>
    </row>
    <row r="1073" spans="1:7" x14ac:dyDescent="0.25">
      <c r="A1073" s="87">
        <v>45804.71875</v>
      </c>
      <c r="B1073">
        <v>28</v>
      </c>
      <c r="C1073" t="s">
        <v>34</v>
      </c>
      <c r="D1073" t="s">
        <v>35</v>
      </c>
      <c r="E1073">
        <v>1.51</v>
      </c>
      <c r="F1073">
        <v>4.5999999999999996</v>
      </c>
      <c r="G1073" s="8">
        <f t="shared" si="16"/>
        <v>19.695652173913043</v>
      </c>
    </row>
    <row r="1074" spans="1:7" x14ac:dyDescent="0.25">
      <c r="A1074" s="87">
        <v>45804.71875</v>
      </c>
      <c r="B1074">
        <v>29</v>
      </c>
      <c r="C1074" t="s">
        <v>36</v>
      </c>
      <c r="D1074" t="s">
        <v>37</v>
      </c>
      <c r="E1074">
        <v>1.57</v>
      </c>
      <c r="F1074">
        <v>4.33</v>
      </c>
      <c r="G1074" s="8">
        <f t="shared" si="16"/>
        <v>21.755196304849886</v>
      </c>
    </row>
    <row r="1075" spans="1:7" x14ac:dyDescent="0.25">
      <c r="A1075" s="87">
        <v>45804.71875</v>
      </c>
      <c r="B1075">
        <v>30</v>
      </c>
      <c r="C1075" t="s">
        <v>37</v>
      </c>
      <c r="D1075" t="s">
        <v>38</v>
      </c>
      <c r="E1075">
        <v>1.57</v>
      </c>
      <c r="F1075">
        <v>4.33</v>
      </c>
      <c r="G1075" s="8">
        <f t="shared" si="16"/>
        <v>21.755196304849886</v>
      </c>
    </row>
    <row r="1076" spans="1:7" x14ac:dyDescent="0.25">
      <c r="A1076" s="87">
        <v>45804.71875</v>
      </c>
      <c r="B1076">
        <v>31</v>
      </c>
      <c r="C1076" t="s">
        <v>38</v>
      </c>
      <c r="D1076" t="s">
        <v>39</v>
      </c>
      <c r="E1076">
        <v>1.52</v>
      </c>
      <c r="F1076">
        <v>2.77</v>
      </c>
      <c r="G1076" s="8">
        <f t="shared" si="16"/>
        <v>32.924187725631768</v>
      </c>
    </row>
    <row r="1077" spans="1:7" x14ac:dyDescent="0.25">
      <c r="A1077" s="87">
        <v>45804.71875</v>
      </c>
      <c r="B1077">
        <v>32</v>
      </c>
      <c r="C1077" t="s">
        <v>39</v>
      </c>
      <c r="D1077" t="s">
        <v>40</v>
      </c>
      <c r="E1077">
        <v>1.5</v>
      </c>
      <c r="F1077">
        <v>2.35</v>
      </c>
      <c r="G1077" s="8">
        <f t="shared" si="16"/>
        <v>38.297872340425528</v>
      </c>
    </row>
    <row r="1078" spans="1:7" x14ac:dyDescent="0.25">
      <c r="A1078" s="87">
        <v>45804.71875</v>
      </c>
      <c r="B1078">
        <v>33</v>
      </c>
      <c r="C1078" t="s">
        <v>40</v>
      </c>
      <c r="D1078" t="s">
        <v>41</v>
      </c>
      <c r="E1078">
        <v>1.51</v>
      </c>
      <c r="F1078">
        <v>2.5</v>
      </c>
      <c r="G1078" s="8">
        <f t="shared" si="16"/>
        <v>36.239999999999995</v>
      </c>
    </row>
    <row r="1079" spans="1:7" x14ac:dyDescent="0.25">
      <c r="A1079" s="87">
        <v>45804.71875</v>
      </c>
      <c r="B1079">
        <v>34</v>
      </c>
      <c r="C1079" t="s">
        <v>41</v>
      </c>
      <c r="D1079" t="s">
        <v>42</v>
      </c>
      <c r="E1079">
        <v>1.5</v>
      </c>
      <c r="F1079">
        <v>4.58</v>
      </c>
      <c r="G1079" s="8">
        <f t="shared" si="16"/>
        <v>19.650655021834062</v>
      </c>
    </row>
    <row r="1080" spans="1:7" x14ac:dyDescent="0.25">
      <c r="A1080" s="87">
        <v>45804.71875</v>
      </c>
      <c r="B1080">
        <v>35</v>
      </c>
      <c r="C1080" t="s">
        <v>43</v>
      </c>
      <c r="D1080" t="s">
        <v>44</v>
      </c>
      <c r="E1080">
        <v>1.55</v>
      </c>
      <c r="F1080">
        <v>3.68</v>
      </c>
      <c r="G1080" s="8">
        <f t="shared" si="16"/>
        <v>25.271739130434781</v>
      </c>
    </row>
    <row r="1081" spans="1:7" x14ac:dyDescent="0.25">
      <c r="A1081" s="87">
        <v>45804.71875</v>
      </c>
      <c r="B1081">
        <v>36</v>
      </c>
      <c r="C1081" t="s">
        <v>44</v>
      </c>
      <c r="D1081" t="s">
        <v>45</v>
      </c>
      <c r="E1081">
        <v>1.5</v>
      </c>
      <c r="F1081">
        <v>3.47</v>
      </c>
      <c r="G1081" s="8">
        <f t="shared" si="16"/>
        <v>25.936599423631122</v>
      </c>
    </row>
    <row r="1082" spans="1:7" x14ac:dyDescent="0.25">
      <c r="A1082" s="87">
        <v>45804.71875</v>
      </c>
      <c r="B1082">
        <v>37</v>
      </c>
      <c r="C1082" t="s">
        <v>45</v>
      </c>
      <c r="D1082" t="s">
        <v>46</v>
      </c>
      <c r="E1082">
        <v>1.38</v>
      </c>
      <c r="F1082">
        <v>5.2</v>
      </c>
      <c r="G1082" s="8">
        <f t="shared" si="16"/>
        <v>15.923076923076922</v>
      </c>
    </row>
    <row r="1083" spans="1:7" x14ac:dyDescent="0.25">
      <c r="A1083" s="87">
        <v>45804.71875</v>
      </c>
      <c r="B1083">
        <v>38</v>
      </c>
      <c r="C1083" t="s">
        <v>46</v>
      </c>
      <c r="D1083" t="s">
        <v>47</v>
      </c>
      <c r="E1083">
        <v>1.61</v>
      </c>
      <c r="F1083">
        <v>4.28</v>
      </c>
      <c r="G1083" s="8">
        <f t="shared" si="16"/>
        <v>22.570093457943926</v>
      </c>
    </row>
    <row r="1084" spans="1:7" x14ac:dyDescent="0.25">
      <c r="A1084" s="87">
        <v>45804.71875</v>
      </c>
      <c r="B1084">
        <v>39</v>
      </c>
      <c r="C1084" t="s">
        <v>47</v>
      </c>
      <c r="D1084" t="s">
        <v>48</v>
      </c>
      <c r="E1084">
        <v>1.55</v>
      </c>
      <c r="F1084">
        <v>3.68</v>
      </c>
      <c r="G1084" s="8">
        <f t="shared" si="16"/>
        <v>25.271739130434781</v>
      </c>
    </row>
    <row r="1085" spans="1:7" x14ac:dyDescent="0.25">
      <c r="A1085" s="87">
        <v>45804.71875</v>
      </c>
      <c r="B1085">
        <v>40</v>
      </c>
      <c r="C1085" t="s">
        <v>48</v>
      </c>
      <c r="D1085" t="s">
        <v>49</v>
      </c>
      <c r="E1085">
        <v>1.39</v>
      </c>
      <c r="F1085">
        <v>3.27</v>
      </c>
      <c r="G1085" s="8">
        <f t="shared" si="16"/>
        <v>25.5045871559633</v>
      </c>
    </row>
    <row r="1086" spans="1:7" x14ac:dyDescent="0.25">
      <c r="A1086" s="87">
        <v>45804.71875</v>
      </c>
      <c r="B1086">
        <v>41</v>
      </c>
      <c r="C1086" t="s">
        <v>50</v>
      </c>
      <c r="D1086" t="s">
        <v>51</v>
      </c>
      <c r="E1086">
        <v>1.56</v>
      </c>
      <c r="F1086">
        <v>4.72</v>
      </c>
      <c r="G1086" s="8">
        <f t="shared" si="16"/>
        <v>19.830508474576273</v>
      </c>
    </row>
    <row r="1087" spans="1:7" x14ac:dyDescent="0.25">
      <c r="A1087" s="87">
        <v>45804.71875</v>
      </c>
      <c r="B1087">
        <v>42</v>
      </c>
      <c r="C1087" t="s">
        <v>51</v>
      </c>
      <c r="D1087" t="s">
        <v>52</v>
      </c>
      <c r="E1087">
        <v>1.56</v>
      </c>
      <c r="F1087">
        <v>4.3</v>
      </c>
      <c r="G1087" s="8">
        <f t="shared" si="16"/>
        <v>21.767441860465119</v>
      </c>
    </row>
    <row r="1088" spans="1:7" x14ac:dyDescent="0.25">
      <c r="A1088" s="87">
        <v>45804.71875</v>
      </c>
      <c r="B1088">
        <v>43</v>
      </c>
      <c r="C1088" t="s">
        <v>52</v>
      </c>
      <c r="D1088" t="s">
        <v>53</v>
      </c>
      <c r="E1088">
        <v>1.51</v>
      </c>
      <c r="F1088">
        <v>3.87</v>
      </c>
      <c r="G1088" s="8">
        <f t="shared" si="16"/>
        <v>23.410852713178294</v>
      </c>
    </row>
    <row r="1089" spans="1:7" x14ac:dyDescent="0.25">
      <c r="A1089" s="87">
        <v>45804.71875</v>
      </c>
      <c r="B1089">
        <v>44</v>
      </c>
      <c r="C1089" t="s">
        <v>54</v>
      </c>
      <c r="D1089" t="s">
        <v>55</v>
      </c>
      <c r="E1089">
        <v>1.51</v>
      </c>
      <c r="F1089">
        <v>4.72</v>
      </c>
      <c r="G1089" s="8">
        <f t="shared" si="16"/>
        <v>19.194915254237287</v>
      </c>
    </row>
    <row r="1090" spans="1:7" x14ac:dyDescent="0.25">
      <c r="A1090" s="87">
        <v>45804.71875</v>
      </c>
      <c r="B1090">
        <v>45</v>
      </c>
      <c r="C1090" t="s">
        <v>55</v>
      </c>
      <c r="D1090" t="s">
        <v>56</v>
      </c>
      <c r="E1090">
        <v>1.49</v>
      </c>
      <c r="F1090">
        <v>3.75</v>
      </c>
      <c r="G1090" s="8">
        <f t="shared" si="16"/>
        <v>23.84</v>
      </c>
    </row>
    <row r="1091" spans="1:7" x14ac:dyDescent="0.25">
      <c r="A1091" s="87">
        <v>45804.71875</v>
      </c>
      <c r="B1091">
        <v>46</v>
      </c>
      <c r="C1091" t="s">
        <v>56</v>
      </c>
      <c r="D1091" t="s">
        <v>57</v>
      </c>
      <c r="E1091">
        <v>1.52</v>
      </c>
      <c r="F1091">
        <v>4.03</v>
      </c>
      <c r="G1091" s="8">
        <f t="shared" ref="G1091:G1154" si="17">E1091*60/F1091</f>
        <v>22.630272952853598</v>
      </c>
    </row>
    <row r="1092" spans="1:7" x14ac:dyDescent="0.25">
      <c r="A1092" s="87">
        <v>45804.71875</v>
      </c>
      <c r="B1092">
        <v>47</v>
      </c>
      <c r="C1092" t="s">
        <v>58</v>
      </c>
      <c r="D1092" t="s">
        <v>59</v>
      </c>
      <c r="E1092">
        <v>1.52</v>
      </c>
      <c r="F1092">
        <v>4.28</v>
      </c>
      <c r="G1092" s="8">
        <f t="shared" si="17"/>
        <v>21.308411214953271</v>
      </c>
    </row>
    <row r="1093" spans="1:7" x14ac:dyDescent="0.25">
      <c r="A1093" s="87">
        <v>45804.71875</v>
      </c>
      <c r="B1093">
        <v>48</v>
      </c>
      <c r="C1093" t="s">
        <v>59</v>
      </c>
      <c r="D1093" t="s">
        <v>60</v>
      </c>
      <c r="E1093">
        <v>1.5</v>
      </c>
      <c r="F1093">
        <v>4.1500000000000004</v>
      </c>
      <c r="G1093" s="8">
        <f t="shared" si="17"/>
        <v>21.686746987951807</v>
      </c>
    </row>
    <row r="1094" spans="1:7" x14ac:dyDescent="0.25">
      <c r="A1094" s="87">
        <v>45804.71875</v>
      </c>
      <c r="B1094">
        <v>49</v>
      </c>
      <c r="C1094" t="s">
        <v>60</v>
      </c>
      <c r="D1094" t="s">
        <v>61</v>
      </c>
      <c r="E1094">
        <v>1.54</v>
      </c>
      <c r="F1094">
        <v>4.4800000000000004</v>
      </c>
      <c r="G1094" s="8">
        <f t="shared" si="17"/>
        <v>20.625</v>
      </c>
    </row>
    <row r="1095" spans="1:7" x14ac:dyDescent="0.25">
      <c r="A1095" s="87">
        <v>45804.71875</v>
      </c>
      <c r="B1095">
        <v>50</v>
      </c>
      <c r="C1095" t="s">
        <v>62</v>
      </c>
      <c r="D1095" t="s">
        <v>63</v>
      </c>
      <c r="E1095">
        <v>1.38</v>
      </c>
      <c r="F1095">
        <v>3.65</v>
      </c>
      <c r="G1095" s="8">
        <f t="shared" si="17"/>
        <v>22.684931506849313</v>
      </c>
    </row>
    <row r="1096" spans="1:7" x14ac:dyDescent="0.25">
      <c r="A1096" s="87">
        <v>45804.71875</v>
      </c>
      <c r="B1096">
        <v>51</v>
      </c>
      <c r="C1096" t="s">
        <v>63</v>
      </c>
      <c r="D1096" t="s">
        <v>64</v>
      </c>
      <c r="E1096">
        <v>2.79</v>
      </c>
      <c r="F1096">
        <v>6.42</v>
      </c>
      <c r="G1096" s="8">
        <f t="shared" si="17"/>
        <v>26.074766355140188</v>
      </c>
    </row>
    <row r="1097" spans="1:7" x14ac:dyDescent="0.25">
      <c r="A1097" s="87">
        <v>45804.71875</v>
      </c>
      <c r="B1097">
        <v>52</v>
      </c>
      <c r="C1097" t="s">
        <v>64</v>
      </c>
      <c r="D1097" t="s">
        <v>65</v>
      </c>
      <c r="E1097">
        <v>1.5</v>
      </c>
      <c r="F1097">
        <v>2.92</v>
      </c>
      <c r="G1097" s="8">
        <f t="shared" si="17"/>
        <v>30.82191780821918</v>
      </c>
    </row>
    <row r="1098" spans="1:7" x14ac:dyDescent="0.25">
      <c r="A1098" s="87">
        <v>45804.71875</v>
      </c>
      <c r="B1098">
        <v>53</v>
      </c>
      <c r="C1098" t="s">
        <v>65</v>
      </c>
      <c r="D1098" t="s">
        <v>66</v>
      </c>
      <c r="E1098">
        <v>1.46</v>
      </c>
      <c r="F1098">
        <v>3.75</v>
      </c>
      <c r="G1098" s="8">
        <f t="shared" si="17"/>
        <v>23.36</v>
      </c>
    </row>
    <row r="1099" spans="1:7" x14ac:dyDescent="0.25">
      <c r="A1099" s="87">
        <v>45804.71875</v>
      </c>
      <c r="B1099">
        <v>54</v>
      </c>
      <c r="C1099" t="s">
        <v>67</v>
      </c>
      <c r="D1099" t="s">
        <v>68</v>
      </c>
      <c r="E1099">
        <v>1.46</v>
      </c>
      <c r="F1099">
        <v>3.1</v>
      </c>
      <c r="G1099" s="8">
        <f t="shared" si="17"/>
        <v>28.258064516129028</v>
      </c>
    </row>
    <row r="1100" spans="1:7" x14ac:dyDescent="0.25">
      <c r="A1100" s="87">
        <v>45804.71875</v>
      </c>
      <c r="B1100">
        <v>55</v>
      </c>
      <c r="C1100" t="s">
        <v>68</v>
      </c>
      <c r="D1100" t="s">
        <v>69</v>
      </c>
      <c r="E1100">
        <v>1.5</v>
      </c>
      <c r="F1100">
        <v>2.2799999999999998</v>
      </c>
      <c r="G1100" s="8">
        <f t="shared" si="17"/>
        <v>39.473684210526322</v>
      </c>
    </row>
    <row r="1101" spans="1:7" x14ac:dyDescent="0.25">
      <c r="A1101" s="87">
        <v>45804.71875</v>
      </c>
      <c r="B1101">
        <v>56</v>
      </c>
      <c r="C1101" t="s">
        <v>70</v>
      </c>
      <c r="D1101" t="s">
        <v>71</v>
      </c>
      <c r="E1101">
        <v>1.51</v>
      </c>
      <c r="F1101">
        <v>5.0199999999999996</v>
      </c>
      <c r="G1101" s="8">
        <f t="shared" si="17"/>
        <v>18.047808764940239</v>
      </c>
    </row>
    <row r="1102" spans="1:7" x14ac:dyDescent="0.25">
      <c r="A1102" s="87">
        <v>45804.71875</v>
      </c>
      <c r="B1102">
        <v>57</v>
      </c>
      <c r="C1102" t="s">
        <v>71</v>
      </c>
      <c r="D1102" t="s">
        <v>72</v>
      </c>
      <c r="E1102">
        <v>1.52</v>
      </c>
      <c r="F1102">
        <v>4.2</v>
      </c>
      <c r="G1102" s="8">
        <f t="shared" si="17"/>
        <v>21.714285714285715</v>
      </c>
    </row>
    <row r="1103" spans="1:7" x14ac:dyDescent="0.25">
      <c r="A1103" s="87">
        <v>45804.71875</v>
      </c>
      <c r="B1103">
        <v>58</v>
      </c>
      <c r="C1103" t="s">
        <v>72</v>
      </c>
      <c r="D1103" t="s">
        <v>73</v>
      </c>
      <c r="E1103">
        <v>1.5</v>
      </c>
      <c r="F1103">
        <v>4.32</v>
      </c>
      <c r="G1103" s="8">
        <f t="shared" si="17"/>
        <v>20.833333333333332</v>
      </c>
    </row>
    <row r="1104" spans="1:7" x14ac:dyDescent="0.25">
      <c r="A1104" s="87">
        <v>45804.729166666664</v>
      </c>
      <c r="B1104">
        <v>1</v>
      </c>
      <c r="C1104" t="s">
        <v>6</v>
      </c>
      <c r="D1104" t="s">
        <v>7</v>
      </c>
      <c r="E1104">
        <v>1.53</v>
      </c>
      <c r="F1104">
        <v>3.35</v>
      </c>
      <c r="G1104" s="8">
        <f t="shared" si="17"/>
        <v>27.402985074626866</v>
      </c>
    </row>
    <row r="1105" spans="1:7" x14ac:dyDescent="0.25">
      <c r="A1105" s="87">
        <v>45804.729166666664</v>
      </c>
      <c r="B1105">
        <v>2</v>
      </c>
      <c r="C1105" t="s">
        <v>7</v>
      </c>
      <c r="D1105" t="s">
        <v>8</v>
      </c>
      <c r="E1105">
        <v>1.57</v>
      </c>
      <c r="F1105">
        <v>5.13</v>
      </c>
      <c r="G1105" s="8">
        <f t="shared" si="17"/>
        <v>18.362573099415204</v>
      </c>
    </row>
    <row r="1106" spans="1:7" x14ac:dyDescent="0.25">
      <c r="A1106" s="87">
        <v>45804.729166666664</v>
      </c>
      <c r="B1106">
        <v>3</v>
      </c>
      <c r="C1106" t="s">
        <v>8</v>
      </c>
      <c r="D1106" t="s">
        <v>9</v>
      </c>
      <c r="E1106">
        <v>1.5</v>
      </c>
      <c r="F1106">
        <v>3.47</v>
      </c>
      <c r="G1106" s="8">
        <f t="shared" si="17"/>
        <v>25.936599423631122</v>
      </c>
    </row>
    <row r="1107" spans="1:7" x14ac:dyDescent="0.25">
      <c r="A1107" s="87">
        <v>45804.729166666664</v>
      </c>
      <c r="B1107">
        <v>4</v>
      </c>
      <c r="C1107" t="s">
        <v>9</v>
      </c>
      <c r="D1107" t="s">
        <v>10</v>
      </c>
      <c r="E1107">
        <v>1.5</v>
      </c>
      <c r="F1107">
        <v>2.85</v>
      </c>
      <c r="G1107" s="8">
        <f t="shared" si="17"/>
        <v>31.578947368421051</v>
      </c>
    </row>
    <row r="1108" spans="1:7" x14ac:dyDescent="0.25">
      <c r="A1108" s="87">
        <v>45804.729166666664</v>
      </c>
      <c r="B1108">
        <v>5</v>
      </c>
      <c r="C1108" t="s">
        <v>10</v>
      </c>
      <c r="D1108" t="s">
        <v>11</v>
      </c>
      <c r="E1108">
        <v>1.52</v>
      </c>
      <c r="F1108">
        <v>4.0199999999999996</v>
      </c>
      <c r="G1108" s="8">
        <f t="shared" si="17"/>
        <v>22.686567164179106</v>
      </c>
    </row>
    <row r="1109" spans="1:7" x14ac:dyDescent="0.25">
      <c r="A1109" s="87">
        <v>45804.729166666664</v>
      </c>
      <c r="B1109">
        <v>6</v>
      </c>
      <c r="C1109" t="s">
        <v>11</v>
      </c>
      <c r="D1109" t="s">
        <v>12</v>
      </c>
      <c r="E1109">
        <v>1.5</v>
      </c>
      <c r="F1109">
        <v>2.82</v>
      </c>
      <c r="G1109" s="8">
        <f t="shared" si="17"/>
        <v>31.914893617021278</v>
      </c>
    </row>
    <row r="1110" spans="1:7" x14ac:dyDescent="0.25">
      <c r="A1110" s="87">
        <v>45804.729166666664</v>
      </c>
      <c r="B1110">
        <v>7</v>
      </c>
      <c r="C1110" t="s">
        <v>12</v>
      </c>
      <c r="D1110" t="s">
        <v>13</v>
      </c>
      <c r="E1110">
        <v>1.54</v>
      </c>
      <c r="F1110">
        <v>2.6</v>
      </c>
      <c r="G1110" s="8">
        <f t="shared" si="17"/>
        <v>35.53846153846154</v>
      </c>
    </row>
    <row r="1111" spans="1:7" x14ac:dyDescent="0.25">
      <c r="A1111" s="87">
        <v>45804.729166666664</v>
      </c>
      <c r="B1111">
        <v>8</v>
      </c>
      <c r="C1111" t="s">
        <v>13</v>
      </c>
      <c r="D1111" t="s">
        <v>14</v>
      </c>
      <c r="E1111">
        <v>1.54</v>
      </c>
      <c r="F1111">
        <v>3.03</v>
      </c>
      <c r="G1111" s="8">
        <f t="shared" si="17"/>
        <v>30.495049504950497</v>
      </c>
    </row>
    <row r="1112" spans="1:7" x14ac:dyDescent="0.25">
      <c r="A1112" s="87">
        <v>45804.729166666664</v>
      </c>
      <c r="B1112">
        <v>9</v>
      </c>
      <c r="C1112" t="s">
        <v>14</v>
      </c>
      <c r="D1112" t="s">
        <v>15</v>
      </c>
      <c r="E1112">
        <v>1.52</v>
      </c>
      <c r="F1112">
        <v>3.53</v>
      </c>
      <c r="G1112" s="8">
        <f t="shared" si="17"/>
        <v>25.835694050991503</v>
      </c>
    </row>
    <row r="1113" spans="1:7" x14ac:dyDescent="0.25">
      <c r="A1113" s="87">
        <v>45804.729166666664</v>
      </c>
      <c r="B1113">
        <v>10</v>
      </c>
      <c r="C1113" t="s">
        <v>15</v>
      </c>
      <c r="D1113" t="s">
        <v>16</v>
      </c>
      <c r="E1113">
        <v>1.5</v>
      </c>
      <c r="F1113">
        <v>4.67</v>
      </c>
      <c r="G1113" s="8">
        <f t="shared" si="17"/>
        <v>19.271948608137045</v>
      </c>
    </row>
    <row r="1114" spans="1:7" x14ac:dyDescent="0.25">
      <c r="A1114" s="87">
        <v>45804.729166666664</v>
      </c>
      <c r="B1114">
        <v>11</v>
      </c>
      <c r="C1114" t="s">
        <v>16</v>
      </c>
      <c r="D1114" t="s">
        <v>17</v>
      </c>
      <c r="E1114">
        <v>1.48</v>
      </c>
      <c r="F1114">
        <v>3.38</v>
      </c>
      <c r="G1114" s="8">
        <f t="shared" si="17"/>
        <v>26.272189349112427</v>
      </c>
    </row>
    <row r="1115" spans="1:7" x14ac:dyDescent="0.25">
      <c r="A1115" s="87">
        <v>45804.729166666664</v>
      </c>
      <c r="B1115">
        <v>12</v>
      </c>
      <c r="C1115" t="s">
        <v>17</v>
      </c>
      <c r="D1115" t="s">
        <v>18</v>
      </c>
      <c r="E1115">
        <v>1.46</v>
      </c>
      <c r="F1115">
        <v>4.42</v>
      </c>
      <c r="G1115" s="8">
        <f t="shared" si="17"/>
        <v>19.819004524886878</v>
      </c>
    </row>
    <row r="1116" spans="1:7" x14ac:dyDescent="0.25">
      <c r="A1116" s="87">
        <v>45804.729166666664</v>
      </c>
      <c r="B1116">
        <v>13</v>
      </c>
      <c r="C1116" t="s">
        <v>18</v>
      </c>
      <c r="D1116" t="s">
        <v>19</v>
      </c>
      <c r="E1116">
        <v>1.52</v>
      </c>
      <c r="F1116">
        <v>4.37</v>
      </c>
      <c r="G1116" s="8">
        <f t="shared" si="17"/>
        <v>20.869565217391305</v>
      </c>
    </row>
    <row r="1117" spans="1:7" x14ac:dyDescent="0.25">
      <c r="A1117" s="87">
        <v>45804.729166666664</v>
      </c>
      <c r="B1117">
        <v>14</v>
      </c>
      <c r="C1117" t="s">
        <v>19</v>
      </c>
      <c r="D1117" t="s">
        <v>20</v>
      </c>
      <c r="E1117">
        <v>1.51</v>
      </c>
      <c r="F1117">
        <v>3.83</v>
      </c>
      <c r="G1117" s="8">
        <f t="shared" si="17"/>
        <v>23.655352480417754</v>
      </c>
    </row>
    <row r="1118" spans="1:7" x14ac:dyDescent="0.25">
      <c r="A1118" s="87">
        <v>45804.729166666664</v>
      </c>
      <c r="B1118">
        <v>15</v>
      </c>
      <c r="C1118" t="s">
        <v>20</v>
      </c>
      <c r="D1118" t="s">
        <v>21</v>
      </c>
      <c r="E1118">
        <v>1.47</v>
      </c>
      <c r="F1118">
        <v>3</v>
      </c>
      <c r="G1118" s="8">
        <f t="shared" si="17"/>
        <v>29.400000000000002</v>
      </c>
    </row>
    <row r="1119" spans="1:7" x14ac:dyDescent="0.25">
      <c r="A1119" s="87">
        <v>45804.729166666664</v>
      </c>
      <c r="B1119">
        <v>16</v>
      </c>
      <c r="C1119" t="s">
        <v>21</v>
      </c>
      <c r="D1119" t="s">
        <v>22</v>
      </c>
      <c r="E1119">
        <v>1.5</v>
      </c>
      <c r="F1119">
        <v>1.77</v>
      </c>
      <c r="G1119" s="8">
        <f t="shared" si="17"/>
        <v>50.847457627118644</v>
      </c>
    </row>
    <row r="1120" spans="1:7" x14ac:dyDescent="0.25">
      <c r="A1120" s="87">
        <v>45804.729166666664</v>
      </c>
      <c r="B1120">
        <v>17</v>
      </c>
      <c r="C1120" t="s">
        <v>22</v>
      </c>
      <c r="D1120" t="s">
        <v>23</v>
      </c>
      <c r="E1120">
        <v>1.51</v>
      </c>
      <c r="F1120">
        <v>3.1</v>
      </c>
      <c r="G1120" s="8">
        <f t="shared" si="17"/>
        <v>29.2258064516129</v>
      </c>
    </row>
    <row r="1121" spans="1:7" x14ac:dyDescent="0.25">
      <c r="A1121" s="87">
        <v>45804.729166666664</v>
      </c>
      <c r="B1121">
        <v>18</v>
      </c>
      <c r="C1121" t="s">
        <v>23</v>
      </c>
      <c r="D1121" t="s">
        <v>24</v>
      </c>
      <c r="E1121">
        <v>1.51</v>
      </c>
      <c r="F1121">
        <v>3.47</v>
      </c>
      <c r="G1121" s="8">
        <f t="shared" si="17"/>
        <v>26.109510086455327</v>
      </c>
    </row>
    <row r="1122" spans="1:7" x14ac:dyDescent="0.25">
      <c r="A1122" s="87">
        <v>45804.729166666664</v>
      </c>
      <c r="B1122">
        <v>19</v>
      </c>
      <c r="C1122" t="s">
        <v>25</v>
      </c>
      <c r="D1122" t="s">
        <v>26</v>
      </c>
      <c r="E1122">
        <v>1.5</v>
      </c>
      <c r="F1122">
        <v>3.87</v>
      </c>
      <c r="G1122" s="8">
        <f t="shared" si="17"/>
        <v>23.255813953488371</v>
      </c>
    </row>
    <row r="1123" spans="1:7" x14ac:dyDescent="0.25">
      <c r="A1123" s="87">
        <v>45804.729166666664</v>
      </c>
      <c r="B1123">
        <v>20</v>
      </c>
      <c r="C1123" t="s">
        <v>26</v>
      </c>
      <c r="D1123" t="s">
        <v>27</v>
      </c>
      <c r="E1123">
        <v>1.48</v>
      </c>
      <c r="F1123">
        <v>3.68</v>
      </c>
      <c r="G1123" s="8">
        <f t="shared" si="17"/>
        <v>24.130434782608695</v>
      </c>
    </row>
    <row r="1124" spans="1:7" x14ac:dyDescent="0.25">
      <c r="A1124" s="87">
        <v>45804.729166666664</v>
      </c>
      <c r="B1124">
        <v>21</v>
      </c>
      <c r="C1124" t="s">
        <v>27</v>
      </c>
      <c r="D1124" t="s">
        <v>28</v>
      </c>
      <c r="E1124">
        <v>1.51</v>
      </c>
      <c r="F1124">
        <v>3.48</v>
      </c>
      <c r="G1124" s="8">
        <f t="shared" si="17"/>
        <v>26.034482758620687</v>
      </c>
    </row>
    <row r="1125" spans="1:7" x14ac:dyDescent="0.25">
      <c r="A1125" s="87">
        <v>45804.729166666664</v>
      </c>
      <c r="B1125">
        <v>22</v>
      </c>
      <c r="C1125" t="s">
        <v>28</v>
      </c>
      <c r="D1125" t="s">
        <v>29</v>
      </c>
      <c r="E1125">
        <v>1.57</v>
      </c>
      <c r="F1125">
        <v>3.42</v>
      </c>
      <c r="G1125" s="8">
        <f t="shared" si="17"/>
        <v>27.543859649122808</v>
      </c>
    </row>
    <row r="1126" spans="1:7" x14ac:dyDescent="0.25">
      <c r="A1126" s="87">
        <v>45804.729166666664</v>
      </c>
      <c r="B1126">
        <v>23</v>
      </c>
      <c r="C1126" t="s">
        <v>29</v>
      </c>
      <c r="D1126" t="s">
        <v>30</v>
      </c>
      <c r="E1126">
        <v>1.43</v>
      </c>
      <c r="F1126">
        <v>4.9800000000000004</v>
      </c>
      <c r="G1126" s="8">
        <f t="shared" si="17"/>
        <v>17.2289156626506</v>
      </c>
    </row>
    <row r="1127" spans="1:7" x14ac:dyDescent="0.25">
      <c r="A1127" s="87">
        <v>45804.729166666664</v>
      </c>
      <c r="B1127">
        <v>24</v>
      </c>
      <c r="C1127" t="s">
        <v>30</v>
      </c>
      <c r="D1127" t="s">
        <v>31</v>
      </c>
      <c r="E1127">
        <v>1.52</v>
      </c>
      <c r="F1127">
        <v>4.33</v>
      </c>
      <c r="G1127" s="8">
        <f t="shared" si="17"/>
        <v>21.062355658198616</v>
      </c>
    </row>
    <row r="1128" spans="1:7" x14ac:dyDescent="0.25">
      <c r="A1128" s="87">
        <v>45804.729166666664</v>
      </c>
      <c r="B1128">
        <v>25</v>
      </c>
      <c r="C1128" t="s">
        <v>31</v>
      </c>
      <c r="D1128" t="s">
        <v>32</v>
      </c>
      <c r="E1128">
        <v>1.52</v>
      </c>
      <c r="F1128">
        <v>3.48</v>
      </c>
      <c r="G1128" s="8">
        <f t="shared" si="17"/>
        <v>26.206896551724139</v>
      </c>
    </row>
    <row r="1129" spans="1:7" x14ac:dyDescent="0.25">
      <c r="A1129" s="87">
        <v>45804.729166666664</v>
      </c>
      <c r="B1129">
        <v>26</v>
      </c>
      <c r="C1129" t="s">
        <v>32</v>
      </c>
      <c r="D1129" t="s">
        <v>33</v>
      </c>
      <c r="E1129">
        <v>1.49</v>
      </c>
      <c r="F1129">
        <v>5.5</v>
      </c>
      <c r="G1129" s="8">
        <f t="shared" si="17"/>
        <v>16.254545454545454</v>
      </c>
    </row>
    <row r="1130" spans="1:7" x14ac:dyDescent="0.25">
      <c r="A1130" s="87">
        <v>45804.729166666664</v>
      </c>
      <c r="B1130">
        <v>27</v>
      </c>
      <c r="C1130" t="s">
        <v>33</v>
      </c>
      <c r="D1130" t="s">
        <v>34</v>
      </c>
      <c r="E1130">
        <v>1.53</v>
      </c>
      <c r="F1130">
        <v>4.63</v>
      </c>
      <c r="G1130" s="8">
        <f t="shared" si="17"/>
        <v>19.827213822894169</v>
      </c>
    </row>
    <row r="1131" spans="1:7" x14ac:dyDescent="0.25">
      <c r="A1131" s="87">
        <v>45804.729166666664</v>
      </c>
      <c r="B1131">
        <v>28</v>
      </c>
      <c r="C1131" t="s">
        <v>34</v>
      </c>
      <c r="D1131" t="s">
        <v>35</v>
      </c>
      <c r="E1131">
        <v>1.51</v>
      </c>
      <c r="F1131">
        <v>4.57</v>
      </c>
      <c r="G1131" s="8">
        <f t="shared" si="17"/>
        <v>19.824945295404813</v>
      </c>
    </row>
    <row r="1132" spans="1:7" x14ac:dyDescent="0.25">
      <c r="A1132" s="87">
        <v>45804.729166666664</v>
      </c>
      <c r="B1132">
        <v>29</v>
      </c>
      <c r="C1132" t="s">
        <v>36</v>
      </c>
      <c r="D1132" t="s">
        <v>37</v>
      </c>
      <c r="E1132">
        <v>1.57</v>
      </c>
      <c r="F1132">
        <v>4.2</v>
      </c>
      <c r="G1132" s="8">
        <f t="shared" si="17"/>
        <v>22.428571428571427</v>
      </c>
    </row>
    <row r="1133" spans="1:7" x14ac:dyDescent="0.25">
      <c r="A1133" s="87">
        <v>45804.729166666664</v>
      </c>
      <c r="B1133">
        <v>30</v>
      </c>
      <c r="C1133" t="s">
        <v>37</v>
      </c>
      <c r="D1133" t="s">
        <v>38</v>
      </c>
      <c r="E1133">
        <v>1.57</v>
      </c>
      <c r="F1133">
        <v>3.93</v>
      </c>
      <c r="G1133" s="8">
        <f t="shared" si="17"/>
        <v>23.96946564885496</v>
      </c>
    </row>
    <row r="1134" spans="1:7" x14ac:dyDescent="0.25">
      <c r="A1134" s="87">
        <v>45804.729166666664</v>
      </c>
      <c r="B1134">
        <v>31</v>
      </c>
      <c r="C1134" t="s">
        <v>38</v>
      </c>
      <c r="D1134" t="s">
        <v>39</v>
      </c>
      <c r="E1134">
        <v>1.52</v>
      </c>
      <c r="F1134">
        <v>2.95</v>
      </c>
      <c r="G1134" s="8">
        <f t="shared" si="17"/>
        <v>30.915254237288135</v>
      </c>
    </row>
    <row r="1135" spans="1:7" x14ac:dyDescent="0.25">
      <c r="A1135" s="87">
        <v>45804.729166666664</v>
      </c>
      <c r="B1135">
        <v>32</v>
      </c>
      <c r="C1135" t="s">
        <v>39</v>
      </c>
      <c r="D1135" t="s">
        <v>40</v>
      </c>
      <c r="E1135">
        <v>1.5</v>
      </c>
      <c r="F1135">
        <v>1.9</v>
      </c>
      <c r="G1135" s="8">
        <f t="shared" si="17"/>
        <v>47.368421052631582</v>
      </c>
    </row>
    <row r="1136" spans="1:7" x14ac:dyDescent="0.25">
      <c r="A1136" s="87">
        <v>45804.729166666664</v>
      </c>
      <c r="B1136">
        <v>33</v>
      </c>
      <c r="C1136" t="s">
        <v>40</v>
      </c>
      <c r="D1136" t="s">
        <v>41</v>
      </c>
      <c r="E1136">
        <v>1.51</v>
      </c>
      <c r="F1136">
        <v>2.27</v>
      </c>
      <c r="G1136" s="8">
        <f t="shared" si="17"/>
        <v>39.91189427312775</v>
      </c>
    </row>
    <row r="1137" spans="1:7" x14ac:dyDescent="0.25">
      <c r="A1137" s="87">
        <v>45804.729166666664</v>
      </c>
      <c r="B1137">
        <v>34</v>
      </c>
      <c r="C1137" t="s">
        <v>41</v>
      </c>
      <c r="D1137" t="s">
        <v>42</v>
      </c>
      <c r="E1137">
        <v>1.5</v>
      </c>
      <c r="F1137">
        <v>2.5</v>
      </c>
      <c r="G1137" s="8">
        <f t="shared" si="17"/>
        <v>36</v>
      </c>
    </row>
    <row r="1138" spans="1:7" x14ac:dyDescent="0.25">
      <c r="A1138" s="87">
        <v>45804.729166666664</v>
      </c>
      <c r="B1138">
        <v>35</v>
      </c>
      <c r="C1138" t="s">
        <v>43</v>
      </c>
      <c r="D1138" t="s">
        <v>44</v>
      </c>
      <c r="E1138">
        <v>1.55</v>
      </c>
      <c r="F1138">
        <v>3.9</v>
      </c>
      <c r="G1138" s="8">
        <f t="shared" si="17"/>
        <v>23.846153846153847</v>
      </c>
    </row>
    <row r="1139" spans="1:7" x14ac:dyDescent="0.25">
      <c r="A1139" s="87">
        <v>45804.729166666664</v>
      </c>
      <c r="B1139">
        <v>36</v>
      </c>
      <c r="C1139" t="s">
        <v>44</v>
      </c>
      <c r="D1139" t="s">
        <v>45</v>
      </c>
      <c r="E1139">
        <v>1.5</v>
      </c>
      <c r="F1139">
        <v>3.62</v>
      </c>
      <c r="G1139" s="8">
        <f t="shared" si="17"/>
        <v>24.861878453038674</v>
      </c>
    </row>
    <row r="1140" spans="1:7" x14ac:dyDescent="0.25">
      <c r="A1140" s="87">
        <v>45804.729166666664</v>
      </c>
      <c r="B1140">
        <v>37</v>
      </c>
      <c r="C1140" t="s">
        <v>45</v>
      </c>
      <c r="D1140" t="s">
        <v>46</v>
      </c>
      <c r="E1140">
        <v>1.38</v>
      </c>
      <c r="F1140">
        <v>4.78</v>
      </c>
      <c r="G1140" s="8">
        <f t="shared" si="17"/>
        <v>17.322175732217573</v>
      </c>
    </row>
    <row r="1141" spans="1:7" x14ac:dyDescent="0.25">
      <c r="A1141" s="87">
        <v>45804.729166666664</v>
      </c>
      <c r="B1141">
        <v>38</v>
      </c>
      <c r="C1141" t="s">
        <v>46</v>
      </c>
      <c r="D1141" t="s">
        <v>47</v>
      </c>
      <c r="E1141">
        <v>1.61</v>
      </c>
      <c r="F1141">
        <v>4.5199999999999996</v>
      </c>
      <c r="G1141" s="8">
        <f t="shared" si="17"/>
        <v>21.371681415929206</v>
      </c>
    </row>
    <row r="1142" spans="1:7" x14ac:dyDescent="0.25">
      <c r="A1142" s="87">
        <v>45804.729166666664</v>
      </c>
      <c r="B1142">
        <v>39</v>
      </c>
      <c r="C1142" t="s">
        <v>47</v>
      </c>
      <c r="D1142" t="s">
        <v>48</v>
      </c>
      <c r="E1142">
        <v>1.55</v>
      </c>
      <c r="F1142">
        <v>3.78</v>
      </c>
      <c r="G1142" s="8">
        <f t="shared" si="17"/>
        <v>24.603174603174605</v>
      </c>
    </row>
    <row r="1143" spans="1:7" x14ac:dyDescent="0.25">
      <c r="A1143" s="87">
        <v>45804.729166666664</v>
      </c>
      <c r="B1143">
        <v>40</v>
      </c>
      <c r="C1143" t="s">
        <v>48</v>
      </c>
      <c r="D1143" t="s">
        <v>49</v>
      </c>
      <c r="E1143">
        <v>1.39</v>
      </c>
      <c r="F1143">
        <v>3.18</v>
      </c>
      <c r="G1143" s="8">
        <f t="shared" si="17"/>
        <v>26.226415094339618</v>
      </c>
    </row>
    <row r="1144" spans="1:7" x14ac:dyDescent="0.25">
      <c r="A1144" s="87">
        <v>45804.729166666664</v>
      </c>
      <c r="B1144">
        <v>41</v>
      </c>
      <c r="C1144" t="s">
        <v>50</v>
      </c>
      <c r="D1144" t="s">
        <v>51</v>
      </c>
      <c r="E1144">
        <v>1.56</v>
      </c>
      <c r="F1144">
        <v>4.45</v>
      </c>
      <c r="G1144" s="8">
        <f t="shared" si="17"/>
        <v>21.033707865168541</v>
      </c>
    </row>
    <row r="1145" spans="1:7" x14ac:dyDescent="0.25">
      <c r="A1145" s="87">
        <v>45804.729166666664</v>
      </c>
      <c r="B1145">
        <v>42</v>
      </c>
      <c r="C1145" t="s">
        <v>51</v>
      </c>
      <c r="D1145" t="s">
        <v>52</v>
      </c>
      <c r="E1145">
        <v>1.56</v>
      </c>
      <c r="F1145">
        <v>4.7</v>
      </c>
      <c r="G1145" s="8">
        <f t="shared" si="17"/>
        <v>19.914893617021278</v>
      </c>
    </row>
    <row r="1146" spans="1:7" x14ac:dyDescent="0.25">
      <c r="A1146" s="87">
        <v>45804.729166666664</v>
      </c>
      <c r="B1146">
        <v>43</v>
      </c>
      <c r="C1146" t="s">
        <v>52</v>
      </c>
      <c r="D1146" t="s">
        <v>53</v>
      </c>
      <c r="E1146">
        <v>1.51</v>
      </c>
      <c r="F1146">
        <v>4.18</v>
      </c>
      <c r="G1146" s="8">
        <f t="shared" si="17"/>
        <v>21.67464114832536</v>
      </c>
    </row>
    <row r="1147" spans="1:7" x14ac:dyDescent="0.25">
      <c r="A1147" s="87">
        <v>45804.729166666664</v>
      </c>
      <c r="B1147">
        <v>44</v>
      </c>
      <c r="C1147" t="s">
        <v>54</v>
      </c>
      <c r="D1147" t="s">
        <v>55</v>
      </c>
      <c r="E1147">
        <v>1.51</v>
      </c>
      <c r="F1147">
        <v>4.42</v>
      </c>
      <c r="G1147" s="8">
        <f t="shared" si="17"/>
        <v>20.497737556561084</v>
      </c>
    </row>
    <row r="1148" spans="1:7" x14ac:dyDescent="0.25">
      <c r="A1148" s="87">
        <v>45804.729166666664</v>
      </c>
      <c r="B1148">
        <v>45</v>
      </c>
      <c r="C1148" t="s">
        <v>55</v>
      </c>
      <c r="D1148" t="s">
        <v>56</v>
      </c>
      <c r="E1148">
        <v>1.49</v>
      </c>
      <c r="F1148">
        <v>4.57</v>
      </c>
      <c r="G1148" s="8">
        <f t="shared" si="17"/>
        <v>19.562363238512035</v>
      </c>
    </row>
    <row r="1149" spans="1:7" x14ac:dyDescent="0.25">
      <c r="A1149" s="87">
        <v>45804.729166666664</v>
      </c>
      <c r="B1149">
        <v>46</v>
      </c>
      <c r="C1149" t="s">
        <v>56</v>
      </c>
      <c r="D1149" t="s">
        <v>57</v>
      </c>
      <c r="E1149">
        <v>1.52</v>
      </c>
      <c r="F1149">
        <v>3.98</v>
      </c>
      <c r="G1149" s="8">
        <f t="shared" si="17"/>
        <v>22.91457286432161</v>
      </c>
    </row>
    <row r="1150" spans="1:7" x14ac:dyDescent="0.25">
      <c r="A1150" s="87">
        <v>45804.729166666664</v>
      </c>
      <c r="B1150">
        <v>47</v>
      </c>
      <c r="C1150" t="s">
        <v>58</v>
      </c>
      <c r="D1150" t="s">
        <v>59</v>
      </c>
      <c r="E1150">
        <v>1.52</v>
      </c>
      <c r="F1150">
        <v>5.47</v>
      </c>
      <c r="G1150" s="8">
        <f t="shared" si="17"/>
        <v>16.672760511882998</v>
      </c>
    </row>
    <row r="1151" spans="1:7" x14ac:dyDescent="0.25">
      <c r="A1151" s="87">
        <v>45804.729166666664</v>
      </c>
      <c r="B1151">
        <v>48</v>
      </c>
      <c r="C1151" t="s">
        <v>59</v>
      </c>
      <c r="D1151" t="s">
        <v>60</v>
      </c>
      <c r="E1151">
        <v>1.5</v>
      </c>
      <c r="F1151">
        <v>4.7</v>
      </c>
      <c r="G1151" s="8">
        <f t="shared" si="17"/>
        <v>19.148936170212764</v>
      </c>
    </row>
    <row r="1152" spans="1:7" x14ac:dyDescent="0.25">
      <c r="A1152" s="87">
        <v>45804.729166666664</v>
      </c>
      <c r="B1152">
        <v>49</v>
      </c>
      <c r="C1152" t="s">
        <v>60</v>
      </c>
      <c r="D1152" t="s">
        <v>61</v>
      </c>
      <c r="E1152">
        <v>1.54</v>
      </c>
      <c r="F1152">
        <v>4.38</v>
      </c>
      <c r="G1152" s="8">
        <f t="shared" si="17"/>
        <v>21.095890410958905</v>
      </c>
    </row>
    <row r="1153" spans="1:7" x14ac:dyDescent="0.25">
      <c r="A1153" s="87">
        <v>45804.729166666664</v>
      </c>
      <c r="B1153">
        <v>50</v>
      </c>
      <c r="C1153" t="s">
        <v>62</v>
      </c>
      <c r="D1153" t="s">
        <v>63</v>
      </c>
      <c r="E1153">
        <v>1.38</v>
      </c>
      <c r="F1153">
        <v>3.52</v>
      </c>
      <c r="G1153" s="8">
        <f t="shared" si="17"/>
        <v>23.522727272727273</v>
      </c>
    </row>
    <row r="1154" spans="1:7" x14ac:dyDescent="0.25">
      <c r="A1154" s="87">
        <v>45804.729166666664</v>
      </c>
      <c r="B1154">
        <v>51</v>
      </c>
      <c r="C1154" t="s">
        <v>63</v>
      </c>
      <c r="D1154" t="s">
        <v>64</v>
      </c>
      <c r="E1154">
        <v>2.79</v>
      </c>
      <c r="F1154">
        <v>5.75</v>
      </c>
      <c r="G1154" s="8">
        <f t="shared" si="17"/>
        <v>29.11304347826087</v>
      </c>
    </row>
    <row r="1155" spans="1:7" x14ac:dyDescent="0.25">
      <c r="A1155" s="87">
        <v>45804.729166666664</v>
      </c>
      <c r="B1155">
        <v>52</v>
      </c>
      <c r="C1155" t="s">
        <v>64</v>
      </c>
      <c r="D1155" t="s">
        <v>65</v>
      </c>
      <c r="E1155">
        <v>1.5</v>
      </c>
      <c r="F1155">
        <v>2.97</v>
      </c>
      <c r="G1155" s="8">
        <f t="shared" ref="G1155:G1218" si="18">E1155*60/F1155</f>
        <v>30.303030303030301</v>
      </c>
    </row>
    <row r="1156" spans="1:7" x14ac:dyDescent="0.25">
      <c r="A1156" s="87">
        <v>45804.729166666664</v>
      </c>
      <c r="B1156">
        <v>53</v>
      </c>
      <c r="C1156" t="s">
        <v>65</v>
      </c>
      <c r="D1156" t="s">
        <v>66</v>
      </c>
      <c r="E1156">
        <v>1.46</v>
      </c>
      <c r="F1156">
        <v>3.75</v>
      </c>
      <c r="G1156" s="8">
        <f t="shared" si="18"/>
        <v>23.36</v>
      </c>
    </row>
    <row r="1157" spans="1:7" x14ac:dyDescent="0.25">
      <c r="A1157" s="87">
        <v>45804.729166666664</v>
      </c>
      <c r="B1157">
        <v>54</v>
      </c>
      <c r="C1157" t="s">
        <v>67</v>
      </c>
      <c r="D1157" t="s">
        <v>68</v>
      </c>
      <c r="E1157">
        <v>1.46</v>
      </c>
      <c r="F1157">
        <v>3.37</v>
      </c>
      <c r="G1157" s="8">
        <f t="shared" si="18"/>
        <v>25.994065281899108</v>
      </c>
    </row>
    <row r="1158" spans="1:7" x14ac:dyDescent="0.25">
      <c r="A1158" s="87">
        <v>45804.729166666664</v>
      </c>
      <c r="B1158">
        <v>55</v>
      </c>
      <c r="C1158" t="s">
        <v>68</v>
      </c>
      <c r="D1158" t="s">
        <v>69</v>
      </c>
      <c r="E1158">
        <v>1.5</v>
      </c>
      <c r="F1158">
        <v>2.25</v>
      </c>
      <c r="G1158" s="8">
        <f t="shared" si="18"/>
        <v>40</v>
      </c>
    </row>
    <row r="1159" spans="1:7" x14ac:dyDescent="0.25">
      <c r="A1159" s="87">
        <v>45804.729166666664</v>
      </c>
      <c r="B1159">
        <v>56</v>
      </c>
      <c r="C1159" t="s">
        <v>70</v>
      </c>
      <c r="D1159" t="s">
        <v>71</v>
      </c>
      <c r="E1159">
        <v>1.51</v>
      </c>
      <c r="F1159">
        <v>4.38</v>
      </c>
      <c r="G1159" s="8">
        <f t="shared" si="18"/>
        <v>20.684931506849313</v>
      </c>
    </row>
    <row r="1160" spans="1:7" x14ac:dyDescent="0.25">
      <c r="A1160" s="87">
        <v>45804.729166666664</v>
      </c>
      <c r="B1160">
        <v>57</v>
      </c>
      <c r="C1160" t="s">
        <v>71</v>
      </c>
      <c r="D1160" t="s">
        <v>72</v>
      </c>
      <c r="E1160">
        <v>1.52</v>
      </c>
      <c r="F1160">
        <v>4.63</v>
      </c>
      <c r="G1160" s="8">
        <f t="shared" si="18"/>
        <v>19.697624190064797</v>
      </c>
    </row>
    <row r="1161" spans="1:7" x14ac:dyDescent="0.25">
      <c r="A1161" s="87">
        <v>45804.729166666664</v>
      </c>
      <c r="B1161">
        <v>58</v>
      </c>
      <c r="C1161" t="s">
        <v>72</v>
      </c>
      <c r="D1161" t="s">
        <v>73</v>
      </c>
      <c r="E1161">
        <v>1.5</v>
      </c>
      <c r="F1161">
        <v>4.22</v>
      </c>
      <c r="G1161" s="8">
        <f t="shared" si="18"/>
        <v>21.327014218009481</v>
      </c>
    </row>
    <row r="1162" spans="1:7" x14ac:dyDescent="0.25">
      <c r="A1162" s="87">
        <v>45804.739583333336</v>
      </c>
      <c r="B1162">
        <v>1</v>
      </c>
      <c r="C1162" t="s">
        <v>6</v>
      </c>
      <c r="D1162" t="s">
        <v>7</v>
      </c>
      <c r="E1162">
        <v>1.53</v>
      </c>
      <c r="F1162">
        <v>3.55</v>
      </c>
      <c r="G1162" s="8">
        <f t="shared" si="18"/>
        <v>25.859154929577464</v>
      </c>
    </row>
    <row r="1163" spans="1:7" x14ac:dyDescent="0.25">
      <c r="A1163" s="87">
        <v>45804.739583333336</v>
      </c>
      <c r="B1163">
        <v>2</v>
      </c>
      <c r="C1163" t="s">
        <v>7</v>
      </c>
      <c r="D1163" t="s">
        <v>8</v>
      </c>
      <c r="E1163">
        <v>1.57</v>
      </c>
      <c r="F1163">
        <v>8.23</v>
      </c>
      <c r="G1163" s="8">
        <f t="shared" si="18"/>
        <v>11.445929526123937</v>
      </c>
    </row>
    <row r="1164" spans="1:7" x14ac:dyDescent="0.25">
      <c r="A1164" s="87">
        <v>45804.739583333336</v>
      </c>
      <c r="B1164">
        <v>3</v>
      </c>
      <c r="C1164" t="s">
        <v>8</v>
      </c>
      <c r="D1164" t="s">
        <v>9</v>
      </c>
      <c r="E1164">
        <v>1.5</v>
      </c>
      <c r="F1164">
        <v>3.37</v>
      </c>
      <c r="G1164" s="8">
        <f t="shared" si="18"/>
        <v>26.706231454005934</v>
      </c>
    </row>
    <row r="1165" spans="1:7" x14ac:dyDescent="0.25">
      <c r="A1165" s="87">
        <v>45804.739583333336</v>
      </c>
      <c r="B1165">
        <v>4</v>
      </c>
      <c r="C1165" t="s">
        <v>9</v>
      </c>
      <c r="D1165" t="s">
        <v>10</v>
      </c>
      <c r="E1165">
        <v>1.5</v>
      </c>
      <c r="F1165">
        <v>2.95</v>
      </c>
      <c r="G1165" s="8">
        <f t="shared" si="18"/>
        <v>30.508474576271183</v>
      </c>
    </row>
    <row r="1166" spans="1:7" x14ac:dyDescent="0.25">
      <c r="A1166" s="87">
        <v>45804.739583333336</v>
      </c>
      <c r="B1166">
        <v>5</v>
      </c>
      <c r="C1166" t="s">
        <v>10</v>
      </c>
      <c r="D1166" t="s">
        <v>11</v>
      </c>
      <c r="E1166">
        <v>1.52</v>
      </c>
      <c r="F1166">
        <v>3.77</v>
      </c>
      <c r="G1166" s="8">
        <f t="shared" si="18"/>
        <v>24.190981432360743</v>
      </c>
    </row>
    <row r="1167" spans="1:7" x14ac:dyDescent="0.25">
      <c r="A1167" s="87">
        <v>45804.739583333336</v>
      </c>
      <c r="B1167">
        <v>6</v>
      </c>
      <c r="C1167" t="s">
        <v>11</v>
      </c>
      <c r="D1167" t="s">
        <v>12</v>
      </c>
      <c r="E1167">
        <v>1.5</v>
      </c>
      <c r="F1167">
        <v>2.7</v>
      </c>
      <c r="G1167" s="8">
        <f t="shared" si="18"/>
        <v>33.333333333333329</v>
      </c>
    </row>
    <row r="1168" spans="1:7" x14ac:dyDescent="0.25">
      <c r="A1168" s="87">
        <v>45804.739583333336</v>
      </c>
      <c r="B1168">
        <v>7</v>
      </c>
      <c r="C1168" t="s">
        <v>12</v>
      </c>
      <c r="D1168" t="s">
        <v>13</v>
      </c>
      <c r="E1168">
        <v>1.54</v>
      </c>
      <c r="F1168">
        <v>2.8</v>
      </c>
      <c r="G1168" s="8">
        <f t="shared" si="18"/>
        <v>33.000000000000007</v>
      </c>
    </row>
    <row r="1169" spans="1:7" x14ac:dyDescent="0.25">
      <c r="A1169" s="87">
        <v>45804.739583333336</v>
      </c>
      <c r="B1169">
        <v>8</v>
      </c>
      <c r="C1169" t="s">
        <v>13</v>
      </c>
      <c r="D1169" t="s">
        <v>14</v>
      </c>
      <c r="E1169">
        <v>1.54</v>
      </c>
      <c r="F1169">
        <v>3.35</v>
      </c>
      <c r="G1169" s="8">
        <f t="shared" si="18"/>
        <v>27.582089552238806</v>
      </c>
    </row>
    <row r="1170" spans="1:7" x14ac:dyDescent="0.25">
      <c r="A1170" s="87">
        <v>45804.739583333336</v>
      </c>
      <c r="B1170">
        <v>9</v>
      </c>
      <c r="C1170" t="s">
        <v>14</v>
      </c>
      <c r="D1170" t="s">
        <v>15</v>
      </c>
      <c r="E1170">
        <v>1.52</v>
      </c>
      <c r="F1170">
        <v>4.75</v>
      </c>
      <c r="G1170" s="8">
        <f t="shared" si="18"/>
        <v>19.2</v>
      </c>
    </row>
    <row r="1171" spans="1:7" x14ac:dyDescent="0.25">
      <c r="A1171" s="87">
        <v>45804.739583333336</v>
      </c>
      <c r="B1171">
        <v>10</v>
      </c>
      <c r="C1171" t="s">
        <v>15</v>
      </c>
      <c r="D1171" t="s">
        <v>16</v>
      </c>
      <c r="E1171">
        <v>1.5</v>
      </c>
      <c r="F1171">
        <v>5.53</v>
      </c>
      <c r="G1171" s="8">
        <f t="shared" si="18"/>
        <v>16.2748643761302</v>
      </c>
    </row>
    <row r="1172" spans="1:7" x14ac:dyDescent="0.25">
      <c r="A1172" s="87">
        <v>45804.739583333336</v>
      </c>
      <c r="B1172">
        <v>11</v>
      </c>
      <c r="C1172" t="s">
        <v>16</v>
      </c>
      <c r="D1172" t="s">
        <v>17</v>
      </c>
      <c r="E1172">
        <v>1.48</v>
      </c>
      <c r="F1172">
        <v>2.75</v>
      </c>
      <c r="G1172" s="8">
        <f t="shared" si="18"/>
        <v>32.290909090909089</v>
      </c>
    </row>
    <row r="1173" spans="1:7" x14ac:dyDescent="0.25">
      <c r="A1173" s="87">
        <v>45804.739583333336</v>
      </c>
      <c r="B1173">
        <v>12</v>
      </c>
      <c r="C1173" t="s">
        <v>17</v>
      </c>
      <c r="D1173" t="s">
        <v>18</v>
      </c>
      <c r="E1173">
        <v>1.46</v>
      </c>
      <c r="F1173">
        <v>5.3</v>
      </c>
      <c r="G1173" s="8">
        <f t="shared" si="18"/>
        <v>16.528301886792452</v>
      </c>
    </row>
    <row r="1174" spans="1:7" x14ac:dyDescent="0.25">
      <c r="A1174" s="87">
        <v>45804.739583333336</v>
      </c>
      <c r="B1174">
        <v>13</v>
      </c>
      <c r="C1174" t="s">
        <v>18</v>
      </c>
      <c r="D1174" t="s">
        <v>19</v>
      </c>
      <c r="E1174">
        <v>1.52</v>
      </c>
      <c r="F1174">
        <v>5.72</v>
      </c>
      <c r="G1174" s="8">
        <f t="shared" si="18"/>
        <v>15.944055944055945</v>
      </c>
    </row>
    <row r="1175" spans="1:7" x14ac:dyDescent="0.25">
      <c r="A1175" s="87">
        <v>45804.739583333336</v>
      </c>
      <c r="B1175">
        <v>14</v>
      </c>
      <c r="C1175" t="s">
        <v>19</v>
      </c>
      <c r="D1175" t="s">
        <v>20</v>
      </c>
      <c r="E1175">
        <v>1.51</v>
      </c>
      <c r="F1175">
        <v>4.2</v>
      </c>
      <c r="G1175" s="8">
        <f t="shared" si="18"/>
        <v>21.571428571428569</v>
      </c>
    </row>
    <row r="1176" spans="1:7" x14ac:dyDescent="0.25">
      <c r="A1176" s="87">
        <v>45804.739583333336</v>
      </c>
      <c r="B1176">
        <v>15</v>
      </c>
      <c r="C1176" t="s">
        <v>20</v>
      </c>
      <c r="D1176" t="s">
        <v>21</v>
      </c>
      <c r="E1176">
        <v>1.47</v>
      </c>
      <c r="F1176">
        <v>4.33</v>
      </c>
      <c r="G1176" s="8">
        <f t="shared" si="18"/>
        <v>20.369515011547346</v>
      </c>
    </row>
    <row r="1177" spans="1:7" x14ac:dyDescent="0.25">
      <c r="A1177" s="87">
        <v>45804.739583333336</v>
      </c>
      <c r="B1177">
        <v>16</v>
      </c>
      <c r="C1177" t="s">
        <v>21</v>
      </c>
      <c r="D1177" t="s">
        <v>22</v>
      </c>
      <c r="E1177">
        <v>1.5</v>
      </c>
      <c r="F1177">
        <v>2.25</v>
      </c>
      <c r="G1177" s="8">
        <f t="shared" si="18"/>
        <v>40</v>
      </c>
    </row>
    <row r="1178" spans="1:7" x14ac:dyDescent="0.25">
      <c r="A1178" s="87">
        <v>45804.739583333336</v>
      </c>
      <c r="B1178">
        <v>17</v>
      </c>
      <c r="C1178" t="s">
        <v>22</v>
      </c>
      <c r="D1178" t="s">
        <v>23</v>
      </c>
      <c r="E1178">
        <v>1.51</v>
      </c>
      <c r="F1178">
        <v>4.0999999999999996</v>
      </c>
      <c r="G1178" s="8">
        <f t="shared" si="18"/>
        <v>22.097560975609756</v>
      </c>
    </row>
    <row r="1179" spans="1:7" x14ac:dyDescent="0.25">
      <c r="A1179" s="87">
        <v>45804.739583333336</v>
      </c>
      <c r="B1179">
        <v>18</v>
      </c>
      <c r="C1179" t="s">
        <v>23</v>
      </c>
      <c r="D1179" t="s">
        <v>24</v>
      </c>
      <c r="E1179">
        <v>1.51</v>
      </c>
      <c r="F1179">
        <v>4.03</v>
      </c>
      <c r="G1179" s="8">
        <f t="shared" si="18"/>
        <v>22.481389578163768</v>
      </c>
    </row>
    <row r="1180" spans="1:7" x14ac:dyDescent="0.25">
      <c r="A1180" s="87">
        <v>45804.739583333336</v>
      </c>
      <c r="B1180">
        <v>19</v>
      </c>
      <c r="C1180" t="s">
        <v>25</v>
      </c>
      <c r="D1180" t="s">
        <v>26</v>
      </c>
      <c r="E1180">
        <v>1.5</v>
      </c>
      <c r="F1180">
        <v>3.78</v>
      </c>
      <c r="G1180" s="8">
        <f t="shared" si="18"/>
        <v>23.80952380952381</v>
      </c>
    </row>
    <row r="1181" spans="1:7" x14ac:dyDescent="0.25">
      <c r="A1181" s="87">
        <v>45804.739583333336</v>
      </c>
      <c r="B1181">
        <v>20</v>
      </c>
      <c r="C1181" t="s">
        <v>26</v>
      </c>
      <c r="D1181" t="s">
        <v>27</v>
      </c>
      <c r="E1181">
        <v>1.48</v>
      </c>
      <c r="F1181">
        <v>3.57</v>
      </c>
      <c r="G1181" s="8">
        <f t="shared" si="18"/>
        <v>24.873949579831933</v>
      </c>
    </row>
    <row r="1182" spans="1:7" x14ac:dyDescent="0.25">
      <c r="A1182" s="87">
        <v>45804.739583333336</v>
      </c>
      <c r="B1182">
        <v>21</v>
      </c>
      <c r="C1182" t="s">
        <v>27</v>
      </c>
      <c r="D1182" t="s">
        <v>28</v>
      </c>
      <c r="E1182">
        <v>1.51</v>
      </c>
      <c r="F1182">
        <v>3.65</v>
      </c>
      <c r="G1182" s="8">
        <f t="shared" si="18"/>
        <v>24.821917808219176</v>
      </c>
    </row>
    <row r="1183" spans="1:7" x14ac:dyDescent="0.25">
      <c r="A1183" s="87">
        <v>45804.739583333336</v>
      </c>
      <c r="B1183">
        <v>22</v>
      </c>
      <c r="C1183" t="s">
        <v>28</v>
      </c>
      <c r="D1183" t="s">
        <v>29</v>
      </c>
      <c r="E1183">
        <v>1.57</v>
      </c>
      <c r="F1183">
        <v>4</v>
      </c>
      <c r="G1183" s="8">
        <f t="shared" si="18"/>
        <v>23.55</v>
      </c>
    </row>
    <row r="1184" spans="1:7" x14ac:dyDescent="0.25">
      <c r="A1184" s="87">
        <v>45804.739583333336</v>
      </c>
      <c r="B1184">
        <v>23</v>
      </c>
      <c r="C1184" t="s">
        <v>29</v>
      </c>
      <c r="D1184" t="s">
        <v>30</v>
      </c>
      <c r="E1184">
        <v>1.43</v>
      </c>
      <c r="F1184">
        <v>5</v>
      </c>
      <c r="G1184" s="8">
        <f t="shared" si="18"/>
        <v>17.16</v>
      </c>
    </row>
    <row r="1185" spans="1:7" x14ac:dyDescent="0.25">
      <c r="A1185" s="87">
        <v>45804.739583333336</v>
      </c>
      <c r="B1185">
        <v>24</v>
      </c>
      <c r="C1185" t="s">
        <v>30</v>
      </c>
      <c r="D1185" t="s">
        <v>31</v>
      </c>
      <c r="E1185">
        <v>1.52</v>
      </c>
      <c r="F1185">
        <v>4.72</v>
      </c>
      <c r="G1185" s="8">
        <f t="shared" si="18"/>
        <v>19.322033898305087</v>
      </c>
    </row>
    <row r="1186" spans="1:7" x14ac:dyDescent="0.25">
      <c r="A1186" s="87">
        <v>45804.739583333336</v>
      </c>
      <c r="B1186">
        <v>25</v>
      </c>
      <c r="C1186" t="s">
        <v>31</v>
      </c>
      <c r="D1186" t="s">
        <v>32</v>
      </c>
      <c r="E1186">
        <v>1.52</v>
      </c>
      <c r="F1186">
        <v>3.98</v>
      </c>
      <c r="G1186" s="8">
        <f t="shared" si="18"/>
        <v>22.91457286432161</v>
      </c>
    </row>
    <row r="1187" spans="1:7" x14ac:dyDescent="0.25">
      <c r="A1187" s="87">
        <v>45804.739583333336</v>
      </c>
      <c r="B1187">
        <v>26</v>
      </c>
      <c r="C1187" t="s">
        <v>32</v>
      </c>
      <c r="D1187" t="s">
        <v>33</v>
      </c>
      <c r="E1187">
        <v>1.49</v>
      </c>
      <c r="F1187">
        <v>5.7</v>
      </c>
      <c r="G1187" s="8">
        <f t="shared" si="18"/>
        <v>15.684210526315789</v>
      </c>
    </row>
    <row r="1188" spans="1:7" x14ac:dyDescent="0.25">
      <c r="A1188" s="87">
        <v>45804.739583333336</v>
      </c>
      <c r="B1188">
        <v>27</v>
      </c>
      <c r="C1188" t="s">
        <v>33</v>
      </c>
      <c r="D1188" t="s">
        <v>34</v>
      </c>
      <c r="E1188">
        <v>1.53</v>
      </c>
      <c r="F1188">
        <v>4.6500000000000004</v>
      </c>
      <c r="G1188" s="8">
        <f t="shared" si="18"/>
        <v>19.741935483870964</v>
      </c>
    </row>
    <row r="1189" spans="1:7" x14ac:dyDescent="0.25">
      <c r="A1189" s="87">
        <v>45804.739583333336</v>
      </c>
      <c r="B1189">
        <v>28</v>
      </c>
      <c r="C1189" t="s">
        <v>34</v>
      </c>
      <c r="D1189" t="s">
        <v>35</v>
      </c>
      <c r="E1189">
        <v>1.51</v>
      </c>
      <c r="F1189">
        <v>4.75</v>
      </c>
      <c r="G1189" s="8">
        <f t="shared" si="18"/>
        <v>19.073684210526313</v>
      </c>
    </row>
    <row r="1190" spans="1:7" x14ac:dyDescent="0.25">
      <c r="A1190" s="87">
        <v>45804.739583333336</v>
      </c>
      <c r="B1190">
        <v>29</v>
      </c>
      <c r="C1190" t="s">
        <v>36</v>
      </c>
      <c r="D1190" t="s">
        <v>37</v>
      </c>
      <c r="E1190">
        <v>1.57</v>
      </c>
      <c r="F1190">
        <v>4.18</v>
      </c>
      <c r="G1190" s="8">
        <f t="shared" si="18"/>
        <v>22.535885167464116</v>
      </c>
    </row>
    <row r="1191" spans="1:7" x14ac:dyDescent="0.25">
      <c r="A1191" s="87">
        <v>45804.739583333336</v>
      </c>
      <c r="B1191">
        <v>30</v>
      </c>
      <c r="C1191" t="s">
        <v>37</v>
      </c>
      <c r="D1191" t="s">
        <v>38</v>
      </c>
      <c r="E1191">
        <v>1.57</v>
      </c>
      <c r="F1191">
        <v>4.0199999999999996</v>
      </c>
      <c r="G1191" s="8">
        <f t="shared" si="18"/>
        <v>23.432835820895527</v>
      </c>
    </row>
    <row r="1192" spans="1:7" x14ac:dyDescent="0.25">
      <c r="A1192" s="87">
        <v>45804.739583333336</v>
      </c>
      <c r="B1192">
        <v>31</v>
      </c>
      <c r="C1192" t="s">
        <v>38</v>
      </c>
      <c r="D1192" t="s">
        <v>39</v>
      </c>
      <c r="E1192">
        <v>1.52</v>
      </c>
      <c r="F1192">
        <v>3.25</v>
      </c>
      <c r="G1192" s="8">
        <f t="shared" si="18"/>
        <v>28.061538461538461</v>
      </c>
    </row>
    <row r="1193" spans="1:7" x14ac:dyDescent="0.25">
      <c r="A1193" s="87">
        <v>45804.739583333336</v>
      </c>
      <c r="B1193">
        <v>32</v>
      </c>
      <c r="C1193" t="s">
        <v>39</v>
      </c>
      <c r="D1193" t="s">
        <v>40</v>
      </c>
      <c r="E1193">
        <v>1.5</v>
      </c>
      <c r="F1193">
        <v>2.23</v>
      </c>
      <c r="G1193" s="8">
        <f t="shared" si="18"/>
        <v>40.358744394618832</v>
      </c>
    </row>
    <row r="1194" spans="1:7" x14ac:dyDescent="0.25">
      <c r="A1194" s="87">
        <v>45804.739583333336</v>
      </c>
      <c r="B1194">
        <v>33</v>
      </c>
      <c r="C1194" t="s">
        <v>40</v>
      </c>
      <c r="D1194" t="s">
        <v>41</v>
      </c>
      <c r="E1194">
        <v>1.51</v>
      </c>
      <c r="F1194">
        <v>2.27</v>
      </c>
      <c r="G1194" s="8">
        <f t="shared" si="18"/>
        <v>39.91189427312775</v>
      </c>
    </row>
    <row r="1195" spans="1:7" x14ac:dyDescent="0.25">
      <c r="A1195" s="87">
        <v>45804.739583333336</v>
      </c>
      <c r="B1195">
        <v>34</v>
      </c>
      <c r="C1195" t="s">
        <v>41</v>
      </c>
      <c r="D1195" t="s">
        <v>42</v>
      </c>
      <c r="E1195">
        <v>1.5</v>
      </c>
      <c r="F1195">
        <v>2.13</v>
      </c>
      <c r="G1195" s="8">
        <f t="shared" si="18"/>
        <v>42.253521126760567</v>
      </c>
    </row>
    <row r="1196" spans="1:7" x14ac:dyDescent="0.25">
      <c r="A1196" s="87">
        <v>45804.739583333336</v>
      </c>
      <c r="B1196">
        <v>35</v>
      </c>
      <c r="C1196" t="s">
        <v>43</v>
      </c>
      <c r="D1196" t="s">
        <v>44</v>
      </c>
      <c r="E1196">
        <v>1.55</v>
      </c>
      <c r="F1196">
        <v>4.45</v>
      </c>
      <c r="G1196" s="8">
        <f t="shared" si="18"/>
        <v>20.898876404494381</v>
      </c>
    </row>
    <row r="1197" spans="1:7" x14ac:dyDescent="0.25">
      <c r="A1197" s="87">
        <v>45804.739583333336</v>
      </c>
      <c r="B1197">
        <v>36</v>
      </c>
      <c r="C1197" t="s">
        <v>44</v>
      </c>
      <c r="D1197" t="s">
        <v>45</v>
      </c>
      <c r="E1197">
        <v>1.5</v>
      </c>
      <c r="F1197">
        <v>4.2</v>
      </c>
      <c r="G1197" s="8">
        <f t="shared" si="18"/>
        <v>21.428571428571427</v>
      </c>
    </row>
    <row r="1198" spans="1:7" x14ac:dyDescent="0.25">
      <c r="A1198" s="87">
        <v>45804.739583333336</v>
      </c>
      <c r="B1198">
        <v>37</v>
      </c>
      <c r="C1198" t="s">
        <v>45</v>
      </c>
      <c r="D1198" t="s">
        <v>46</v>
      </c>
      <c r="E1198">
        <v>1.38</v>
      </c>
      <c r="F1198">
        <v>6.42</v>
      </c>
      <c r="G1198" s="8">
        <f t="shared" si="18"/>
        <v>12.897196261682243</v>
      </c>
    </row>
    <row r="1199" spans="1:7" x14ac:dyDescent="0.25">
      <c r="A1199" s="87">
        <v>45804.739583333336</v>
      </c>
      <c r="B1199">
        <v>38</v>
      </c>
      <c r="C1199" t="s">
        <v>46</v>
      </c>
      <c r="D1199" t="s">
        <v>47</v>
      </c>
      <c r="E1199">
        <v>1.61</v>
      </c>
      <c r="F1199">
        <v>4.83</v>
      </c>
      <c r="G1199" s="8">
        <f t="shared" si="18"/>
        <v>20</v>
      </c>
    </row>
    <row r="1200" spans="1:7" x14ac:dyDescent="0.25">
      <c r="A1200" s="87">
        <v>45804.739583333336</v>
      </c>
      <c r="B1200">
        <v>39</v>
      </c>
      <c r="C1200" t="s">
        <v>47</v>
      </c>
      <c r="D1200" t="s">
        <v>48</v>
      </c>
      <c r="E1200">
        <v>1.55</v>
      </c>
      <c r="F1200">
        <v>3.7</v>
      </c>
      <c r="G1200" s="8">
        <f t="shared" si="18"/>
        <v>25.135135135135133</v>
      </c>
    </row>
    <row r="1201" spans="1:7" x14ac:dyDescent="0.25">
      <c r="A1201" s="87">
        <v>45804.739583333336</v>
      </c>
      <c r="B1201">
        <v>40</v>
      </c>
      <c r="C1201" t="s">
        <v>48</v>
      </c>
      <c r="D1201" t="s">
        <v>49</v>
      </c>
      <c r="E1201">
        <v>1.39</v>
      </c>
      <c r="F1201">
        <v>3.25</v>
      </c>
      <c r="G1201" s="8">
        <f t="shared" si="18"/>
        <v>25.661538461538459</v>
      </c>
    </row>
    <row r="1202" spans="1:7" x14ac:dyDescent="0.25">
      <c r="A1202" s="87">
        <v>45804.739583333336</v>
      </c>
      <c r="B1202">
        <v>41</v>
      </c>
      <c r="C1202" t="s">
        <v>50</v>
      </c>
      <c r="D1202" t="s">
        <v>51</v>
      </c>
      <c r="E1202">
        <v>1.56</v>
      </c>
      <c r="F1202">
        <v>6.2</v>
      </c>
      <c r="G1202" s="8">
        <f t="shared" si="18"/>
        <v>15.096774193548388</v>
      </c>
    </row>
    <row r="1203" spans="1:7" x14ac:dyDescent="0.25">
      <c r="A1203" s="87">
        <v>45804.739583333336</v>
      </c>
      <c r="B1203">
        <v>42</v>
      </c>
      <c r="C1203" t="s">
        <v>51</v>
      </c>
      <c r="D1203" t="s">
        <v>52</v>
      </c>
      <c r="E1203">
        <v>1.56</v>
      </c>
      <c r="F1203">
        <v>5.23</v>
      </c>
      <c r="G1203" s="8">
        <f t="shared" si="18"/>
        <v>17.896749521988529</v>
      </c>
    </row>
    <row r="1204" spans="1:7" x14ac:dyDescent="0.25">
      <c r="A1204" s="87">
        <v>45804.739583333336</v>
      </c>
      <c r="B1204">
        <v>43</v>
      </c>
      <c r="C1204" t="s">
        <v>52</v>
      </c>
      <c r="D1204" t="s">
        <v>53</v>
      </c>
      <c r="E1204">
        <v>1.51</v>
      </c>
      <c r="F1204">
        <v>4.22</v>
      </c>
      <c r="G1204" s="8">
        <f t="shared" si="18"/>
        <v>21.469194312796208</v>
      </c>
    </row>
    <row r="1205" spans="1:7" x14ac:dyDescent="0.25">
      <c r="A1205" s="87">
        <v>45804.739583333336</v>
      </c>
      <c r="B1205">
        <v>44</v>
      </c>
      <c r="C1205" t="s">
        <v>54</v>
      </c>
      <c r="D1205" t="s">
        <v>55</v>
      </c>
      <c r="E1205">
        <v>1.51</v>
      </c>
      <c r="F1205">
        <v>4.8499999999999996</v>
      </c>
      <c r="G1205" s="8">
        <f t="shared" si="18"/>
        <v>18.680412371134022</v>
      </c>
    </row>
    <row r="1206" spans="1:7" x14ac:dyDescent="0.25">
      <c r="A1206" s="87">
        <v>45804.739583333336</v>
      </c>
      <c r="B1206">
        <v>45</v>
      </c>
      <c r="C1206" t="s">
        <v>55</v>
      </c>
      <c r="D1206" t="s">
        <v>56</v>
      </c>
      <c r="E1206">
        <v>1.49</v>
      </c>
      <c r="F1206">
        <v>5.17</v>
      </c>
      <c r="G1206" s="8">
        <f t="shared" si="18"/>
        <v>17.292069632495167</v>
      </c>
    </row>
    <row r="1207" spans="1:7" x14ac:dyDescent="0.25">
      <c r="A1207" s="87">
        <v>45804.739583333336</v>
      </c>
      <c r="B1207">
        <v>46</v>
      </c>
      <c r="C1207" t="s">
        <v>56</v>
      </c>
      <c r="D1207" t="s">
        <v>57</v>
      </c>
      <c r="E1207">
        <v>1.52</v>
      </c>
      <c r="F1207">
        <v>4.95</v>
      </c>
      <c r="G1207" s="8">
        <f t="shared" si="18"/>
        <v>18.424242424242426</v>
      </c>
    </row>
    <row r="1208" spans="1:7" x14ac:dyDescent="0.25">
      <c r="A1208" s="87">
        <v>45804.739583333336</v>
      </c>
      <c r="B1208">
        <v>47</v>
      </c>
      <c r="C1208" t="s">
        <v>58</v>
      </c>
      <c r="D1208" t="s">
        <v>59</v>
      </c>
      <c r="E1208">
        <v>1.52</v>
      </c>
      <c r="F1208">
        <v>6.68</v>
      </c>
      <c r="G1208" s="8">
        <f t="shared" si="18"/>
        <v>13.652694610778443</v>
      </c>
    </row>
    <row r="1209" spans="1:7" x14ac:dyDescent="0.25">
      <c r="A1209" s="87">
        <v>45804.739583333336</v>
      </c>
      <c r="B1209">
        <v>48</v>
      </c>
      <c r="C1209" t="s">
        <v>59</v>
      </c>
      <c r="D1209" t="s">
        <v>60</v>
      </c>
      <c r="E1209">
        <v>1.5</v>
      </c>
      <c r="F1209">
        <v>4.47</v>
      </c>
      <c r="G1209" s="8">
        <f t="shared" si="18"/>
        <v>20.134228187919465</v>
      </c>
    </row>
    <row r="1210" spans="1:7" x14ac:dyDescent="0.25">
      <c r="A1210" s="87">
        <v>45804.739583333336</v>
      </c>
      <c r="B1210">
        <v>49</v>
      </c>
      <c r="C1210" t="s">
        <v>60</v>
      </c>
      <c r="D1210" t="s">
        <v>61</v>
      </c>
      <c r="E1210">
        <v>1.54</v>
      </c>
      <c r="F1210">
        <v>4.62</v>
      </c>
      <c r="G1210" s="8">
        <f t="shared" si="18"/>
        <v>20</v>
      </c>
    </row>
    <row r="1211" spans="1:7" x14ac:dyDescent="0.25">
      <c r="A1211" s="87">
        <v>45804.739583333336</v>
      </c>
      <c r="B1211">
        <v>50</v>
      </c>
      <c r="C1211" t="s">
        <v>62</v>
      </c>
      <c r="D1211" t="s">
        <v>63</v>
      </c>
      <c r="E1211">
        <v>1.38</v>
      </c>
      <c r="F1211">
        <v>3.52</v>
      </c>
      <c r="G1211" s="8">
        <f t="shared" si="18"/>
        <v>23.522727272727273</v>
      </c>
    </row>
    <row r="1212" spans="1:7" x14ac:dyDescent="0.25">
      <c r="A1212" s="87">
        <v>45804.739583333336</v>
      </c>
      <c r="B1212">
        <v>51</v>
      </c>
      <c r="C1212" t="s">
        <v>63</v>
      </c>
      <c r="D1212" t="s">
        <v>64</v>
      </c>
      <c r="E1212">
        <v>2.79</v>
      </c>
      <c r="F1212">
        <v>6.4</v>
      </c>
      <c r="G1212" s="8">
        <f t="shared" si="18"/>
        <v>26.15625</v>
      </c>
    </row>
    <row r="1213" spans="1:7" x14ac:dyDescent="0.25">
      <c r="A1213" s="87">
        <v>45804.739583333336</v>
      </c>
      <c r="B1213">
        <v>52</v>
      </c>
      <c r="C1213" t="s">
        <v>64</v>
      </c>
      <c r="D1213" t="s">
        <v>65</v>
      </c>
      <c r="E1213">
        <v>1.5</v>
      </c>
      <c r="F1213">
        <v>2.95</v>
      </c>
      <c r="G1213" s="8">
        <f t="shared" si="18"/>
        <v>30.508474576271183</v>
      </c>
    </row>
    <row r="1214" spans="1:7" x14ac:dyDescent="0.25">
      <c r="A1214" s="87">
        <v>45804.739583333336</v>
      </c>
      <c r="B1214">
        <v>53</v>
      </c>
      <c r="C1214" t="s">
        <v>65</v>
      </c>
      <c r="D1214" t="s">
        <v>66</v>
      </c>
      <c r="E1214">
        <v>1.46</v>
      </c>
      <c r="F1214">
        <v>4.05</v>
      </c>
      <c r="G1214" s="8">
        <f t="shared" si="18"/>
        <v>21.62962962962963</v>
      </c>
    </row>
    <row r="1215" spans="1:7" x14ac:dyDescent="0.25">
      <c r="A1215" s="87">
        <v>45804.739583333336</v>
      </c>
      <c r="B1215">
        <v>54</v>
      </c>
      <c r="C1215" t="s">
        <v>67</v>
      </c>
      <c r="D1215" t="s">
        <v>68</v>
      </c>
      <c r="E1215">
        <v>1.46</v>
      </c>
      <c r="F1215">
        <v>3.13</v>
      </c>
      <c r="G1215" s="8">
        <f t="shared" si="18"/>
        <v>27.987220447284344</v>
      </c>
    </row>
    <row r="1216" spans="1:7" x14ac:dyDescent="0.25">
      <c r="A1216" s="87">
        <v>45804.739583333336</v>
      </c>
      <c r="B1216">
        <v>55</v>
      </c>
      <c r="C1216" t="s">
        <v>68</v>
      </c>
      <c r="D1216" t="s">
        <v>69</v>
      </c>
      <c r="E1216">
        <v>1.5</v>
      </c>
      <c r="F1216">
        <v>2.2999999999999998</v>
      </c>
      <c r="G1216" s="8">
        <f t="shared" si="18"/>
        <v>39.130434782608695</v>
      </c>
    </row>
    <row r="1217" spans="1:7" x14ac:dyDescent="0.25">
      <c r="A1217" s="87">
        <v>45804.739583333336</v>
      </c>
      <c r="B1217">
        <v>56</v>
      </c>
      <c r="C1217" t="s">
        <v>70</v>
      </c>
      <c r="D1217" t="s">
        <v>71</v>
      </c>
      <c r="E1217">
        <v>1.51</v>
      </c>
      <c r="F1217">
        <v>5.23</v>
      </c>
      <c r="G1217" s="8">
        <f t="shared" si="18"/>
        <v>17.323135755258125</v>
      </c>
    </row>
    <row r="1218" spans="1:7" x14ac:dyDescent="0.25">
      <c r="A1218" s="87">
        <v>45804.739583333336</v>
      </c>
      <c r="B1218">
        <v>57</v>
      </c>
      <c r="C1218" t="s">
        <v>71</v>
      </c>
      <c r="D1218" t="s">
        <v>72</v>
      </c>
      <c r="E1218">
        <v>1.52</v>
      </c>
      <c r="F1218">
        <v>5.87</v>
      </c>
      <c r="G1218" s="8">
        <f t="shared" si="18"/>
        <v>15.536626916524702</v>
      </c>
    </row>
    <row r="1219" spans="1:7" x14ac:dyDescent="0.25">
      <c r="A1219" s="87">
        <v>45804.739583333336</v>
      </c>
      <c r="B1219">
        <v>58</v>
      </c>
      <c r="C1219" t="s">
        <v>72</v>
      </c>
      <c r="D1219" t="s">
        <v>73</v>
      </c>
      <c r="E1219">
        <v>1.5</v>
      </c>
      <c r="F1219">
        <v>4.82</v>
      </c>
      <c r="G1219" s="8">
        <f t="shared" ref="G1219:G1282" si="19">E1219*60/F1219</f>
        <v>18.672199170124479</v>
      </c>
    </row>
    <row r="1220" spans="1:7" x14ac:dyDescent="0.25">
      <c r="A1220" s="87">
        <v>45804.75</v>
      </c>
      <c r="B1220">
        <v>1</v>
      </c>
      <c r="C1220" t="s">
        <v>6</v>
      </c>
      <c r="D1220" t="s">
        <v>7</v>
      </c>
      <c r="E1220">
        <v>1.53</v>
      </c>
      <c r="F1220">
        <v>3.65</v>
      </c>
      <c r="G1220" s="8">
        <f t="shared" si="19"/>
        <v>25.150684931506849</v>
      </c>
    </row>
    <row r="1221" spans="1:7" x14ac:dyDescent="0.25">
      <c r="A1221" s="87">
        <v>45804.75</v>
      </c>
      <c r="B1221">
        <v>2</v>
      </c>
      <c r="C1221" t="s">
        <v>7</v>
      </c>
      <c r="D1221" t="s">
        <v>8</v>
      </c>
      <c r="E1221">
        <v>1.57</v>
      </c>
      <c r="F1221">
        <v>7.22</v>
      </c>
      <c r="G1221" s="8">
        <f t="shared" si="19"/>
        <v>13.047091412742382</v>
      </c>
    </row>
    <row r="1222" spans="1:7" x14ac:dyDescent="0.25">
      <c r="A1222" s="87">
        <v>45804.75</v>
      </c>
      <c r="B1222">
        <v>3</v>
      </c>
      <c r="C1222" t="s">
        <v>8</v>
      </c>
      <c r="D1222" t="s">
        <v>9</v>
      </c>
      <c r="E1222">
        <v>1.5</v>
      </c>
      <c r="F1222">
        <v>4.2300000000000004</v>
      </c>
      <c r="G1222" s="8">
        <f t="shared" si="19"/>
        <v>21.276595744680851</v>
      </c>
    </row>
    <row r="1223" spans="1:7" x14ac:dyDescent="0.25">
      <c r="A1223" s="87">
        <v>45804.75</v>
      </c>
      <c r="B1223">
        <v>4</v>
      </c>
      <c r="C1223" t="s">
        <v>9</v>
      </c>
      <c r="D1223" t="s">
        <v>10</v>
      </c>
      <c r="E1223">
        <v>1.5</v>
      </c>
      <c r="F1223">
        <v>3.27</v>
      </c>
      <c r="G1223" s="8">
        <f t="shared" si="19"/>
        <v>27.522935779816514</v>
      </c>
    </row>
    <row r="1224" spans="1:7" x14ac:dyDescent="0.25">
      <c r="A1224" s="87">
        <v>45804.75</v>
      </c>
      <c r="B1224">
        <v>5</v>
      </c>
      <c r="C1224" t="s">
        <v>10</v>
      </c>
      <c r="D1224" t="s">
        <v>11</v>
      </c>
      <c r="E1224">
        <v>1.52</v>
      </c>
      <c r="F1224">
        <v>3.97</v>
      </c>
      <c r="G1224" s="8">
        <f t="shared" si="19"/>
        <v>22.972292191435766</v>
      </c>
    </row>
    <row r="1225" spans="1:7" x14ac:dyDescent="0.25">
      <c r="A1225" s="87">
        <v>45804.75</v>
      </c>
      <c r="B1225">
        <v>6</v>
      </c>
      <c r="C1225" t="s">
        <v>11</v>
      </c>
      <c r="D1225" t="s">
        <v>12</v>
      </c>
      <c r="E1225">
        <v>1.5</v>
      </c>
      <c r="F1225">
        <v>2.82</v>
      </c>
      <c r="G1225" s="8">
        <f t="shared" si="19"/>
        <v>31.914893617021278</v>
      </c>
    </row>
    <row r="1226" spans="1:7" x14ac:dyDescent="0.25">
      <c r="A1226" s="87">
        <v>45804.75</v>
      </c>
      <c r="B1226">
        <v>7</v>
      </c>
      <c r="C1226" t="s">
        <v>12</v>
      </c>
      <c r="D1226" t="s">
        <v>13</v>
      </c>
      <c r="E1226">
        <v>1.54</v>
      </c>
      <c r="F1226">
        <v>2.92</v>
      </c>
      <c r="G1226" s="8">
        <f t="shared" si="19"/>
        <v>31.643835616438359</v>
      </c>
    </row>
    <row r="1227" spans="1:7" x14ac:dyDescent="0.25">
      <c r="A1227" s="87">
        <v>45804.75</v>
      </c>
      <c r="B1227">
        <v>8</v>
      </c>
      <c r="C1227" t="s">
        <v>13</v>
      </c>
      <c r="D1227" t="s">
        <v>14</v>
      </c>
      <c r="E1227">
        <v>1.54</v>
      </c>
      <c r="F1227">
        <v>3.3</v>
      </c>
      <c r="G1227" s="8">
        <f t="shared" si="19"/>
        <v>28.000000000000004</v>
      </c>
    </row>
    <row r="1228" spans="1:7" x14ac:dyDescent="0.25">
      <c r="A1228" s="87">
        <v>45804.75</v>
      </c>
      <c r="B1228">
        <v>9</v>
      </c>
      <c r="C1228" t="s">
        <v>14</v>
      </c>
      <c r="D1228" t="s">
        <v>15</v>
      </c>
      <c r="E1228">
        <v>1.52</v>
      </c>
      <c r="F1228">
        <v>3.87</v>
      </c>
      <c r="G1228" s="8">
        <f t="shared" si="19"/>
        <v>23.565891472868216</v>
      </c>
    </row>
    <row r="1229" spans="1:7" x14ac:dyDescent="0.25">
      <c r="A1229" s="87">
        <v>45804.75</v>
      </c>
      <c r="B1229">
        <v>10</v>
      </c>
      <c r="C1229" t="s">
        <v>15</v>
      </c>
      <c r="D1229" t="s">
        <v>16</v>
      </c>
      <c r="E1229">
        <v>1.5</v>
      </c>
      <c r="F1229">
        <v>5.13</v>
      </c>
      <c r="G1229" s="8">
        <f t="shared" si="19"/>
        <v>17.543859649122808</v>
      </c>
    </row>
    <row r="1230" spans="1:7" x14ac:dyDescent="0.25">
      <c r="A1230" s="87">
        <v>45804.75</v>
      </c>
      <c r="B1230">
        <v>11</v>
      </c>
      <c r="C1230" t="s">
        <v>16</v>
      </c>
      <c r="D1230" t="s">
        <v>17</v>
      </c>
      <c r="E1230">
        <v>1.48</v>
      </c>
      <c r="F1230">
        <v>5.52</v>
      </c>
      <c r="G1230" s="8">
        <f t="shared" si="19"/>
        <v>16.086956521739133</v>
      </c>
    </row>
    <row r="1231" spans="1:7" x14ac:dyDescent="0.25">
      <c r="A1231" s="87">
        <v>45804.75</v>
      </c>
      <c r="B1231">
        <v>12</v>
      </c>
      <c r="C1231" t="s">
        <v>17</v>
      </c>
      <c r="D1231" t="s">
        <v>18</v>
      </c>
      <c r="E1231">
        <v>1.46</v>
      </c>
      <c r="F1231">
        <v>5.18</v>
      </c>
      <c r="G1231" s="8">
        <f t="shared" si="19"/>
        <v>16.91119691119691</v>
      </c>
    </row>
    <row r="1232" spans="1:7" x14ac:dyDescent="0.25">
      <c r="A1232" s="87">
        <v>45804.75</v>
      </c>
      <c r="B1232">
        <v>13</v>
      </c>
      <c r="C1232" t="s">
        <v>18</v>
      </c>
      <c r="D1232" t="s">
        <v>19</v>
      </c>
      <c r="E1232">
        <v>1.52</v>
      </c>
      <c r="F1232">
        <v>7.07</v>
      </c>
      <c r="G1232" s="8">
        <f t="shared" si="19"/>
        <v>12.899575671852899</v>
      </c>
    </row>
    <row r="1233" spans="1:7" x14ac:dyDescent="0.25">
      <c r="A1233" s="87">
        <v>45804.75</v>
      </c>
      <c r="B1233">
        <v>14</v>
      </c>
      <c r="C1233" t="s">
        <v>19</v>
      </c>
      <c r="D1233" t="s">
        <v>20</v>
      </c>
      <c r="E1233">
        <v>1.51</v>
      </c>
      <c r="F1233">
        <v>4.7699999999999996</v>
      </c>
      <c r="G1233" s="8">
        <f t="shared" si="19"/>
        <v>18.9937106918239</v>
      </c>
    </row>
    <row r="1234" spans="1:7" x14ac:dyDescent="0.25">
      <c r="A1234" s="87">
        <v>45804.75</v>
      </c>
      <c r="B1234">
        <v>15</v>
      </c>
      <c r="C1234" t="s">
        <v>20</v>
      </c>
      <c r="D1234" t="s">
        <v>21</v>
      </c>
      <c r="E1234">
        <v>1.47</v>
      </c>
      <c r="F1234">
        <v>4.4800000000000004</v>
      </c>
      <c r="G1234" s="8">
        <f t="shared" si="19"/>
        <v>19.6875</v>
      </c>
    </row>
    <row r="1235" spans="1:7" x14ac:dyDescent="0.25">
      <c r="A1235" s="87">
        <v>45804.75</v>
      </c>
      <c r="B1235">
        <v>16</v>
      </c>
      <c r="C1235" t="s">
        <v>21</v>
      </c>
      <c r="D1235" t="s">
        <v>22</v>
      </c>
      <c r="E1235">
        <v>1.5</v>
      </c>
      <c r="F1235">
        <v>4.82</v>
      </c>
      <c r="G1235" s="8">
        <f t="shared" si="19"/>
        <v>18.672199170124479</v>
      </c>
    </row>
    <row r="1236" spans="1:7" x14ac:dyDescent="0.25">
      <c r="A1236" s="87">
        <v>45804.75</v>
      </c>
      <c r="B1236">
        <v>17</v>
      </c>
      <c r="C1236" t="s">
        <v>22</v>
      </c>
      <c r="D1236" t="s">
        <v>23</v>
      </c>
      <c r="E1236">
        <v>1.51</v>
      </c>
      <c r="F1236">
        <v>4.53</v>
      </c>
      <c r="G1236" s="8">
        <f t="shared" si="19"/>
        <v>19.999999999999996</v>
      </c>
    </row>
    <row r="1237" spans="1:7" x14ac:dyDescent="0.25">
      <c r="A1237" s="87">
        <v>45804.75</v>
      </c>
      <c r="B1237">
        <v>18</v>
      </c>
      <c r="C1237" t="s">
        <v>23</v>
      </c>
      <c r="D1237" t="s">
        <v>24</v>
      </c>
      <c r="E1237">
        <v>1.51</v>
      </c>
      <c r="F1237">
        <v>4.28</v>
      </c>
      <c r="G1237" s="8">
        <f t="shared" si="19"/>
        <v>21.168224299065418</v>
      </c>
    </row>
    <row r="1238" spans="1:7" x14ac:dyDescent="0.25">
      <c r="A1238" s="87">
        <v>45804.75</v>
      </c>
      <c r="B1238">
        <v>19</v>
      </c>
      <c r="C1238" t="s">
        <v>25</v>
      </c>
      <c r="D1238" t="s">
        <v>26</v>
      </c>
      <c r="E1238">
        <v>1.5</v>
      </c>
      <c r="F1238">
        <v>3.55</v>
      </c>
      <c r="G1238" s="8">
        <f t="shared" si="19"/>
        <v>25.35211267605634</v>
      </c>
    </row>
    <row r="1239" spans="1:7" x14ac:dyDescent="0.25">
      <c r="A1239" s="87">
        <v>45804.75</v>
      </c>
      <c r="B1239">
        <v>20</v>
      </c>
      <c r="C1239" t="s">
        <v>26</v>
      </c>
      <c r="D1239" t="s">
        <v>27</v>
      </c>
      <c r="E1239">
        <v>1.48</v>
      </c>
      <c r="F1239">
        <v>3.45</v>
      </c>
      <c r="G1239" s="8">
        <f t="shared" si="19"/>
        <v>25.739130434782606</v>
      </c>
    </row>
    <row r="1240" spans="1:7" x14ac:dyDescent="0.25">
      <c r="A1240" s="87">
        <v>45804.75</v>
      </c>
      <c r="B1240">
        <v>21</v>
      </c>
      <c r="C1240" t="s">
        <v>27</v>
      </c>
      <c r="D1240" t="s">
        <v>28</v>
      </c>
      <c r="E1240">
        <v>1.51</v>
      </c>
      <c r="F1240">
        <v>4.3</v>
      </c>
      <c r="G1240" s="8">
        <f t="shared" si="19"/>
        <v>21.069767441860463</v>
      </c>
    </row>
    <row r="1241" spans="1:7" x14ac:dyDescent="0.25">
      <c r="A1241" s="87">
        <v>45804.75</v>
      </c>
      <c r="B1241">
        <v>22</v>
      </c>
      <c r="C1241" t="s">
        <v>28</v>
      </c>
      <c r="D1241" t="s">
        <v>29</v>
      </c>
      <c r="E1241">
        <v>1.57</v>
      </c>
      <c r="F1241">
        <v>5.62</v>
      </c>
      <c r="G1241" s="8">
        <f t="shared" si="19"/>
        <v>16.761565836298931</v>
      </c>
    </row>
    <row r="1242" spans="1:7" x14ac:dyDescent="0.25">
      <c r="A1242" s="87">
        <v>45804.75</v>
      </c>
      <c r="B1242">
        <v>23</v>
      </c>
      <c r="C1242" t="s">
        <v>29</v>
      </c>
      <c r="D1242" t="s">
        <v>30</v>
      </c>
      <c r="E1242">
        <v>1.43</v>
      </c>
      <c r="F1242">
        <v>6.87</v>
      </c>
      <c r="G1242" s="8">
        <f t="shared" si="19"/>
        <v>12.489082969432314</v>
      </c>
    </row>
    <row r="1243" spans="1:7" x14ac:dyDescent="0.25">
      <c r="A1243" s="87">
        <v>45804.75</v>
      </c>
      <c r="B1243">
        <v>24</v>
      </c>
      <c r="C1243" t="s">
        <v>30</v>
      </c>
      <c r="D1243" t="s">
        <v>31</v>
      </c>
      <c r="E1243">
        <v>1.52</v>
      </c>
      <c r="F1243">
        <v>5</v>
      </c>
      <c r="G1243" s="8">
        <f t="shared" si="19"/>
        <v>18.240000000000002</v>
      </c>
    </row>
    <row r="1244" spans="1:7" x14ac:dyDescent="0.25">
      <c r="A1244" s="87">
        <v>45804.75</v>
      </c>
      <c r="B1244">
        <v>25</v>
      </c>
      <c r="C1244" t="s">
        <v>31</v>
      </c>
      <c r="D1244" t="s">
        <v>32</v>
      </c>
      <c r="E1244">
        <v>1.52</v>
      </c>
      <c r="F1244">
        <v>4.0199999999999996</v>
      </c>
      <c r="G1244" s="8">
        <f t="shared" si="19"/>
        <v>22.686567164179106</v>
      </c>
    </row>
    <row r="1245" spans="1:7" x14ac:dyDescent="0.25">
      <c r="A1245" s="87">
        <v>45804.75</v>
      </c>
      <c r="B1245">
        <v>26</v>
      </c>
      <c r="C1245" t="s">
        <v>32</v>
      </c>
      <c r="D1245" t="s">
        <v>33</v>
      </c>
      <c r="E1245">
        <v>1.49</v>
      </c>
      <c r="F1245">
        <v>9.92</v>
      </c>
      <c r="G1245" s="8">
        <f t="shared" si="19"/>
        <v>9.0120967741935498</v>
      </c>
    </row>
    <row r="1246" spans="1:7" x14ac:dyDescent="0.25">
      <c r="A1246" s="87">
        <v>45804.75</v>
      </c>
      <c r="B1246">
        <v>27</v>
      </c>
      <c r="C1246" t="s">
        <v>33</v>
      </c>
      <c r="D1246" t="s">
        <v>34</v>
      </c>
      <c r="E1246">
        <v>1.53</v>
      </c>
      <c r="F1246">
        <v>4.08</v>
      </c>
      <c r="G1246" s="8">
        <f t="shared" si="19"/>
        <v>22.5</v>
      </c>
    </row>
    <row r="1247" spans="1:7" x14ac:dyDescent="0.25">
      <c r="A1247" s="87">
        <v>45804.75</v>
      </c>
      <c r="B1247">
        <v>28</v>
      </c>
      <c r="C1247" t="s">
        <v>34</v>
      </c>
      <c r="D1247" t="s">
        <v>35</v>
      </c>
      <c r="E1247">
        <v>1.51</v>
      </c>
      <c r="F1247">
        <v>4.88</v>
      </c>
      <c r="G1247" s="8">
        <f t="shared" si="19"/>
        <v>18.565573770491802</v>
      </c>
    </row>
    <row r="1248" spans="1:7" x14ac:dyDescent="0.25">
      <c r="A1248" s="87">
        <v>45804.75</v>
      </c>
      <c r="B1248">
        <v>29</v>
      </c>
      <c r="C1248" t="s">
        <v>36</v>
      </c>
      <c r="D1248" t="s">
        <v>37</v>
      </c>
      <c r="E1248">
        <v>1.57</v>
      </c>
      <c r="F1248">
        <v>4.07</v>
      </c>
      <c r="G1248" s="8">
        <f t="shared" si="19"/>
        <v>23.144963144963143</v>
      </c>
    </row>
    <row r="1249" spans="1:7" x14ac:dyDescent="0.25">
      <c r="A1249" s="87">
        <v>45804.75</v>
      </c>
      <c r="B1249">
        <v>30</v>
      </c>
      <c r="C1249" t="s">
        <v>37</v>
      </c>
      <c r="D1249" t="s">
        <v>38</v>
      </c>
      <c r="E1249">
        <v>1.57</v>
      </c>
      <c r="F1249">
        <v>4.07</v>
      </c>
      <c r="G1249" s="8">
        <f t="shared" si="19"/>
        <v>23.144963144963143</v>
      </c>
    </row>
    <row r="1250" spans="1:7" x14ac:dyDescent="0.25">
      <c r="A1250" s="87">
        <v>45804.75</v>
      </c>
      <c r="B1250">
        <v>31</v>
      </c>
      <c r="C1250" t="s">
        <v>38</v>
      </c>
      <c r="D1250" t="s">
        <v>39</v>
      </c>
      <c r="E1250">
        <v>1.52</v>
      </c>
      <c r="F1250">
        <v>3.75</v>
      </c>
      <c r="G1250" s="8">
        <f t="shared" si="19"/>
        <v>24.32</v>
      </c>
    </row>
    <row r="1251" spans="1:7" x14ac:dyDescent="0.25">
      <c r="A1251" s="87">
        <v>45804.75</v>
      </c>
      <c r="B1251">
        <v>32</v>
      </c>
      <c r="C1251" t="s">
        <v>39</v>
      </c>
      <c r="D1251" t="s">
        <v>40</v>
      </c>
      <c r="E1251">
        <v>1.5</v>
      </c>
      <c r="F1251">
        <v>2.35</v>
      </c>
      <c r="G1251" s="8">
        <f t="shared" si="19"/>
        <v>38.297872340425528</v>
      </c>
    </row>
    <row r="1252" spans="1:7" x14ac:dyDescent="0.25">
      <c r="A1252" s="87">
        <v>45804.75</v>
      </c>
      <c r="B1252">
        <v>33</v>
      </c>
      <c r="C1252" t="s">
        <v>40</v>
      </c>
      <c r="D1252" t="s">
        <v>41</v>
      </c>
      <c r="E1252">
        <v>1.51</v>
      </c>
      <c r="F1252">
        <v>2.2999999999999998</v>
      </c>
      <c r="G1252" s="8">
        <f t="shared" si="19"/>
        <v>39.391304347826086</v>
      </c>
    </row>
    <row r="1253" spans="1:7" x14ac:dyDescent="0.25">
      <c r="A1253" s="87">
        <v>45804.75</v>
      </c>
      <c r="B1253">
        <v>34</v>
      </c>
      <c r="C1253" t="s">
        <v>41</v>
      </c>
      <c r="D1253" t="s">
        <v>42</v>
      </c>
      <c r="E1253">
        <v>1.5</v>
      </c>
      <c r="F1253">
        <v>2.23</v>
      </c>
      <c r="G1253" s="8">
        <f t="shared" si="19"/>
        <v>40.358744394618832</v>
      </c>
    </row>
    <row r="1254" spans="1:7" x14ac:dyDescent="0.25">
      <c r="A1254" s="87">
        <v>45804.75</v>
      </c>
      <c r="B1254">
        <v>35</v>
      </c>
      <c r="C1254" t="s">
        <v>43</v>
      </c>
      <c r="D1254" t="s">
        <v>44</v>
      </c>
      <c r="E1254">
        <v>1.55</v>
      </c>
      <c r="F1254">
        <v>5.2</v>
      </c>
      <c r="G1254" s="8">
        <f t="shared" si="19"/>
        <v>17.884615384615383</v>
      </c>
    </row>
    <row r="1255" spans="1:7" x14ac:dyDescent="0.25">
      <c r="A1255" s="87">
        <v>45804.75</v>
      </c>
      <c r="B1255">
        <v>36</v>
      </c>
      <c r="C1255" t="s">
        <v>44</v>
      </c>
      <c r="D1255" t="s">
        <v>45</v>
      </c>
      <c r="E1255">
        <v>1.5</v>
      </c>
      <c r="F1255">
        <v>4.97</v>
      </c>
      <c r="G1255" s="8">
        <f t="shared" si="19"/>
        <v>18.108651911468815</v>
      </c>
    </row>
    <row r="1256" spans="1:7" x14ac:dyDescent="0.25">
      <c r="A1256" s="87">
        <v>45804.75</v>
      </c>
      <c r="B1256">
        <v>37</v>
      </c>
      <c r="C1256" t="s">
        <v>45</v>
      </c>
      <c r="D1256" t="s">
        <v>46</v>
      </c>
      <c r="E1256">
        <v>1.38</v>
      </c>
      <c r="F1256">
        <v>6.32</v>
      </c>
      <c r="G1256" s="8">
        <f t="shared" si="19"/>
        <v>13.101265822784809</v>
      </c>
    </row>
    <row r="1257" spans="1:7" x14ac:dyDescent="0.25">
      <c r="A1257" s="87">
        <v>45804.75</v>
      </c>
      <c r="B1257">
        <v>38</v>
      </c>
      <c r="C1257" t="s">
        <v>46</v>
      </c>
      <c r="D1257" t="s">
        <v>47</v>
      </c>
      <c r="E1257">
        <v>1.61</v>
      </c>
      <c r="F1257">
        <v>4.7300000000000004</v>
      </c>
      <c r="G1257" s="8">
        <f t="shared" si="19"/>
        <v>20.422832980972515</v>
      </c>
    </row>
    <row r="1258" spans="1:7" x14ac:dyDescent="0.25">
      <c r="A1258" s="87">
        <v>45804.75</v>
      </c>
      <c r="B1258">
        <v>39</v>
      </c>
      <c r="C1258" t="s">
        <v>47</v>
      </c>
      <c r="D1258" t="s">
        <v>48</v>
      </c>
      <c r="E1258">
        <v>1.55</v>
      </c>
      <c r="F1258">
        <v>3.88</v>
      </c>
      <c r="G1258" s="8">
        <f t="shared" si="19"/>
        <v>23.969072164948454</v>
      </c>
    </row>
    <row r="1259" spans="1:7" x14ac:dyDescent="0.25">
      <c r="A1259" s="87">
        <v>45804.75</v>
      </c>
      <c r="B1259">
        <v>40</v>
      </c>
      <c r="C1259" t="s">
        <v>48</v>
      </c>
      <c r="D1259" t="s">
        <v>49</v>
      </c>
      <c r="E1259">
        <v>1.39</v>
      </c>
      <c r="F1259">
        <v>3.47</v>
      </c>
      <c r="G1259" s="8">
        <f t="shared" si="19"/>
        <v>24.034582132564839</v>
      </c>
    </row>
    <row r="1260" spans="1:7" x14ac:dyDescent="0.25">
      <c r="A1260" s="87">
        <v>45804.75</v>
      </c>
      <c r="B1260">
        <v>41</v>
      </c>
      <c r="C1260" t="s">
        <v>50</v>
      </c>
      <c r="D1260" t="s">
        <v>51</v>
      </c>
      <c r="E1260">
        <v>1.56</v>
      </c>
      <c r="F1260">
        <v>7.27</v>
      </c>
      <c r="G1260" s="8">
        <f t="shared" si="19"/>
        <v>12.874828060522699</v>
      </c>
    </row>
    <row r="1261" spans="1:7" x14ac:dyDescent="0.25">
      <c r="A1261" s="87">
        <v>45804.75</v>
      </c>
      <c r="B1261">
        <v>42</v>
      </c>
      <c r="C1261" t="s">
        <v>51</v>
      </c>
      <c r="D1261" t="s">
        <v>52</v>
      </c>
      <c r="E1261">
        <v>1.56</v>
      </c>
      <c r="F1261">
        <v>5.5</v>
      </c>
      <c r="G1261" s="8">
        <f t="shared" si="19"/>
        <v>17.018181818181819</v>
      </c>
    </row>
    <row r="1262" spans="1:7" x14ac:dyDescent="0.25">
      <c r="A1262" s="87">
        <v>45804.75</v>
      </c>
      <c r="B1262">
        <v>43</v>
      </c>
      <c r="C1262" t="s">
        <v>52</v>
      </c>
      <c r="D1262" t="s">
        <v>53</v>
      </c>
      <c r="E1262">
        <v>1.51</v>
      </c>
      <c r="F1262">
        <v>5.05</v>
      </c>
      <c r="G1262" s="8">
        <f t="shared" si="19"/>
        <v>17.940594059405939</v>
      </c>
    </row>
    <row r="1263" spans="1:7" x14ac:dyDescent="0.25">
      <c r="A1263" s="87">
        <v>45804.75</v>
      </c>
      <c r="B1263">
        <v>44</v>
      </c>
      <c r="C1263" t="s">
        <v>54</v>
      </c>
      <c r="D1263" t="s">
        <v>55</v>
      </c>
      <c r="E1263">
        <v>1.51</v>
      </c>
      <c r="F1263">
        <v>4.88</v>
      </c>
      <c r="G1263" s="8">
        <f t="shared" si="19"/>
        <v>18.565573770491802</v>
      </c>
    </row>
    <row r="1264" spans="1:7" x14ac:dyDescent="0.25">
      <c r="A1264" s="87">
        <v>45804.75</v>
      </c>
      <c r="B1264">
        <v>45</v>
      </c>
      <c r="C1264" t="s">
        <v>55</v>
      </c>
      <c r="D1264" t="s">
        <v>56</v>
      </c>
      <c r="E1264">
        <v>1.49</v>
      </c>
      <c r="F1264">
        <v>4.82</v>
      </c>
      <c r="G1264" s="8">
        <f t="shared" si="19"/>
        <v>18.547717842323653</v>
      </c>
    </row>
    <row r="1265" spans="1:7" x14ac:dyDescent="0.25">
      <c r="A1265" s="87">
        <v>45804.75</v>
      </c>
      <c r="B1265">
        <v>46</v>
      </c>
      <c r="C1265" t="s">
        <v>56</v>
      </c>
      <c r="D1265" t="s">
        <v>57</v>
      </c>
      <c r="E1265">
        <v>1.52</v>
      </c>
      <c r="F1265">
        <v>6.78</v>
      </c>
      <c r="G1265" s="8">
        <f t="shared" si="19"/>
        <v>13.451327433628318</v>
      </c>
    </row>
    <row r="1266" spans="1:7" x14ac:dyDescent="0.25">
      <c r="A1266" s="87">
        <v>45804.75</v>
      </c>
      <c r="B1266">
        <v>47</v>
      </c>
      <c r="C1266" t="s">
        <v>58</v>
      </c>
      <c r="D1266" t="s">
        <v>59</v>
      </c>
      <c r="E1266">
        <v>1.52</v>
      </c>
      <c r="F1266">
        <v>6.85</v>
      </c>
      <c r="G1266" s="8">
        <f t="shared" si="19"/>
        <v>13.313868613138688</v>
      </c>
    </row>
    <row r="1267" spans="1:7" x14ac:dyDescent="0.25">
      <c r="A1267" s="87">
        <v>45804.75</v>
      </c>
      <c r="B1267">
        <v>48</v>
      </c>
      <c r="C1267" t="s">
        <v>59</v>
      </c>
      <c r="D1267" t="s">
        <v>60</v>
      </c>
      <c r="E1267">
        <v>1.5</v>
      </c>
      <c r="F1267">
        <v>6.95</v>
      </c>
      <c r="G1267" s="8">
        <f t="shared" si="19"/>
        <v>12.949640287769784</v>
      </c>
    </row>
    <row r="1268" spans="1:7" x14ac:dyDescent="0.25">
      <c r="A1268" s="87">
        <v>45804.75</v>
      </c>
      <c r="B1268">
        <v>49</v>
      </c>
      <c r="C1268" t="s">
        <v>60</v>
      </c>
      <c r="D1268" t="s">
        <v>61</v>
      </c>
      <c r="E1268">
        <v>1.54</v>
      </c>
      <c r="F1268">
        <v>6.92</v>
      </c>
      <c r="G1268" s="8">
        <f t="shared" si="19"/>
        <v>13.352601156069365</v>
      </c>
    </row>
    <row r="1269" spans="1:7" x14ac:dyDescent="0.25">
      <c r="A1269" s="87">
        <v>45804.75</v>
      </c>
      <c r="B1269">
        <v>50</v>
      </c>
      <c r="C1269" t="s">
        <v>62</v>
      </c>
      <c r="D1269" t="s">
        <v>63</v>
      </c>
      <c r="E1269">
        <v>1.38</v>
      </c>
      <c r="F1269">
        <v>3.28</v>
      </c>
      <c r="G1269" s="8">
        <f t="shared" si="19"/>
        <v>25.243902439024392</v>
      </c>
    </row>
    <row r="1270" spans="1:7" x14ac:dyDescent="0.25">
      <c r="A1270" s="87">
        <v>45804.75</v>
      </c>
      <c r="B1270">
        <v>51</v>
      </c>
      <c r="C1270" t="s">
        <v>63</v>
      </c>
      <c r="D1270" t="s">
        <v>64</v>
      </c>
      <c r="E1270">
        <v>2.79</v>
      </c>
      <c r="F1270">
        <v>6.25</v>
      </c>
      <c r="G1270" s="8">
        <f t="shared" si="19"/>
        <v>26.784000000000002</v>
      </c>
    </row>
    <row r="1271" spans="1:7" x14ac:dyDescent="0.25">
      <c r="A1271" s="87">
        <v>45804.75</v>
      </c>
      <c r="B1271">
        <v>52</v>
      </c>
      <c r="C1271" t="s">
        <v>64</v>
      </c>
      <c r="D1271" t="s">
        <v>65</v>
      </c>
      <c r="E1271">
        <v>1.5</v>
      </c>
      <c r="F1271">
        <v>3.02</v>
      </c>
      <c r="G1271" s="8">
        <f t="shared" si="19"/>
        <v>29.801324503311257</v>
      </c>
    </row>
    <row r="1272" spans="1:7" x14ac:dyDescent="0.25">
      <c r="A1272" s="87">
        <v>45804.75</v>
      </c>
      <c r="B1272">
        <v>53</v>
      </c>
      <c r="C1272" t="s">
        <v>65</v>
      </c>
      <c r="D1272" t="s">
        <v>66</v>
      </c>
      <c r="E1272">
        <v>1.46</v>
      </c>
      <c r="F1272">
        <v>4.13</v>
      </c>
      <c r="G1272" s="8">
        <f t="shared" si="19"/>
        <v>21.210653753026634</v>
      </c>
    </row>
    <row r="1273" spans="1:7" x14ac:dyDescent="0.25">
      <c r="A1273" s="87">
        <v>45804.75</v>
      </c>
      <c r="B1273">
        <v>54</v>
      </c>
      <c r="C1273" t="s">
        <v>67</v>
      </c>
      <c r="D1273" t="s">
        <v>68</v>
      </c>
      <c r="E1273">
        <v>1.46</v>
      </c>
      <c r="F1273">
        <v>3.97</v>
      </c>
      <c r="G1273" s="8">
        <f t="shared" si="19"/>
        <v>22.065491183879089</v>
      </c>
    </row>
    <row r="1274" spans="1:7" x14ac:dyDescent="0.25">
      <c r="A1274" s="87">
        <v>45804.75</v>
      </c>
      <c r="B1274">
        <v>55</v>
      </c>
      <c r="C1274" t="s">
        <v>68</v>
      </c>
      <c r="D1274" t="s">
        <v>69</v>
      </c>
      <c r="E1274">
        <v>1.5</v>
      </c>
      <c r="F1274">
        <v>2.25</v>
      </c>
      <c r="G1274" s="8">
        <f t="shared" si="19"/>
        <v>40</v>
      </c>
    </row>
    <row r="1275" spans="1:7" x14ac:dyDescent="0.25">
      <c r="A1275" s="87">
        <v>45804.75</v>
      </c>
      <c r="B1275">
        <v>56</v>
      </c>
      <c r="C1275" t="s">
        <v>70</v>
      </c>
      <c r="D1275" t="s">
        <v>71</v>
      </c>
      <c r="E1275">
        <v>1.51</v>
      </c>
      <c r="F1275">
        <v>4.9000000000000004</v>
      </c>
      <c r="G1275" s="8">
        <f t="shared" si="19"/>
        <v>18.489795918367346</v>
      </c>
    </row>
    <row r="1276" spans="1:7" x14ac:dyDescent="0.25">
      <c r="A1276" s="87">
        <v>45804.75</v>
      </c>
      <c r="B1276">
        <v>57</v>
      </c>
      <c r="C1276" t="s">
        <v>71</v>
      </c>
      <c r="D1276" t="s">
        <v>72</v>
      </c>
      <c r="E1276">
        <v>1.52</v>
      </c>
      <c r="F1276">
        <v>7.03</v>
      </c>
      <c r="G1276" s="8">
        <f t="shared" si="19"/>
        <v>12.972972972972974</v>
      </c>
    </row>
    <row r="1277" spans="1:7" x14ac:dyDescent="0.25">
      <c r="A1277" s="87">
        <v>45804.75</v>
      </c>
      <c r="B1277">
        <v>58</v>
      </c>
      <c r="C1277" t="s">
        <v>72</v>
      </c>
      <c r="D1277" t="s">
        <v>73</v>
      </c>
      <c r="E1277">
        <v>1.5</v>
      </c>
      <c r="F1277">
        <v>5.82</v>
      </c>
      <c r="G1277" s="8">
        <f t="shared" si="19"/>
        <v>15.463917525773196</v>
      </c>
    </row>
    <row r="1278" spans="1:7" x14ac:dyDescent="0.25">
      <c r="A1278" s="87">
        <v>45804.760416666664</v>
      </c>
      <c r="B1278">
        <v>1</v>
      </c>
      <c r="C1278" t="s">
        <v>6</v>
      </c>
      <c r="D1278" t="s">
        <v>7</v>
      </c>
      <c r="E1278">
        <v>1.53</v>
      </c>
      <c r="F1278">
        <v>3.75</v>
      </c>
      <c r="G1278" s="8">
        <f t="shared" si="19"/>
        <v>24.48</v>
      </c>
    </row>
    <row r="1279" spans="1:7" x14ac:dyDescent="0.25">
      <c r="A1279" s="87">
        <v>45804.760416666664</v>
      </c>
      <c r="B1279">
        <v>2</v>
      </c>
      <c r="C1279" t="s">
        <v>7</v>
      </c>
      <c r="D1279" t="s">
        <v>8</v>
      </c>
      <c r="E1279">
        <v>1.57</v>
      </c>
      <c r="F1279">
        <v>7.6</v>
      </c>
      <c r="G1279" s="8">
        <f t="shared" si="19"/>
        <v>12.394736842105264</v>
      </c>
    </row>
    <row r="1280" spans="1:7" x14ac:dyDescent="0.25">
      <c r="A1280" s="87">
        <v>45804.760416666664</v>
      </c>
      <c r="B1280">
        <v>3</v>
      </c>
      <c r="C1280" t="s">
        <v>8</v>
      </c>
      <c r="D1280" t="s">
        <v>9</v>
      </c>
      <c r="E1280">
        <v>1.5</v>
      </c>
      <c r="F1280">
        <v>3.88</v>
      </c>
      <c r="G1280" s="8">
        <f t="shared" si="19"/>
        <v>23.195876288659793</v>
      </c>
    </row>
    <row r="1281" spans="1:7" x14ac:dyDescent="0.25">
      <c r="A1281" s="87">
        <v>45804.760416666664</v>
      </c>
      <c r="B1281">
        <v>4</v>
      </c>
      <c r="C1281" t="s">
        <v>9</v>
      </c>
      <c r="D1281" t="s">
        <v>10</v>
      </c>
      <c r="E1281">
        <v>1.5</v>
      </c>
      <c r="F1281">
        <v>3.18</v>
      </c>
      <c r="G1281" s="8">
        <f t="shared" si="19"/>
        <v>28.30188679245283</v>
      </c>
    </row>
    <row r="1282" spans="1:7" x14ac:dyDescent="0.25">
      <c r="A1282" s="87">
        <v>45804.760416666664</v>
      </c>
      <c r="B1282">
        <v>5</v>
      </c>
      <c r="C1282" t="s">
        <v>10</v>
      </c>
      <c r="D1282" t="s">
        <v>11</v>
      </c>
      <c r="E1282">
        <v>1.52</v>
      </c>
      <c r="F1282">
        <v>4.1500000000000004</v>
      </c>
      <c r="G1282" s="8">
        <f t="shared" si="19"/>
        <v>21.975903614457831</v>
      </c>
    </row>
    <row r="1283" spans="1:7" x14ac:dyDescent="0.25">
      <c r="A1283" s="87">
        <v>45804.760416666664</v>
      </c>
      <c r="B1283">
        <v>6</v>
      </c>
      <c r="C1283" t="s">
        <v>11</v>
      </c>
      <c r="D1283" t="s">
        <v>12</v>
      </c>
      <c r="E1283">
        <v>1.5</v>
      </c>
      <c r="F1283">
        <v>2.85</v>
      </c>
      <c r="G1283" s="8">
        <f t="shared" ref="G1283:G1346" si="20">E1283*60/F1283</f>
        <v>31.578947368421051</v>
      </c>
    </row>
    <row r="1284" spans="1:7" x14ac:dyDescent="0.25">
      <c r="A1284" s="87">
        <v>45804.760416666664</v>
      </c>
      <c r="B1284">
        <v>7</v>
      </c>
      <c r="C1284" t="s">
        <v>12</v>
      </c>
      <c r="D1284" t="s">
        <v>13</v>
      </c>
      <c r="E1284">
        <v>1.54</v>
      </c>
      <c r="F1284">
        <v>2.7</v>
      </c>
      <c r="G1284" s="8">
        <f t="shared" si="20"/>
        <v>34.222222222222221</v>
      </c>
    </row>
    <row r="1285" spans="1:7" x14ac:dyDescent="0.25">
      <c r="A1285" s="87">
        <v>45804.760416666664</v>
      </c>
      <c r="B1285">
        <v>8</v>
      </c>
      <c r="C1285" t="s">
        <v>13</v>
      </c>
      <c r="D1285" t="s">
        <v>14</v>
      </c>
      <c r="E1285">
        <v>1.54</v>
      </c>
      <c r="F1285">
        <v>3.15</v>
      </c>
      <c r="G1285" s="8">
        <f t="shared" si="20"/>
        <v>29.333333333333336</v>
      </c>
    </row>
    <row r="1286" spans="1:7" x14ac:dyDescent="0.25">
      <c r="A1286" s="87">
        <v>45804.760416666664</v>
      </c>
      <c r="B1286">
        <v>9</v>
      </c>
      <c r="C1286" t="s">
        <v>14</v>
      </c>
      <c r="D1286" t="s">
        <v>15</v>
      </c>
      <c r="E1286">
        <v>1.52</v>
      </c>
      <c r="F1286">
        <v>4.37</v>
      </c>
      <c r="G1286" s="8">
        <f t="shared" si="20"/>
        <v>20.869565217391305</v>
      </c>
    </row>
    <row r="1287" spans="1:7" x14ac:dyDescent="0.25">
      <c r="A1287" s="87">
        <v>45804.760416666664</v>
      </c>
      <c r="B1287">
        <v>10</v>
      </c>
      <c r="C1287" t="s">
        <v>15</v>
      </c>
      <c r="D1287" t="s">
        <v>16</v>
      </c>
      <c r="E1287">
        <v>1.5</v>
      </c>
      <c r="F1287">
        <v>5.23</v>
      </c>
      <c r="G1287" s="8">
        <f t="shared" si="20"/>
        <v>17.208413001912046</v>
      </c>
    </row>
    <row r="1288" spans="1:7" x14ac:dyDescent="0.25">
      <c r="A1288" s="87">
        <v>45804.760416666664</v>
      </c>
      <c r="B1288">
        <v>11</v>
      </c>
      <c r="C1288" t="s">
        <v>16</v>
      </c>
      <c r="D1288" t="s">
        <v>17</v>
      </c>
      <c r="E1288">
        <v>1.48</v>
      </c>
      <c r="F1288">
        <v>5.25</v>
      </c>
      <c r="G1288" s="8">
        <f t="shared" si="20"/>
        <v>16.914285714285715</v>
      </c>
    </row>
    <row r="1289" spans="1:7" x14ac:dyDescent="0.25">
      <c r="A1289" s="87">
        <v>45804.760416666664</v>
      </c>
      <c r="B1289">
        <v>12</v>
      </c>
      <c r="C1289" t="s">
        <v>17</v>
      </c>
      <c r="D1289" t="s">
        <v>18</v>
      </c>
      <c r="E1289">
        <v>1.46</v>
      </c>
      <c r="F1289">
        <v>5.08</v>
      </c>
      <c r="G1289" s="8">
        <f t="shared" si="20"/>
        <v>17.244094488188974</v>
      </c>
    </row>
    <row r="1290" spans="1:7" x14ac:dyDescent="0.25">
      <c r="A1290" s="87">
        <v>45804.760416666664</v>
      </c>
      <c r="B1290">
        <v>13</v>
      </c>
      <c r="C1290" t="s">
        <v>18</v>
      </c>
      <c r="D1290" t="s">
        <v>19</v>
      </c>
      <c r="E1290">
        <v>1.52</v>
      </c>
      <c r="F1290">
        <v>6.45</v>
      </c>
      <c r="G1290" s="8">
        <f t="shared" si="20"/>
        <v>14.13953488372093</v>
      </c>
    </row>
    <row r="1291" spans="1:7" x14ac:dyDescent="0.25">
      <c r="A1291" s="87">
        <v>45804.760416666664</v>
      </c>
      <c r="B1291">
        <v>14</v>
      </c>
      <c r="C1291" t="s">
        <v>19</v>
      </c>
      <c r="D1291" t="s">
        <v>20</v>
      </c>
      <c r="E1291">
        <v>1.51</v>
      </c>
      <c r="F1291">
        <v>4.18</v>
      </c>
      <c r="G1291" s="8">
        <f t="shared" si="20"/>
        <v>21.67464114832536</v>
      </c>
    </row>
    <row r="1292" spans="1:7" x14ac:dyDescent="0.25">
      <c r="A1292" s="87">
        <v>45804.760416666664</v>
      </c>
      <c r="B1292">
        <v>15</v>
      </c>
      <c r="C1292" t="s">
        <v>20</v>
      </c>
      <c r="D1292" t="s">
        <v>21</v>
      </c>
      <c r="E1292">
        <v>1.47</v>
      </c>
      <c r="F1292">
        <v>2.23</v>
      </c>
      <c r="G1292" s="8">
        <f t="shared" si="20"/>
        <v>39.551569506726459</v>
      </c>
    </row>
    <row r="1293" spans="1:7" x14ac:dyDescent="0.25">
      <c r="A1293" s="87">
        <v>45804.760416666664</v>
      </c>
      <c r="B1293">
        <v>16</v>
      </c>
      <c r="C1293" t="s">
        <v>21</v>
      </c>
      <c r="D1293" t="s">
        <v>22</v>
      </c>
      <c r="E1293">
        <v>1.5</v>
      </c>
      <c r="F1293">
        <v>3.9</v>
      </c>
      <c r="G1293" s="8">
        <f t="shared" si="20"/>
        <v>23.076923076923077</v>
      </c>
    </row>
    <row r="1294" spans="1:7" x14ac:dyDescent="0.25">
      <c r="A1294" s="87">
        <v>45804.760416666664</v>
      </c>
      <c r="B1294">
        <v>17</v>
      </c>
      <c r="C1294" t="s">
        <v>22</v>
      </c>
      <c r="D1294" t="s">
        <v>23</v>
      </c>
      <c r="E1294">
        <v>1.51</v>
      </c>
      <c r="F1294">
        <v>4.67</v>
      </c>
      <c r="G1294" s="8">
        <f t="shared" si="20"/>
        <v>19.400428265524624</v>
      </c>
    </row>
    <row r="1295" spans="1:7" x14ac:dyDescent="0.25">
      <c r="A1295" s="87">
        <v>45804.760416666664</v>
      </c>
      <c r="B1295">
        <v>18</v>
      </c>
      <c r="C1295" t="s">
        <v>23</v>
      </c>
      <c r="D1295" t="s">
        <v>24</v>
      </c>
      <c r="E1295">
        <v>1.51</v>
      </c>
      <c r="F1295">
        <v>4.57</v>
      </c>
      <c r="G1295" s="8">
        <f t="shared" si="20"/>
        <v>19.824945295404813</v>
      </c>
    </row>
    <row r="1296" spans="1:7" x14ac:dyDescent="0.25">
      <c r="A1296" s="87">
        <v>45804.760416666664</v>
      </c>
      <c r="B1296">
        <v>19</v>
      </c>
      <c r="C1296" t="s">
        <v>25</v>
      </c>
      <c r="D1296" t="s">
        <v>26</v>
      </c>
      <c r="E1296">
        <v>1.5</v>
      </c>
      <c r="F1296">
        <v>3.65</v>
      </c>
      <c r="G1296" s="8">
        <f t="shared" si="20"/>
        <v>24.657534246575342</v>
      </c>
    </row>
    <row r="1297" spans="1:7" x14ac:dyDescent="0.25">
      <c r="A1297" s="87">
        <v>45804.760416666664</v>
      </c>
      <c r="B1297">
        <v>20</v>
      </c>
      <c r="C1297" t="s">
        <v>26</v>
      </c>
      <c r="D1297" t="s">
        <v>27</v>
      </c>
      <c r="E1297">
        <v>1.48</v>
      </c>
      <c r="F1297">
        <v>3.5</v>
      </c>
      <c r="G1297" s="8">
        <f t="shared" si="20"/>
        <v>25.37142857142857</v>
      </c>
    </row>
    <row r="1298" spans="1:7" x14ac:dyDescent="0.25">
      <c r="A1298" s="87">
        <v>45804.760416666664</v>
      </c>
      <c r="B1298">
        <v>21</v>
      </c>
      <c r="C1298" t="s">
        <v>27</v>
      </c>
      <c r="D1298" t="s">
        <v>28</v>
      </c>
      <c r="E1298">
        <v>1.51</v>
      </c>
      <c r="F1298">
        <v>3.98</v>
      </c>
      <c r="G1298" s="8">
        <f t="shared" si="20"/>
        <v>22.763819095477384</v>
      </c>
    </row>
    <row r="1299" spans="1:7" x14ac:dyDescent="0.25">
      <c r="A1299" s="87">
        <v>45804.760416666664</v>
      </c>
      <c r="B1299">
        <v>22</v>
      </c>
      <c r="C1299" t="s">
        <v>28</v>
      </c>
      <c r="D1299" t="s">
        <v>29</v>
      </c>
      <c r="E1299">
        <v>1.57</v>
      </c>
      <c r="F1299">
        <v>7.22</v>
      </c>
      <c r="G1299" s="8">
        <f t="shared" si="20"/>
        <v>13.047091412742382</v>
      </c>
    </row>
    <row r="1300" spans="1:7" x14ac:dyDescent="0.25">
      <c r="A1300" s="87">
        <v>45804.760416666664</v>
      </c>
      <c r="B1300">
        <v>23</v>
      </c>
      <c r="C1300" t="s">
        <v>29</v>
      </c>
      <c r="D1300" t="s">
        <v>30</v>
      </c>
      <c r="E1300">
        <v>1.43</v>
      </c>
      <c r="F1300">
        <v>7.3</v>
      </c>
      <c r="G1300" s="8">
        <f t="shared" si="20"/>
        <v>11.753424657534246</v>
      </c>
    </row>
    <row r="1301" spans="1:7" x14ac:dyDescent="0.25">
      <c r="A1301" s="87">
        <v>45804.760416666664</v>
      </c>
      <c r="B1301">
        <v>24</v>
      </c>
      <c r="C1301" t="s">
        <v>30</v>
      </c>
      <c r="D1301" t="s">
        <v>31</v>
      </c>
      <c r="E1301">
        <v>1.52</v>
      </c>
      <c r="F1301">
        <v>4.87</v>
      </c>
      <c r="G1301" s="8">
        <f t="shared" si="20"/>
        <v>18.726899383983572</v>
      </c>
    </row>
    <row r="1302" spans="1:7" x14ac:dyDescent="0.25">
      <c r="A1302" s="87">
        <v>45804.760416666664</v>
      </c>
      <c r="B1302">
        <v>25</v>
      </c>
      <c r="C1302" t="s">
        <v>31</v>
      </c>
      <c r="D1302" t="s">
        <v>32</v>
      </c>
      <c r="E1302">
        <v>1.52</v>
      </c>
      <c r="F1302">
        <v>4.38</v>
      </c>
      <c r="G1302" s="8">
        <f t="shared" si="20"/>
        <v>20.82191780821918</v>
      </c>
    </row>
    <row r="1303" spans="1:7" x14ac:dyDescent="0.25">
      <c r="A1303" s="87">
        <v>45804.760416666664</v>
      </c>
      <c r="B1303">
        <v>26</v>
      </c>
      <c r="C1303" t="s">
        <v>32</v>
      </c>
      <c r="D1303" t="s">
        <v>33</v>
      </c>
      <c r="E1303">
        <v>1.49</v>
      </c>
      <c r="F1303">
        <v>9.93</v>
      </c>
      <c r="G1303" s="8">
        <f t="shared" si="20"/>
        <v>9.0030211480362539</v>
      </c>
    </row>
    <row r="1304" spans="1:7" x14ac:dyDescent="0.25">
      <c r="A1304" s="87">
        <v>45804.760416666664</v>
      </c>
      <c r="B1304">
        <v>27</v>
      </c>
      <c r="C1304" t="s">
        <v>33</v>
      </c>
      <c r="D1304" t="s">
        <v>34</v>
      </c>
      <c r="E1304">
        <v>1.53</v>
      </c>
      <c r="F1304">
        <v>4.63</v>
      </c>
      <c r="G1304" s="8">
        <f t="shared" si="20"/>
        <v>19.827213822894169</v>
      </c>
    </row>
    <row r="1305" spans="1:7" x14ac:dyDescent="0.25">
      <c r="A1305" s="87">
        <v>45804.760416666664</v>
      </c>
      <c r="B1305">
        <v>28</v>
      </c>
      <c r="C1305" t="s">
        <v>34</v>
      </c>
      <c r="D1305" t="s">
        <v>35</v>
      </c>
      <c r="E1305">
        <v>1.51</v>
      </c>
      <c r="F1305">
        <v>4.92</v>
      </c>
      <c r="G1305" s="8">
        <f t="shared" si="20"/>
        <v>18.414634146341463</v>
      </c>
    </row>
    <row r="1306" spans="1:7" x14ac:dyDescent="0.25">
      <c r="A1306" s="87">
        <v>45804.760416666664</v>
      </c>
      <c r="B1306">
        <v>29</v>
      </c>
      <c r="C1306" t="s">
        <v>36</v>
      </c>
      <c r="D1306" t="s">
        <v>37</v>
      </c>
      <c r="E1306">
        <v>1.57</v>
      </c>
      <c r="F1306">
        <v>4.37</v>
      </c>
      <c r="G1306" s="8">
        <f t="shared" si="20"/>
        <v>21.556064073226544</v>
      </c>
    </row>
    <row r="1307" spans="1:7" x14ac:dyDescent="0.25">
      <c r="A1307" s="87">
        <v>45804.760416666664</v>
      </c>
      <c r="B1307">
        <v>30</v>
      </c>
      <c r="C1307" t="s">
        <v>37</v>
      </c>
      <c r="D1307" t="s">
        <v>38</v>
      </c>
      <c r="E1307">
        <v>1.57</v>
      </c>
      <c r="F1307">
        <v>4.07</v>
      </c>
      <c r="G1307" s="8">
        <f t="shared" si="20"/>
        <v>23.144963144963143</v>
      </c>
    </row>
    <row r="1308" spans="1:7" x14ac:dyDescent="0.25">
      <c r="A1308" s="87">
        <v>45804.760416666664</v>
      </c>
      <c r="B1308">
        <v>31</v>
      </c>
      <c r="C1308" t="s">
        <v>38</v>
      </c>
      <c r="D1308" t="s">
        <v>39</v>
      </c>
      <c r="E1308">
        <v>1.52</v>
      </c>
      <c r="F1308">
        <v>3.85</v>
      </c>
      <c r="G1308" s="8">
        <f t="shared" si="20"/>
        <v>23.688311688311689</v>
      </c>
    </row>
    <row r="1309" spans="1:7" x14ac:dyDescent="0.25">
      <c r="A1309" s="87">
        <v>45804.760416666664</v>
      </c>
      <c r="B1309">
        <v>32</v>
      </c>
      <c r="C1309" t="s">
        <v>39</v>
      </c>
      <c r="D1309" t="s">
        <v>40</v>
      </c>
      <c r="E1309">
        <v>1.5</v>
      </c>
      <c r="F1309">
        <v>3.12</v>
      </c>
      <c r="G1309" s="8">
        <f t="shared" si="20"/>
        <v>28.846153846153847</v>
      </c>
    </row>
    <row r="1310" spans="1:7" x14ac:dyDescent="0.25">
      <c r="A1310" s="87">
        <v>45804.760416666664</v>
      </c>
      <c r="B1310">
        <v>33</v>
      </c>
      <c r="C1310" t="s">
        <v>40</v>
      </c>
      <c r="D1310" t="s">
        <v>41</v>
      </c>
      <c r="E1310">
        <v>1.51</v>
      </c>
      <c r="F1310">
        <v>2.83</v>
      </c>
      <c r="G1310" s="8">
        <f t="shared" si="20"/>
        <v>32.014134275618375</v>
      </c>
    </row>
    <row r="1311" spans="1:7" x14ac:dyDescent="0.25">
      <c r="A1311" s="87">
        <v>45804.760416666664</v>
      </c>
      <c r="B1311">
        <v>34</v>
      </c>
      <c r="C1311" t="s">
        <v>41</v>
      </c>
      <c r="D1311" t="s">
        <v>42</v>
      </c>
      <c r="E1311">
        <v>1.5</v>
      </c>
      <c r="F1311">
        <v>2.7</v>
      </c>
      <c r="G1311" s="8">
        <f t="shared" si="20"/>
        <v>33.333333333333329</v>
      </c>
    </row>
    <row r="1312" spans="1:7" x14ac:dyDescent="0.25">
      <c r="A1312" s="87">
        <v>45804.760416666664</v>
      </c>
      <c r="B1312">
        <v>35</v>
      </c>
      <c r="C1312" t="s">
        <v>43</v>
      </c>
      <c r="D1312" t="s">
        <v>44</v>
      </c>
      <c r="E1312">
        <v>1.55</v>
      </c>
      <c r="F1312">
        <v>7.05</v>
      </c>
      <c r="G1312" s="8">
        <f t="shared" si="20"/>
        <v>13.191489361702128</v>
      </c>
    </row>
    <row r="1313" spans="1:7" x14ac:dyDescent="0.25">
      <c r="A1313" s="87">
        <v>45804.760416666664</v>
      </c>
      <c r="B1313">
        <v>36</v>
      </c>
      <c r="C1313" t="s">
        <v>44</v>
      </c>
      <c r="D1313" t="s">
        <v>45</v>
      </c>
      <c r="E1313">
        <v>1.5</v>
      </c>
      <c r="F1313">
        <v>4.45</v>
      </c>
      <c r="G1313" s="8">
        <f t="shared" si="20"/>
        <v>20.224719101123593</v>
      </c>
    </row>
    <row r="1314" spans="1:7" x14ac:dyDescent="0.25">
      <c r="A1314" s="87">
        <v>45804.760416666664</v>
      </c>
      <c r="B1314">
        <v>37</v>
      </c>
      <c r="C1314" t="s">
        <v>45</v>
      </c>
      <c r="D1314" t="s">
        <v>46</v>
      </c>
      <c r="E1314">
        <v>1.38</v>
      </c>
      <c r="F1314">
        <v>5.72</v>
      </c>
      <c r="G1314" s="8">
        <f t="shared" si="20"/>
        <v>14.475524475524475</v>
      </c>
    </row>
    <row r="1315" spans="1:7" x14ac:dyDescent="0.25">
      <c r="A1315" s="87">
        <v>45804.760416666664</v>
      </c>
      <c r="B1315">
        <v>38</v>
      </c>
      <c r="C1315" t="s">
        <v>46</v>
      </c>
      <c r="D1315" t="s">
        <v>47</v>
      </c>
      <c r="E1315">
        <v>1.61</v>
      </c>
      <c r="F1315">
        <v>5.57</v>
      </c>
      <c r="G1315" s="8">
        <f t="shared" si="20"/>
        <v>17.342908438061041</v>
      </c>
    </row>
    <row r="1316" spans="1:7" x14ac:dyDescent="0.25">
      <c r="A1316" s="87">
        <v>45804.760416666664</v>
      </c>
      <c r="B1316">
        <v>39</v>
      </c>
      <c r="C1316" t="s">
        <v>47</v>
      </c>
      <c r="D1316" t="s">
        <v>48</v>
      </c>
      <c r="E1316">
        <v>1.55</v>
      </c>
      <c r="F1316">
        <v>3.8</v>
      </c>
      <c r="G1316" s="8">
        <f t="shared" si="20"/>
        <v>24.473684210526319</v>
      </c>
    </row>
    <row r="1317" spans="1:7" x14ac:dyDescent="0.25">
      <c r="A1317" s="87">
        <v>45804.760416666664</v>
      </c>
      <c r="B1317">
        <v>40</v>
      </c>
      <c r="C1317" t="s">
        <v>48</v>
      </c>
      <c r="D1317" t="s">
        <v>49</v>
      </c>
      <c r="E1317">
        <v>1.39</v>
      </c>
      <c r="F1317">
        <v>3.32</v>
      </c>
      <c r="G1317" s="8">
        <f t="shared" si="20"/>
        <v>25.120481927710841</v>
      </c>
    </row>
    <row r="1318" spans="1:7" x14ac:dyDescent="0.25">
      <c r="A1318" s="87">
        <v>45804.760416666664</v>
      </c>
      <c r="B1318">
        <v>41</v>
      </c>
      <c r="C1318" t="s">
        <v>50</v>
      </c>
      <c r="D1318" t="s">
        <v>51</v>
      </c>
      <c r="E1318">
        <v>1.56</v>
      </c>
      <c r="F1318">
        <v>4.87</v>
      </c>
      <c r="G1318" s="8">
        <f t="shared" si="20"/>
        <v>19.219712525667351</v>
      </c>
    </row>
    <row r="1319" spans="1:7" x14ac:dyDescent="0.25">
      <c r="A1319" s="87">
        <v>45804.760416666664</v>
      </c>
      <c r="B1319">
        <v>42</v>
      </c>
      <c r="C1319" t="s">
        <v>51</v>
      </c>
      <c r="D1319" t="s">
        <v>52</v>
      </c>
      <c r="E1319">
        <v>1.56</v>
      </c>
      <c r="F1319">
        <v>5.7</v>
      </c>
      <c r="G1319" s="8">
        <f t="shared" si="20"/>
        <v>16.421052631578949</v>
      </c>
    </row>
    <row r="1320" spans="1:7" x14ac:dyDescent="0.25">
      <c r="A1320" s="87">
        <v>45804.760416666664</v>
      </c>
      <c r="B1320">
        <v>43</v>
      </c>
      <c r="C1320" t="s">
        <v>52</v>
      </c>
      <c r="D1320" t="s">
        <v>53</v>
      </c>
      <c r="E1320">
        <v>1.51</v>
      </c>
      <c r="F1320">
        <v>4.58</v>
      </c>
      <c r="G1320" s="8">
        <f t="shared" si="20"/>
        <v>19.781659388646286</v>
      </c>
    </row>
    <row r="1321" spans="1:7" x14ac:dyDescent="0.25">
      <c r="A1321" s="87">
        <v>45804.760416666664</v>
      </c>
      <c r="B1321">
        <v>44</v>
      </c>
      <c r="C1321" t="s">
        <v>54</v>
      </c>
      <c r="D1321" t="s">
        <v>55</v>
      </c>
      <c r="E1321">
        <v>1.51</v>
      </c>
      <c r="F1321">
        <v>5.28</v>
      </c>
      <c r="G1321" s="8">
        <f t="shared" si="20"/>
        <v>17.159090909090907</v>
      </c>
    </row>
    <row r="1322" spans="1:7" x14ac:dyDescent="0.25">
      <c r="A1322" s="87">
        <v>45804.760416666664</v>
      </c>
      <c r="B1322">
        <v>45</v>
      </c>
      <c r="C1322" t="s">
        <v>55</v>
      </c>
      <c r="D1322" t="s">
        <v>56</v>
      </c>
      <c r="E1322">
        <v>1.49</v>
      </c>
      <c r="F1322">
        <v>5.67</v>
      </c>
      <c r="G1322" s="8">
        <f t="shared" si="20"/>
        <v>15.767195767195769</v>
      </c>
    </row>
    <row r="1323" spans="1:7" x14ac:dyDescent="0.25">
      <c r="A1323" s="87">
        <v>45804.760416666664</v>
      </c>
      <c r="B1323">
        <v>46</v>
      </c>
      <c r="C1323" t="s">
        <v>56</v>
      </c>
      <c r="D1323" t="s">
        <v>57</v>
      </c>
      <c r="E1323">
        <v>1.52</v>
      </c>
      <c r="F1323">
        <v>6.62</v>
      </c>
      <c r="G1323" s="8">
        <f t="shared" si="20"/>
        <v>13.776435045317221</v>
      </c>
    </row>
    <row r="1324" spans="1:7" x14ac:dyDescent="0.25">
      <c r="A1324" s="87">
        <v>45804.760416666664</v>
      </c>
      <c r="B1324">
        <v>47</v>
      </c>
      <c r="C1324" t="s">
        <v>58</v>
      </c>
      <c r="D1324" t="s">
        <v>59</v>
      </c>
      <c r="E1324">
        <v>1.52</v>
      </c>
      <c r="F1324">
        <v>7.85</v>
      </c>
      <c r="G1324" s="8">
        <f t="shared" si="20"/>
        <v>11.61783439490446</v>
      </c>
    </row>
    <row r="1325" spans="1:7" x14ac:dyDescent="0.25">
      <c r="A1325" s="87">
        <v>45804.760416666664</v>
      </c>
      <c r="B1325">
        <v>48</v>
      </c>
      <c r="C1325" t="s">
        <v>59</v>
      </c>
      <c r="D1325" t="s">
        <v>60</v>
      </c>
      <c r="E1325">
        <v>1.5</v>
      </c>
      <c r="F1325">
        <v>4.53</v>
      </c>
      <c r="G1325" s="8">
        <f t="shared" si="20"/>
        <v>19.867549668874172</v>
      </c>
    </row>
    <row r="1326" spans="1:7" x14ac:dyDescent="0.25">
      <c r="A1326" s="87">
        <v>45804.760416666664</v>
      </c>
      <c r="B1326">
        <v>49</v>
      </c>
      <c r="C1326" t="s">
        <v>60</v>
      </c>
      <c r="D1326" t="s">
        <v>61</v>
      </c>
      <c r="E1326">
        <v>1.54</v>
      </c>
      <c r="F1326">
        <v>8.4499999999999993</v>
      </c>
      <c r="G1326" s="8">
        <f t="shared" si="20"/>
        <v>10.934911242603551</v>
      </c>
    </row>
    <row r="1327" spans="1:7" x14ac:dyDescent="0.25">
      <c r="A1327" s="87">
        <v>45804.760416666664</v>
      </c>
      <c r="B1327">
        <v>50</v>
      </c>
      <c r="C1327" t="s">
        <v>62</v>
      </c>
      <c r="D1327" t="s">
        <v>63</v>
      </c>
      <c r="E1327">
        <v>1.38</v>
      </c>
      <c r="F1327">
        <v>3.4</v>
      </c>
      <c r="G1327" s="8">
        <f t="shared" si="20"/>
        <v>24.352941176470587</v>
      </c>
    </row>
    <row r="1328" spans="1:7" x14ac:dyDescent="0.25">
      <c r="A1328" s="87">
        <v>45804.760416666664</v>
      </c>
      <c r="B1328">
        <v>51</v>
      </c>
      <c r="C1328" t="s">
        <v>63</v>
      </c>
      <c r="D1328" t="s">
        <v>64</v>
      </c>
      <c r="E1328">
        <v>2.79</v>
      </c>
      <c r="F1328">
        <v>6.22</v>
      </c>
      <c r="G1328" s="8">
        <f t="shared" si="20"/>
        <v>26.913183279742768</v>
      </c>
    </row>
    <row r="1329" spans="1:7" x14ac:dyDescent="0.25">
      <c r="A1329" s="87">
        <v>45804.760416666664</v>
      </c>
      <c r="B1329">
        <v>52</v>
      </c>
      <c r="C1329" t="s">
        <v>64</v>
      </c>
      <c r="D1329" t="s">
        <v>65</v>
      </c>
      <c r="E1329">
        <v>1.5</v>
      </c>
      <c r="F1329">
        <v>3.03</v>
      </c>
      <c r="G1329" s="8">
        <f t="shared" si="20"/>
        <v>29.702970297029704</v>
      </c>
    </row>
    <row r="1330" spans="1:7" x14ac:dyDescent="0.25">
      <c r="A1330" s="87">
        <v>45804.760416666664</v>
      </c>
      <c r="B1330">
        <v>53</v>
      </c>
      <c r="C1330" t="s">
        <v>65</v>
      </c>
      <c r="D1330" t="s">
        <v>66</v>
      </c>
      <c r="E1330">
        <v>1.46</v>
      </c>
      <c r="F1330">
        <v>4.0199999999999996</v>
      </c>
      <c r="G1330" s="8">
        <f t="shared" si="20"/>
        <v>21.791044776119403</v>
      </c>
    </row>
    <row r="1331" spans="1:7" x14ac:dyDescent="0.25">
      <c r="A1331" s="87">
        <v>45804.760416666664</v>
      </c>
      <c r="B1331">
        <v>54</v>
      </c>
      <c r="C1331" t="s">
        <v>67</v>
      </c>
      <c r="D1331" t="s">
        <v>68</v>
      </c>
      <c r="E1331">
        <v>1.46</v>
      </c>
      <c r="F1331">
        <v>4.17</v>
      </c>
      <c r="G1331" s="8">
        <f t="shared" si="20"/>
        <v>21.007194244604314</v>
      </c>
    </row>
    <row r="1332" spans="1:7" x14ac:dyDescent="0.25">
      <c r="A1332" s="87">
        <v>45804.760416666664</v>
      </c>
      <c r="B1332">
        <v>55</v>
      </c>
      <c r="C1332" t="s">
        <v>68</v>
      </c>
      <c r="D1332" t="s">
        <v>69</v>
      </c>
      <c r="E1332">
        <v>1.5</v>
      </c>
      <c r="F1332">
        <v>2.33</v>
      </c>
      <c r="G1332" s="8">
        <f t="shared" si="20"/>
        <v>38.626609442060087</v>
      </c>
    </row>
    <row r="1333" spans="1:7" x14ac:dyDescent="0.25">
      <c r="A1333" s="87">
        <v>45804.760416666664</v>
      </c>
      <c r="B1333">
        <v>56</v>
      </c>
      <c r="C1333" t="s">
        <v>70</v>
      </c>
      <c r="D1333" t="s">
        <v>71</v>
      </c>
      <c r="E1333">
        <v>1.51</v>
      </c>
      <c r="F1333">
        <v>5.33</v>
      </c>
      <c r="G1333" s="8">
        <f t="shared" si="20"/>
        <v>16.998123827392117</v>
      </c>
    </row>
    <row r="1334" spans="1:7" x14ac:dyDescent="0.25">
      <c r="A1334" s="87">
        <v>45804.760416666664</v>
      </c>
      <c r="B1334">
        <v>57</v>
      </c>
      <c r="C1334" t="s">
        <v>71</v>
      </c>
      <c r="D1334" t="s">
        <v>72</v>
      </c>
      <c r="E1334">
        <v>2</v>
      </c>
      <c r="F1334">
        <v>6.55</v>
      </c>
      <c r="G1334" s="8">
        <f t="shared" si="20"/>
        <v>18.320610687022903</v>
      </c>
    </row>
    <row r="1335" spans="1:7" x14ac:dyDescent="0.25">
      <c r="A1335" s="87">
        <v>45804.760416666664</v>
      </c>
      <c r="B1335">
        <v>58</v>
      </c>
      <c r="C1335" t="s">
        <v>72</v>
      </c>
      <c r="D1335" t="s">
        <v>73</v>
      </c>
      <c r="E1335">
        <v>1.5</v>
      </c>
      <c r="F1335">
        <v>5.78</v>
      </c>
      <c r="G1335" s="8">
        <f t="shared" si="20"/>
        <v>15.570934256055363</v>
      </c>
    </row>
    <row r="1336" spans="1:7" x14ac:dyDescent="0.25">
      <c r="A1336" s="87">
        <v>45804.770833333336</v>
      </c>
      <c r="B1336">
        <v>1</v>
      </c>
      <c r="C1336" t="s">
        <v>6</v>
      </c>
      <c r="D1336" t="s">
        <v>7</v>
      </c>
      <c r="E1336">
        <v>1.53</v>
      </c>
      <c r="F1336">
        <v>4.83</v>
      </c>
      <c r="G1336" s="8">
        <f t="shared" si="20"/>
        <v>19.006211180124222</v>
      </c>
    </row>
    <row r="1337" spans="1:7" x14ac:dyDescent="0.25">
      <c r="A1337" s="87">
        <v>45804.770833333336</v>
      </c>
      <c r="B1337">
        <v>2</v>
      </c>
      <c r="C1337" t="s">
        <v>7</v>
      </c>
      <c r="D1337" t="s">
        <v>8</v>
      </c>
      <c r="E1337">
        <v>1.57</v>
      </c>
      <c r="F1337">
        <v>7.07</v>
      </c>
      <c r="G1337" s="8">
        <f t="shared" si="20"/>
        <v>13.323903818953324</v>
      </c>
    </row>
    <row r="1338" spans="1:7" x14ac:dyDescent="0.25">
      <c r="A1338" s="87">
        <v>45804.770833333336</v>
      </c>
      <c r="B1338">
        <v>3</v>
      </c>
      <c r="C1338" t="s">
        <v>8</v>
      </c>
      <c r="D1338" t="s">
        <v>9</v>
      </c>
      <c r="E1338">
        <v>1.5</v>
      </c>
      <c r="F1338">
        <v>3.8</v>
      </c>
      <c r="G1338" s="8">
        <f t="shared" si="20"/>
        <v>23.684210526315791</v>
      </c>
    </row>
    <row r="1339" spans="1:7" x14ac:dyDescent="0.25">
      <c r="A1339" s="87">
        <v>45804.770833333336</v>
      </c>
      <c r="B1339">
        <v>4</v>
      </c>
      <c r="C1339" t="s">
        <v>9</v>
      </c>
      <c r="D1339" t="s">
        <v>10</v>
      </c>
      <c r="E1339">
        <v>1.5</v>
      </c>
      <c r="F1339">
        <v>3.42</v>
      </c>
      <c r="G1339" s="8">
        <f t="shared" si="20"/>
        <v>26.315789473684212</v>
      </c>
    </row>
    <row r="1340" spans="1:7" x14ac:dyDescent="0.25">
      <c r="A1340" s="87">
        <v>45804.770833333336</v>
      </c>
      <c r="B1340">
        <v>5</v>
      </c>
      <c r="C1340" t="s">
        <v>10</v>
      </c>
      <c r="D1340" t="s">
        <v>11</v>
      </c>
      <c r="E1340">
        <v>1.52</v>
      </c>
      <c r="F1340">
        <v>3.77</v>
      </c>
      <c r="G1340" s="8">
        <f t="shared" si="20"/>
        <v>24.190981432360743</v>
      </c>
    </row>
    <row r="1341" spans="1:7" x14ac:dyDescent="0.25">
      <c r="A1341" s="87">
        <v>45804.770833333336</v>
      </c>
      <c r="B1341">
        <v>6</v>
      </c>
      <c r="C1341" t="s">
        <v>11</v>
      </c>
      <c r="D1341" t="s">
        <v>12</v>
      </c>
      <c r="E1341">
        <v>1.5</v>
      </c>
      <c r="F1341">
        <v>2.72</v>
      </c>
      <c r="G1341" s="8">
        <f t="shared" si="20"/>
        <v>33.088235294117645</v>
      </c>
    </row>
    <row r="1342" spans="1:7" x14ac:dyDescent="0.25">
      <c r="A1342" s="87">
        <v>45804.770833333336</v>
      </c>
      <c r="B1342">
        <v>7</v>
      </c>
      <c r="C1342" t="s">
        <v>12</v>
      </c>
      <c r="D1342" t="s">
        <v>13</v>
      </c>
      <c r="E1342">
        <v>1.54</v>
      </c>
      <c r="F1342">
        <v>2.77</v>
      </c>
      <c r="G1342" s="8">
        <f t="shared" si="20"/>
        <v>33.357400722021666</v>
      </c>
    </row>
    <row r="1343" spans="1:7" x14ac:dyDescent="0.25">
      <c r="A1343" s="87">
        <v>45804.770833333336</v>
      </c>
      <c r="B1343">
        <v>8</v>
      </c>
      <c r="C1343" t="s">
        <v>13</v>
      </c>
      <c r="D1343" t="s">
        <v>14</v>
      </c>
      <c r="E1343">
        <v>1.54</v>
      </c>
      <c r="F1343">
        <v>3.3</v>
      </c>
      <c r="G1343" s="8">
        <f t="shared" si="20"/>
        <v>28.000000000000004</v>
      </c>
    </row>
    <row r="1344" spans="1:7" x14ac:dyDescent="0.25">
      <c r="A1344" s="87">
        <v>45804.770833333336</v>
      </c>
      <c r="B1344">
        <v>9</v>
      </c>
      <c r="C1344" t="s">
        <v>14</v>
      </c>
      <c r="D1344" t="s">
        <v>15</v>
      </c>
      <c r="E1344">
        <v>1.52</v>
      </c>
      <c r="F1344">
        <v>4.45</v>
      </c>
      <c r="G1344" s="8">
        <f t="shared" si="20"/>
        <v>20.49438202247191</v>
      </c>
    </row>
    <row r="1345" spans="1:7" x14ac:dyDescent="0.25">
      <c r="A1345" s="87">
        <v>45804.770833333336</v>
      </c>
      <c r="B1345">
        <v>10</v>
      </c>
      <c r="C1345" t="s">
        <v>15</v>
      </c>
      <c r="D1345" t="s">
        <v>16</v>
      </c>
      <c r="E1345">
        <v>1.5</v>
      </c>
      <c r="F1345">
        <v>4.62</v>
      </c>
      <c r="G1345" s="8">
        <f t="shared" si="20"/>
        <v>19.480519480519479</v>
      </c>
    </row>
    <row r="1346" spans="1:7" x14ac:dyDescent="0.25">
      <c r="A1346" s="87">
        <v>45804.770833333336</v>
      </c>
      <c r="B1346">
        <v>11</v>
      </c>
      <c r="C1346" t="s">
        <v>16</v>
      </c>
      <c r="D1346" t="s">
        <v>17</v>
      </c>
      <c r="E1346">
        <v>1.48</v>
      </c>
      <c r="F1346">
        <v>4.22</v>
      </c>
      <c r="G1346" s="8">
        <f t="shared" si="20"/>
        <v>21.042654028436019</v>
      </c>
    </row>
    <row r="1347" spans="1:7" x14ac:dyDescent="0.25">
      <c r="A1347" s="87">
        <v>45804.770833333336</v>
      </c>
      <c r="B1347">
        <v>12</v>
      </c>
      <c r="C1347" t="s">
        <v>17</v>
      </c>
      <c r="D1347" t="s">
        <v>18</v>
      </c>
      <c r="E1347">
        <v>1.46</v>
      </c>
      <c r="F1347">
        <v>4.97</v>
      </c>
      <c r="G1347" s="8">
        <f t="shared" ref="G1347:G1410" si="21">E1347*60/F1347</f>
        <v>17.625754527162979</v>
      </c>
    </row>
    <row r="1348" spans="1:7" x14ac:dyDescent="0.25">
      <c r="A1348" s="87">
        <v>45804.770833333336</v>
      </c>
      <c r="B1348">
        <v>13</v>
      </c>
      <c r="C1348" t="s">
        <v>18</v>
      </c>
      <c r="D1348" t="s">
        <v>19</v>
      </c>
      <c r="E1348">
        <v>1.52</v>
      </c>
      <c r="F1348">
        <v>6.15</v>
      </c>
      <c r="G1348" s="8">
        <f t="shared" si="21"/>
        <v>14.829268292682926</v>
      </c>
    </row>
    <row r="1349" spans="1:7" x14ac:dyDescent="0.25">
      <c r="A1349" s="87">
        <v>45804.770833333336</v>
      </c>
      <c r="B1349">
        <v>14</v>
      </c>
      <c r="C1349" t="s">
        <v>19</v>
      </c>
      <c r="D1349" t="s">
        <v>20</v>
      </c>
      <c r="E1349">
        <v>1.51</v>
      </c>
      <c r="F1349">
        <v>4.05</v>
      </c>
      <c r="G1349" s="8">
        <f t="shared" si="21"/>
        <v>22.37037037037037</v>
      </c>
    </row>
    <row r="1350" spans="1:7" x14ac:dyDescent="0.25">
      <c r="A1350" s="87">
        <v>45804.770833333336</v>
      </c>
      <c r="B1350">
        <v>15</v>
      </c>
      <c r="C1350" t="s">
        <v>20</v>
      </c>
      <c r="D1350" t="s">
        <v>21</v>
      </c>
      <c r="E1350">
        <v>1.47</v>
      </c>
      <c r="F1350">
        <v>2.78</v>
      </c>
      <c r="G1350" s="8">
        <f t="shared" si="21"/>
        <v>31.726618705035975</v>
      </c>
    </row>
    <row r="1351" spans="1:7" x14ac:dyDescent="0.25">
      <c r="A1351" s="87">
        <v>45804.770833333336</v>
      </c>
      <c r="B1351">
        <v>16</v>
      </c>
      <c r="C1351" t="s">
        <v>21</v>
      </c>
      <c r="D1351" t="s">
        <v>22</v>
      </c>
      <c r="E1351">
        <v>1.5</v>
      </c>
      <c r="F1351">
        <v>3.33</v>
      </c>
      <c r="G1351" s="8">
        <f t="shared" si="21"/>
        <v>27.027027027027028</v>
      </c>
    </row>
    <row r="1352" spans="1:7" x14ac:dyDescent="0.25">
      <c r="A1352" s="87">
        <v>45804.770833333336</v>
      </c>
      <c r="B1352">
        <v>17</v>
      </c>
      <c r="C1352" t="s">
        <v>22</v>
      </c>
      <c r="D1352" t="s">
        <v>23</v>
      </c>
      <c r="E1352">
        <v>1.51</v>
      </c>
      <c r="F1352">
        <v>4.38</v>
      </c>
      <c r="G1352" s="8">
        <f t="shared" si="21"/>
        <v>20.684931506849313</v>
      </c>
    </row>
    <row r="1353" spans="1:7" x14ac:dyDescent="0.25">
      <c r="A1353" s="87">
        <v>45804.770833333336</v>
      </c>
      <c r="B1353">
        <v>18</v>
      </c>
      <c r="C1353" t="s">
        <v>23</v>
      </c>
      <c r="D1353" t="s">
        <v>24</v>
      </c>
      <c r="E1353">
        <v>1.51</v>
      </c>
      <c r="F1353">
        <v>4.68</v>
      </c>
      <c r="G1353" s="8">
        <f t="shared" si="21"/>
        <v>19.358974358974358</v>
      </c>
    </row>
    <row r="1354" spans="1:7" x14ac:dyDescent="0.25">
      <c r="A1354" s="87">
        <v>45804.770833333336</v>
      </c>
      <c r="B1354">
        <v>19</v>
      </c>
      <c r="C1354" t="s">
        <v>25</v>
      </c>
      <c r="D1354" t="s">
        <v>26</v>
      </c>
      <c r="E1354">
        <v>1.5</v>
      </c>
      <c r="F1354">
        <v>3.67</v>
      </c>
      <c r="G1354" s="8">
        <f t="shared" si="21"/>
        <v>24.52316076294278</v>
      </c>
    </row>
    <row r="1355" spans="1:7" x14ac:dyDescent="0.25">
      <c r="A1355" s="87">
        <v>45804.770833333336</v>
      </c>
      <c r="B1355">
        <v>20</v>
      </c>
      <c r="C1355" t="s">
        <v>26</v>
      </c>
      <c r="D1355" t="s">
        <v>27</v>
      </c>
      <c r="E1355">
        <v>1.48</v>
      </c>
      <c r="F1355">
        <v>3.28</v>
      </c>
      <c r="G1355" s="8">
        <f t="shared" si="21"/>
        <v>27.073170731707318</v>
      </c>
    </row>
    <row r="1356" spans="1:7" x14ac:dyDescent="0.25">
      <c r="A1356" s="87">
        <v>45804.770833333336</v>
      </c>
      <c r="B1356">
        <v>21</v>
      </c>
      <c r="C1356" t="s">
        <v>27</v>
      </c>
      <c r="D1356" t="s">
        <v>28</v>
      </c>
      <c r="E1356">
        <v>1.51</v>
      </c>
      <c r="F1356">
        <v>4.12</v>
      </c>
      <c r="G1356" s="8">
        <f t="shared" si="21"/>
        <v>21.990291262135919</v>
      </c>
    </row>
    <row r="1357" spans="1:7" x14ac:dyDescent="0.25">
      <c r="A1357" s="87">
        <v>45804.770833333336</v>
      </c>
      <c r="B1357">
        <v>22</v>
      </c>
      <c r="C1357" t="s">
        <v>28</v>
      </c>
      <c r="D1357" t="s">
        <v>29</v>
      </c>
      <c r="E1357">
        <v>2.4300000000000002</v>
      </c>
      <c r="F1357">
        <v>8.6300000000000008</v>
      </c>
      <c r="G1357" s="8">
        <f t="shared" si="21"/>
        <v>16.894553881807649</v>
      </c>
    </row>
    <row r="1358" spans="1:7" x14ac:dyDescent="0.25">
      <c r="A1358" s="87">
        <v>45804.770833333336</v>
      </c>
      <c r="B1358">
        <v>23</v>
      </c>
      <c r="C1358" t="s">
        <v>29</v>
      </c>
      <c r="D1358" t="s">
        <v>30</v>
      </c>
      <c r="E1358">
        <v>1.43</v>
      </c>
      <c r="F1358">
        <v>5.88</v>
      </c>
      <c r="G1358" s="8">
        <f t="shared" si="21"/>
        <v>14.591836734693878</v>
      </c>
    </row>
    <row r="1359" spans="1:7" x14ac:dyDescent="0.25">
      <c r="A1359" s="87">
        <v>45804.770833333336</v>
      </c>
      <c r="B1359">
        <v>24</v>
      </c>
      <c r="C1359" t="s">
        <v>30</v>
      </c>
      <c r="D1359" t="s">
        <v>31</v>
      </c>
      <c r="E1359">
        <v>1.52</v>
      </c>
      <c r="F1359">
        <v>4.57</v>
      </c>
      <c r="G1359" s="8">
        <f t="shared" si="21"/>
        <v>19.956236323851204</v>
      </c>
    </row>
    <row r="1360" spans="1:7" x14ac:dyDescent="0.25">
      <c r="A1360" s="87">
        <v>45804.770833333336</v>
      </c>
      <c r="B1360">
        <v>25</v>
      </c>
      <c r="C1360" t="s">
        <v>31</v>
      </c>
      <c r="D1360" t="s">
        <v>32</v>
      </c>
      <c r="E1360">
        <v>1.52</v>
      </c>
      <c r="F1360">
        <v>4.08</v>
      </c>
      <c r="G1360" s="8">
        <f t="shared" si="21"/>
        <v>22.352941176470587</v>
      </c>
    </row>
    <row r="1361" spans="1:7" x14ac:dyDescent="0.25">
      <c r="A1361" s="87">
        <v>45804.770833333336</v>
      </c>
      <c r="B1361">
        <v>26</v>
      </c>
      <c r="C1361" t="s">
        <v>32</v>
      </c>
      <c r="D1361" t="s">
        <v>33</v>
      </c>
      <c r="E1361">
        <v>1.49</v>
      </c>
      <c r="F1361">
        <v>9.1</v>
      </c>
      <c r="G1361" s="8">
        <f t="shared" si="21"/>
        <v>9.8241758241758248</v>
      </c>
    </row>
    <row r="1362" spans="1:7" x14ac:dyDescent="0.25">
      <c r="A1362" s="87">
        <v>45804.770833333336</v>
      </c>
      <c r="B1362">
        <v>27</v>
      </c>
      <c r="C1362" t="s">
        <v>33</v>
      </c>
      <c r="D1362" t="s">
        <v>34</v>
      </c>
      <c r="E1362">
        <v>1.53</v>
      </c>
      <c r="F1362">
        <v>5.17</v>
      </c>
      <c r="G1362" s="8">
        <f t="shared" si="21"/>
        <v>17.756286266924565</v>
      </c>
    </row>
    <row r="1363" spans="1:7" x14ac:dyDescent="0.25">
      <c r="A1363" s="87">
        <v>45804.770833333336</v>
      </c>
      <c r="B1363">
        <v>28</v>
      </c>
      <c r="C1363" t="s">
        <v>34</v>
      </c>
      <c r="D1363" t="s">
        <v>35</v>
      </c>
      <c r="E1363">
        <v>1.51</v>
      </c>
      <c r="F1363">
        <v>5.18</v>
      </c>
      <c r="G1363" s="8">
        <f t="shared" si="21"/>
        <v>17.490347490347489</v>
      </c>
    </row>
    <row r="1364" spans="1:7" x14ac:dyDescent="0.25">
      <c r="A1364" s="87">
        <v>45804.770833333336</v>
      </c>
      <c r="B1364">
        <v>29</v>
      </c>
      <c r="C1364" t="s">
        <v>36</v>
      </c>
      <c r="D1364" t="s">
        <v>37</v>
      </c>
      <c r="E1364">
        <v>1.57</v>
      </c>
      <c r="F1364">
        <v>4.12</v>
      </c>
      <c r="G1364" s="8">
        <f t="shared" si="21"/>
        <v>22.864077669902912</v>
      </c>
    </row>
    <row r="1365" spans="1:7" x14ac:dyDescent="0.25">
      <c r="A1365" s="87">
        <v>45804.770833333336</v>
      </c>
      <c r="B1365">
        <v>30</v>
      </c>
      <c r="C1365" t="s">
        <v>37</v>
      </c>
      <c r="D1365" t="s">
        <v>38</v>
      </c>
      <c r="E1365">
        <v>1.57</v>
      </c>
      <c r="F1365">
        <v>3.88</v>
      </c>
      <c r="G1365" s="8">
        <f t="shared" si="21"/>
        <v>24.27835051546392</v>
      </c>
    </row>
    <row r="1366" spans="1:7" x14ac:dyDescent="0.25">
      <c r="A1366" s="87">
        <v>45804.770833333336</v>
      </c>
      <c r="B1366">
        <v>31</v>
      </c>
      <c r="C1366" t="s">
        <v>38</v>
      </c>
      <c r="D1366" t="s">
        <v>39</v>
      </c>
      <c r="E1366">
        <v>1.52</v>
      </c>
      <c r="F1366">
        <v>2.98</v>
      </c>
      <c r="G1366" s="8">
        <f t="shared" si="21"/>
        <v>30.604026845637584</v>
      </c>
    </row>
    <row r="1367" spans="1:7" x14ac:dyDescent="0.25">
      <c r="A1367" s="87">
        <v>45804.770833333336</v>
      </c>
      <c r="B1367">
        <v>32</v>
      </c>
      <c r="C1367" t="s">
        <v>39</v>
      </c>
      <c r="D1367" t="s">
        <v>40</v>
      </c>
      <c r="E1367">
        <v>1.5</v>
      </c>
      <c r="F1367">
        <v>2.9</v>
      </c>
      <c r="G1367" s="8">
        <f t="shared" si="21"/>
        <v>31.03448275862069</v>
      </c>
    </row>
    <row r="1368" spans="1:7" x14ac:dyDescent="0.25">
      <c r="A1368" s="87">
        <v>45804.770833333336</v>
      </c>
      <c r="B1368">
        <v>33</v>
      </c>
      <c r="C1368" t="s">
        <v>40</v>
      </c>
      <c r="D1368" t="s">
        <v>41</v>
      </c>
      <c r="E1368">
        <v>1.51</v>
      </c>
      <c r="F1368">
        <v>2.7</v>
      </c>
      <c r="G1368" s="8">
        <f t="shared" si="21"/>
        <v>33.55555555555555</v>
      </c>
    </row>
    <row r="1369" spans="1:7" x14ac:dyDescent="0.25">
      <c r="A1369" s="87">
        <v>45804.770833333336</v>
      </c>
      <c r="B1369">
        <v>34</v>
      </c>
      <c r="C1369" t="s">
        <v>41</v>
      </c>
      <c r="D1369" t="s">
        <v>42</v>
      </c>
      <c r="E1369">
        <v>1.5</v>
      </c>
      <c r="F1369">
        <v>2.42</v>
      </c>
      <c r="G1369" s="8">
        <f t="shared" si="21"/>
        <v>37.190082644628099</v>
      </c>
    </row>
    <row r="1370" spans="1:7" x14ac:dyDescent="0.25">
      <c r="A1370" s="87">
        <v>45804.770833333336</v>
      </c>
      <c r="B1370">
        <v>35</v>
      </c>
      <c r="C1370" t="s">
        <v>43</v>
      </c>
      <c r="D1370" t="s">
        <v>44</v>
      </c>
      <c r="E1370">
        <v>1.55</v>
      </c>
      <c r="F1370">
        <v>5.62</v>
      </c>
      <c r="G1370" s="8">
        <f t="shared" si="21"/>
        <v>16.548042704626333</v>
      </c>
    </row>
    <row r="1371" spans="1:7" x14ac:dyDescent="0.25">
      <c r="A1371" s="87">
        <v>45804.770833333336</v>
      </c>
      <c r="B1371">
        <v>36</v>
      </c>
      <c r="C1371" t="s">
        <v>44</v>
      </c>
      <c r="D1371" t="s">
        <v>45</v>
      </c>
      <c r="E1371">
        <v>1.5</v>
      </c>
      <c r="F1371">
        <v>4.28</v>
      </c>
      <c r="G1371" s="8">
        <f t="shared" si="21"/>
        <v>21.028037383177569</v>
      </c>
    </row>
    <row r="1372" spans="1:7" x14ac:dyDescent="0.25">
      <c r="A1372" s="87">
        <v>45804.770833333336</v>
      </c>
      <c r="B1372">
        <v>37</v>
      </c>
      <c r="C1372" t="s">
        <v>45</v>
      </c>
      <c r="D1372" t="s">
        <v>46</v>
      </c>
      <c r="E1372">
        <v>1.38</v>
      </c>
      <c r="F1372">
        <v>6.05</v>
      </c>
      <c r="G1372" s="8">
        <f t="shared" si="21"/>
        <v>13.685950413223141</v>
      </c>
    </row>
    <row r="1373" spans="1:7" x14ac:dyDescent="0.25">
      <c r="A1373" s="87">
        <v>45804.770833333336</v>
      </c>
      <c r="B1373">
        <v>38</v>
      </c>
      <c r="C1373" t="s">
        <v>46</v>
      </c>
      <c r="D1373" t="s">
        <v>47</v>
      </c>
      <c r="E1373">
        <v>1.61</v>
      </c>
      <c r="F1373">
        <v>5.92</v>
      </c>
      <c r="G1373" s="8">
        <f t="shared" si="21"/>
        <v>16.317567567567568</v>
      </c>
    </row>
    <row r="1374" spans="1:7" x14ac:dyDescent="0.25">
      <c r="A1374" s="87">
        <v>45804.770833333336</v>
      </c>
      <c r="B1374">
        <v>39</v>
      </c>
      <c r="C1374" t="s">
        <v>47</v>
      </c>
      <c r="D1374" t="s">
        <v>48</v>
      </c>
      <c r="E1374">
        <v>1.55</v>
      </c>
      <c r="F1374">
        <v>3.87</v>
      </c>
      <c r="G1374" s="8">
        <f t="shared" si="21"/>
        <v>24.031007751937985</v>
      </c>
    </row>
    <row r="1375" spans="1:7" x14ac:dyDescent="0.25">
      <c r="A1375" s="87">
        <v>45804.770833333336</v>
      </c>
      <c r="B1375">
        <v>40</v>
      </c>
      <c r="C1375" t="s">
        <v>48</v>
      </c>
      <c r="D1375" t="s">
        <v>49</v>
      </c>
      <c r="E1375">
        <v>1.39</v>
      </c>
      <c r="F1375">
        <v>3.35</v>
      </c>
      <c r="G1375" s="8">
        <f t="shared" si="21"/>
        <v>24.8955223880597</v>
      </c>
    </row>
    <row r="1376" spans="1:7" x14ac:dyDescent="0.25">
      <c r="A1376" s="87">
        <v>45804.770833333336</v>
      </c>
      <c r="B1376">
        <v>41</v>
      </c>
      <c r="C1376" t="s">
        <v>50</v>
      </c>
      <c r="D1376" t="s">
        <v>51</v>
      </c>
      <c r="E1376">
        <v>1.56</v>
      </c>
      <c r="F1376">
        <v>5.68</v>
      </c>
      <c r="G1376" s="8">
        <f t="shared" si="21"/>
        <v>16.478873239436624</v>
      </c>
    </row>
    <row r="1377" spans="1:7" x14ac:dyDescent="0.25">
      <c r="A1377" s="87">
        <v>45804.770833333336</v>
      </c>
      <c r="B1377">
        <v>42</v>
      </c>
      <c r="C1377" t="s">
        <v>51</v>
      </c>
      <c r="D1377" t="s">
        <v>52</v>
      </c>
      <c r="E1377">
        <v>1.56</v>
      </c>
      <c r="F1377">
        <v>4.45</v>
      </c>
      <c r="G1377" s="8">
        <f t="shared" si="21"/>
        <v>21.033707865168541</v>
      </c>
    </row>
    <row r="1378" spans="1:7" x14ac:dyDescent="0.25">
      <c r="A1378" s="87">
        <v>45804.770833333336</v>
      </c>
      <c r="B1378">
        <v>43</v>
      </c>
      <c r="C1378" t="s">
        <v>52</v>
      </c>
      <c r="D1378" t="s">
        <v>53</v>
      </c>
      <c r="E1378">
        <v>1.51</v>
      </c>
      <c r="F1378">
        <v>5.08</v>
      </c>
      <c r="G1378" s="8">
        <f t="shared" si="21"/>
        <v>17.834645669291337</v>
      </c>
    </row>
    <row r="1379" spans="1:7" x14ac:dyDescent="0.25">
      <c r="A1379" s="87">
        <v>45804.770833333336</v>
      </c>
      <c r="B1379">
        <v>44</v>
      </c>
      <c r="C1379" t="s">
        <v>54</v>
      </c>
      <c r="D1379" t="s">
        <v>55</v>
      </c>
      <c r="E1379">
        <v>1.51</v>
      </c>
      <c r="F1379">
        <v>5.25</v>
      </c>
      <c r="G1379" s="8">
        <f t="shared" si="21"/>
        <v>17.257142857142856</v>
      </c>
    </row>
    <row r="1380" spans="1:7" x14ac:dyDescent="0.25">
      <c r="A1380" s="87">
        <v>45804.770833333336</v>
      </c>
      <c r="B1380">
        <v>45</v>
      </c>
      <c r="C1380" t="s">
        <v>55</v>
      </c>
      <c r="D1380" t="s">
        <v>56</v>
      </c>
      <c r="E1380">
        <v>1.49</v>
      </c>
      <c r="F1380">
        <v>5.23</v>
      </c>
      <c r="G1380" s="8">
        <f t="shared" si="21"/>
        <v>17.093690248565967</v>
      </c>
    </row>
    <row r="1381" spans="1:7" x14ac:dyDescent="0.25">
      <c r="A1381" s="87">
        <v>45804.770833333336</v>
      </c>
      <c r="B1381">
        <v>46</v>
      </c>
      <c r="C1381" t="s">
        <v>56</v>
      </c>
      <c r="D1381" t="s">
        <v>57</v>
      </c>
      <c r="E1381">
        <v>1.52</v>
      </c>
      <c r="F1381">
        <v>4.9800000000000004</v>
      </c>
      <c r="G1381" s="8">
        <f t="shared" si="21"/>
        <v>18.313253012048193</v>
      </c>
    </row>
    <row r="1382" spans="1:7" x14ac:dyDescent="0.25">
      <c r="A1382" s="87">
        <v>45804.770833333336</v>
      </c>
      <c r="B1382">
        <v>47</v>
      </c>
      <c r="C1382" t="s">
        <v>58</v>
      </c>
      <c r="D1382" t="s">
        <v>59</v>
      </c>
      <c r="E1382">
        <v>1.52</v>
      </c>
      <c r="F1382">
        <v>5.52</v>
      </c>
      <c r="G1382" s="8">
        <f t="shared" si="21"/>
        <v>16.521739130434785</v>
      </c>
    </row>
    <row r="1383" spans="1:7" x14ac:dyDescent="0.25">
      <c r="A1383" s="87">
        <v>45804.770833333336</v>
      </c>
      <c r="B1383">
        <v>48</v>
      </c>
      <c r="C1383" t="s">
        <v>59</v>
      </c>
      <c r="D1383" t="s">
        <v>60</v>
      </c>
      <c r="E1383">
        <v>1.5</v>
      </c>
      <c r="F1383">
        <v>4.1500000000000004</v>
      </c>
      <c r="G1383" s="8">
        <f t="shared" si="21"/>
        <v>21.686746987951807</v>
      </c>
    </row>
    <row r="1384" spans="1:7" x14ac:dyDescent="0.25">
      <c r="A1384" s="87">
        <v>45804.770833333336</v>
      </c>
      <c r="B1384">
        <v>49</v>
      </c>
      <c r="C1384" t="s">
        <v>60</v>
      </c>
      <c r="D1384" t="s">
        <v>61</v>
      </c>
      <c r="E1384">
        <v>1.54</v>
      </c>
      <c r="F1384">
        <v>6.37</v>
      </c>
      <c r="G1384" s="8">
        <f t="shared" si="21"/>
        <v>14.505494505494505</v>
      </c>
    </row>
    <row r="1385" spans="1:7" x14ac:dyDescent="0.25">
      <c r="A1385" s="87">
        <v>45804.770833333336</v>
      </c>
      <c r="B1385">
        <v>50</v>
      </c>
      <c r="C1385" t="s">
        <v>62</v>
      </c>
      <c r="D1385" t="s">
        <v>63</v>
      </c>
      <c r="E1385">
        <v>1.38</v>
      </c>
      <c r="F1385">
        <v>3.28</v>
      </c>
      <c r="G1385" s="8">
        <f t="shared" si="21"/>
        <v>25.243902439024392</v>
      </c>
    </row>
    <row r="1386" spans="1:7" x14ac:dyDescent="0.25">
      <c r="A1386" s="87">
        <v>45804.770833333336</v>
      </c>
      <c r="B1386">
        <v>51</v>
      </c>
      <c r="C1386" t="s">
        <v>63</v>
      </c>
      <c r="D1386" t="s">
        <v>64</v>
      </c>
      <c r="E1386">
        <v>2.79</v>
      </c>
      <c r="F1386">
        <v>7.07</v>
      </c>
      <c r="G1386" s="8">
        <f t="shared" si="21"/>
        <v>23.677510608203676</v>
      </c>
    </row>
    <row r="1387" spans="1:7" x14ac:dyDescent="0.25">
      <c r="A1387" s="87">
        <v>45804.770833333336</v>
      </c>
      <c r="B1387">
        <v>52</v>
      </c>
      <c r="C1387" t="s">
        <v>64</v>
      </c>
      <c r="D1387" t="s">
        <v>65</v>
      </c>
      <c r="E1387">
        <v>1.5</v>
      </c>
      <c r="F1387">
        <v>2.88</v>
      </c>
      <c r="G1387" s="8">
        <f t="shared" si="21"/>
        <v>31.25</v>
      </c>
    </row>
    <row r="1388" spans="1:7" x14ac:dyDescent="0.25">
      <c r="A1388" s="87">
        <v>45804.770833333336</v>
      </c>
      <c r="B1388">
        <v>53</v>
      </c>
      <c r="C1388" t="s">
        <v>65</v>
      </c>
      <c r="D1388" t="s">
        <v>66</v>
      </c>
      <c r="E1388">
        <v>1.46</v>
      </c>
      <c r="F1388">
        <v>4.28</v>
      </c>
      <c r="G1388" s="8">
        <f t="shared" si="21"/>
        <v>20.467289719626166</v>
      </c>
    </row>
    <row r="1389" spans="1:7" x14ac:dyDescent="0.25">
      <c r="A1389" s="87">
        <v>45804.770833333336</v>
      </c>
      <c r="B1389">
        <v>54</v>
      </c>
      <c r="C1389" t="s">
        <v>67</v>
      </c>
      <c r="D1389" t="s">
        <v>68</v>
      </c>
      <c r="E1389">
        <v>1.46</v>
      </c>
      <c r="F1389">
        <v>3.45</v>
      </c>
      <c r="G1389" s="8">
        <f t="shared" si="21"/>
        <v>25.391304347826082</v>
      </c>
    </row>
    <row r="1390" spans="1:7" x14ac:dyDescent="0.25">
      <c r="A1390" s="87">
        <v>45804.770833333336</v>
      </c>
      <c r="B1390">
        <v>55</v>
      </c>
      <c r="C1390" t="s">
        <v>68</v>
      </c>
      <c r="D1390" t="s">
        <v>69</v>
      </c>
      <c r="E1390">
        <v>1.5</v>
      </c>
      <c r="F1390">
        <v>2.3199999999999998</v>
      </c>
      <c r="G1390" s="8">
        <f t="shared" si="21"/>
        <v>38.793103448275865</v>
      </c>
    </row>
    <row r="1391" spans="1:7" x14ac:dyDescent="0.25">
      <c r="A1391" s="87">
        <v>45804.770833333336</v>
      </c>
      <c r="B1391">
        <v>56</v>
      </c>
      <c r="C1391" t="s">
        <v>70</v>
      </c>
      <c r="D1391" t="s">
        <v>71</v>
      </c>
      <c r="E1391">
        <v>1.51</v>
      </c>
      <c r="F1391">
        <v>6.73</v>
      </c>
      <c r="G1391" s="8">
        <f t="shared" si="21"/>
        <v>13.462109955423475</v>
      </c>
    </row>
    <row r="1392" spans="1:7" x14ac:dyDescent="0.25">
      <c r="A1392" s="87">
        <v>45804.770833333336</v>
      </c>
      <c r="B1392">
        <v>57</v>
      </c>
      <c r="C1392" t="s">
        <v>71</v>
      </c>
      <c r="D1392" t="s">
        <v>72</v>
      </c>
      <c r="E1392">
        <v>2</v>
      </c>
      <c r="F1392">
        <v>6.57</v>
      </c>
      <c r="G1392" s="8">
        <f t="shared" si="21"/>
        <v>18.264840182648403</v>
      </c>
    </row>
    <row r="1393" spans="1:7" x14ac:dyDescent="0.25">
      <c r="A1393" s="87">
        <v>45804.770833333336</v>
      </c>
      <c r="B1393">
        <v>58</v>
      </c>
      <c r="C1393" t="s">
        <v>72</v>
      </c>
      <c r="D1393" t="s">
        <v>73</v>
      </c>
      <c r="E1393">
        <v>1.5</v>
      </c>
      <c r="F1393">
        <v>5.0199999999999996</v>
      </c>
      <c r="G1393" s="8">
        <f t="shared" si="21"/>
        <v>17.928286852589643</v>
      </c>
    </row>
    <row r="1394" spans="1:7" x14ac:dyDescent="0.25">
      <c r="A1394" s="87">
        <v>45804.78125</v>
      </c>
      <c r="B1394">
        <v>1</v>
      </c>
      <c r="C1394" t="s">
        <v>6</v>
      </c>
      <c r="D1394" t="s">
        <v>7</v>
      </c>
      <c r="E1394">
        <v>1.53</v>
      </c>
      <c r="F1394">
        <v>3.57</v>
      </c>
      <c r="G1394" s="8">
        <f t="shared" si="21"/>
        <v>25.714285714285715</v>
      </c>
    </row>
    <row r="1395" spans="1:7" x14ac:dyDescent="0.25">
      <c r="A1395" s="87">
        <v>45804.78125</v>
      </c>
      <c r="B1395">
        <v>2</v>
      </c>
      <c r="C1395" t="s">
        <v>7</v>
      </c>
      <c r="D1395" t="s">
        <v>8</v>
      </c>
      <c r="E1395">
        <v>1.57</v>
      </c>
      <c r="F1395">
        <v>9.02</v>
      </c>
      <c r="G1395" s="8">
        <f t="shared" si="21"/>
        <v>10.443458980044348</v>
      </c>
    </row>
    <row r="1396" spans="1:7" x14ac:dyDescent="0.25">
      <c r="A1396" s="87">
        <v>45804.78125</v>
      </c>
      <c r="B1396">
        <v>3</v>
      </c>
      <c r="C1396" t="s">
        <v>8</v>
      </c>
      <c r="D1396" t="s">
        <v>9</v>
      </c>
      <c r="E1396">
        <v>1.5</v>
      </c>
      <c r="F1396">
        <v>4</v>
      </c>
      <c r="G1396" s="8">
        <f t="shared" si="21"/>
        <v>22.5</v>
      </c>
    </row>
    <row r="1397" spans="1:7" x14ac:dyDescent="0.25">
      <c r="A1397" s="87">
        <v>45804.78125</v>
      </c>
      <c r="B1397">
        <v>4</v>
      </c>
      <c r="C1397" t="s">
        <v>9</v>
      </c>
      <c r="D1397" t="s">
        <v>10</v>
      </c>
      <c r="E1397">
        <v>1.5</v>
      </c>
      <c r="F1397">
        <v>3.7</v>
      </c>
      <c r="G1397" s="8">
        <f t="shared" si="21"/>
        <v>24.324324324324323</v>
      </c>
    </row>
    <row r="1398" spans="1:7" x14ac:dyDescent="0.25">
      <c r="A1398" s="87">
        <v>45804.78125</v>
      </c>
      <c r="B1398">
        <v>5</v>
      </c>
      <c r="C1398" t="s">
        <v>10</v>
      </c>
      <c r="D1398" t="s">
        <v>11</v>
      </c>
      <c r="E1398">
        <v>1.52</v>
      </c>
      <c r="F1398">
        <v>4.53</v>
      </c>
      <c r="G1398" s="8">
        <f t="shared" si="21"/>
        <v>20.132450331125828</v>
      </c>
    </row>
    <row r="1399" spans="1:7" x14ac:dyDescent="0.25">
      <c r="A1399" s="87">
        <v>45804.78125</v>
      </c>
      <c r="B1399">
        <v>6</v>
      </c>
      <c r="C1399" t="s">
        <v>11</v>
      </c>
      <c r="D1399" t="s">
        <v>12</v>
      </c>
      <c r="E1399">
        <v>1.5</v>
      </c>
      <c r="F1399">
        <v>2.72</v>
      </c>
      <c r="G1399" s="8">
        <f t="shared" si="21"/>
        <v>33.088235294117645</v>
      </c>
    </row>
    <row r="1400" spans="1:7" x14ac:dyDescent="0.25">
      <c r="A1400" s="87">
        <v>45804.78125</v>
      </c>
      <c r="B1400">
        <v>7</v>
      </c>
      <c r="C1400" t="s">
        <v>12</v>
      </c>
      <c r="D1400" t="s">
        <v>13</v>
      </c>
      <c r="E1400">
        <v>1.54</v>
      </c>
      <c r="F1400">
        <v>2.8</v>
      </c>
      <c r="G1400" s="8">
        <f t="shared" si="21"/>
        <v>33.000000000000007</v>
      </c>
    </row>
    <row r="1401" spans="1:7" x14ac:dyDescent="0.25">
      <c r="A1401" s="87">
        <v>45804.78125</v>
      </c>
      <c r="B1401">
        <v>8</v>
      </c>
      <c r="C1401" t="s">
        <v>13</v>
      </c>
      <c r="D1401" t="s">
        <v>14</v>
      </c>
      <c r="E1401">
        <v>1.54</v>
      </c>
      <c r="F1401">
        <v>3.18</v>
      </c>
      <c r="G1401" s="8">
        <f t="shared" si="21"/>
        <v>29.056603773584907</v>
      </c>
    </row>
    <row r="1402" spans="1:7" x14ac:dyDescent="0.25">
      <c r="A1402" s="87">
        <v>45804.78125</v>
      </c>
      <c r="B1402">
        <v>9</v>
      </c>
      <c r="C1402" t="s">
        <v>14</v>
      </c>
      <c r="D1402" t="s">
        <v>15</v>
      </c>
      <c r="E1402">
        <v>1.52</v>
      </c>
      <c r="F1402">
        <v>4.12</v>
      </c>
      <c r="G1402" s="8">
        <f t="shared" si="21"/>
        <v>22.135922330097088</v>
      </c>
    </row>
    <row r="1403" spans="1:7" x14ac:dyDescent="0.25">
      <c r="A1403" s="87">
        <v>45804.78125</v>
      </c>
      <c r="B1403">
        <v>10</v>
      </c>
      <c r="C1403" t="s">
        <v>15</v>
      </c>
      <c r="D1403" t="s">
        <v>16</v>
      </c>
      <c r="E1403">
        <v>1.5</v>
      </c>
      <c r="F1403">
        <v>4.03</v>
      </c>
      <c r="G1403" s="8">
        <f t="shared" si="21"/>
        <v>22.332506203473944</v>
      </c>
    </row>
    <row r="1404" spans="1:7" x14ac:dyDescent="0.25">
      <c r="A1404" s="87">
        <v>45804.78125</v>
      </c>
      <c r="B1404">
        <v>11</v>
      </c>
      <c r="C1404" t="s">
        <v>16</v>
      </c>
      <c r="D1404" t="s">
        <v>17</v>
      </c>
      <c r="E1404">
        <v>1.48</v>
      </c>
      <c r="F1404">
        <v>4.08</v>
      </c>
      <c r="G1404" s="8">
        <f t="shared" si="21"/>
        <v>21.764705882352938</v>
      </c>
    </row>
    <row r="1405" spans="1:7" x14ac:dyDescent="0.25">
      <c r="A1405" s="87">
        <v>45804.78125</v>
      </c>
      <c r="B1405">
        <v>12</v>
      </c>
      <c r="C1405" t="s">
        <v>17</v>
      </c>
      <c r="D1405" t="s">
        <v>18</v>
      </c>
      <c r="E1405">
        <v>1.46</v>
      </c>
      <c r="F1405">
        <v>4.12</v>
      </c>
      <c r="G1405" s="8">
        <f t="shared" si="21"/>
        <v>21.262135922330096</v>
      </c>
    </row>
    <row r="1406" spans="1:7" x14ac:dyDescent="0.25">
      <c r="A1406" s="87">
        <v>45804.78125</v>
      </c>
      <c r="B1406">
        <v>13</v>
      </c>
      <c r="C1406" t="s">
        <v>18</v>
      </c>
      <c r="D1406" t="s">
        <v>19</v>
      </c>
      <c r="E1406">
        <v>1.52</v>
      </c>
      <c r="F1406">
        <v>5.27</v>
      </c>
      <c r="G1406" s="8">
        <f t="shared" si="21"/>
        <v>17.305502846299813</v>
      </c>
    </row>
    <row r="1407" spans="1:7" x14ac:dyDescent="0.25">
      <c r="A1407" s="87">
        <v>45804.78125</v>
      </c>
      <c r="B1407">
        <v>14</v>
      </c>
      <c r="C1407" t="s">
        <v>19</v>
      </c>
      <c r="D1407" t="s">
        <v>20</v>
      </c>
      <c r="E1407">
        <v>1.51</v>
      </c>
      <c r="F1407">
        <v>4.43</v>
      </c>
      <c r="G1407" s="8">
        <f t="shared" si="21"/>
        <v>20.451467268623023</v>
      </c>
    </row>
    <row r="1408" spans="1:7" x14ac:dyDescent="0.25">
      <c r="A1408" s="87">
        <v>45804.78125</v>
      </c>
      <c r="B1408">
        <v>15</v>
      </c>
      <c r="C1408" t="s">
        <v>20</v>
      </c>
      <c r="D1408" t="s">
        <v>21</v>
      </c>
      <c r="E1408">
        <v>1.47</v>
      </c>
      <c r="F1408">
        <v>3.08</v>
      </c>
      <c r="G1408" s="8">
        <f t="shared" si="21"/>
        <v>28.636363636363637</v>
      </c>
    </row>
    <row r="1409" spans="1:7" x14ac:dyDescent="0.25">
      <c r="A1409" s="87">
        <v>45804.78125</v>
      </c>
      <c r="B1409">
        <v>16</v>
      </c>
      <c r="C1409" t="s">
        <v>21</v>
      </c>
      <c r="D1409" t="s">
        <v>22</v>
      </c>
      <c r="E1409">
        <v>1.5</v>
      </c>
      <c r="F1409">
        <v>1.87</v>
      </c>
      <c r="G1409" s="8">
        <f t="shared" si="21"/>
        <v>48.128342245989302</v>
      </c>
    </row>
    <row r="1410" spans="1:7" x14ac:dyDescent="0.25">
      <c r="A1410" s="87">
        <v>45804.78125</v>
      </c>
      <c r="B1410">
        <v>17</v>
      </c>
      <c r="C1410" t="s">
        <v>22</v>
      </c>
      <c r="D1410" t="s">
        <v>23</v>
      </c>
      <c r="E1410">
        <v>1.51</v>
      </c>
      <c r="F1410">
        <v>3.15</v>
      </c>
      <c r="G1410" s="8">
        <f t="shared" si="21"/>
        <v>28.761904761904759</v>
      </c>
    </row>
    <row r="1411" spans="1:7" x14ac:dyDescent="0.25">
      <c r="A1411" s="87">
        <v>45804.78125</v>
      </c>
      <c r="B1411">
        <v>18</v>
      </c>
      <c r="C1411" t="s">
        <v>23</v>
      </c>
      <c r="D1411" t="s">
        <v>24</v>
      </c>
      <c r="E1411">
        <v>1.51</v>
      </c>
      <c r="F1411">
        <v>4.22</v>
      </c>
      <c r="G1411" s="8">
        <f t="shared" ref="G1411:G1474" si="22">E1411*60/F1411</f>
        <v>21.469194312796208</v>
      </c>
    </row>
    <row r="1412" spans="1:7" x14ac:dyDescent="0.25">
      <c r="A1412" s="87">
        <v>45804.78125</v>
      </c>
      <c r="B1412">
        <v>19</v>
      </c>
      <c r="C1412" t="s">
        <v>25</v>
      </c>
      <c r="D1412" t="s">
        <v>26</v>
      </c>
      <c r="E1412">
        <v>1.5</v>
      </c>
      <c r="F1412">
        <v>3.57</v>
      </c>
      <c r="G1412" s="8">
        <f t="shared" si="22"/>
        <v>25.210084033613448</v>
      </c>
    </row>
    <row r="1413" spans="1:7" x14ac:dyDescent="0.25">
      <c r="A1413" s="87">
        <v>45804.78125</v>
      </c>
      <c r="B1413">
        <v>20</v>
      </c>
      <c r="C1413" t="s">
        <v>26</v>
      </c>
      <c r="D1413" t="s">
        <v>27</v>
      </c>
      <c r="E1413">
        <v>1.48</v>
      </c>
      <c r="F1413">
        <v>3.15</v>
      </c>
      <c r="G1413" s="8">
        <f t="shared" si="22"/>
        <v>28.19047619047619</v>
      </c>
    </row>
    <row r="1414" spans="1:7" x14ac:dyDescent="0.25">
      <c r="A1414" s="87">
        <v>45804.78125</v>
      </c>
      <c r="B1414">
        <v>21</v>
      </c>
      <c r="C1414" t="s">
        <v>27</v>
      </c>
      <c r="D1414" t="s">
        <v>28</v>
      </c>
      <c r="E1414">
        <v>1.51</v>
      </c>
      <c r="F1414">
        <v>3.48</v>
      </c>
      <c r="G1414" s="8">
        <f t="shared" si="22"/>
        <v>26.034482758620687</v>
      </c>
    </row>
    <row r="1415" spans="1:7" x14ac:dyDescent="0.25">
      <c r="A1415" s="87">
        <v>45804.78125</v>
      </c>
      <c r="B1415">
        <v>22</v>
      </c>
      <c r="C1415" t="s">
        <v>28</v>
      </c>
      <c r="D1415" t="s">
        <v>29</v>
      </c>
      <c r="E1415">
        <v>1.57</v>
      </c>
      <c r="F1415">
        <v>8.1300000000000008</v>
      </c>
      <c r="G1415" s="8">
        <f t="shared" si="22"/>
        <v>11.58671586715867</v>
      </c>
    </row>
    <row r="1416" spans="1:7" x14ac:dyDescent="0.25">
      <c r="A1416" s="87">
        <v>45804.78125</v>
      </c>
      <c r="B1416">
        <v>23</v>
      </c>
      <c r="C1416" t="s">
        <v>29</v>
      </c>
      <c r="D1416" t="s">
        <v>30</v>
      </c>
      <c r="E1416">
        <v>1.43</v>
      </c>
      <c r="F1416">
        <v>5.52</v>
      </c>
      <c r="G1416" s="8">
        <f t="shared" si="22"/>
        <v>15.543478260869566</v>
      </c>
    </row>
    <row r="1417" spans="1:7" x14ac:dyDescent="0.25">
      <c r="A1417" s="87">
        <v>45804.78125</v>
      </c>
      <c r="B1417">
        <v>24</v>
      </c>
      <c r="C1417" t="s">
        <v>30</v>
      </c>
      <c r="D1417" t="s">
        <v>31</v>
      </c>
      <c r="E1417">
        <v>1.52</v>
      </c>
      <c r="F1417">
        <v>3.88</v>
      </c>
      <c r="G1417" s="8">
        <f t="shared" si="22"/>
        <v>23.505154639175259</v>
      </c>
    </row>
    <row r="1418" spans="1:7" x14ac:dyDescent="0.25">
      <c r="A1418" s="87">
        <v>45804.78125</v>
      </c>
      <c r="B1418">
        <v>25</v>
      </c>
      <c r="C1418" t="s">
        <v>31</v>
      </c>
      <c r="D1418" t="s">
        <v>32</v>
      </c>
      <c r="E1418">
        <v>1.52</v>
      </c>
      <c r="F1418">
        <v>3.77</v>
      </c>
      <c r="G1418" s="8">
        <f t="shared" si="22"/>
        <v>24.190981432360743</v>
      </c>
    </row>
    <row r="1419" spans="1:7" x14ac:dyDescent="0.25">
      <c r="A1419" s="87">
        <v>45804.78125</v>
      </c>
      <c r="B1419">
        <v>26</v>
      </c>
      <c r="C1419" t="s">
        <v>32</v>
      </c>
      <c r="D1419" t="s">
        <v>33</v>
      </c>
      <c r="E1419">
        <v>2.37</v>
      </c>
      <c r="F1419">
        <v>7.97</v>
      </c>
      <c r="G1419" s="8">
        <f t="shared" si="22"/>
        <v>17.841907151819324</v>
      </c>
    </row>
    <row r="1420" spans="1:7" x14ac:dyDescent="0.25">
      <c r="A1420" s="87">
        <v>45804.78125</v>
      </c>
      <c r="B1420">
        <v>27</v>
      </c>
      <c r="C1420" t="s">
        <v>33</v>
      </c>
      <c r="D1420" t="s">
        <v>34</v>
      </c>
      <c r="E1420">
        <v>1.53</v>
      </c>
      <c r="F1420">
        <v>5.35</v>
      </c>
      <c r="G1420" s="8">
        <f t="shared" si="22"/>
        <v>17.158878504672899</v>
      </c>
    </row>
    <row r="1421" spans="1:7" x14ac:dyDescent="0.25">
      <c r="A1421" s="87">
        <v>45804.78125</v>
      </c>
      <c r="B1421">
        <v>28</v>
      </c>
      <c r="C1421" t="s">
        <v>34</v>
      </c>
      <c r="D1421" t="s">
        <v>35</v>
      </c>
      <c r="E1421">
        <v>1.51</v>
      </c>
      <c r="F1421">
        <v>4.67</v>
      </c>
      <c r="G1421" s="8">
        <f t="shared" si="22"/>
        <v>19.400428265524624</v>
      </c>
    </row>
    <row r="1422" spans="1:7" x14ac:dyDescent="0.25">
      <c r="A1422" s="87">
        <v>45804.78125</v>
      </c>
      <c r="B1422">
        <v>29</v>
      </c>
      <c r="C1422" t="s">
        <v>36</v>
      </c>
      <c r="D1422" t="s">
        <v>37</v>
      </c>
      <c r="E1422">
        <v>1.57</v>
      </c>
      <c r="F1422">
        <v>3.63</v>
      </c>
      <c r="G1422" s="8">
        <f t="shared" si="22"/>
        <v>25.950413223140497</v>
      </c>
    </row>
    <row r="1423" spans="1:7" x14ac:dyDescent="0.25">
      <c r="A1423" s="87">
        <v>45804.78125</v>
      </c>
      <c r="B1423">
        <v>30</v>
      </c>
      <c r="C1423" t="s">
        <v>37</v>
      </c>
      <c r="D1423" t="s">
        <v>38</v>
      </c>
      <c r="E1423">
        <v>1.57</v>
      </c>
      <c r="F1423">
        <v>3.87</v>
      </c>
      <c r="G1423" s="8">
        <f t="shared" si="22"/>
        <v>24.34108527131783</v>
      </c>
    </row>
    <row r="1424" spans="1:7" x14ac:dyDescent="0.25">
      <c r="A1424" s="87">
        <v>45804.78125</v>
      </c>
      <c r="B1424">
        <v>31</v>
      </c>
      <c r="C1424" t="s">
        <v>38</v>
      </c>
      <c r="D1424" t="s">
        <v>39</v>
      </c>
      <c r="E1424">
        <v>1.52</v>
      </c>
      <c r="F1424">
        <v>2.88</v>
      </c>
      <c r="G1424" s="8">
        <f t="shared" si="22"/>
        <v>31.666666666666668</v>
      </c>
    </row>
    <row r="1425" spans="1:7" x14ac:dyDescent="0.25">
      <c r="A1425" s="87">
        <v>45804.78125</v>
      </c>
      <c r="B1425">
        <v>32</v>
      </c>
      <c r="C1425" t="s">
        <v>39</v>
      </c>
      <c r="D1425" t="s">
        <v>40</v>
      </c>
      <c r="E1425">
        <v>1.5</v>
      </c>
      <c r="F1425">
        <v>2.42</v>
      </c>
      <c r="G1425" s="8">
        <f t="shared" si="22"/>
        <v>37.190082644628099</v>
      </c>
    </row>
    <row r="1426" spans="1:7" x14ac:dyDescent="0.25">
      <c r="A1426" s="87">
        <v>45804.78125</v>
      </c>
      <c r="B1426">
        <v>33</v>
      </c>
      <c r="C1426" t="s">
        <v>40</v>
      </c>
      <c r="D1426" t="s">
        <v>41</v>
      </c>
      <c r="E1426">
        <v>1.51</v>
      </c>
      <c r="F1426">
        <v>2.5499999999999998</v>
      </c>
      <c r="G1426" s="8">
        <f t="shared" si="22"/>
        <v>35.529411764705884</v>
      </c>
    </row>
    <row r="1427" spans="1:7" x14ac:dyDescent="0.25">
      <c r="A1427" s="87">
        <v>45804.78125</v>
      </c>
      <c r="B1427">
        <v>34</v>
      </c>
      <c r="C1427" t="s">
        <v>41</v>
      </c>
      <c r="D1427" t="s">
        <v>42</v>
      </c>
      <c r="E1427">
        <v>1.5</v>
      </c>
      <c r="F1427">
        <v>2.5299999999999998</v>
      </c>
      <c r="G1427" s="8">
        <f t="shared" si="22"/>
        <v>35.573122529644273</v>
      </c>
    </row>
    <row r="1428" spans="1:7" x14ac:dyDescent="0.25">
      <c r="A1428" s="87">
        <v>45804.78125</v>
      </c>
      <c r="B1428">
        <v>35</v>
      </c>
      <c r="C1428" t="s">
        <v>43</v>
      </c>
      <c r="D1428" t="s">
        <v>44</v>
      </c>
      <c r="E1428">
        <v>1.55</v>
      </c>
      <c r="F1428">
        <v>4.03</v>
      </c>
      <c r="G1428" s="8">
        <f t="shared" si="22"/>
        <v>23.076923076923077</v>
      </c>
    </row>
    <row r="1429" spans="1:7" x14ac:dyDescent="0.25">
      <c r="A1429" s="87">
        <v>45804.78125</v>
      </c>
      <c r="B1429">
        <v>36</v>
      </c>
      <c r="C1429" t="s">
        <v>44</v>
      </c>
      <c r="D1429" t="s">
        <v>45</v>
      </c>
      <c r="E1429">
        <v>1.5</v>
      </c>
      <c r="F1429">
        <v>4.17</v>
      </c>
      <c r="G1429" s="8">
        <f t="shared" si="22"/>
        <v>21.582733812949641</v>
      </c>
    </row>
    <row r="1430" spans="1:7" x14ac:dyDescent="0.25">
      <c r="A1430" s="87">
        <v>45804.78125</v>
      </c>
      <c r="B1430">
        <v>37</v>
      </c>
      <c r="C1430" t="s">
        <v>45</v>
      </c>
      <c r="D1430" t="s">
        <v>46</v>
      </c>
      <c r="E1430">
        <v>1.38</v>
      </c>
      <c r="F1430">
        <v>5.27</v>
      </c>
      <c r="G1430" s="8">
        <f t="shared" si="22"/>
        <v>15.711574952561671</v>
      </c>
    </row>
    <row r="1431" spans="1:7" x14ac:dyDescent="0.25">
      <c r="A1431" s="87">
        <v>45804.78125</v>
      </c>
      <c r="B1431">
        <v>38</v>
      </c>
      <c r="C1431" t="s">
        <v>46</v>
      </c>
      <c r="D1431" t="s">
        <v>47</v>
      </c>
      <c r="E1431">
        <v>1.61</v>
      </c>
      <c r="F1431">
        <v>6.08</v>
      </c>
      <c r="G1431" s="8">
        <f t="shared" si="22"/>
        <v>15.888157894736842</v>
      </c>
    </row>
    <row r="1432" spans="1:7" x14ac:dyDescent="0.25">
      <c r="A1432" s="87">
        <v>45804.78125</v>
      </c>
      <c r="B1432">
        <v>39</v>
      </c>
      <c r="C1432" t="s">
        <v>47</v>
      </c>
      <c r="D1432" t="s">
        <v>48</v>
      </c>
      <c r="E1432">
        <v>1.55</v>
      </c>
      <c r="F1432">
        <v>3.97</v>
      </c>
      <c r="G1432" s="8">
        <f t="shared" si="22"/>
        <v>23.425692695214103</v>
      </c>
    </row>
    <row r="1433" spans="1:7" x14ac:dyDescent="0.25">
      <c r="A1433" s="87">
        <v>45804.78125</v>
      </c>
      <c r="B1433">
        <v>40</v>
      </c>
      <c r="C1433" t="s">
        <v>48</v>
      </c>
      <c r="D1433" t="s">
        <v>49</v>
      </c>
      <c r="E1433">
        <v>1.39</v>
      </c>
      <c r="F1433">
        <v>3.4</v>
      </c>
      <c r="G1433" s="8">
        <f t="shared" si="22"/>
        <v>24.52941176470588</v>
      </c>
    </row>
    <row r="1434" spans="1:7" x14ac:dyDescent="0.25">
      <c r="A1434" s="87">
        <v>45804.78125</v>
      </c>
      <c r="B1434">
        <v>41</v>
      </c>
      <c r="C1434" t="s">
        <v>50</v>
      </c>
      <c r="D1434" t="s">
        <v>51</v>
      </c>
      <c r="E1434">
        <v>1.56</v>
      </c>
      <c r="F1434">
        <v>5.07</v>
      </c>
      <c r="G1434" s="8">
        <f t="shared" si="22"/>
        <v>18.461538461538463</v>
      </c>
    </row>
    <row r="1435" spans="1:7" x14ac:dyDescent="0.25">
      <c r="A1435" s="87">
        <v>45804.78125</v>
      </c>
      <c r="B1435">
        <v>42</v>
      </c>
      <c r="C1435" t="s">
        <v>51</v>
      </c>
      <c r="D1435" t="s">
        <v>52</v>
      </c>
      <c r="E1435">
        <v>1.56</v>
      </c>
      <c r="F1435">
        <v>4.38</v>
      </c>
      <c r="G1435" s="8">
        <f t="shared" si="22"/>
        <v>21.369863013698634</v>
      </c>
    </row>
    <row r="1436" spans="1:7" x14ac:dyDescent="0.25">
      <c r="A1436" s="87">
        <v>45804.78125</v>
      </c>
      <c r="B1436">
        <v>43</v>
      </c>
      <c r="C1436" t="s">
        <v>52</v>
      </c>
      <c r="D1436" t="s">
        <v>53</v>
      </c>
      <c r="E1436">
        <v>1.51</v>
      </c>
      <c r="F1436">
        <v>4.1500000000000004</v>
      </c>
      <c r="G1436" s="8">
        <f t="shared" si="22"/>
        <v>21.831325301204817</v>
      </c>
    </row>
    <row r="1437" spans="1:7" x14ac:dyDescent="0.25">
      <c r="A1437" s="87">
        <v>45804.78125</v>
      </c>
      <c r="B1437">
        <v>44</v>
      </c>
      <c r="C1437" t="s">
        <v>54</v>
      </c>
      <c r="D1437" t="s">
        <v>55</v>
      </c>
      <c r="E1437">
        <v>1.51</v>
      </c>
      <c r="F1437">
        <v>4.9000000000000004</v>
      </c>
      <c r="G1437" s="8">
        <f t="shared" si="22"/>
        <v>18.489795918367346</v>
      </c>
    </row>
    <row r="1438" spans="1:7" x14ac:dyDescent="0.25">
      <c r="A1438" s="87">
        <v>45804.78125</v>
      </c>
      <c r="B1438">
        <v>45</v>
      </c>
      <c r="C1438" t="s">
        <v>55</v>
      </c>
      <c r="D1438" t="s">
        <v>56</v>
      </c>
      <c r="E1438">
        <v>1.49</v>
      </c>
      <c r="F1438">
        <v>4.17</v>
      </c>
      <c r="G1438" s="8">
        <f t="shared" si="22"/>
        <v>21.438848920863311</v>
      </c>
    </row>
    <row r="1439" spans="1:7" x14ac:dyDescent="0.25">
      <c r="A1439" s="87">
        <v>45804.78125</v>
      </c>
      <c r="B1439">
        <v>46</v>
      </c>
      <c r="C1439" t="s">
        <v>56</v>
      </c>
      <c r="D1439" t="s">
        <v>57</v>
      </c>
      <c r="E1439">
        <v>1.52</v>
      </c>
      <c r="F1439">
        <v>4.8</v>
      </c>
      <c r="G1439" s="8">
        <f t="shared" si="22"/>
        <v>19</v>
      </c>
    </row>
    <row r="1440" spans="1:7" x14ac:dyDescent="0.25">
      <c r="A1440" s="87">
        <v>45804.78125</v>
      </c>
      <c r="B1440">
        <v>47</v>
      </c>
      <c r="C1440" t="s">
        <v>58</v>
      </c>
      <c r="D1440" t="s">
        <v>59</v>
      </c>
      <c r="E1440">
        <v>1.52</v>
      </c>
      <c r="F1440">
        <v>5.6</v>
      </c>
      <c r="G1440" s="8">
        <f t="shared" si="22"/>
        <v>16.285714285714288</v>
      </c>
    </row>
    <row r="1441" spans="1:7" x14ac:dyDescent="0.25">
      <c r="A1441" s="87">
        <v>45804.78125</v>
      </c>
      <c r="B1441">
        <v>48</v>
      </c>
      <c r="C1441" t="s">
        <v>59</v>
      </c>
      <c r="D1441" t="s">
        <v>60</v>
      </c>
      <c r="E1441">
        <v>1.5</v>
      </c>
      <c r="F1441">
        <v>4.82</v>
      </c>
      <c r="G1441" s="8">
        <f t="shared" si="22"/>
        <v>18.672199170124479</v>
      </c>
    </row>
    <row r="1442" spans="1:7" x14ac:dyDescent="0.25">
      <c r="A1442" s="87">
        <v>45804.78125</v>
      </c>
      <c r="B1442">
        <v>49</v>
      </c>
      <c r="C1442" t="s">
        <v>60</v>
      </c>
      <c r="D1442" t="s">
        <v>61</v>
      </c>
      <c r="E1442">
        <v>1.54</v>
      </c>
      <c r="F1442">
        <v>4.7699999999999996</v>
      </c>
      <c r="G1442" s="8">
        <f t="shared" si="22"/>
        <v>19.371069182389942</v>
      </c>
    </row>
    <row r="1443" spans="1:7" x14ac:dyDescent="0.25">
      <c r="A1443" s="87">
        <v>45804.78125</v>
      </c>
      <c r="B1443">
        <v>50</v>
      </c>
      <c r="C1443" t="s">
        <v>62</v>
      </c>
      <c r="D1443" t="s">
        <v>63</v>
      </c>
      <c r="E1443">
        <v>1.38</v>
      </c>
      <c r="F1443">
        <v>3.22</v>
      </c>
      <c r="G1443" s="8">
        <f t="shared" si="22"/>
        <v>25.714285714285712</v>
      </c>
    </row>
    <row r="1444" spans="1:7" x14ac:dyDescent="0.25">
      <c r="A1444" s="87">
        <v>45804.78125</v>
      </c>
      <c r="B1444">
        <v>51</v>
      </c>
      <c r="C1444" t="s">
        <v>63</v>
      </c>
      <c r="D1444" t="s">
        <v>64</v>
      </c>
      <c r="E1444">
        <v>2.79</v>
      </c>
      <c r="F1444">
        <v>6.18</v>
      </c>
      <c r="G1444" s="8">
        <f t="shared" si="22"/>
        <v>27.087378640776702</v>
      </c>
    </row>
    <row r="1445" spans="1:7" x14ac:dyDescent="0.25">
      <c r="A1445" s="87">
        <v>45804.78125</v>
      </c>
      <c r="B1445">
        <v>52</v>
      </c>
      <c r="C1445" t="s">
        <v>64</v>
      </c>
      <c r="D1445" t="s">
        <v>65</v>
      </c>
      <c r="E1445">
        <v>1.5</v>
      </c>
      <c r="F1445">
        <v>2.93</v>
      </c>
      <c r="G1445" s="8">
        <f t="shared" si="22"/>
        <v>30.716723549488052</v>
      </c>
    </row>
    <row r="1446" spans="1:7" x14ac:dyDescent="0.25">
      <c r="A1446" s="87">
        <v>45804.78125</v>
      </c>
      <c r="B1446">
        <v>53</v>
      </c>
      <c r="C1446" t="s">
        <v>65</v>
      </c>
      <c r="D1446" t="s">
        <v>66</v>
      </c>
      <c r="E1446">
        <v>1.46</v>
      </c>
      <c r="F1446">
        <v>4.3</v>
      </c>
      <c r="G1446" s="8">
        <f t="shared" si="22"/>
        <v>20.372093023255815</v>
      </c>
    </row>
    <row r="1447" spans="1:7" x14ac:dyDescent="0.25">
      <c r="A1447" s="87">
        <v>45804.78125</v>
      </c>
      <c r="B1447">
        <v>54</v>
      </c>
      <c r="C1447" t="s">
        <v>67</v>
      </c>
      <c r="D1447" t="s">
        <v>68</v>
      </c>
      <c r="E1447">
        <v>1.46</v>
      </c>
      <c r="F1447">
        <v>2.95</v>
      </c>
      <c r="G1447" s="8">
        <f t="shared" si="22"/>
        <v>29.694915254237284</v>
      </c>
    </row>
    <row r="1448" spans="1:7" x14ac:dyDescent="0.25">
      <c r="A1448" s="87">
        <v>45804.78125</v>
      </c>
      <c r="B1448">
        <v>55</v>
      </c>
      <c r="C1448" t="s">
        <v>68</v>
      </c>
      <c r="D1448" t="s">
        <v>69</v>
      </c>
      <c r="E1448">
        <v>1.5</v>
      </c>
      <c r="F1448">
        <v>2.2799999999999998</v>
      </c>
      <c r="G1448" s="8">
        <f t="shared" si="22"/>
        <v>39.473684210526322</v>
      </c>
    </row>
    <row r="1449" spans="1:7" x14ac:dyDescent="0.25">
      <c r="A1449" s="87">
        <v>45804.78125</v>
      </c>
      <c r="B1449">
        <v>56</v>
      </c>
      <c r="C1449" t="s">
        <v>70</v>
      </c>
      <c r="D1449" t="s">
        <v>71</v>
      </c>
      <c r="E1449">
        <v>1.51</v>
      </c>
      <c r="F1449">
        <v>6.65</v>
      </c>
      <c r="G1449" s="8">
        <f t="shared" si="22"/>
        <v>13.624060150375938</v>
      </c>
    </row>
    <row r="1450" spans="1:7" x14ac:dyDescent="0.25">
      <c r="A1450" s="87">
        <v>45804.78125</v>
      </c>
      <c r="B1450">
        <v>57</v>
      </c>
      <c r="C1450" t="s">
        <v>71</v>
      </c>
      <c r="D1450" t="s">
        <v>72</v>
      </c>
      <c r="E1450">
        <v>1.94</v>
      </c>
      <c r="F1450">
        <v>6.33</v>
      </c>
      <c r="G1450" s="8">
        <f t="shared" si="22"/>
        <v>18.388625592417061</v>
      </c>
    </row>
    <row r="1451" spans="1:7" x14ac:dyDescent="0.25">
      <c r="A1451" s="87">
        <v>45804.78125</v>
      </c>
      <c r="B1451">
        <v>58</v>
      </c>
      <c r="C1451" t="s">
        <v>72</v>
      </c>
      <c r="D1451" t="s">
        <v>73</v>
      </c>
      <c r="E1451">
        <v>1.5</v>
      </c>
      <c r="F1451">
        <v>4.8499999999999996</v>
      </c>
      <c r="G1451" s="8">
        <f t="shared" si="22"/>
        <v>18.556701030927837</v>
      </c>
    </row>
    <row r="1452" spans="1:7" x14ac:dyDescent="0.25">
      <c r="A1452" s="87">
        <v>45804.791666666664</v>
      </c>
      <c r="B1452">
        <v>1</v>
      </c>
      <c r="C1452" t="s">
        <v>6</v>
      </c>
      <c r="D1452" t="s">
        <v>7</v>
      </c>
      <c r="E1452">
        <v>1.53</v>
      </c>
      <c r="F1452">
        <v>3.28</v>
      </c>
      <c r="G1452" s="8">
        <f t="shared" si="22"/>
        <v>27.987804878048781</v>
      </c>
    </row>
    <row r="1453" spans="1:7" x14ac:dyDescent="0.25">
      <c r="A1453" s="87">
        <v>45804.791666666664</v>
      </c>
      <c r="B1453">
        <v>2</v>
      </c>
      <c r="C1453" t="s">
        <v>7</v>
      </c>
      <c r="D1453" t="s">
        <v>8</v>
      </c>
      <c r="E1453">
        <v>1.57</v>
      </c>
      <c r="F1453">
        <v>5.67</v>
      </c>
      <c r="G1453" s="8">
        <f t="shared" si="22"/>
        <v>16.613756613756614</v>
      </c>
    </row>
    <row r="1454" spans="1:7" x14ac:dyDescent="0.25">
      <c r="A1454" s="87">
        <v>45804.791666666664</v>
      </c>
      <c r="B1454">
        <v>3</v>
      </c>
      <c r="C1454" t="s">
        <v>8</v>
      </c>
      <c r="D1454" t="s">
        <v>9</v>
      </c>
      <c r="E1454">
        <v>1.5</v>
      </c>
      <c r="F1454">
        <v>3.98</v>
      </c>
      <c r="G1454" s="8">
        <f t="shared" si="22"/>
        <v>22.613065326633166</v>
      </c>
    </row>
    <row r="1455" spans="1:7" x14ac:dyDescent="0.25">
      <c r="A1455" s="87">
        <v>45804.791666666664</v>
      </c>
      <c r="B1455">
        <v>4</v>
      </c>
      <c r="C1455" t="s">
        <v>9</v>
      </c>
      <c r="D1455" t="s">
        <v>10</v>
      </c>
      <c r="E1455">
        <v>1.5</v>
      </c>
      <c r="F1455">
        <v>3.32</v>
      </c>
      <c r="G1455" s="8">
        <f t="shared" si="22"/>
        <v>27.108433734939759</v>
      </c>
    </row>
    <row r="1456" spans="1:7" x14ac:dyDescent="0.25">
      <c r="A1456" s="87">
        <v>45804.791666666664</v>
      </c>
      <c r="B1456">
        <v>5</v>
      </c>
      <c r="C1456" t="s">
        <v>10</v>
      </c>
      <c r="D1456" t="s">
        <v>11</v>
      </c>
      <c r="E1456">
        <v>1.52</v>
      </c>
      <c r="F1456">
        <v>4.07</v>
      </c>
      <c r="G1456" s="8">
        <f t="shared" si="22"/>
        <v>22.407862407862407</v>
      </c>
    </row>
    <row r="1457" spans="1:7" x14ac:dyDescent="0.25">
      <c r="A1457" s="87">
        <v>45804.791666666664</v>
      </c>
      <c r="B1457">
        <v>6</v>
      </c>
      <c r="C1457" t="s">
        <v>11</v>
      </c>
      <c r="D1457" t="s">
        <v>12</v>
      </c>
      <c r="E1457">
        <v>1.5</v>
      </c>
      <c r="F1457">
        <v>2.8</v>
      </c>
      <c r="G1457" s="8">
        <f t="shared" si="22"/>
        <v>32.142857142857146</v>
      </c>
    </row>
    <row r="1458" spans="1:7" x14ac:dyDescent="0.25">
      <c r="A1458" s="87">
        <v>45804.791666666664</v>
      </c>
      <c r="B1458">
        <v>7</v>
      </c>
      <c r="C1458" t="s">
        <v>12</v>
      </c>
      <c r="D1458" t="s">
        <v>13</v>
      </c>
      <c r="E1458">
        <v>1.54</v>
      </c>
      <c r="F1458">
        <v>2.58</v>
      </c>
      <c r="G1458" s="8">
        <f t="shared" si="22"/>
        <v>35.813953488372093</v>
      </c>
    </row>
    <row r="1459" spans="1:7" x14ac:dyDescent="0.25">
      <c r="A1459" s="87">
        <v>45804.791666666664</v>
      </c>
      <c r="B1459">
        <v>8</v>
      </c>
      <c r="C1459" t="s">
        <v>13</v>
      </c>
      <c r="D1459" t="s">
        <v>14</v>
      </c>
      <c r="E1459">
        <v>1.54</v>
      </c>
      <c r="F1459">
        <v>3.25</v>
      </c>
      <c r="G1459" s="8">
        <f t="shared" si="22"/>
        <v>28.430769230769233</v>
      </c>
    </row>
    <row r="1460" spans="1:7" x14ac:dyDescent="0.25">
      <c r="A1460" s="87">
        <v>45804.791666666664</v>
      </c>
      <c r="B1460">
        <v>9</v>
      </c>
      <c r="C1460" t="s">
        <v>14</v>
      </c>
      <c r="D1460" t="s">
        <v>15</v>
      </c>
      <c r="E1460">
        <v>1.52</v>
      </c>
      <c r="F1460">
        <v>3.72</v>
      </c>
      <c r="G1460" s="8">
        <f t="shared" si="22"/>
        <v>24.516129032258064</v>
      </c>
    </row>
    <row r="1461" spans="1:7" x14ac:dyDescent="0.25">
      <c r="A1461" s="87">
        <v>45804.791666666664</v>
      </c>
      <c r="B1461">
        <v>10</v>
      </c>
      <c r="C1461" t="s">
        <v>15</v>
      </c>
      <c r="D1461" t="s">
        <v>16</v>
      </c>
      <c r="E1461">
        <v>1.5</v>
      </c>
      <c r="F1461">
        <v>3.82</v>
      </c>
      <c r="G1461" s="8">
        <f t="shared" si="22"/>
        <v>23.560209424083769</v>
      </c>
    </row>
    <row r="1462" spans="1:7" x14ac:dyDescent="0.25">
      <c r="A1462" s="87">
        <v>45804.791666666664</v>
      </c>
      <c r="B1462">
        <v>11</v>
      </c>
      <c r="C1462" t="s">
        <v>16</v>
      </c>
      <c r="D1462" t="s">
        <v>17</v>
      </c>
      <c r="E1462">
        <v>1.48</v>
      </c>
      <c r="F1462">
        <v>2.92</v>
      </c>
      <c r="G1462" s="8">
        <f t="shared" si="22"/>
        <v>30.410958904109588</v>
      </c>
    </row>
    <row r="1463" spans="1:7" x14ac:dyDescent="0.25">
      <c r="A1463" s="87">
        <v>45804.791666666664</v>
      </c>
      <c r="B1463">
        <v>12</v>
      </c>
      <c r="C1463" t="s">
        <v>17</v>
      </c>
      <c r="D1463" t="s">
        <v>18</v>
      </c>
      <c r="E1463">
        <v>1.46</v>
      </c>
      <c r="F1463">
        <v>3.82</v>
      </c>
      <c r="G1463" s="8">
        <f t="shared" si="22"/>
        <v>22.93193717277487</v>
      </c>
    </row>
    <row r="1464" spans="1:7" x14ac:dyDescent="0.25">
      <c r="A1464" s="87">
        <v>45804.791666666664</v>
      </c>
      <c r="B1464">
        <v>13</v>
      </c>
      <c r="C1464" t="s">
        <v>18</v>
      </c>
      <c r="D1464" t="s">
        <v>19</v>
      </c>
      <c r="E1464">
        <v>1.52</v>
      </c>
      <c r="F1464">
        <v>4.3</v>
      </c>
      <c r="G1464" s="8">
        <f t="shared" si="22"/>
        <v>21.209302325581397</v>
      </c>
    </row>
    <row r="1465" spans="1:7" x14ac:dyDescent="0.25">
      <c r="A1465" s="87">
        <v>45804.791666666664</v>
      </c>
      <c r="B1465">
        <v>14</v>
      </c>
      <c r="C1465" t="s">
        <v>19</v>
      </c>
      <c r="D1465" t="s">
        <v>20</v>
      </c>
      <c r="E1465">
        <v>1.51</v>
      </c>
      <c r="F1465">
        <v>4.45</v>
      </c>
      <c r="G1465" s="8">
        <f t="shared" si="22"/>
        <v>20.35955056179775</v>
      </c>
    </row>
    <row r="1466" spans="1:7" x14ac:dyDescent="0.25">
      <c r="A1466" s="87">
        <v>45804.791666666664</v>
      </c>
      <c r="B1466">
        <v>15</v>
      </c>
      <c r="C1466" t="s">
        <v>20</v>
      </c>
      <c r="D1466" t="s">
        <v>21</v>
      </c>
      <c r="E1466">
        <v>1.47</v>
      </c>
      <c r="F1466">
        <v>3.28</v>
      </c>
      <c r="G1466" s="8">
        <f t="shared" si="22"/>
        <v>26.890243902439028</v>
      </c>
    </row>
    <row r="1467" spans="1:7" x14ac:dyDescent="0.25">
      <c r="A1467" s="87">
        <v>45804.791666666664</v>
      </c>
      <c r="B1467">
        <v>16</v>
      </c>
      <c r="C1467" t="s">
        <v>21</v>
      </c>
      <c r="D1467" t="s">
        <v>22</v>
      </c>
      <c r="E1467">
        <v>1.5</v>
      </c>
      <c r="F1467">
        <v>1.98</v>
      </c>
      <c r="G1467" s="8">
        <f t="shared" si="22"/>
        <v>45.454545454545453</v>
      </c>
    </row>
    <row r="1468" spans="1:7" x14ac:dyDescent="0.25">
      <c r="A1468" s="87">
        <v>45804.791666666664</v>
      </c>
      <c r="B1468">
        <v>17</v>
      </c>
      <c r="C1468" t="s">
        <v>22</v>
      </c>
      <c r="D1468" t="s">
        <v>23</v>
      </c>
      <c r="E1468">
        <v>1.51</v>
      </c>
      <c r="F1468">
        <v>3.6</v>
      </c>
      <c r="G1468" s="8">
        <f t="shared" si="22"/>
        <v>25.166666666666664</v>
      </c>
    </row>
    <row r="1469" spans="1:7" x14ac:dyDescent="0.25">
      <c r="A1469" s="87">
        <v>45804.791666666664</v>
      </c>
      <c r="B1469">
        <v>18</v>
      </c>
      <c r="C1469" t="s">
        <v>23</v>
      </c>
      <c r="D1469" t="s">
        <v>24</v>
      </c>
      <c r="E1469">
        <v>1.51</v>
      </c>
      <c r="F1469">
        <v>3.95</v>
      </c>
      <c r="G1469" s="8">
        <f t="shared" si="22"/>
        <v>22.936708860759492</v>
      </c>
    </row>
    <row r="1470" spans="1:7" x14ac:dyDescent="0.25">
      <c r="A1470" s="87">
        <v>45804.791666666664</v>
      </c>
      <c r="B1470">
        <v>19</v>
      </c>
      <c r="C1470" t="s">
        <v>25</v>
      </c>
      <c r="D1470" t="s">
        <v>26</v>
      </c>
      <c r="E1470">
        <v>1.5</v>
      </c>
      <c r="F1470">
        <v>3.7</v>
      </c>
      <c r="G1470" s="8">
        <f t="shared" si="22"/>
        <v>24.324324324324323</v>
      </c>
    </row>
    <row r="1471" spans="1:7" x14ac:dyDescent="0.25">
      <c r="A1471" s="87">
        <v>45804.791666666664</v>
      </c>
      <c r="B1471">
        <v>20</v>
      </c>
      <c r="C1471" t="s">
        <v>26</v>
      </c>
      <c r="D1471" t="s">
        <v>27</v>
      </c>
      <c r="E1471">
        <v>1.48</v>
      </c>
      <c r="F1471">
        <v>3.45</v>
      </c>
      <c r="G1471" s="8">
        <f t="shared" si="22"/>
        <v>25.739130434782606</v>
      </c>
    </row>
    <row r="1472" spans="1:7" x14ac:dyDescent="0.25">
      <c r="A1472" s="87">
        <v>45804.791666666664</v>
      </c>
      <c r="B1472">
        <v>21</v>
      </c>
      <c r="C1472" t="s">
        <v>27</v>
      </c>
      <c r="D1472" t="s">
        <v>28</v>
      </c>
      <c r="E1472">
        <v>1.51</v>
      </c>
      <c r="F1472">
        <v>3.2</v>
      </c>
      <c r="G1472" s="8">
        <f t="shared" si="22"/>
        <v>28.312499999999996</v>
      </c>
    </row>
    <row r="1473" spans="1:7" x14ac:dyDescent="0.25">
      <c r="A1473" s="87">
        <v>45804.791666666664</v>
      </c>
      <c r="B1473">
        <v>22</v>
      </c>
      <c r="C1473" t="s">
        <v>28</v>
      </c>
      <c r="D1473" t="s">
        <v>29</v>
      </c>
      <c r="E1473">
        <v>1.57</v>
      </c>
      <c r="F1473">
        <v>4.17</v>
      </c>
      <c r="G1473" s="8">
        <f t="shared" si="22"/>
        <v>22.589928057553958</v>
      </c>
    </row>
    <row r="1474" spans="1:7" x14ac:dyDescent="0.25">
      <c r="A1474" s="87">
        <v>45804.791666666664</v>
      </c>
      <c r="B1474">
        <v>23</v>
      </c>
      <c r="C1474" t="s">
        <v>29</v>
      </c>
      <c r="D1474" t="s">
        <v>30</v>
      </c>
      <c r="E1474">
        <v>1.43</v>
      </c>
      <c r="F1474">
        <v>5.4</v>
      </c>
      <c r="G1474" s="8">
        <f t="shared" si="22"/>
        <v>15.888888888888888</v>
      </c>
    </row>
    <row r="1475" spans="1:7" x14ac:dyDescent="0.25">
      <c r="A1475" s="87">
        <v>45804.791666666664</v>
      </c>
      <c r="B1475">
        <v>24</v>
      </c>
      <c r="C1475" t="s">
        <v>30</v>
      </c>
      <c r="D1475" t="s">
        <v>31</v>
      </c>
      <c r="E1475">
        <v>1.52</v>
      </c>
      <c r="F1475">
        <v>3.97</v>
      </c>
      <c r="G1475" s="8">
        <f t="shared" ref="G1475:G1509" si="23">E1475*60/F1475</f>
        <v>22.972292191435766</v>
      </c>
    </row>
    <row r="1476" spans="1:7" x14ac:dyDescent="0.25">
      <c r="A1476" s="87">
        <v>45804.791666666664</v>
      </c>
      <c r="B1476">
        <v>25</v>
      </c>
      <c r="C1476" t="s">
        <v>31</v>
      </c>
      <c r="D1476" t="s">
        <v>32</v>
      </c>
      <c r="E1476">
        <v>1.52</v>
      </c>
      <c r="F1476">
        <v>3.6</v>
      </c>
      <c r="G1476" s="8">
        <f t="shared" si="23"/>
        <v>25.333333333333332</v>
      </c>
    </row>
    <row r="1477" spans="1:7" x14ac:dyDescent="0.25">
      <c r="A1477" s="87">
        <v>45804.791666666664</v>
      </c>
      <c r="B1477">
        <v>26</v>
      </c>
      <c r="C1477" t="s">
        <v>32</v>
      </c>
      <c r="D1477" t="s">
        <v>33</v>
      </c>
      <c r="E1477">
        <v>1.49</v>
      </c>
      <c r="F1477">
        <v>7.2</v>
      </c>
      <c r="G1477" s="8">
        <f t="shared" si="23"/>
        <v>12.416666666666668</v>
      </c>
    </row>
    <row r="1478" spans="1:7" x14ac:dyDescent="0.25">
      <c r="A1478" s="87">
        <v>45804.791666666664</v>
      </c>
      <c r="B1478">
        <v>27</v>
      </c>
      <c r="C1478" t="s">
        <v>33</v>
      </c>
      <c r="D1478" t="s">
        <v>34</v>
      </c>
      <c r="E1478">
        <v>1.53</v>
      </c>
      <c r="F1478">
        <v>4.87</v>
      </c>
      <c r="G1478" s="8">
        <f t="shared" si="23"/>
        <v>18.850102669404517</v>
      </c>
    </row>
    <row r="1479" spans="1:7" x14ac:dyDescent="0.25">
      <c r="A1479" s="87">
        <v>45804.791666666664</v>
      </c>
      <c r="B1479">
        <v>28</v>
      </c>
      <c r="C1479" t="s">
        <v>34</v>
      </c>
      <c r="D1479" t="s">
        <v>35</v>
      </c>
      <c r="E1479">
        <v>1.51</v>
      </c>
      <c r="F1479">
        <v>4.63</v>
      </c>
      <c r="G1479" s="8">
        <f t="shared" si="23"/>
        <v>19.568034557235421</v>
      </c>
    </row>
    <row r="1480" spans="1:7" x14ac:dyDescent="0.25">
      <c r="A1480" s="87">
        <v>45804.791666666664</v>
      </c>
      <c r="B1480">
        <v>29</v>
      </c>
      <c r="C1480" t="s">
        <v>36</v>
      </c>
      <c r="D1480" t="s">
        <v>37</v>
      </c>
      <c r="E1480">
        <v>1.57</v>
      </c>
      <c r="F1480">
        <v>3.65</v>
      </c>
      <c r="G1480" s="8">
        <f t="shared" si="23"/>
        <v>25.808219178082194</v>
      </c>
    </row>
    <row r="1481" spans="1:7" x14ac:dyDescent="0.25">
      <c r="A1481" s="87">
        <v>45804.791666666664</v>
      </c>
      <c r="B1481">
        <v>30</v>
      </c>
      <c r="C1481" t="s">
        <v>37</v>
      </c>
      <c r="D1481" t="s">
        <v>38</v>
      </c>
      <c r="E1481">
        <v>1.57</v>
      </c>
      <c r="F1481">
        <v>3.62</v>
      </c>
      <c r="G1481" s="8">
        <f t="shared" si="23"/>
        <v>26.022099447513813</v>
      </c>
    </row>
    <row r="1482" spans="1:7" x14ac:dyDescent="0.25">
      <c r="A1482" s="87">
        <v>45804.791666666664</v>
      </c>
      <c r="B1482">
        <v>31</v>
      </c>
      <c r="C1482" t="s">
        <v>38</v>
      </c>
      <c r="D1482" t="s">
        <v>39</v>
      </c>
      <c r="E1482">
        <v>1.52</v>
      </c>
      <c r="F1482">
        <v>2.88</v>
      </c>
      <c r="G1482" s="8">
        <f t="shared" si="23"/>
        <v>31.666666666666668</v>
      </c>
    </row>
    <row r="1483" spans="1:7" x14ac:dyDescent="0.25">
      <c r="A1483" s="87">
        <v>45804.791666666664</v>
      </c>
      <c r="B1483">
        <v>32</v>
      </c>
      <c r="C1483" t="s">
        <v>39</v>
      </c>
      <c r="D1483" t="s">
        <v>40</v>
      </c>
      <c r="E1483">
        <v>1.5</v>
      </c>
      <c r="F1483">
        <v>1.95</v>
      </c>
      <c r="G1483" s="8">
        <f t="shared" si="23"/>
        <v>46.153846153846153</v>
      </c>
    </row>
    <row r="1484" spans="1:7" x14ac:dyDescent="0.25">
      <c r="A1484" s="87">
        <v>45804.791666666664</v>
      </c>
      <c r="B1484">
        <v>33</v>
      </c>
      <c r="C1484" t="s">
        <v>40</v>
      </c>
      <c r="D1484" t="s">
        <v>41</v>
      </c>
      <c r="E1484">
        <v>1.51</v>
      </c>
      <c r="F1484">
        <v>2.38</v>
      </c>
      <c r="G1484" s="8">
        <f t="shared" si="23"/>
        <v>38.067226890756302</v>
      </c>
    </row>
    <row r="1485" spans="1:7" x14ac:dyDescent="0.25">
      <c r="A1485" s="87">
        <v>45804.791666666664</v>
      </c>
      <c r="B1485">
        <v>34</v>
      </c>
      <c r="C1485" t="s">
        <v>41</v>
      </c>
      <c r="D1485" t="s">
        <v>42</v>
      </c>
      <c r="E1485">
        <v>1.5</v>
      </c>
      <c r="F1485">
        <v>2.08</v>
      </c>
      <c r="G1485" s="8">
        <f t="shared" si="23"/>
        <v>43.269230769230766</v>
      </c>
    </row>
    <row r="1486" spans="1:7" x14ac:dyDescent="0.25">
      <c r="A1486" s="87">
        <v>45804.791666666664</v>
      </c>
      <c r="B1486">
        <v>35</v>
      </c>
      <c r="C1486" t="s">
        <v>43</v>
      </c>
      <c r="D1486" t="s">
        <v>44</v>
      </c>
      <c r="E1486">
        <v>1.55</v>
      </c>
      <c r="F1486">
        <v>4.07</v>
      </c>
      <c r="G1486" s="8">
        <f t="shared" si="23"/>
        <v>22.850122850122847</v>
      </c>
    </row>
    <row r="1487" spans="1:7" x14ac:dyDescent="0.25">
      <c r="A1487" s="87">
        <v>45804.791666666664</v>
      </c>
      <c r="B1487">
        <v>36</v>
      </c>
      <c r="C1487" t="s">
        <v>44</v>
      </c>
      <c r="D1487" t="s">
        <v>45</v>
      </c>
      <c r="E1487">
        <v>1.5</v>
      </c>
      <c r="F1487">
        <v>3.9</v>
      </c>
      <c r="G1487" s="8">
        <f t="shared" si="23"/>
        <v>23.076923076923077</v>
      </c>
    </row>
    <row r="1488" spans="1:7" x14ac:dyDescent="0.25">
      <c r="A1488" s="87">
        <v>45804.791666666664</v>
      </c>
      <c r="B1488">
        <v>37</v>
      </c>
      <c r="C1488" t="s">
        <v>45</v>
      </c>
      <c r="D1488" t="s">
        <v>46</v>
      </c>
      <c r="E1488">
        <v>1.38</v>
      </c>
      <c r="F1488">
        <v>6.17</v>
      </c>
      <c r="G1488" s="8">
        <f t="shared" si="23"/>
        <v>13.419773095623986</v>
      </c>
    </row>
    <row r="1489" spans="1:7" x14ac:dyDescent="0.25">
      <c r="A1489" s="87">
        <v>45804.791666666664</v>
      </c>
      <c r="B1489">
        <v>38</v>
      </c>
      <c r="C1489" t="s">
        <v>46</v>
      </c>
      <c r="D1489" t="s">
        <v>47</v>
      </c>
      <c r="E1489">
        <v>1.61</v>
      </c>
      <c r="F1489">
        <v>5.8</v>
      </c>
      <c r="G1489" s="8">
        <f t="shared" si="23"/>
        <v>16.655172413793107</v>
      </c>
    </row>
    <row r="1490" spans="1:7" x14ac:dyDescent="0.25">
      <c r="A1490" s="87">
        <v>45804.791666666664</v>
      </c>
      <c r="B1490">
        <v>39</v>
      </c>
      <c r="C1490" t="s">
        <v>47</v>
      </c>
      <c r="D1490" t="s">
        <v>48</v>
      </c>
      <c r="E1490">
        <v>1.55</v>
      </c>
      <c r="F1490">
        <v>4.0199999999999996</v>
      </c>
      <c r="G1490" s="8">
        <f t="shared" si="23"/>
        <v>23.134328358208958</v>
      </c>
    </row>
    <row r="1491" spans="1:7" x14ac:dyDescent="0.25">
      <c r="A1491" s="87">
        <v>45804.791666666664</v>
      </c>
      <c r="B1491">
        <v>40</v>
      </c>
      <c r="C1491" t="s">
        <v>48</v>
      </c>
      <c r="D1491" t="s">
        <v>49</v>
      </c>
      <c r="E1491">
        <v>1.39</v>
      </c>
      <c r="F1491">
        <v>3.4</v>
      </c>
      <c r="G1491" s="8">
        <f t="shared" si="23"/>
        <v>24.52941176470588</v>
      </c>
    </row>
    <row r="1492" spans="1:7" x14ac:dyDescent="0.25">
      <c r="A1492" s="87">
        <v>45804.791666666664</v>
      </c>
      <c r="B1492">
        <v>41</v>
      </c>
      <c r="C1492" t="s">
        <v>50</v>
      </c>
      <c r="D1492" t="s">
        <v>51</v>
      </c>
      <c r="E1492">
        <v>1.56</v>
      </c>
      <c r="F1492">
        <v>4.13</v>
      </c>
      <c r="G1492" s="8">
        <f t="shared" si="23"/>
        <v>22.663438256658598</v>
      </c>
    </row>
    <row r="1493" spans="1:7" x14ac:dyDescent="0.25">
      <c r="A1493" s="87">
        <v>45804.791666666664</v>
      </c>
      <c r="B1493">
        <v>42</v>
      </c>
      <c r="C1493" t="s">
        <v>51</v>
      </c>
      <c r="D1493" t="s">
        <v>52</v>
      </c>
      <c r="E1493">
        <v>1.56</v>
      </c>
      <c r="F1493">
        <v>4.63</v>
      </c>
      <c r="G1493" s="8">
        <f t="shared" si="23"/>
        <v>20.215982721382293</v>
      </c>
    </row>
    <row r="1494" spans="1:7" x14ac:dyDescent="0.25">
      <c r="A1494" s="87">
        <v>45804.791666666664</v>
      </c>
      <c r="B1494">
        <v>43</v>
      </c>
      <c r="C1494" t="s">
        <v>52</v>
      </c>
      <c r="D1494" t="s">
        <v>53</v>
      </c>
      <c r="E1494">
        <v>1.51</v>
      </c>
      <c r="F1494">
        <v>3.98</v>
      </c>
      <c r="G1494" s="8">
        <f t="shared" si="23"/>
        <v>22.763819095477384</v>
      </c>
    </row>
    <row r="1495" spans="1:7" x14ac:dyDescent="0.25">
      <c r="A1495" s="87">
        <v>45804.791666666664</v>
      </c>
      <c r="B1495">
        <v>44</v>
      </c>
      <c r="C1495" t="s">
        <v>54</v>
      </c>
      <c r="D1495" t="s">
        <v>55</v>
      </c>
      <c r="E1495">
        <v>1.51</v>
      </c>
      <c r="F1495">
        <v>4.37</v>
      </c>
      <c r="G1495" s="8">
        <f t="shared" si="23"/>
        <v>20.732265446224254</v>
      </c>
    </row>
    <row r="1496" spans="1:7" x14ac:dyDescent="0.25">
      <c r="A1496" s="87">
        <v>45804.791666666664</v>
      </c>
      <c r="B1496">
        <v>45</v>
      </c>
      <c r="C1496" t="s">
        <v>55</v>
      </c>
      <c r="D1496" t="s">
        <v>56</v>
      </c>
      <c r="E1496">
        <v>1.49</v>
      </c>
      <c r="F1496">
        <v>4.7300000000000004</v>
      </c>
      <c r="G1496" s="8">
        <f t="shared" si="23"/>
        <v>18.900634249471459</v>
      </c>
    </row>
    <row r="1497" spans="1:7" x14ac:dyDescent="0.25">
      <c r="A1497" s="87">
        <v>45804.791666666664</v>
      </c>
      <c r="B1497">
        <v>46</v>
      </c>
      <c r="C1497" t="s">
        <v>56</v>
      </c>
      <c r="D1497" t="s">
        <v>57</v>
      </c>
      <c r="E1497">
        <v>1.52</v>
      </c>
      <c r="F1497">
        <v>4.78</v>
      </c>
      <c r="G1497" s="8">
        <f t="shared" si="23"/>
        <v>19.07949790794979</v>
      </c>
    </row>
    <row r="1498" spans="1:7" x14ac:dyDescent="0.25">
      <c r="A1498" s="87">
        <v>45804.791666666664</v>
      </c>
      <c r="B1498">
        <v>47</v>
      </c>
      <c r="C1498" t="s">
        <v>58</v>
      </c>
      <c r="D1498" t="s">
        <v>59</v>
      </c>
      <c r="E1498">
        <v>1.52</v>
      </c>
      <c r="F1498">
        <v>5.43</v>
      </c>
      <c r="G1498" s="8">
        <f t="shared" si="23"/>
        <v>16.795580110497237</v>
      </c>
    </row>
    <row r="1499" spans="1:7" x14ac:dyDescent="0.25">
      <c r="A1499" s="87">
        <v>45804.791666666664</v>
      </c>
      <c r="B1499">
        <v>48</v>
      </c>
      <c r="C1499" t="s">
        <v>59</v>
      </c>
      <c r="D1499" t="s">
        <v>60</v>
      </c>
      <c r="E1499">
        <v>1.5</v>
      </c>
      <c r="F1499">
        <v>4.58</v>
      </c>
      <c r="G1499" s="8">
        <f t="shared" si="23"/>
        <v>19.650655021834062</v>
      </c>
    </row>
    <row r="1500" spans="1:7" x14ac:dyDescent="0.25">
      <c r="A1500" s="87">
        <v>45804.791666666664</v>
      </c>
      <c r="B1500">
        <v>49</v>
      </c>
      <c r="C1500" t="s">
        <v>60</v>
      </c>
      <c r="D1500" t="s">
        <v>61</v>
      </c>
      <c r="E1500">
        <v>1.54</v>
      </c>
      <c r="F1500">
        <v>4.67</v>
      </c>
      <c r="G1500" s="8">
        <f t="shared" si="23"/>
        <v>19.785867237687366</v>
      </c>
    </row>
    <row r="1501" spans="1:7" x14ac:dyDescent="0.25">
      <c r="A1501" s="87">
        <v>45804.791666666664</v>
      </c>
      <c r="B1501">
        <v>50</v>
      </c>
      <c r="C1501" t="s">
        <v>62</v>
      </c>
      <c r="D1501" t="s">
        <v>63</v>
      </c>
      <c r="E1501">
        <v>1.38</v>
      </c>
      <c r="F1501">
        <v>3.25</v>
      </c>
      <c r="G1501" s="8">
        <f t="shared" si="23"/>
        <v>25.476923076923075</v>
      </c>
    </row>
    <row r="1502" spans="1:7" x14ac:dyDescent="0.25">
      <c r="A1502" s="87">
        <v>45804.791666666664</v>
      </c>
      <c r="B1502">
        <v>51</v>
      </c>
      <c r="C1502" t="s">
        <v>63</v>
      </c>
      <c r="D1502" t="s">
        <v>64</v>
      </c>
      <c r="E1502">
        <v>2.79</v>
      </c>
      <c r="F1502">
        <v>5.88</v>
      </c>
      <c r="G1502" s="8">
        <f t="shared" si="23"/>
        <v>28.469387755102041</v>
      </c>
    </row>
    <row r="1503" spans="1:7" x14ac:dyDescent="0.25">
      <c r="A1503" s="87">
        <v>45804.791666666664</v>
      </c>
      <c r="B1503">
        <v>52</v>
      </c>
      <c r="C1503" t="s">
        <v>64</v>
      </c>
      <c r="D1503" t="s">
        <v>65</v>
      </c>
      <c r="E1503">
        <v>1.5</v>
      </c>
      <c r="F1503">
        <v>2.93</v>
      </c>
      <c r="G1503" s="8">
        <f t="shared" si="23"/>
        <v>30.716723549488052</v>
      </c>
    </row>
    <row r="1504" spans="1:7" x14ac:dyDescent="0.25">
      <c r="A1504" s="87">
        <v>45804.791666666664</v>
      </c>
      <c r="B1504">
        <v>53</v>
      </c>
      <c r="C1504" t="s">
        <v>65</v>
      </c>
      <c r="D1504" t="s">
        <v>66</v>
      </c>
      <c r="E1504">
        <v>1.46</v>
      </c>
      <c r="F1504">
        <v>4.18</v>
      </c>
      <c r="G1504" s="8">
        <f t="shared" si="23"/>
        <v>20.956937799043061</v>
      </c>
    </row>
    <row r="1505" spans="1:7" x14ac:dyDescent="0.25">
      <c r="A1505" s="87">
        <v>45804.791666666664</v>
      </c>
      <c r="B1505">
        <v>54</v>
      </c>
      <c r="C1505" t="s">
        <v>67</v>
      </c>
      <c r="D1505" t="s">
        <v>68</v>
      </c>
      <c r="E1505">
        <v>1.46</v>
      </c>
      <c r="F1505">
        <v>3.1</v>
      </c>
      <c r="G1505" s="8">
        <f t="shared" si="23"/>
        <v>28.258064516129028</v>
      </c>
    </row>
    <row r="1506" spans="1:7" x14ac:dyDescent="0.25">
      <c r="A1506" s="87">
        <v>45804.791666666664</v>
      </c>
      <c r="B1506">
        <v>55</v>
      </c>
      <c r="C1506" t="s">
        <v>68</v>
      </c>
      <c r="D1506" t="s">
        <v>69</v>
      </c>
      <c r="E1506">
        <v>1.5</v>
      </c>
      <c r="F1506">
        <v>2.2200000000000002</v>
      </c>
      <c r="G1506" s="8">
        <f t="shared" si="23"/>
        <v>40.54054054054054</v>
      </c>
    </row>
    <row r="1507" spans="1:7" x14ac:dyDescent="0.25">
      <c r="A1507" s="87">
        <v>45804.791666666664</v>
      </c>
      <c r="B1507">
        <v>56</v>
      </c>
      <c r="C1507" t="s">
        <v>70</v>
      </c>
      <c r="D1507" t="s">
        <v>71</v>
      </c>
      <c r="E1507">
        <v>1.51</v>
      </c>
      <c r="F1507">
        <v>6.23</v>
      </c>
      <c r="G1507" s="8">
        <f t="shared" si="23"/>
        <v>14.542536115569822</v>
      </c>
    </row>
    <row r="1508" spans="1:7" x14ac:dyDescent="0.25">
      <c r="A1508" s="87">
        <v>45804.791666666664</v>
      </c>
      <c r="B1508">
        <v>57</v>
      </c>
      <c r="C1508" t="s">
        <v>71</v>
      </c>
      <c r="D1508" t="s">
        <v>72</v>
      </c>
      <c r="E1508">
        <v>2</v>
      </c>
      <c r="F1508">
        <v>6.27</v>
      </c>
      <c r="G1508" s="8">
        <f t="shared" si="23"/>
        <v>19.138755980861244</v>
      </c>
    </row>
    <row r="1509" spans="1:7" x14ac:dyDescent="0.25">
      <c r="A1509" s="87">
        <v>45804.791666666664</v>
      </c>
      <c r="B1509">
        <v>58</v>
      </c>
      <c r="C1509" t="s">
        <v>72</v>
      </c>
      <c r="D1509" t="s">
        <v>73</v>
      </c>
      <c r="E1509">
        <v>1.5</v>
      </c>
      <c r="F1509">
        <v>4.72</v>
      </c>
      <c r="G1509" s="8">
        <f t="shared" si="23"/>
        <v>19.067796610169491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9"/>
  <sheetViews>
    <sheetView topLeftCell="A1396" workbookViewId="0">
      <selection activeCell="A1424" sqref="A1424"/>
    </sheetView>
  </sheetViews>
  <sheetFormatPr defaultRowHeight="15" x14ac:dyDescent="0.25"/>
  <cols>
    <col min="1" max="1" width="10.7109375" style="5" customWidth="1"/>
    <col min="2" max="2" width="9.140625" customWidth="1"/>
    <col min="3" max="3" width="37.85546875" customWidth="1"/>
    <col min="4" max="4" width="36.85546875" customWidth="1"/>
    <col min="5" max="5" width="17.28515625" customWidth="1"/>
    <col min="6" max="6" width="24" customWidth="1"/>
    <col min="7" max="7" width="12.140625" customWidth="1"/>
  </cols>
  <sheetData>
    <row r="1" spans="1:7" x14ac:dyDescent="0.25">
      <c r="A1" s="7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4" t="s">
        <v>74</v>
      </c>
    </row>
    <row r="2" spans="1:7" x14ac:dyDescent="0.25">
      <c r="A2" s="10">
        <v>45805.291666666664</v>
      </c>
      <c r="B2" s="11">
        <v>1</v>
      </c>
      <c r="C2" s="11" t="s">
        <v>6</v>
      </c>
      <c r="D2" s="11" t="s">
        <v>7</v>
      </c>
      <c r="E2" s="11">
        <v>1.53</v>
      </c>
      <c r="F2" s="11">
        <v>2.73</v>
      </c>
      <c r="G2" s="8">
        <f>E2*60/F2</f>
        <v>33.626373626373628</v>
      </c>
    </row>
    <row r="3" spans="1:7" x14ac:dyDescent="0.25">
      <c r="A3" s="10">
        <v>45805.291666666664</v>
      </c>
      <c r="B3" s="11">
        <v>2</v>
      </c>
      <c r="C3" s="11" t="s">
        <v>7</v>
      </c>
      <c r="D3" s="11" t="s">
        <v>8</v>
      </c>
      <c r="E3" s="11">
        <v>1.57</v>
      </c>
      <c r="F3" s="11">
        <v>3.98</v>
      </c>
      <c r="G3" s="8">
        <f t="shared" ref="G3:G66" si="0">E3*60/F3</f>
        <v>23.668341708542716</v>
      </c>
    </row>
    <row r="4" spans="1:7" x14ac:dyDescent="0.25">
      <c r="A4" s="10">
        <v>45805.291666666664</v>
      </c>
      <c r="B4" s="11">
        <v>3</v>
      </c>
      <c r="C4" s="11" t="s">
        <v>8</v>
      </c>
      <c r="D4" s="11" t="s">
        <v>9</v>
      </c>
      <c r="E4" s="11">
        <v>1.5</v>
      </c>
      <c r="F4" s="11">
        <v>2.63</v>
      </c>
      <c r="G4" s="8">
        <f t="shared" si="0"/>
        <v>34.220532319391637</v>
      </c>
    </row>
    <row r="5" spans="1:7" x14ac:dyDescent="0.25">
      <c r="A5" s="10">
        <v>45805.291666666664</v>
      </c>
      <c r="B5" s="11">
        <v>4</v>
      </c>
      <c r="C5" s="11" t="s">
        <v>9</v>
      </c>
      <c r="D5" s="11" t="s">
        <v>10</v>
      </c>
      <c r="E5" s="11">
        <v>1.5</v>
      </c>
      <c r="F5" s="11">
        <v>2.35</v>
      </c>
      <c r="G5" s="8">
        <f t="shared" si="0"/>
        <v>38.297872340425528</v>
      </c>
    </row>
    <row r="6" spans="1:7" x14ac:dyDescent="0.25">
      <c r="A6" s="10">
        <v>45805.291666666664</v>
      </c>
      <c r="B6" s="11">
        <v>5</v>
      </c>
      <c r="C6" s="11" t="s">
        <v>10</v>
      </c>
      <c r="D6" s="11" t="s">
        <v>11</v>
      </c>
      <c r="E6" s="11">
        <v>1.52</v>
      </c>
      <c r="F6" s="11">
        <v>2.57</v>
      </c>
      <c r="G6" s="8">
        <f t="shared" si="0"/>
        <v>35.4863813229572</v>
      </c>
    </row>
    <row r="7" spans="1:7" x14ac:dyDescent="0.25">
      <c r="A7" s="10">
        <v>45805.291666666664</v>
      </c>
      <c r="B7" s="11">
        <v>6</v>
      </c>
      <c r="C7" s="11" t="s">
        <v>11</v>
      </c>
      <c r="D7" s="11" t="s">
        <v>12</v>
      </c>
      <c r="E7" s="11">
        <v>1.5</v>
      </c>
      <c r="F7" s="11">
        <v>2.3199999999999998</v>
      </c>
      <c r="G7" s="8">
        <f t="shared" si="0"/>
        <v>38.793103448275865</v>
      </c>
    </row>
    <row r="8" spans="1:7" x14ac:dyDescent="0.25">
      <c r="A8" s="10">
        <v>45805.291666666664</v>
      </c>
      <c r="B8" s="11">
        <v>7</v>
      </c>
      <c r="C8" s="11" t="s">
        <v>12</v>
      </c>
      <c r="D8" s="11" t="s">
        <v>13</v>
      </c>
      <c r="E8" s="11">
        <v>1.54</v>
      </c>
      <c r="F8" s="11">
        <v>2.4</v>
      </c>
      <c r="G8" s="8">
        <f t="shared" si="0"/>
        <v>38.500000000000007</v>
      </c>
    </row>
    <row r="9" spans="1:7" x14ac:dyDescent="0.25">
      <c r="A9" s="10">
        <v>45805.291666666664</v>
      </c>
      <c r="B9" s="11">
        <v>8</v>
      </c>
      <c r="C9" s="11" t="s">
        <v>13</v>
      </c>
      <c r="D9" s="11" t="s">
        <v>14</v>
      </c>
      <c r="E9" s="11">
        <v>1.54</v>
      </c>
      <c r="F9" s="11">
        <v>2.73</v>
      </c>
      <c r="G9" s="8">
        <f t="shared" si="0"/>
        <v>33.846153846153847</v>
      </c>
    </row>
    <row r="10" spans="1:7" x14ac:dyDescent="0.25">
      <c r="A10" s="10">
        <v>45805.291666666664</v>
      </c>
      <c r="B10" s="11">
        <v>9</v>
      </c>
      <c r="C10" s="11" t="s">
        <v>14</v>
      </c>
      <c r="D10" s="11" t="s">
        <v>15</v>
      </c>
      <c r="E10" s="11">
        <v>1.52</v>
      </c>
      <c r="F10" s="11">
        <v>2.65</v>
      </c>
      <c r="G10" s="8">
        <f t="shared" si="0"/>
        <v>34.415094339622641</v>
      </c>
    </row>
    <row r="11" spans="1:7" x14ac:dyDescent="0.25">
      <c r="A11" s="10">
        <v>45805.291666666664</v>
      </c>
      <c r="B11" s="11">
        <v>10</v>
      </c>
      <c r="C11" s="11" t="s">
        <v>15</v>
      </c>
      <c r="D11" s="11" t="s">
        <v>16</v>
      </c>
      <c r="E11" s="11">
        <v>1.5</v>
      </c>
      <c r="F11" s="11">
        <v>2.8</v>
      </c>
      <c r="G11" s="8">
        <f t="shared" si="0"/>
        <v>32.142857142857146</v>
      </c>
    </row>
    <row r="12" spans="1:7" x14ac:dyDescent="0.25">
      <c r="A12" s="10">
        <v>45805.291666666664</v>
      </c>
      <c r="B12" s="11">
        <v>11</v>
      </c>
      <c r="C12" s="11" t="s">
        <v>16</v>
      </c>
      <c r="D12" s="11" t="s">
        <v>17</v>
      </c>
      <c r="E12" s="11">
        <v>1.48</v>
      </c>
      <c r="F12" s="11">
        <v>2.17</v>
      </c>
      <c r="G12" s="8">
        <f t="shared" si="0"/>
        <v>40.921658986175117</v>
      </c>
    </row>
    <row r="13" spans="1:7" x14ac:dyDescent="0.25">
      <c r="A13" s="10">
        <v>45805.291666666664</v>
      </c>
      <c r="B13" s="11">
        <v>12</v>
      </c>
      <c r="C13" s="11" t="s">
        <v>17</v>
      </c>
      <c r="D13" s="11" t="s">
        <v>18</v>
      </c>
      <c r="E13" s="11">
        <v>1.46</v>
      </c>
      <c r="F13" s="11">
        <v>2.6</v>
      </c>
      <c r="G13" s="8">
        <f t="shared" si="0"/>
        <v>33.692307692307686</v>
      </c>
    </row>
    <row r="14" spans="1:7" x14ac:dyDescent="0.25">
      <c r="A14" s="10">
        <v>45805.291666666664</v>
      </c>
      <c r="B14" s="11">
        <v>13</v>
      </c>
      <c r="C14" s="11" t="s">
        <v>18</v>
      </c>
      <c r="D14" s="11" t="s">
        <v>19</v>
      </c>
      <c r="E14" s="11">
        <v>1.52</v>
      </c>
      <c r="F14" s="11">
        <v>2.97</v>
      </c>
      <c r="G14" s="8">
        <f t="shared" si="0"/>
        <v>30.707070707070706</v>
      </c>
    </row>
    <row r="15" spans="1:7" x14ac:dyDescent="0.25">
      <c r="A15" s="10">
        <v>45805.291666666664</v>
      </c>
      <c r="B15" s="11">
        <v>14</v>
      </c>
      <c r="C15" s="11" t="s">
        <v>19</v>
      </c>
      <c r="D15" s="11" t="s">
        <v>20</v>
      </c>
      <c r="E15" s="11">
        <v>1.51</v>
      </c>
      <c r="F15" s="11">
        <v>2.78</v>
      </c>
      <c r="G15" s="8">
        <f t="shared" si="0"/>
        <v>32.589928057553955</v>
      </c>
    </row>
    <row r="16" spans="1:7" x14ac:dyDescent="0.25">
      <c r="A16" s="10">
        <v>45805.291666666664</v>
      </c>
      <c r="B16" s="11">
        <v>15</v>
      </c>
      <c r="C16" s="11" t="s">
        <v>20</v>
      </c>
      <c r="D16" s="11" t="s">
        <v>21</v>
      </c>
      <c r="E16" s="11">
        <v>1.47</v>
      </c>
      <c r="F16" s="11">
        <v>1.8</v>
      </c>
      <c r="G16" s="8">
        <f t="shared" si="0"/>
        <v>49</v>
      </c>
    </row>
    <row r="17" spans="1:7" x14ac:dyDescent="0.25">
      <c r="A17" s="10">
        <v>45805.291666666664</v>
      </c>
      <c r="B17" s="11">
        <v>16</v>
      </c>
      <c r="C17" s="11" t="s">
        <v>21</v>
      </c>
      <c r="D17" s="11" t="s">
        <v>22</v>
      </c>
      <c r="E17" s="11">
        <v>1.5</v>
      </c>
      <c r="F17" s="11">
        <v>1.65</v>
      </c>
      <c r="G17" s="8">
        <f t="shared" si="0"/>
        <v>54.545454545454547</v>
      </c>
    </row>
    <row r="18" spans="1:7" x14ac:dyDescent="0.25">
      <c r="A18" s="10">
        <v>45805.291666666664</v>
      </c>
      <c r="B18" s="11">
        <v>17</v>
      </c>
      <c r="C18" s="11" t="s">
        <v>22</v>
      </c>
      <c r="D18" s="11" t="s">
        <v>23</v>
      </c>
      <c r="E18" s="11">
        <v>1.51</v>
      </c>
      <c r="F18" s="11">
        <v>2.33</v>
      </c>
      <c r="G18" s="8">
        <f t="shared" si="0"/>
        <v>38.884120171673814</v>
      </c>
    </row>
    <row r="19" spans="1:7" x14ac:dyDescent="0.25">
      <c r="A19" s="10">
        <v>45805.291666666664</v>
      </c>
      <c r="B19" s="11">
        <v>18</v>
      </c>
      <c r="C19" s="11" t="s">
        <v>23</v>
      </c>
      <c r="D19" s="11" t="s">
        <v>24</v>
      </c>
      <c r="E19" s="11">
        <v>1.51</v>
      </c>
      <c r="F19" s="11">
        <v>2.5</v>
      </c>
      <c r="G19" s="8">
        <f t="shared" si="0"/>
        <v>36.239999999999995</v>
      </c>
    </row>
    <row r="20" spans="1:7" x14ac:dyDescent="0.25">
      <c r="A20" s="10">
        <v>45805.291666666664</v>
      </c>
      <c r="B20" s="11">
        <v>19</v>
      </c>
      <c r="C20" s="11" t="s">
        <v>25</v>
      </c>
      <c r="D20" s="11" t="s">
        <v>26</v>
      </c>
      <c r="E20" s="11">
        <v>1.5</v>
      </c>
      <c r="F20" s="11">
        <v>2.9</v>
      </c>
      <c r="G20" s="8">
        <f t="shared" si="0"/>
        <v>31.03448275862069</v>
      </c>
    </row>
    <row r="21" spans="1:7" x14ac:dyDescent="0.25">
      <c r="A21" s="10">
        <v>45805.291666666664</v>
      </c>
      <c r="B21" s="11">
        <v>20</v>
      </c>
      <c r="C21" s="11" t="s">
        <v>26</v>
      </c>
      <c r="D21" s="11" t="s">
        <v>27</v>
      </c>
      <c r="E21" s="11">
        <v>1.48</v>
      </c>
      <c r="F21" s="11">
        <v>2.87</v>
      </c>
      <c r="G21" s="8">
        <f t="shared" si="0"/>
        <v>30.940766550522646</v>
      </c>
    </row>
    <row r="22" spans="1:7" x14ac:dyDescent="0.25">
      <c r="A22" s="10">
        <v>45805.291666666664</v>
      </c>
      <c r="B22" s="11">
        <v>21</v>
      </c>
      <c r="C22" s="11" t="s">
        <v>27</v>
      </c>
      <c r="D22" s="11" t="s">
        <v>28</v>
      </c>
      <c r="E22" s="11">
        <v>1.51</v>
      </c>
      <c r="F22" s="11">
        <v>2.78</v>
      </c>
      <c r="G22" s="8">
        <f t="shared" si="0"/>
        <v>32.589928057553955</v>
      </c>
    </row>
    <row r="23" spans="1:7" x14ac:dyDescent="0.25">
      <c r="A23" s="10">
        <v>45805.291666666664</v>
      </c>
      <c r="B23" s="11">
        <v>22</v>
      </c>
      <c r="C23" s="11" t="s">
        <v>28</v>
      </c>
      <c r="D23" s="11" t="s">
        <v>29</v>
      </c>
      <c r="E23" s="11">
        <v>1.57</v>
      </c>
      <c r="F23" s="11">
        <v>2.83</v>
      </c>
      <c r="G23" s="8">
        <f t="shared" si="0"/>
        <v>33.286219081272087</v>
      </c>
    </row>
    <row r="24" spans="1:7" x14ac:dyDescent="0.25">
      <c r="A24" s="10">
        <v>45805.291666666664</v>
      </c>
      <c r="B24" s="11">
        <v>23</v>
      </c>
      <c r="C24" s="11" t="s">
        <v>29</v>
      </c>
      <c r="D24" s="11" t="s">
        <v>30</v>
      </c>
      <c r="E24" s="11">
        <v>1.43</v>
      </c>
      <c r="F24" s="11">
        <v>2.97</v>
      </c>
      <c r="G24" s="8">
        <f t="shared" si="0"/>
        <v>28.888888888888886</v>
      </c>
    </row>
    <row r="25" spans="1:7" x14ac:dyDescent="0.25">
      <c r="A25" s="10">
        <v>45805.291666666664</v>
      </c>
      <c r="B25" s="11">
        <v>24</v>
      </c>
      <c r="C25" s="11" t="s">
        <v>30</v>
      </c>
      <c r="D25" s="11" t="s">
        <v>31</v>
      </c>
      <c r="E25" s="11">
        <v>1.52</v>
      </c>
      <c r="F25" s="11">
        <v>2.9</v>
      </c>
      <c r="G25" s="8">
        <f t="shared" si="0"/>
        <v>31.448275862068968</v>
      </c>
    </row>
    <row r="26" spans="1:7" x14ac:dyDescent="0.25">
      <c r="A26" s="10">
        <v>45805.291666666664</v>
      </c>
      <c r="B26" s="11">
        <v>25</v>
      </c>
      <c r="C26" s="11" t="s">
        <v>31</v>
      </c>
      <c r="D26" s="11" t="s">
        <v>32</v>
      </c>
      <c r="E26" s="11">
        <v>1.52</v>
      </c>
      <c r="F26" s="11">
        <v>2.87</v>
      </c>
      <c r="G26" s="8">
        <f t="shared" si="0"/>
        <v>31.777003484320556</v>
      </c>
    </row>
    <row r="27" spans="1:7" x14ac:dyDescent="0.25">
      <c r="A27" s="10">
        <v>45805.291666666664</v>
      </c>
      <c r="B27" s="11">
        <v>26</v>
      </c>
      <c r="C27" s="11" t="s">
        <v>32</v>
      </c>
      <c r="D27" s="11" t="s">
        <v>33</v>
      </c>
      <c r="E27" s="11">
        <v>1.49</v>
      </c>
      <c r="F27" s="11">
        <v>2.9</v>
      </c>
      <c r="G27" s="8">
        <f t="shared" si="0"/>
        <v>30.827586206896555</v>
      </c>
    </row>
    <row r="28" spans="1:7" x14ac:dyDescent="0.25">
      <c r="A28" s="10">
        <v>45805.291666666664</v>
      </c>
      <c r="B28" s="11">
        <v>27</v>
      </c>
      <c r="C28" s="11" t="s">
        <v>33</v>
      </c>
      <c r="D28" s="11" t="s">
        <v>34</v>
      </c>
      <c r="E28" s="11">
        <v>1.53</v>
      </c>
      <c r="F28" s="11">
        <v>2.83</v>
      </c>
      <c r="G28" s="8">
        <f t="shared" si="0"/>
        <v>32.438162544169607</v>
      </c>
    </row>
    <row r="29" spans="1:7" x14ac:dyDescent="0.25">
      <c r="A29" s="10">
        <v>45805.291666666664</v>
      </c>
      <c r="B29" s="11">
        <v>28</v>
      </c>
      <c r="C29" s="11" t="s">
        <v>34</v>
      </c>
      <c r="D29" s="11" t="s">
        <v>35</v>
      </c>
      <c r="E29" s="11">
        <v>1.51</v>
      </c>
      <c r="F29" s="11">
        <v>3.32</v>
      </c>
      <c r="G29" s="8">
        <f t="shared" si="0"/>
        <v>27.289156626506024</v>
      </c>
    </row>
    <row r="30" spans="1:7" x14ac:dyDescent="0.25">
      <c r="A30" s="10">
        <v>45805.291666666664</v>
      </c>
      <c r="B30" s="11">
        <v>29</v>
      </c>
      <c r="C30" s="11" t="s">
        <v>36</v>
      </c>
      <c r="D30" s="11" t="s">
        <v>37</v>
      </c>
      <c r="E30" s="11">
        <v>1.57</v>
      </c>
      <c r="F30" s="11">
        <v>2.98</v>
      </c>
      <c r="G30" s="8">
        <f t="shared" si="0"/>
        <v>31.610738255033556</v>
      </c>
    </row>
    <row r="31" spans="1:7" x14ac:dyDescent="0.25">
      <c r="A31" s="10">
        <v>45805.291666666664</v>
      </c>
      <c r="B31" s="11">
        <v>30</v>
      </c>
      <c r="C31" s="11" t="s">
        <v>37</v>
      </c>
      <c r="D31" s="11" t="s">
        <v>38</v>
      </c>
      <c r="E31" s="11">
        <v>1.57</v>
      </c>
      <c r="F31" s="11">
        <v>3.27</v>
      </c>
      <c r="G31" s="8">
        <f t="shared" si="0"/>
        <v>28.807339449541285</v>
      </c>
    </row>
    <row r="32" spans="1:7" x14ac:dyDescent="0.25">
      <c r="A32" s="10">
        <v>45805.291666666664</v>
      </c>
      <c r="B32" s="11">
        <v>31</v>
      </c>
      <c r="C32" s="11" t="s">
        <v>38</v>
      </c>
      <c r="D32" s="11" t="s">
        <v>39</v>
      </c>
      <c r="E32" s="11">
        <v>1.52</v>
      </c>
      <c r="F32" s="11">
        <v>2.42</v>
      </c>
      <c r="G32" s="8">
        <f t="shared" si="0"/>
        <v>37.685950413223139</v>
      </c>
    </row>
    <row r="33" spans="1:7" x14ac:dyDescent="0.25">
      <c r="A33" s="10">
        <v>45805.291666666664</v>
      </c>
      <c r="B33" s="11">
        <v>32</v>
      </c>
      <c r="C33" s="11" t="s">
        <v>39</v>
      </c>
      <c r="D33" s="11" t="s">
        <v>40</v>
      </c>
      <c r="E33" s="11">
        <v>1.5</v>
      </c>
      <c r="F33" s="11">
        <v>1.65</v>
      </c>
      <c r="G33" s="8">
        <f t="shared" si="0"/>
        <v>54.545454545454547</v>
      </c>
    </row>
    <row r="34" spans="1:7" x14ac:dyDescent="0.25">
      <c r="A34" s="10">
        <v>45805.291666666664</v>
      </c>
      <c r="B34" s="11">
        <v>33</v>
      </c>
      <c r="C34" s="11" t="s">
        <v>40</v>
      </c>
      <c r="D34" s="11" t="s">
        <v>41</v>
      </c>
      <c r="E34" s="11">
        <v>1.51</v>
      </c>
      <c r="F34" s="11">
        <v>1.62</v>
      </c>
      <c r="G34" s="8">
        <f t="shared" si="0"/>
        <v>55.925925925925917</v>
      </c>
    </row>
    <row r="35" spans="1:7" x14ac:dyDescent="0.25">
      <c r="A35" s="10">
        <v>45805.291666666664</v>
      </c>
      <c r="B35" s="11">
        <v>34</v>
      </c>
      <c r="C35" s="11" t="s">
        <v>41</v>
      </c>
      <c r="D35" s="11" t="s">
        <v>42</v>
      </c>
      <c r="E35" s="11">
        <v>1.5</v>
      </c>
      <c r="F35" s="11">
        <v>1.68</v>
      </c>
      <c r="G35" s="8">
        <f t="shared" si="0"/>
        <v>53.571428571428577</v>
      </c>
    </row>
    <row r="36" spans="1:7" x14ac:dyDescent="0.25">
      <c r="A36" s="10">
        <v>45805.291666666664</v>
      </c>
      <c r="B36" s="11">
        <v>35</v>
      </c>
      <c r="C36" s="11" t="s">
        <v>43</v>
      </c>
      <c r="D36" s="11" t="s">
        <v>44</v>
      </c>
      <c r="E36" s="11">
        <v>1.55</v>
      </c>
      <c r="F36" s="11">
        <v>2.97</v>
      </c>
      <c r="G36" s="8">
        <f t="shared" si="0"/>
        <v>31.313131313131311</v>
      </c>
    </row>
    <row r="37" spans="1:7" x14ac:dyDescent="0.25">
      <c r="A37" s="10">
        <v>45805.291666666664</v>
      </c>
      <c r="B37" s="11">
        <v>36</v>
      </c>
      <c r="C37" s="11" t="s">
        <v>44</v>
      </c>
      <c r="D37" s="11" t="s">
        <v>45</v>
      </c>
      <c r="E37" s="11">
        <v>1.5</v>
      </c>
      <c r="F37" s="11">
        <v>2.5499999999999998</v>
      </c>
      <c r="G37" s="8">
        <f t="shared" si="0"/>
        <v>35.294117647058826</v>
      </c>
    </row>
    <row r="38" spans="1:7" x14ac:dyDescent="0.25">
      <c r="A38" s="10">
        <v>45805.291666666664</v>
      </c>
      <c r="B38" s="11">
        <v>37</v>
      </c>
      <c r="C38" s="11" t="s">
        <v>45</v>
      </c>
      <c r="D38" s="11" t="s">
        <v>46</v>
      </c>
      <c r="E38" s="11">
        <v>1.38</v>
      </c>
      <c r="F38" s="11">
        <v>3.03</v>
      </c>
      <c r="G38" s="8">
        <f t="shared" si="0"/>
        <v>27.326732673267326</v>
      </c>
    </row>
    <row r="39" spans="1:7" x14ac:dyDescent="0.25">
      <c r="A39" s="10">
        <v>45805.291666666664</v>
      </c>
      <c r="B39" s="11">
        <v>38</v>
      </c>
      <c r="C39" s="11" t="s">
        <v>46</v>
      </c>
      <c r="D39" s="11" t="s">
        <v>47</v>
      </c>
      <c r="E39" s="11">
        <v>1.61</v>
      </c>
      <c r="F39" s="11">
        <v>3.03</v>
      </c>
      <c r="G39" s="8">
        <f t="shared" si="0"/>
        <v>31.881188118811885</v>
      </c>
    </row>
    <row r="40" spans="1:7" x14ac:dyDescent="0.25">
      <c r="A40" s="10">
        <v>45805.291666666664</v>
      </c>
      <c r="B40" s="11">
        <v>39</v>
      </c>
      <c r="C40" s="11" t="s">
        <v>47</v>
      </c>
      <c r="D40" s="11" t="s">
        <v>48</v>
      </c>
      <c r="E40" s="11">
        <v>1.55</v>
      </c>
      <c r="F40" s="11">
        <v>2.7</v>
      </c>
      <c r="G40" s="8">
        <f t="shared" si="0"/>
        <v>34.444444444444443</v>
      </c>
    </row>
    <row r="41" spans="1:7" x14ac:dyDescent="0.25">
      <c r="A41" s="10">
        <v>45805.291666666664</v>
      </c>
      <c r="B41" s="11">
        <v>40</v>
      </c>
      <c r="C41" s="11" t="s">
        <v>48</v>
      </c>
      <c r="D41" s="11" t="s">
        <v>49</v>
      </c>
      <c r="E41" s="11">
        <v>1.39</v>
      </c>
      <c r="F41" s="11">
        <v>2.5299999999999998</v>
      </c>
      <c r="G41" s="8">
        <f t="shared" si="0"/>
        <v>32.964426877470352</v>
      </c>
    </row>
    <row r="42" spans="1:7" x14ac:dyDescent="0.25">
      <c r="A42" s="10">
        <v>45805.291666666664</v>
      </c>
      <c r="B42" s="11">
        <v>41</v>
      </c>
      <c r="C42" s="11" t="s">
        <v>50</v>
      </c>
      <c r="D42" s="11" t="s">
        <v>51</v>
      </c>
      <c r="E42" s="11">
        <v>1.56</v>
      </c>
      <c r="F42" s="11">
        <v>3.17</v>
      </c>
      <c r="G42" s="8">
        <f t="shared" si="0"/>
        <v>29.526813880126188</v>
      </c>
    </row>
    <row r="43" spans="1:7" x14ac:dyDescent="0.25">
      <c r="A43" s="10">
        <v>45805.291666666664</v>
      </c>
      <c r="B43" s="11">
        <v>42</v>
      </c>
      <c r="C43" s="11" t="s">
        <v>51</v>
      </c>
      <c r="D43" s="11" t="s">
        <v>52</v>
      </c>
      <c r="E43" s="11">
        <v>1.56</v>
      </c>
      <c r="F43" s="11">
        <v>3.07</v>
      </c>
      <c r="G43" s="8">
        <f t="shared" si="0"/>
        <v>30.488599348534205</v>
      </c>
    </row>
    <row r="44" spans="1:7" x14ac:dyDescent="0.25">
      <c r="A44" s="10">
        <v>45805.291666666664</v>
      </c>
      <c r="B44" s="11">
        <v>43</v>
      </c>
      <c r="C44" s="11" t="s">
        <v>52</v>
      </c>
      <c r="D44" s="11" t="s">
        <v>53</v>
      </c>
      <c r="E44" s="11">
        <v>1.51</v>
      </c>
      <c r="F44" s="11">
        <v>2.92</v>
      </c>
      <c r="G44" s="8">
        <f t="shared" si="0"/>
        <v>31.027397260273972</v>
      </c>
    </row>
    <row r="45" spans="1:7" x14ac:dyDescent="0.25">
      <c r="A45" s="10">
        <v>45805.291666666664</v>
      </c>
      <c r="B45" s="11">
        <v>44</v>
      </c>
      <c r="C45" s="11" t="s">
        <v>54</v>
      </c>
      <c r="D45" s="11" t="s">
        <v>55</v>
      </c>
      <c r="E45" s="11">
        <v>1.51</v>
      </c>
      <c r="F45" s="11">
        <v>3.73</v>
      </c>
      <c r="G45" s="8">
        <f t="shared" si="0"/>
        <v>24.289544235924932</v>
      </c>
    </row>
    <row r="46" spans="1:7" x14ac:dyDescent="0.25">
      <c r="A46" s="10">
        <v>45805.291666666664</v>
      </c>
      <c r="B46" s="11">
        <v>45</v>
      </c>
      <c r="C46" s="11" t="s">
        <v>55</v>
      </c>
      <c r="D46" s="11" t="s">
        <v>56</v>
      </c>
      <c r="E46" s="11">
        <v>1.49</v>
      </c>
      <c r="F46" s="11">
        <v>2.93</v>
      </c>
      <c r="G46" s="8">
        <f t="shared" si="0"/>
        <v>30.511945392491469</v>
      </c>
    </row>
    <row r="47" spans="1:7" x14ac:dyDescent="0.25">
      <c r="A47" s="10">
        <v>45805.291666666664</v>
      </c>
      <c r="B47" s="11">
        <v>46</v>
      </c>
      <c r="C47" s="11" t="s">
        <v>56</v>
      </c>
      <c r="D47" s="11" t="s">
        <v>57</v>
      </c>
      <c r="E47" s="11">
        <v>1.52</v>
      </c>
      <c r="F47" s="11">
        <v>3.22</v>
      </c>
      <c r="G47" s="8">
        <f t="shared" si="0"/>
        <v>28.322981366459626</v>
      </c>
    </row>
    <row r="48" spans="1:7" x14ac:dyDescent="0.25">
      <c r="A48" s="10">
        <v>45805.291666666664</v>
      </c>
      <c r="B48" s="11">
        <v>47</v>
      </c>
      <c r="C48" s="11" t="s">
        <v>58</v>
      </c>
      <c r="D48" s="11" t="s">
        <v>59</v>
      </c>
      <c r="E48" s="11">
        <v>1.52</v>
      </c>
      <c r="F48" s="11">
        <v>3.17</v>
      </c>
      <c r="G48" s="8">
        <f t="shared" si="0"/>
        <v>28.769716088328078</v>
      </c>
    </row>
    <row r="49" spans="1:7" x14ac:dyDescent="0.25">
      <c r="A49" s="10">
        <v>45805.291666666664</v>
      </c>
      <c r="B49" s="11">
        <v>48</v>
      </c>
      <c r="C49" s="11" t="s">
        <v>59</v>
      </c>
      <c r="D49" s="11" t="s">
        <v>60</v>
      </c>
      <c r="E49" s="11">
        <v>1.5</v>
      </c>
      <c r="F49" s="11">
        <v>2.92</v>
      </c>
      <c r="G49" s="8">
        <f t="shared" si="0"/>
        <v>30.82191780821918</v>
      </c>
    </row>
    <row r="50" spans="1:7" x14ac:dyDescent="0.25">
      <c r="A50" s="10">
        <v>45805.291666666664</v>
      </c>
      <c r="B50" s="11">
        <v>49</v>
      </c>
      <c r="C50" s="11" t="s">
        <v>60</v>
      </c>
      <c r="D50" s="11" t="s">
        <v>61</v>
      </c>
      <c r="E50" s="11">
        <v>1.54</v>
      </c>
      <c r="F50" s="11">
        <v>3.08</v>
      </c>
      <c r="G50" s="8">
        <f t="shared" si="0"/>
        <v>30</v>
      </c>
    </row>
    <row r="51" spans="1:7" x14ac:dyDescent="0.25">
      <c r="A51" s="10">
        <v>45805.291666666664</v>
      </c>
      <c r="B51" s="11">
        <v>50</v>
      </c>
      <c r="C51" s="11" t="s">
        <v>62</v>
      </c>
      <c r="D51" s="11" t="s">
        <v>63</v>
      </c>
      <c r="E51" s="11">
        <v>1.38</v>
      </c>
      <c r="F51" s="11">
        <v>2.77</v>
      </c>
      <c r="G51" s="8">
        <f t="shared" si="0"/>
        <v>29.891696750902526</v>
      </c>
    </row>
    <row r="52" spans="1:7" x14ac:dyDescent="0.25">
      <c r="A52" s="10">
        <v>45805.291666666664</v>
      </c>
      <c r="B52" s="11">
        <v>51</v>
      </c>
      <c r="C52" s="11" t="s">
        <v>63</v>
      </c>
      <c r="D52" s="11" t="s">
        <v>64</v>
      </c>
      <c r="E52" s="11">
        <v>2.79</v>
      </c>
      <c r="F52" s="11">
        <v>5.08</v>
      </c>
      <c r="G52" s="8">
        <f t="shared" si="0"/>
        <v>32.952755905511815</v>
      </c>
    </row>
    <row r="53" spans="1:7" x14ac:dyDescent="0.25">
      <c r="A53" s="10">
        <v>45805.291666666664</v>
      </c>
      <c r="B53" s="11">
        <v>52</v>
      </c>
      <c r="C53" s="11" t="s">
        <v>64</v>
      </c>
      <c r="D53" s="11" t="s">
        <v>65</v>
      </c>
      <c r="E53" s="11">
        <v>1.5</v>
      </c>
      <c r="F53" s="11">
        <v>2.52</v>
      </c>
      <c r="G53" s="8">
        <f t="shared" si="0"/>
        <v>35.714285714285715</v>
      </c>
    </row>
    <row r="54" spans="1:7" x14ac:dyDescent="0.25">
      <c r="A54" s="10">
        <v>45805.291666666664</v>
      </c>
      <c r="B54" s="11">
        <v>53</v>
      </c>
      <c r="C54" s="11" t="s">
        <v>65</v>
      </c>
      <c r="D54" s="11" t="s">
        <v>66</v>
      </c>
      <c r="E54" s="11">
        <v>1.46</v>
      </c>
      <c r="F54" s="11">
        <v>3</v>
      </c>
      <c r="G54" s="8">
        <f t="shared" si="0"/>
        <v>29.2</v>
      </c>
    </row>
    <row r="55" spans="1:7" x14ac:dyDescent="0.25">
      <c r="A55" s="10">
        <v>45805.291666666664</v>
      </c>
      <c r="B55" s="11">
        <v>54</v>
      </c>
      <c r="C55" s="11" t="s">
        <v>67</v>
      </c>
      <c r="D55" s="11" t="s">
        <v>68</v>
      </c>
      <c r="E55" s="11">
        <v>1.46</v>
      </c>
      <c r="F55" s="11">
        <v>2.3199999999999998</v>
      </c>
      <c r="G55" s="8">
        <f t="shared" si="0"/>
        <v>37.758620689655174</v>
      </c>
    </row>
    <row r="56" spans="1:7" x14ac:dyDescent="0.25">
      <c r="A56" s="10">
        <v>45805.291666666664</v>
      </c>
      <c r="B56" s="11">
        <v>55</v>
      </c>
      <c r="C56" s="11" t="s">
        <v>68</v>
      </c>
      <c r="D56" s="11" t="s">
        <v>69</v>
      </c>
      <c r="E56" s="11">
        <v>1.5</v>
      </c>
      <c r="F56" s="11">
        <v>1.82</v>
      </c>
      <c r="G56" s="8">
        <f t="shared" si="0"/>
        <v>49.450549450549445</v>
      </c>
    </row>
    <row r="57" spans="1:7" x14ac:dyDescent="0.25">
      <c r="A57" s="10">
        <v>45805.291666666664</v>
      </c>
      <c r="B57" s="11">
        <v>56</v>
      </c>
      <c r="C57" s="11" t="s">
        <v>70</v>
      </c>
      <c r="D57" s="11" t="s">
        <v>71</v>
      </c>
      <c r="E57" s="11">
        <v>1.51</v>
      </c>
      <c r="F57" s="11">
        <v>3.08</v>
      </c>
      <c r="G57" s="8">
        <f t="shared" si="0"/>
        <v>29.415584415584412</v>
      </c>
    </row>
    <row r="58" spans="1:7" x14ac:dyDescent="0.25">
      <c r="A58" s="10">
        <v>45805.291666666664</v>
      </c>
      <c r="B58" s="11">
        <v>57</v>
      </c>
      <c r="C58" s="11" t="s">
        <v>71</v>
      </c>
      <c r="D58" s="11" t="s">
        <v>72</v>
      </c>
      <c r="E58" s="11">
        <v>1.52</v>
      </c>
      <c r="F58" s="11">
        <v>3.08</v>
      </c>
      <c r="G58" s="8">
        <f t="shared" si="0"/>
        <v>29.61038961038961</v>
      </c>
    </row>
    <row r="59" spans="1:7" x14ac:dyDescent="0.25">
      <c r="A59" s="10">
        <v>45805.291666666664</v>
      </c>
      <c r="B59" s="11">
        <v>58</v>
      </c>
      <c r="C59" s="11" t="s">
        <v>72</v>
      </c>
      <c r="D59" s="11" t="s">
        <v>73</v>
      </c>
      <c r="E59" s="11">
        <v>1.5</v>
      </c>
      <c r="F59" s="11">
        <v>3</v>
      </c>
      <c r="G59" s="8">
        <f t="shared" si="0"/>
        <v>30</v>
      </c>
    </row>
    <row r="60" spans="1:7" x14ac:dyDescent="0.25">
      <c r="A60" s="10">
        <v>45805.302083333336</v>
      </c>
      <c r="B60" s="11">
        <v>1</v>
      </c>
      <c r="C60" s="11" t="s">
        <v>6</v>
      </c>
      <c r="D60" s="11" t="s">
        <v>7</v>
      </c>
      <c r="E60" s="11">
        <v>1.53</v>
      </c>
      <c r="F60" s="11">
        <v>2.77</v>
      </c>
      <c r="G60" s="8">
        <f t="shared" si="0"/>
        <v>33.140794223826717</v>
      </c>
    </row>
    <row r="61" spans="1:7" x14ac:dyDescent="0.25">
      <c r="A61" s="10">
        <v>45805.302083333336</v>
      </c>
      <c r="B61" s="11">
        <v>2</v>
      </c>
      <c r="C61" s="11" t="s">
        <v>7</v>
      </c>
      <c r="D61" s="11" t="s">
        <v>8</v>
      </c>
      <c r="E61" s="11">
        <v>1.57</v>
      </c>
      <c r="F61" s="11">
        <v>4.05</v>
      </c>
      <c r="G61" s="8">
        <f t="shared" si="0"/>
        <v>23.25925925925926</v>
      </c>
    </row>
    <row r="62" spans="1:7" x14ac:dyDescent="0.25">
      <c r="A62" s="10">
        <v>45805.302083333336</v>
      </c>
      <c r="B62" s="11">
        <v>3</v>
      </c>
      <c r="C62" s="11" t="s">
        <v>8</v>
      </c>
      <c r="D62" s="11" t="s">
        <v>9</v>
      </c>
      <c r="E62" s="11">
        <v>1.5</v>
      </c>
      <c r="F62" s="11">
        <v>2.62</v>
      </c>
      <c r="G62" s="8">
        <f t="shared" si="0"/>
        <v>34.351145038167935</v>
      </c>
    </row>
    <row r="63" spans="1:7" x14ac:dyDescent="0.25">
      <c r="A63" s="10">
        <v>45805.302083333336</v>
      </c>
      <c r="B63" s="11">
        <v>4</v>
      </c>
      <c r="C63" s="11" t="s">
        <v>9</v>
      </c>
      <c r="D63" s="11" t="s">
        <v>10</v>
      </c>
      <c r="E63" s="11">
        <v>1.5</v>
      </c>
      <c r="F63" s="11">
        <v>2.58</v>
      </c>
      <c r="G63" s="8">
        <f t="shared" si="0"/>
        <v>34.883720930232556</v>
      </c>
    </row>
    <row r="64" spans="1:7" x14ac:dyDescent="0.25">
      <c r="A64" s="10">
        <v>45805.302083333336</v>
      </c>
      <c r="B64" s="11">
        <v>5</v>
      </c>
      <c r="C64" s="11" t="s">
        <v>10</v>
      </c>
      <c r="D64" s="11" t="s">
        <v>11</v>
      </c>
      <c r="E64" s="11">
        <v>1.52</v>
      </c>
      <c r="F64" s="11">
        <v>2.75</v>
      </c>
      <c r="G64" s="8">
        <f t="shared" si="0"/>
        <v>33.163636363636364</v>
      </c>
    </row>
    <row r="65" spans="1:7" x14ac:dyDescent="0.25">
      <c r="A65" s="10">
        <v>45805.302083333336</v>
      </c>
      <c r="B65" s="11">
        <v>6</v>
      </c>
      <c r="C65" s="11" t="s">
        <v>11</v>
      </c>
      <c r="D65" s="11" t="s">
        <v>12</v>
      </c>
      <c r="E65" s="11">
        <v>1.5</v>
      </c>
      <c r="F65" s="11">
        <v>2.5</v>
      </c>
      <c r="G65" s="8">
        <f t="shared" si="0"/>
        <v>36</v>
      </c>
    </row>
    <row r="66" spans="1:7" x14ac:dyDescent="0.25">
      <c r="A66" s="10">
        <v>45805.302083333336</v>
      </c>
      <c r="B66" s="11">
        <v>7</v>
      </c>
      <c r="C66" s="11" t="s">
        <v>12</v>
      </c>
      <c r="D66" s="11" t="s">
        <v>13</v>
      </c>
      <c r="E66" s="11">
        <v>1.54</v>
      </c>
      <c r="F66" s="11">
        <v>2.5499999999999998</v>
      </c>
      <c r="G66" s="8">
        <f t="shared" si="0"/>
        <v>36.235294117647065</v>
      </c>
    </row>
    <row r="67" spans="1:7" x14ac:dyDescent="0.25">
      <c r="A67" s="10">
        <v>45805.302083333336</v>
      </c>
      <c r="B67" s="11">
        <v>8</v>
      </c>
      <c r="C67" s="11" t="s">
        <v>13</v>
      </c>
      <c r="D67" s="11" t="s">
        <v>14</v>
      </c>
      <c r="E67" s="11">
        <v>1.54</v>
      </c>
      <c r="F67" s="11">
        <v>2.85</v>
      </c>
      <c r="G67" s="8">
        <f t="shared" ref="G67:G130" si="1">E67*60/F67</f>
        <v>32.421052631578945</v>
      </c>
    </row>
    <row r="68" spans="1:7" x14ac:dyDescent="0.25">
      <c r="A68" s="10">
        <v>45805.302083333336</v>
      </c>
      <c r="B68" s="11">
        <v>9</v>
      </c>
      <c r="C68" s="11" t="s">
        <v>14</v>
      </c>
      <c r="D68" s="11" t="s">
        <v>15</v>
      </c>
      <c r="E68" s="11">
        <v>1.52</v>
      </c>
      <c r="F68" s="11">
        <v>2.72</v>
      </c>
      <c r="G68" s="8">
        <f t="shared" si="1"/>
        <v>33.529411764705884</v>
      </c>
    </row>
    <row r="69" spans="1:7" x14ac:dyDescent="0.25">
      <c r="A69" s="10">
        <v>45805.302083333336</v>
      </c>
      <c r="B69" s="11">
        <v>10</v>
      </c>
      <c r="C69" s="11" t="s">
        <v>15</v>
      </c>
      <c r="D69" s="11" t="s">
        <v>16</v>
      </c>
      <c r="E69" s="11">
        <v>1.5</v>
      </c>
      <c r="F69" s="11">
        <v>2.92</v>
      </c>
      <c r="G69" s="8">
        <f t="shared" si="1"/>
        <v>30.82191780821918</v>
      </c>
    </row>
    <row r="70" spans="1:7" x14ac:dyDescent="0.25">
      <c r="A70" s="10">
        <v>45805.302083333336</v>
      </c>
      <c r="B70" s="11">
        <v>11</v>
      </c>
      <c r="C70" s="11" t="s">
        <v>16</v>
      </c>
      <c r="D70" s="11" t="s">
        <v>17</v>
      </c>
      <c r="E70" s="11">
        <v>1.48</v>
      </c>
      <c r="F70" s="11">
        <v>2.37</v>
      </c>
      <c r="G70" s="8">
        <f t="shared" si="1"/>
        <v>37.46835443037974</v>
      </c>
    </row>
    <row r="71" spans="1:7" x14ac:dyDescent="0.25">
      <c r="A71" s="10">
        <v>45805.302083333336</v>
      </c>
      <c r="B71" s="11">
        <v>12</v>
      </c>
      <c r="C71" s="11" t="s">
        <v>17</v>
      </c>
      <c r="D71" s="11" t="s">
        <v>18</v>
      </c>
      <c r="E71" s="11">
        <v>1.46</v>
      </c>
      <c r="F71" s="11">
        <v>3.07</v>
      </c>
      <c r="G71" s="8">
        <f t="shared" si="1"/>
        <v>28.534201954397393</v>
      </c>
    </row>
    <row r="72" spans="1:7" x14ac:dyDescent="0.25">
      <c r="A72" s="10">
        <v>45805.302083333336</v>
      </c>
      <c r="B72" s="11">
        <v>13</v>
      </c>
      <c r="C72" s="11" t="s">
        <v>18</v>
      </c>
      <c r="D72" s="11" t="s">
        <v>19</v>
      </c>
      <c r="E72" s="11">
        <v>1.52</v>
      </c>
      <c r="F72" s="11">
        <v>3.6</v>
      </c>
      <c r="G72" s="8">
        <f t="shared" si="1"/>
        <v>25.333333333333332</v>
      </c>
    </row>
    <row r="73" spans="1:7" x14ac:dyDescent="0.25">
      <c r="A73" s="10">
        <v>45805.302083333336</v>
      </c>
      <c r="B73" s="11">
        <v>14</v>
      </c>
      <c r="C73" s="11" t="s">
        <v>19</v>
      </c>
      <c r="D73" s="11" t="s">
        <v>20</v>
      </c>
      <c r="E73" s="11">
        <v>1.51</v>
      </c>
      <c r="F73" s="11">
        <v>2.78</v>
      </c>
      <c r="G73" s="8">
        <f t="shared" si="1"/>
        <v>32.589928057553955</v>
      </c>
    </row>
    <row r="74" spans="1:7" x14ac:dyDescent="0.25">
      <c r="A74" s="10">
        <v>45805.302083333336</v>
      </c>
      <c r="B74" s="11">
        <v>15</v>
      </c>
      <c r="C74" s="11" t="s">
        <v>20</v>
      </c>
      <c r="D74" s="11" t="s">
        <v>21</v>
      </c>
      <c r="E74" s="11">
        <v>1.47</v>
      </c>
      <c r="F74" s="11">
        <v>1.97</v>
      </c>
      <c r="G74" s="8">
        <f t="shared" si="1"/>
        <v>44.771573604060919</v>
      </c>
    </row>
    <row r="75" spans="1:7" x14ac:dyDescent="0.25">
      <c r="A75" s="10">
        <v>45805.302083333336</v>
      </c>
      <c r="B75" s="11">
        <v>16</v>
      </c>
      <c r="C75" s="11" t="s">
        <v>21</v>
      </c>
      <c r="D75" s="11" t="s">
        <v>22</v>
      </c>
      <c r="E75" s="11">
        <v>1.5</v>
      </c>
      <c r="F75" s="11">
        <v>1.72</v>
      </c>
      <c r="G75" s="8">
        <f t="shared" si="1"/>
        <v>52.325581395348841</v>
      </c>
    </row>
    <row r="76" spans="1:7" x14ac:dyDescent="0.25">
      <c r="A76" s="10">
        <v>45805.302083333336</v>
      </c>
      <c r="B76" s="11">
        <v>17</v>
      </c>
      <c r="C76" s="11" t="s">
        <v>22</v>
      </c>
      <c r="D76" s="11" t="s">
        <v>23</v>
      </c>
      <c r="E76" s="11">
        <v>1.51</v>
      </c>
      <c r="F76" s="11">
        <v>2.37</v>
      </c>
      <c r="G76" s="8">
        <f t="shared" si="1"/>
        <v>38.22784810126582</v>
      </c>
    </row>
    <row r="77" spans="1:7" x14ac:dyDescent="0.25">
      <c r="A77" s="10">
        <v>45805.302083333336</v>
      </c>
      <c r="B77" s="11">
        <v>18</v>
      </c>
      <c r="C77" s="11" t="s">
        <v>23</v>
      </c>
      <c r="D77" s="11" t="s">
        <v>24</v>
      </c>
      <c r="E77" s="11">
        <v>1.51</v>
      </c>
      <c r="F77" s="11">
        <v>2.52</v>
      </c>
      <c r="G77" s="8">
        <f t="shared" si="1"/>
        <v>35.952380952380949</v>
      </c>
    </row>
    <row r="78" spans="1:7" x14ac:dyDescent="0.25">
      <c r="A78" s="10">
        <v>45805.302083333336</v>
      </c>
      <c r="B78" s="11">
        <v>19</v>
      </c>
      <c r="C78" s="11" t="s">
        <v>25</v>
      </c>
      <c r="D78" s="11" t="s">
        <v>26</v>
      </c>
      <c r="E78" s="11">
        <v>1.5</v>
      </c>
      <c r="F78" s="11">
        <v>3.07</v>
      </c>
      <c r="G78" s="8">
        <f t="shared" si="1"/>
        <v>29.31596091205212</v>
      </c>
    </row>
    <row r="79" spans="1:7" x14ac:dyDescent="0.25">
      <c r="A79" s="10">
        <v>45805.302083333336</v>
      </c>
      <c r="B79" s="11">
        <v>20</v>
      </c>
      <c r="C79" s="11" t="s">
        <v>26</v>
      </c>
      <c r="D79" s="11" t="s">
        <v>27</v>
      </c>
      <c r="E79" s="11">
        <v>1.48</v>
      </c>
      <c r="F79" s="11">
        <v>2.95</v>
      </c>
      <c r="G79" s="8">
        <f t="shared" si="1"/>
        <v>30.101694915254235</v>
      </c>
    </row>
    <row r="80" spans="1:7" x14ac:dyDescent="0.25">
      <c r="A80" s="10">
        <v>45805.302083333336</v>
      </c>
      <c r="B80" s="11">
        <v>21</v>
      </c>
      <c r="C80" s="11" t="s">
        <v>27</v>
      </c>
      <c r="D80" s="11" t="s">
        <v>28</v>
      </c>
      <c r="E80" s="11">
        <v>1.51</v>
      </c>
      <c r="F80" s="11">
        <v>2.8</v>
      </c>
      <c r="G80" s="8">
        <f t="shared" si="1"/>
        <v>32.357142857142854</v>
      </c>
    </row>
    <row r="81" spans="1:7" x14ac:dyDescent="0.25">
      <c r="A81" s="10">
        <v>45805.302083333336</v>
      </c>
      <c r="B81" s="11">
        <v>22</v>
      </c>
      <c r="C81" s="11" t="s">
        <v>28</v>
      </c>
      <c r="D81" s="11" t="s">
        <v>29</v>
      </c>
      <c r="E81" s="11">
        <v>1.57</v>
      </c>
      <c r="F81" s="11">
        <v>3.22</v>
      </c>
      <c r="G81" s="8">
        <f t="shared" si="1"/>
        <v>29.254658385093165</v>
      </c>
    </row>
    <row r="82" spans="1:7" x14ac:dyDescent="0.25">
      <c r="A82" s="10">
        <v>45805.302083333336</v>
      </c>
      <c r="B82" s="11">
        <v>23</v>
      </c>
      <c r="C82" s="11" t="s">
        <v>29</v>
      </c>
      <c r="D82" s="11" t="s">
        <v>30</v>
      </c>
      <c r="E82" s="11">
        <v>1.43</v>
      </c>
      <c r="F82" s="11">
        <v>2.98</v>
      </c>
      <c r="G82" s="8">
        <f t="shared" si="1"/>
        <v>28.791946308724832</v>
      </c>
    </row>
    <row r="83" spans="1:7" x14ac:dyDescent="0.25">
      <c r="A83" s="10">
        <v>45805.302083333336</v>
      </c>
      <c r="B83" s="11">
        <v>24</v>
      </c>
      <c r="C83" s="11" t="s">
        <v>30</v>
      </c>
      <c r="D83" s="11" t="s">
        <v>31</v>
      </c>
      <c r="E83" s="11">
        <v>1.52</v>
      </c>
      <c r="F83" s="11">
        <v>3.35</v>
      </c>
      <c r="G83" s="8">
        <f t="shared" si="1"/>
        <v>27.223880597014926</v>
      </c>
    </row>
    <row r="84" spans="1:7" x14ac:dyDescent="0.25">
      <c r="A84" s="10">
        <v>45805.302083333336</v>
      </c>
      <c r="B84" s="11">
        <v>25</v>
      </c>
      <c r="C84" s="11" t="s">
        <v>31</v>
      </c>
      <c r="D84" s="11" t="s">
        <v>32</v>
      </c>
      <c r="E84" s="11">
        <v>1.52</v>
      </c>
      <c r="F84" s="11">
        <v>2.78</v>
      </c>
      <c r="G84" s="8">
        <f t="shared" si="1"/>
        <v>32.805755395683455</v>
      </c>
    </row>
    <row r="85" spans="1:7" x14ac:dyDescent="0.25">
      <c r="A85" s="10">
        <v>45805.302083333336</v>
      </c>
      <c r="B85" s="11">
        <v>26</v>
      </c>
      <c r="C85" s="11" t="s">
        <v>32</v>
      </c>
      <c r="D85" s="11" t="s">
        <v>33</v>
      </c>
      <c r="E85" s="11">
        <v>1.49</v>
      </c>
      <c r="F85" s="11">
        <v>2.9</v>
      </c>
      <c r="G85" s="8">
        <f t="shared" si="1"/>
        <v>30.827586206896555</v>
      </c>
    </row>
    <row r="86" spans="1:7" x14ac:dyDescent="0.25">
      <c r="A86" s="10">
        <v>45805.302083333336</v>
      </c>
      <c r="B86" s="11">
        <v>27</v>
      </c>
      <c r="C86" s="11" t="s">
        <v>33</v>
      </c>
      <c r="D86" s="11" t="s">
        <v>34</v>
      </c>
      <c r="E86" s="11">
        <v>1.53</v>
      </c>
      <c r="F86" s="11">
        <v>2.88</v>
      </c>
      <c r="G86" s="8">
        <f t="shared" si="1"/>
        <v>31.875</v>
      </c>
    </row>
    <row r="87" spans="1:7" x14ac:dyDescent="0.25">
      <c r="A87" s="10">
        <v>45805.302083333336</v>
      </c>
      <c r="B87" s="11">
        <v>28</v>
      </c>
      <c r="C87" s="11" t="s">
        <v>34</v>
      </c>
      <c r="D87" s="11" t="s">
        <v>35</v>
      </c>
      <c r="E87" s="11">
        <v>1.51</v>
      </c>
      <c r="F87" s="11">
        <v>3.42</v>
      </c>
      <c r="G87" s="8">
        <f t="shared" si="1"/>
        <v>26.491228070175438</v>
      </c>
    </row>
    <row r="88" spans="1:7" x14ac:dyDescent="0.25">
      <c r="A88" s="10">
        <v>45805.302083333336</v>
      </c>
      <c r="B88" s="11">
        <v>29</v>
      </c>
      <c r="C88" s="11" t="s">
        <v>36</v>
      </c>
      <c r="D88" s="11" t="s">
        <v>37</v>
      </c>
      <c r="E88" s="11">
        <v>1.57</v>
      </c>
      <c r="F88" s="11">
        <v>3.42</v>
      </c>
      <c r="G88" s="8">
        <f t="shared" si="1"/>
        <v>27.543859649122808</v>
      </c>
    </row>
    <row r="89" spans="1:7" x14ac:dyDescent="0.25">
      <c r="A89" s="10">
        <v>45805.302083333336</v>
      </c>
      <c r="B89" s="11">
        <v>30</v>
      </c>
      <c r="C89" s="11" t="s">
        <v>37</v>
      </c>
      <c r="D89" s="11" t="s">
        <v>38</v>
      </c>
      <c r="E89" s="11">
        <v>1.57</v>
      </c>
      <c r="F89" s="11">
        <v>3.88</v>
      </c>
      <c r="G89" s="8">
        <f t="shared" si="1"/>
        <v>24.27835051546392</v>
      </c>
    </row>
    <row r="90" spans="1:7" x14ac:dyDescent="0.25">
      <c r="A90" s="10">
        <v>45805.302083333336</v>
      </c>
      <c r="B90" s="11">
        <v>31</v>
      </c>
      <c r="C90" s="11" t="s">
        <v>38</v>
      </c>
      <c r="D90" s="11" t="s">
        <v>39</v>
      </c>
      <c r="E90" s="11">
        <v>1.52</v>
      </c>
      <c r="F90" s="11">
        <v>2.38</v>
      </c>
      <c r="G90" s="8">
        <f t="shared" si="1"/>
        <v>38.319327731092443</v>
      </c>
    </row>
    <row r="91" spans="1:7" x14ac:dyDescent="0.25">
      <c r="A91" s="10">
        <v>45805.302083333336</v>
      </c>
      <c r="B91" s="11">
        <v>32</v>
      </c>
      <c r="C91" s="11" t="s">
        <v>39</v>
      </c>
      <c r="D91" s="11" t="s">
        <v>40</v>
      </c>
      <c r="E91" s="11">
        <v>1.5</v>
      </c>
      <c r="F91" s="11">
        <v>1.62</v>
      </c>
      <c r="G91" s="8">
        <f t="shared" si="1"/>
        <v>55.55555555555555</v>
      </c>
    </row>
    <row r="92" spans="1:7" x14ac:dyDescent="0.25">
      <c r="A92" s="10">
        <v>45805.302083333336</v>
      </c>
      <c r="B92" s="11">
        <v>33</v>
      </c>
      <c r="C92" s="11" t="s">
        <v>40</v>
      </c>
      <c r="D92" s="11" t="s">
        <v>41</v>
      </c>
      <c r="E92" s="11">
        <v>1.51</v>
      </c>
      <c r="F92" s="11">
        <v>1.65</v>
      </c>
      <c r="G92" s="8">
        <f t="shared" si="1"/>
        <v>54.909090909090907</v>
      </c>
    </row>
    <row r="93" spans="1:7" x14ac:dyDescent="0.25">
      <c r="A93" s="10">
        <v>45805.302083333336</v>
      </c>
      <c r="B93" s="11">
        <v>34</v>
      </c>
      <c r="C93" s="11" t="s">
        <v>41</v>
      </c>
      <c r="D93" s="11" t="s">
        <v>42</v>
      </c>
      <c r="E93" s="11">
        <v>1.5</v>
      </c>
      <c r="F93" s="11">
        <v>1.63</v>
      </c>
      <c r="G93" s="8">
        <f t="shared" si="1"/>
        <v>55.214723926380373</v>
      </c>
    </row>
    <row r="94" spans="1:7" x14ac:dyDescent="0.25">
      <c r="A94" s="10">
        <v>45805.302083333336</v>
      </c>
      <c r="B94" s="11">
        <v>35</v>
      </c>
      <c r="C94" s="11" t="s">
        <v>43</v>
      </c>
      <c r="D94" s="11" t="s">
        <v>44</v>
      </c>
      <c r="E94" s="11">
        <v>1.55</v>
      </c>
      <c r="F94" s="11">
        <v>3.23</v>
      </c>
      <c r="G94" s="8">
        <f t="shared" si="1"/>
        <v>28.792569659442723</v>
      </c>
    </row>
    <row r="95" spans="1:7" x14ac:dyDescent="0.25">
      <c r="A95" s="10">
        <v>45805.302083333336</v>
      </c>
      <c r="B95" s="11">
        <v>36</v>
      </c>
      <c r="C95" s="11" t="s">
        <v>44</v>
      </c>
      <c r="D95" s="11" t="s">
        <v>45</v>
      </c>
      <c r="E95" s="11">
        <v>1.5</v>
      </c>
      <c r="F95" s="11">
        <v>2.62</v>
      </c>
      <c r="G95" s="8">
        <f t="shared" si="1"/>
        <v>34.351145038167935</v>
      </c>
    </row>
    <row r="96" spans="1:7" x14ac:dyDescent="0.25">
      <c r="A96" s="10">
        <v>45805.302083333336</v>
      </c>
      <c r="B96" s="11">
        <v>37</v>
      </c>
      <c r="C96" s="11" t="s">
        <v>45</v>
      </c>
      <c r="D96" s="11" t="s">
        <v>46</v>
      </c>
      <c r="E96" s="11">
        <v>1.38</v>
      </c>
      <c r="F96" s="11">
        <v>3.35</v>
      </c>
      <c r="G96" s="8">
        <f t="shared" si="1"/>
        <v>24.71641791044776</v>
      </c>
    </row>
    <row r="97" spans="1:7" x14ac:dyDescent="0.25">
      <c r="A97" s="10">
        <v>45805.302083333336</v>
      </c>
      <c r="B97" s="11">
        <v>38</v>
      </c>
      <c r="C97" s="11" t="s">
        <v>46</v>
      </c>
      <c r="D97" s="11" t="s">
        <v>47</v>
      </c>
      <c r="E97" s="11">
        <v>1.61</v>
      </c>
      <c r="F97" s="11">
        <v>3.2</v>
      </c>
      <c r="G97" s="8">
        <f t="shared" si="1"/>
        <v>30.1875</v>
      </c>
    </row>
    <row r="98" spans="1:7" x14ac:dyDescent="0.25">
      <c r="A98" s="10">
        <v>45805.302083333336</v>
      </c>
      <c r="B98" s="11">
        <v>39</v>
      </c>
      <c r="C98" s="11" t="s">
        <v>47</v>
      </c>
      <c r="D98" s="11" t="s">
        <v>48</v>
      </c>
      <c r="E98" s="11">
        <v>1.55</v>
      </c>
      <c r="F98" s="11">
        <v>2.92</v>
      </c>
      <c r="G98" s="8">
        <f t="shared" si="1"/>
        <v>31.849315068493151</v>
      </c>
    </row>
    <row r="99" spans="1:7" x14ac:dyDescent="0.25">
      <c r="A99" s="10">
        <v>45805.302083333336</v>
      </c>
      <c r="B99" s="11">
        <v>40</v>
      </c>
      <c r="C99" s="11" t="s">
        <v>48</v>
      </c>
      <c r="D99" s="11" t="s">
        <v>49</v>
      </c>
      <c r="E99" s="11">
        <v>1.39</v>
      </c>
      <c r="F99" s="11">
        <v>2.58</v>
      </c>
      <c r="G99" s="8">
        <f t="shared" si="1"/>
        <v>32.325581395348834</v>
      </c>
    </row>
    <row r="100" spans="1:7" x14ac:dyDescent="0.25">
      <c r="A100" s="10">
        <v>45805.302083333336</v>
      </c>
      <c r="B100" s="11">
        <v>41</v>
      </c>
      <c r="C100" s="11" t="s">
        <v>50</v>
      </c>
      <c r="D100" s="11" t="s">
        <v>51</v>
      </c>
      <c r="E100" s="11">
        <v>1.56</v>
      </c>
      <c r="F100" s="11">
        <v>3.15</v>
      </c>
      <c r="G100" s="8">
        <f t="shared" si="1"/>
        <v>29.714285714285719</v>
      </c>
    </row>
    <row r="101" spans="1:7" x14ac:dyDescent="0.25">
      <c r="A101" s="10">
        <v>45805.302083333336</v>
      </c>
      <c r="B101" s="11">
        <v>42</v>
      </c>
      <c r="C101" s="11" t="s">
        <v>51</v>
      </c>
      <c r="D101" s="11" t="s">
        <v>52</v>
      </c>
      <c r="E101" s="11">
        <v>1.56</v>
      </c>
      <c r="F101" s="11">
        <v>3.27</v>
      </c>
      <c r="G101" s="8">
        <f t="shared" si="1"/>
        <v>28.623853211009177</v>
      </c>
    </row>
    <row r="102" spans="1:7" x14ac:dyDescent="0.25">
      <c r="A102" s="10">
        <v>45805.302083333336</v>
      </c>
      <c r="B102" s="11">
        <v>43</v>
      </c>
      <c r="C102" s="11" t="s">
        <v>52</v>
      </c>
      <c r="D102" s="11" t="s">
        <v>53</v>
      </c>
      <c r="E102" s="11">
        <v>1.51</v>
      </c>
      <c r="F102" s="11">
        <v>2.98</v>
      </c>
      <c r="G102" s="8">
        <f t="shared" si="1"/>
        <v>30.402684563758388</v>
      </c>
    </row>
    <row r="103" spans="1:7" x14ac:dyDescent="0.25">
      <c r="A103" s="10">
        <v>45805.302083333336</v>
      </c>
      <c r="B103" s="11">
        <v>44</v>
      </c>
      <c r="C103" s="11" t="s">
        <v>54</v>
      </c>
      <c r="D103" s="11" t="s">
        <v>55</v>
      </c>
      <c r="E103" s="11">
        <v>1.51</v>
      </c>
      <c r="F103" s="11">
        <v>3.87</v>
      </c>
      <c r="G103" s="8">
        <f t="shared" si="1"/>
        <v>23.410852713178294</v>
      </c>
    </row>
    <row r="104" spans="1:7" x14ac:dyDescent="0.25">
      <c r="A104" s="10">
        <v>45805.302083333336</v>
      </c>
      <c r="B104" s="11">
        <v>45</v>
      </c>
      <c r="C104" s="11" t="s">
        <v>55</v>
      </c>
      <c r="D104" s="11" t="s">
        <v>56</v>
      </c>
      <c r="E104" s="11">
        <v>1.49</v>
      </c>
      <c r="F104" s="11">
        <v>3.02</v>
      </c>
      <c r="G104" s="8">
        <f t="shared" si="1"/>
        <v>29.602649006622517</v>
      </c>
    </row>
    <row r="105" spans="1:7" x14ac:dyDescent="0.25">
      <c r="A105" s="10">
        <v>45805.302083333336</v>
      </c>
      <c r="B105" s="11">
        <v>46</v>
      </c>
      <c r="C105" s="11" t="s">
        <v>56</v>
      </c>
      <c r="D105" s="11" t="s">
        <v>57</v>
      </c>
      <c r="E105" s="11">
        <v>1.52</v>
      </c>
      <c r="F105" s="11">
        <v>3.38</v>
      </c>
      <c r="G105" s="8">
        <f t="shared" si="1"/>
        <v>26.982248520710062</v>
      </c>
    </row>
    <row r="106" spans="1:7" x14ac:dyDescent="0.25">
      <c r="A106" s="10">
        <v>45805.302083333336</v>
      </c>
      <c r="B106" s="11">
        <v>47</v>
      </c>
      <c r="C106" s="11" t="s">
        <v>58</v>
      </c>
      <c r="D106" s="11" t="s">
        <v>59</v>
      </c>
      <c r="E106" s="11">
        <v>1.52</v>
      </c>
      <c r="F106" s="11">
        <v>3.45</v>
      </c>
      <c r="G106" s="8">
        <f t="shared" si="1"/>
        <v>26.434782608695652</v>
      </c>
    </row>
    <row r="107" spans="1:7" x14ac:dyDescent="0.25">
      <c r="A107" s="10">
        <v>45805.302083333336</v>
      </c>
      <c r="B107" s="11">
        <v>48</v>
      </c>
      <c r="C107" s="11" t="s">
        <v>59</v>
      </c>
      <c r="D107" s="11" t="s">
        <v>60</v>
      </c>
      <c r="E107" s="11">
        <v>1.5</v>
      </c>
      <c r="F107" s="11">
        <v>3.05</v>
      </c>
      <c r="G107" s="8">
        <f t="shared" si="1"/>
        <v>29.508196721311478</v>
      </c>
    </row>
    <row r="108" spans="1:7" x14ac:dyDescent="0.25">
      <c r="A108" s="10">
        <v>45805.302083333336</v>
      </c>
      <c r="B108" s="11">
        <v>49</v>
      </c>
      <c r="C108" s="11" t="s">
        <v>60</v>
      </c>
      <c r="D108" s="11" t="s">
        <v>61</v>
      </c>
      <c r="E108" s="11">
        <v>1.54</v>
      </c>
      <c r="F108" s="11">
        <v>3.13</v>
      </c>
      <c r="G108" s="8">
        <f t="shared" si="1"/>
        <v>29.520766773162944</v>
      </c>
    </row>
    <row r="109" spans="1:7" x14ac:dyDescent="0.25">
      <c r="A109" s="10">
        <v>45805.302083333336</v>
      </c>
      <c r="B109" s="11">
        <v>50</v>
      </c>
      <c r="C109" s="11" t="s">
        <v>62</v>
      </c>
      <c r="D109" s="11" t="s">
        <v>63</v>
      </c>
      <c r="E109" s="11">
        <v>1.38</v>
      </c>
      <c r="F109" s="11">
        <v>2.8</v>
      </c>
      <c r="G109" s="8">
        <f t="shared" si="1"/>
        <v>29.571428571428573</v>
      </c>
    </row>
    <row r="110" spans="1:7" x14ac:dyDescent="0.25">
      <c r="A110" s="10">
        <v>45805.302083333336</v>
      </c>
      <c r="B110" s="11">
        <v>51</v>
      </c>
      <c r="C110" s="11" t="s">
        <v>63</v>
      </c>
      <c r="D110" s="11" t="s">
        <v>64</v>
      </c>
      <c r="E110" s="11">
        <v>2.79</v>
      </c>
      <c r="F110" s="11">
        <v>4.7699999999999996</v>
      </c>
      <c r="G110" s="8">
        <f t="shared" si="1"/>
        <v>35.094339622641513</v>
      </c>
    </row>
    <row r="111" spans="1:7" x14ac:dyDescent="0.25">
      <c r="A111" s="10">
        <v>45805.302083333336</v>
      </c>
      <c r="B111" s="11">
        <v>52</v>
      </c>
      <c r="C111" s="11" t="s">
        <v>64</v>
      </c>
      <c r="D111" s="11" t="s">
        <v>65</v>
      </c>
      <c r="E111" s="11">
        <v>1.5</v>
      </c>
      <c r="F111" s="11">
        <v>2.68</v>
      </c>
      <c r="G111" s="8">
        <f t="shared" si="1"/>
        <v>33.582089552238806</v>
      </c>
    </row>
    <row r="112" spans="1:7" x14ac:dyDescent="0.25">
      <c r="A112" s="10">
        <v>45805.302083333336</v>
      </c>
      <c r="B112" s="11">
        <v>53</v>
      </c>
      <c r="C112" s="11" t="s">
        <v>65</v>
      </c>
      <c r="D112" s="11" t="s">
        <v>66</v>
      </c>
      <c r="E112" s="11">
        <v>1.46</v>
      </c>
      <c r="F112" s="11">
        <v>3.27</v>
      </c>
      <c r="G112" s="8">
        <f t="shared" si="1"/>
        <v>26.788990825688071</v>
      </c>
    </row>
    <row r="113" spans="1:7" x14ac:dyDescent="0.25">
      <c r="A113" s="10">
        <v>45805.302083333336</v>
      </c>
      <c r="B113" s="11">
        <v>54</v>
      </c>
      <c r="C113" s="11" t="s">
        <v>67</v>
      </c>
      <c r="D113" s="11" t="s">
        <v>68</v>
      </c>
      <c r="E113" s="11">
        <v>1.46</v>
      </c>
      <c r="F113" s="11">
        <v>2.5499999999999998</v>
      </c>
      <c r="G113" s="8">
        <f t="shared" si="1"/>
        <v>34.352941176470587</v>
      </c>
    </row>
    <row r="114" spans="1:7" x14ac:dyDescent="0.25">
      <c r="A114" s="10">
        <v>45805.302083333336</v>
      </c>
      <c r="B114" s="11">
        <v>55</v>
      </c>
      <c r="C114" s="11" t="s">
        <v>68</v>
      </c>
      <c r="D114" s="11" t="s">
        <v>69</v>
      </c>
      <c r="E114" s="11">
        <v>1.5</v>
      </c>
      <c r="F114" s="11">
        <v>1.82</v>
      </c>
      <c r="G114" s="8">
        <f t="shared" si="1"/>
        <v>49.450549450549445</v>
      </c>
    </row>
    <row r="115" spans="1:7" x14ac:dyDescent="0.25">
      <c r="A115" s="10">
        <v>45805.302083333336</v>
      </c>
      <c r="B115" s="11">
        <v>56</v>
      </c>
      <c r="C115" s="11" t="s">
        <v>70</v>
      </c>
      <c r="D115" s="11" t="s">
        <v>71</v>
      </c>
      <c r="E115" s="11">
        <v>1.51</v>
      </c>
      <c r="F115" s="11">
        <v>3.52</v>
      </c>
      <c r="G115" s="8">
        <f t="shared" si="1"/>
        <v>25.738636363636363</v>
      </c>
    </row>
    <row r="116" spans="1:7" x14ac:dyDescent="0.25">
      <c r="A116" s="10">
        <v>45805.302083333336</v>
      </c>
      <c r="B116" s="11">
        <v>57</v>
      </c>
      <c r="C116" s="11" t="s">
        <v>71</v>
      </c>
      <c r="D116" s="11" t="s">
        <v>72</v>
      </c>
      <c r="E116" s="11">
        <v>1.52</v>
      </c>
      <c r="F116" s="11">
        <v>3.37</v>
      </c>
      <c r="G116" s="8">
        <f t="shared" si="1"/>
        <v>27.062314540059347</v>
      </c>
    </row>
    <row r="117" spans="1:7" x14ac:dyDescent="0.25">
      <c r="A117" s="10">
        <v>45805.302083333336</v>
      </c>
      <c r="B117" s="11">
        <v>58</v>
      </c>
      <c r="C117" s="11" t="s">
        <v>72</v>
      </c>
      <c r="D117" s="11" t="s">
        <v>73</v>
      </c>
      <c r="E117" s="11">
        <v>1.5</v>
      </c>
      <c r="F117" s="11">
        <v>3.13</v>
      </c>
      <c r="G117" s="8">
        <f t="shared" si="1"/>
        <v>28.753993610223642</v>
      </c>
    </row>
    <row r="118" spans="1:7" x14ac:dyDescent="0.25">
      <c r="A118" s="10">
        <v>45805.3125</v>
      </c>
      <c r="B118" s="11">
        <v>1</v>
      </c>
      <c r="C118" s="11" t="s">
        <v>6</v>
      </c>
      <c r="D118" s="11" t="s">
        <v>7</v>
      </c>
      <c r="E118" s="11">
        <v>1.53</v>
      </c>
      <c r="F118" s="11">
        <v>2.83</v>
      </c>
      <c r="G118" s="8">
        <f t="shared" si="1"/>
        <v>32.438162544169607</v>
      </c>
    </row>
    <row r="119" spans="1:7" x14ac:dyDescent="0.25">
      <c r="A119" s="10">
        <v>45805.3125</v>
      </c>
      <c r="B119" s="11">
        <v>2</v>
      </c>
      <c r="C119" s="11" t="s">
        <v>7</v>
      </c>
      <c r="D119" s="11" t="s">
        <v>8</v>
      </c>
      <c r="E119" s="11">
        <v>1.57</v>
      </c>
      <c r="F119" s="11">
        <v>4.13</v>
      </c>
      <c r="G119" s="8">
        <f t="shared" si="1"/>
        <v>22.808716707021794</v>
      </c>
    </row>
    <row r="120" spans="1:7" x14ac:dyDescent="0.25">
      <c r="A120" s="10">
        <v>45805.3125</v>
      </c>
      <c r="B120" s="11">
        <v>3</v>
      </c>
      <c r="C120" s="11" t="s">
        <v>8</v>
      </c>
      <c r="D120" s="11" t="s">
        <v>9</v>
      </c>
      <c r="E120" s="11">
        <v>1.5</v>
      </c>
      <c r="F120" s="11">
        <v>2.7</v>
      </c>
      <c r="G120" s="8">
        <f t="shared" si="1"/>
        <v>33.333333333333329</v>
      </c>
    </row>
    <row r="121" spans="1:7" x14ac:dyDescent="0.25">
      <c r="A121" s="10">
        <v>45805.3125</v>
      </c>
      <c r="B121" s="11">
        <v>4</v>
      </c>
      <c r="C121" s="11" t="s">
        <v>9</v>
      </c>
      <c r="D121" s="11" t="s">
        <v>10</v>
      </c>
      <c r="E121" s="11">
        <v>1.5</v>
      </c>
      <c r="F121" s="11">
        <v>2.6</v>
      </c>
      <c r="G121" s="8">
        <f t="shared" si="1"/>
        <v>34.615384615384613</v>
      </c>
    </row>
    <row r="122" spans="1:7" x14ac:dyDescent="0.25">
      <c r="A122" s="10">
        <v>45805.3125</v>
      </c>
      <c r="B122" s="11">
        <v>5</v>
      </c>
      <c r="C122" s="11" t="s">
        <v>10</v>
      </c>
      <c r="D122" s="11" t="s">
        <v>11</v>
      </c>
      <c r="E122" s="11">
        <v>1.52</v>
      </c>
      <c r="F122" s="11">
        <v>2.88</v>
      </c>
      <c r="G122" s="8">
        <f t="shared" si="1"/>
        <v>31.666666666666668</v>
      </c>
    </row>
    <row r="123" spans="1:7" x14ac:dyDescent="0.25">
      <c r="A123" s="10">
        <v>45805.3125</v>
      </c>
      <c r="B123" s="11">
        <v>6</v>
      </c>
      <c r="C123" s="11" t="s">
        <v>11</v>
      </c>
      <c r="D123" s="11" t="s">
        <v>12</v>
      </c>
      <c r="E123" s="11">
        <v>1.5</v>
      </c>
      <c r="F123" s="11">
        <v>2.5</v>
      </c>
      <c r="G123" s="8">
        <f t="shared" si="1"/>
        <v>36</v>
      </c>
    </row>
    <row r="124" spans="1:7" x14ac:dyDescent="0.25">
      <c r="A124" s="10">
        <v>45805.3125</v>
      </c>
      <c r="B124" s="11">
        <v>7</v>
      </c>
      <c r="C124" s="11" t="s">
        <v>12</v>
      </c>
      <c r="D124" s="11" t="s">
        <v>13</v>
      </c>
      <c r="E124" s="11">
        <v>1.54</v>
      </c>
      <c r="F124" s="11">
        <v>2.38</v>
      </c>
      <c r="G124" s="8">
        <f t="shared" si="1"/>
        <v>38.82352941176471</v>
      </c>
    </row>
    <row r="125" spans="1:7" x14ac:dyDescent="0.25">
      <c r="A125" s="10">
        <v>45805.3125</v>
      </c>
      <c r="B125" s="11">
        <v>8</v>
      </c>
      <c r="C125" s="11" t="s">
        <v>13</v>
      </c>
      <c r="D125" s="11" t="s">
        <v>14</v>
      </c>
      <c r="E125" s="11">
        <v>1.54</v>
      </c>
      <c r="F125" s="11">
        <v>3.05</v>
      </c>
      <c r="G125" s="8">
        <f t="shared" si="1"/>
        <v>30.295081967213118</v>
      </c>
    </row>
    <row r="126" spans="1:7" x14ac:dyDescent="0.25">
      <c r="A126" s="10">
        <v>45805.3125</v>
      </c>
      <c r="B126" s="11">
        <v>9</v>
      </c>
      <c r="C126" s="11" t="s">
        <v>14</v>
      </c>
      <c r="D126" s="11" t="s">
        <v>15</v>
      </c>
      <c r="E126" s="11">
        <v>1.52</v>
      </c>
      <c r="F126" s="11">
        <v>3.15</v>
      </c>
      <c r="G126" s="8">
        <f t="shared" si="1"/>
        <v>28.952380952380953</v>
      </c>
    </row>
    <row r="127" spans="1:7" x14ac:dyDescent="0.25">
      <c r="A127" s="10">
        <v>45805.3125</v>
      </c>
      <c r="B127" s="11">
        <v>10</v>
      </c>
      <c r="C127" s="11" t="s">
        <v>15</v>
      </c>
      <c r="D127" s="11" t="s">
        <v>16</v>
      </c>
      <c r="E127" s="11">
        <v>1.5</v>
      </c>
      <c r="F127" s="11">
        <v>3.18</v>
      </c>
      <c r="G127" s="8">
        <f t="shared" si="1"/>
        <v>28.30188679245283</v>
      </c>
    </row>
    <row r="128" spans="1:7" x14ac:dyDescent="0.25">
      <c r="A128" s="10">
        <v>45805.3125</v>
      </c>
      <c r="B128" s="11">
        <v>11</v>
      </c>
      <c r="C128" s="11" t="s">
        <v>16</v>
      </c>
      <c r="D128" s="11" t="s">
        <v>17</v>
      </c>
      <c r="E128" s="11">
        <v>1.48</v>
      </c>
      <c r="F128" s="11">
        <v>2.4300000000000002</v>
      </c>
      <c r="G128" s="8">
        <f t="shared" si="1"/>
        <v>36.543209876543209</v>
      </c>
    </row>
    <row r="129" spans="1:7" x14ac:dyDescent="0.25">
      <c r="A129" s="10">
        <v>45805.3125</v>
      </c>
      <c r="B129" s="11">
        <v>12</v>
      </c>
      <c r="C129" s="11" t="s">
        <v>17</v>
      </c>
      <c r="D129" s="11" t="s">
        <v>18</v>
      </c>
      <c r="E129" s="11">
        <v>1.46</v>
      </c>
      <c r="F129" s="11">
        <v>3.4</v>
      </c>
      <c r="G129" s="8">
        <f t="shared" si="1"/>
        <v>25.764705882352938</v>
      </c>
    </row>
    <row r="130" spans="1:7" x14ac:dyDescent="0.25">
      <c r="A130" s="10">
        <v>45805.3125</v>
      </c>
      <c r="B130" s="11">
        <v>13</v>
      </c>
      <c r="C130" s="11" t="s">
        <v>18</v>
      </c>
      <c r="D130" s="11" t="s">
        <v>19</v>
      </c>
      <c r="E130" s="11">
        <v>1.52</v>
      </c>
      <c r="F130" s="11">
        <v>3.93</v>
      </c>
      <c r="G130" s="8">
        <f t="shared" si="1"/>
        <v>23.206106870229007</v>
      </c>
    </row>
    <row r="131" spans="1:7" x14ac:dyDescent="0.25">
      <c r="A131" s="10">
        <v>45805.3125</v>
      </c>
      <c r="B131" s="11">
        <v>14</v>
      </c>
      <c r="C131" s="11" t="s">
        <v>19</v>
      </c>
      <c r="D131" s="11" t="s">
        <v>20</v>
      </c>
      <c r="E131" s="11">
        <v>1.51</v>
      </c>
      <c r="F131" s="11">
        <v>3.42</v>
      </c>
      <c r="G131" s="8">
        <f t="shared" ref="G131:G194" si="2">E131*60/F131</f>
        <v>26.491228070175438</v>
      </c>
    </row>
    <row r="132" spans="1:7" x14ac:dyDescent="0.25">
      <c r="A132" s="10">
        <v>45805.3125</v>
      </c>
      <c r="B132" s="11">
        <v>15</v>
      </c>
      <c r="C132" s="11" t="s">
        <v>20</v>
      </c>
      <c r="D132" s="11" t="s">
        <v>21</v>
      </c>
      <c r="E132" s="11">
        <v>1.47</v>
      </c>
      <c r="F132" s="11">
        <v>2.1800000000000002</v>
      </c>
      <c r="G132" s="8">
        <f t="shared" si="2"/>
        <v>40.458715596330272</v>
      </c>
    </row>
    <row r="133" spans="1:7" x14ac:dyDescent="0.25">
      <c r="A133" s="10">
        <v>45805.3125</v>
      </c>
      <c r="B133" s="11">
        <v>16</v>
      </c>
      <c r="C133" s="11" t="s">
        <v>21</v>
      </c>
      <c r="D133" s="11" t="s">
        <v>22</v>
      </c>
      <c r="E133" s="11">
        <v>1.5</v>
      </c>
      <c r="F133" s="11">
        <v>1.77</v>
      </c>
      <c r="G133" s="8">
        <f t="shared" si="2"/>
        <v>50.847457627118644</v>
      </c>
    </row>
    <row r="134" spans="1:7" x14ac:dyDescent="0.25">
      <c r="A134" s="10">
        <v>45805.3125</v>
      </c>
      <c r="B134" s="11">
        <v>17</v>
      </c>
      <c r="C134" s="11" t="s">
        <v>22</v>
      </c>
      <c r="D134" s="11" t="s">
        <v>23</v>
      </c>
      <c r="E134" s="11">
        <v>1.51</v>
      </c>
      <c r="F134" s="11">
        <v>2.7</v>
      </c>
      <c r="G134" s="8">
        <f t="shared" si="2"/>
        <v>33.55555555555555</v>
      </c>
    </row>
    <row r="135" spans="1:7" x14ac:dyDescent="0.25">
      <c r="A135" s="10">
        <v>45805.3125</v>
      </c>
      <c r="B135" s="11">
        <v>18</v>
      </c>
      <c r="C135" s="11" t="s">
        <v>23</v>
      </c>
      <c r="D135" s="11" t="s">
        <v>24</v>
      </c>
      <c r="E135" s="11">
        <v>1.51</v>
      </c>
      <c r="F135" s="11">
        <v>2.72</v>
      </c>
      <c r="G135" s="8">
        <f t="shared" si="2"/>
        <v>33.308823529411761</v>
      </c>
    </row>
    <row r="136" spans="1:7" x14ac:dyDescent="0.25">
      <c r="A136" s="10">
        <v>45805.3125</v>
      </c>
      <c r="B136" s="11">
        <v>19</v>
      </c>
      <c r="C136" s="11" t="s">
        <v>25</v>
      </c>
      <c r="D136" s="11" t="s">
        <v>26</v>
      </c>
      <c r="E136" s="11">
        <v>1.5</v>
      </c>
      <c r="F136" s="11">
        <v>3.63</v>
      </c>
      <c r="G136" s="8">
        <f t="shared" si="2"/>
        <v>24.793388429752067</v>
      </c>
    </row>
    <row r="137" spans="1:7" x14ac:dyDescent="0.25">
      <c r="A137" s="10">
        <v>45805.3125</v>
      </c>
      <c r="B137" s="11">
        <v>20</v>
      </c>
      <c r="C137" s="11" t="s">
        <v>26</v>
      </c>
      <c r="D137" s="11" t="s">
        <v>27</v>
      </c>
      <c r="E137" s="11">
        <v>1.48</v>
      </c>
      <c r="F137" s="11">
        <v>3.45</v>
      </c>
      <c r="G137" s="8">
        <f t="shared" si="2"/>
        <v>25.739130434782606</v>
      </c>
    </row>
    <row r="138" spans="1:7" x14ac:dyDescent="0.25">
      <c r="A138" s="10">
        <v>45805.3125</v>
      </c>
      <c r="B138" s="11">
        <v>21</v>
      </c>
      <c r="C138" s="11" t="s">
        <v>27</v>
      </c>
      <c r="D138" s="11" t="s">
        <v>28</v>
      </c>
      <c r="E138" s="11">
        <v>1.51</v>
      </c>
      <c r="F138" s="11">
        <v>2.97</v>
      </c>
      <c r="G138" s="8">
        <f t="shared" si="2"/>
        <v>30.505050505050502</v>
      </c>
    </row>
    <row r="139" spans="1:7" x14ac:dyDescent="0.25">
      <c r="A139" s="10">
        <v>45805.3125</v>
      </c>
      <c r="B139" s="11">
        <v>22</v>
      </c>
      <c r="C139" s="11" t="s">
        <v>28</v>
      </c>
      <c r="D139" s="11" t="s">
        <v>29</v>
      </c>
      <c r="E139" s="11">
        <v>1.57</v>
      </c>
      <c r="F139" s="11">
        <v>3.17</v>
      </c>
      <c r="G139" s="8">
        <f t="shared" si="2"/>
        <v>29.71608832807571</v>
      </c>
    </row>
    <row r="140" spans="1:7" x14ac:dyDescent="0.25">
      <c r="A140" s="10">
        <v>45805.3125</v>
      </c>
      <c r="B140" s="11">
        <v>23</v>
      </c>
      <c r="C140" s="11" t="s">
        <v>29</v>
      </c>
      <c r="D140" s="11" t="s">
        <v>30</v>
      </c>
      <c r="E140" s="11">
        <v>1.43</v>
      </c>
      <c r="F140" s="11">
        <v>3.07</v>
      </c>
      <c r="G140" s="8">
        <f t="shared" si="2"/>
        <v>27.947882736156352</v>
      </c>
    </row>
    <row r="141" spans="1:7" x14ac:dyDescent="0.25">
      <c r="A141" s="10">
        <v>45805.3125</v>
      </c>
      <c r="B141" s="11">
        <v>24</v>
      </c>
      <c r="C141" s="11" t="s">
        <v>30</v>
      </c>
      <c r="D141" s="11" t="s">
        <v>31</v>
      </c>
      <c r="E141" s="11">
        <v>1.52</v>
      </c>
      <c r="F141" s="11">
        <v>3.62</v>
      </c>
      <c r="G141" s="8">
        <f t="shared" si="2"/>
        <v>25.193370165745858</v>
      </c>
    </row>
    <row r="142" spans="1:7" x14ac:dyDescent="0.25">
      <c r="A142" s="10">
        <v>45805.3125</v>
      </c>
      <c r="B142" s="11">
        <v>25</v>
      </c>
      <c r="C142" s="11" t="s">
        <v>31</v>
      </c>
      <c r="D142" s="11" t="s">
        <v>32</v>
      </c>
      <c r="E142" s="11">
        <v>1.52</v>
      </c>
      <c r="F142" s="11">
        <v>2.8</v>
      </c>
      <c r="G142" s="8">
        <f t="shared" si="2"/>
        <v>32.571428571428577</v>
      </c>
    </row>
    <row r="143" spans="1:7" x14ac:dyDescent="0.25">
      <c r="A143" s="10">
        <v>45805.3125</v>
      </c>
      <c r="B143" s="11">
        <v>26</v>
      </c>
      <c r="C143" s="11" t="s">
        <v>32</v>
      </c>
      <c r="D143" s="11" t="s">
        <v>33</v>
      </c>
      <c r="E143" s="11">
        <v>1.49</v>
      </c>
      <c r="F143" s="11">
        <v>3.02</v>
      </c>
      <c r="G143" s="8">
        <f t="shared" si="2"/>
        <v>29.602649006622517</v>
      </c>
    </row>
    <row r="144" spans="1:7" x14ac:dyDescent="0.25">
      <c r="A144" s="10">
        <v>45805.3125</v>
      </c>
      <c r="B144" s="11">
        <v>27</v>
      </c>
      <c r="C144" s="11" t="s">
        <v>33</v>
      </c>
      <c r="D144" s="11" t="s">
        <v>34</v>
      </c>
      <c r="E144" s="11">
        <v>1.53</v>
      </c>
      <c r="F144" s="11">
        <v>2.98</v>
      </c>
      <c r="G144" s="8">
        <f t="shared" si="2"/>
        <v>30.805369127516776</v>
      </c>
    </row>
    <row r="145" spans="1:7" x14ac:dyDescent="0.25">
      <c r="A145" s="10">
        <v>45805.3125</v>
      </c>
      <c r="B145" s="11">
        <v>28</v>
      </c>
      <c r="C145" s="11" t="s">
        <v>34</v>
      </c>
      <c r="D145" s="11" t="s">
        <v>35</v>
      </c>
      <c r="E145" s="11">
        <v>1.51</v>
      </c>
      <c r="F145" s="11">
        <v>3.6</v>
      </c>
      <c r="G145" s="8">
        <f t="shared" si="2"/>
        <v>25.166666666666664</v>
      </c>
    </row>
    <row r="146" spans="1:7" x14ac:dyDescent="0.25">
      <c r="A146" s="10">
        <v>45805.3125</v>
      </c>
      <c r="B146" s="11">
        <v>29</v>
      </c>
      <c r="C146" s="11" t="s">
        <v>36</v>
      </c>
      <c r="D146" s="11" t="s">
        <v>37</v>
      </c>
      <c r="E146" s="11">
        <v>1.57</v>
      </c>
      <c r="F146" s="11">
        <v>3.72</v>
      </c>
      <c r="G146" s="8">
        <f t="shared" si="2"/>
        <v>25.322580645161288</v>
      </c>
    </row>
    <row r="147" spans="1:7" x14ac:dyDescent="0.25">
      <c r="A147" s="10">
        <v>45805.3125</v>
      </c>
      <c r="B147" s="11">
        <v>30</v>
      </c>
      <c r="C147" s="11" t="s">
        <v>37</v>
      </c>
      <c r="D147" s="11" t="s">
        <v>38</v>
      </c>
      <c r="E147" s="11">
        <v>1.57</v>
      </c>
      <c r="F147" s="11">
        <v>4.92</v>
      </c>
      <c r="G147" s="8">
        <f t="shared" si="2"/>
        <v>19.146341463414636</v>
      </c>
    </row>
    <row r="148" spans="1:7" x14ac:dyDescent="0.25">
      <c r="A148" s="10">
        <v>45805.3125</v>
      </c>
      <c r="B148" s="11">
        <v>31</v>
      </c>
      <c r="C148" s="11" t="s">
        <v>38</v>
      </c>
      <c r="D148" s="11" t="s">
        <v>39</v>
      </c>
      <c r="E148" s="11">
        <v>1.52</v>
      </c>
      <c r="F148" s="11">
        <v>2.5</v>
      </c>
      <c r="G148" s="8">
        <f t="shared" si="2"/>
        <v>36.480000000000004</v>
      </c>
    </row>
    <row r="149" spans="1:7" x14ac:dyDescent="0.25">
      <c r="A149" s="10">
        <v>45805.3125</v>
      </c>
      <c r="B149" s="11">
        <v>32</v>
      </c>
      <c r="C149" s="11" t="s">
        <v>39</v>
      </c>
      <c r="D149" s="11" t="s">
        <v>40</v>
      </c>
      <c r="E149" s="11">
        <v>1.5</v>
      </c>
      <c r="F149" s="11">
        <v>1.67</v>
      </c>
      <c r="G149" s="8">
        <f t="shared" si="2"/>
        <v>53.892215568862277</v>
      </c>
    </row>
    <row r="150" spans="1:7" x14ac:dyDescent="0.25">
      <c r="A150" s="10">
        <v>45805.3125</v>
      </c>
      <c r="B150" s="11">
        <v>33</v>
      </c>
      <c r="C150" s="11" t="s">
        <v>40</v>
      </c>
      <c r="D150" s="11" t="s">
        <v>41</v>
      </c>
      <c r="E150" s="11">
        <v>1.51</v>
      </c>
      <c r="F150" s="11">
        <v>1.7</v>
      </c>
      <c r="G150" s="8">
        <f t="shared" si="2"/>
        <v>53.294117647058819</v>
      </c>
    </row>
    <row r="151" spans="1:7" x14ac:dyDescent="0.25">
      <c r="A151" s="10">
        <v>45805.3125</v>
      </c>
      <c r="B151" s="11">
        <v>34</v>
      </c>
      <c r="C151" s="11" t="s">
        <v>41</v>
      </c>
      <c r="D151" s="11" t="s">
        <v>42</v>
      </c>
      <c r="E151" s="11">
        <v>1.5</v>
      </c>
      <c r="F151" s="11">
        <v>1.82</v>
      </c>
      <c r="G151" s="8">
        <f t="shared" si="2"/>
        <v>49.450549450549445</v>
      </c>
    </row>
    <row r="152" spans="1:7" x14ac:dyDescent="0.25">
      <c r="A152" s="10">
        <v>45805.3125</v>
      </c>
      <c r="B152" s="11">
        <v>35</v>
      </c>
      <c r="C152" s="11" t="s">
        <v>43</v>
      </c>
      <c r="D152" s="11" t="s">
        <v>44</v>
      </c>
      <c r="E152" s="11">
        <v>1.55</v>
      </c>
      <c r="F152" s="11">
        <v>3.28</v>
      </c>
      <c r="G152" s="8">
        <f t="shared" si="2"/>
        <v>28.353658536585368</v>
      </c>
    </row>
    <row r="153" spans="1:7" x14ac:dyDescent="0.25">
      <c r="A153" s="10">
        <v>45805.3125</v>
      </c>
      <c r="B153" s="11">
        <v>36</v>
      </c>
      <c r="C153" s="11" t="s">
        <v>44</v>
      </c>
      <c r="D153" s="11" t="s">
        <v>45</v>
      </c>
      <c r="E153" s="11">
        <v>1.5</v>
      </c>
      <c r="F153" s="11">
        <v>2.78</v>
      </c>
      <c r="G153" s="8">
        <f t="shared" si="2"/>
        <v>32.374100719424462</v>
      </c>
    </row>
    <row r="154" spans="1:7" x14ac:dyDescent="0.25">
      <c r="A154" s="10">
        <v>45805.3125</v>
      </c>
      <c r="B154" s="11">
        <v>37</v>
      </c>
      <c r="C154" s="11" t="s">
        <v>45</v>
      </c>
      <c r="D154" s="11" t="s">
        <v>46</v>
      </c>
      <c r="E154" s="11">
        <v>1.38</v>
      </c>
      <c r="F154" s="11">
        <v>3.28</v>
      </c>
      <c r="G154" s="8">
        <f t="shared" si="2"/>
        <v>25.243902439024392</v>
      </c>
    </row>
    <row r="155" spans="1:7" x14ac:dyDescent="0.25">
      <c r="A155" s="10">
        <v>45805.3125</v>
      </c>
      <c r="B155" s="11">
        <v>38</v>
      </c>
      <c r="C155" s="11" t="s">
        <v>46</v>
      </c>
      <c r="D155" s="11" t="s">
        <v>47</v>
      </c>
      <c r="E155" s="11">
        <v>1.61</v>
      </c>
      <c r="F155" s="11">
        <v>3.47</v>
      </c>
      <c r="G155" s="8">
        <f t="shared" si="2"/>
        <v>27.838616714697409</v>
      </c>
    </row>
    <row r="156" spans="1:7" x14ac:dyDescent="0.25">
      <c r="A156" s="10">
        <v>45805.3125</v>
      </c>
      <c r="B156" s="11">
        <v>39</v>
      </c>
      <c r="C156" s="11" t="s">
        <v>47</v>
      </c>
      <c r="D156" s="11" t="s">
        <v>48</v>
      </c>
      <c r="E156" s="11">
        <v>1.55</v>
      </c>
      <c r="F156" s="11">
        <v>3</v>
      </c>
      <c r="G156" s="8">
        <f t="shared" si="2"/>
        <v>31</v>
      </c>
    </row>
    <row r="157" spans="1:7" x14ac:dyDescent="0.25">
      <c r="A157" s="10">
        <v>45805.3125</v>
      </c>
      <c r="B157" s="11">
        <v>40</v>
      </c>
      <c r="C157" s="11" t="s">
        <v>48</v>
      </c>
      <c r="D157" s="11" t="s">
        <v>49</v>
      </c>
      <c r="E157" s="11">
        <v>1.39</v>
      </c>
      <c r="F157" s="11">
        <v>2.67</v>
      </c>
      <c r="G157" s="8">
        <f t="shared" si="2"/>
        <v>31.235955056179773</v>
      </c>
    </row>
    <row r="158" spans="1:7" x14ac:dyDescent="0.25">
      <c r="A158" s="10">
        <v>45805.3125</v>
      </c>
      <c r="B158" s="11">
        <v>41</v>
      </c>
      <c r="C158" s="11" t="s">
        <v>50</v>
      </c>
      <c r="D158" s="11" t="s">
        <v>51</v>
      </c>
      <c r="E158" s="11">
        <v>1.56</v>
      </c>
      <c r="F158" s="11">
        <v>3.32</v>
      </c>
      <c r="G158" s="8">
        <f t="shared" si="2"/>
        <v>28.192771084337352</v>
      </c>
    </row>
    <row r="159" spans="1:7" x14ac:dyDescent="0.25">
      <c r="A159" s="10">
        <v>45805.3125</v>
      </c>
      <c r="B159" s="11">
        <v>42</v>
      </c>
      <c r="C159" s="11" t="s">
        <v>51</v>
      </c>
      <c r="D159" s="11" t="s">
        <v>52</v>
      </c>
      <c r="E159" s="11">
        <v>1.56</v>
      </c>
      <c r="F159" s="11">
        <v>3.4</v>
      </c>
      <c r="G159" s="8">
        <f t="shared" si="2"/>
        <v>27.529411764705884</v>
      </c>
    </row>
    <row r="160" spans="1:7" x14ac:dyDescent="0.25">
      <c r="A160" s="10">
        <v>45805.3125</v>
      </c>
      <c r="B160" s="11">
        <v>43</v>
      </c>
      <c r="C160" s="11" t="s">
        <v>52</v>
      </c>
      <c r="D160" s="11" t="s">
        <v>53</v>
      </c>
      <c r="E160" s="11">
        <v>1.51</v>
      </c>
      <c r="F160" s="11">
        <v>3.02</v>
      </c>
      <c r="G160" s="8">
        <f t="shared" si="2"/>
        <v>29.999999999999996</v>
      </c>
    </row>
    <row r="161" spans="1:7" x14ac:dyDescent="0.25">
      <c r="A161" s="10">
        <v>45805.3125</v>
      </c>
      <c r="B161" s="11">
        <v>44</v>
      </c>
      <c r="C161" s="11" t="s">
        <v>54</v>
      </c>
      <c r="D161" s="11" t="s">
        <v>55</v>
      </c>
      <c r="E161" s="11">
        <v>1.51</v>
      </c>
      <c r="F161" s="11">
        <v>4.17</v>
      </c>
      <c r="G161" s="8">
        <f t="shared" si="2"/>
        <v>21.726618705035971</v>
      </c>
    </row>
    <row r="162" spans="1:7" x14ac:dyDescent="0.25">
      <c r="A162" s="10">
        <v>45805.3125</v>
      </c>
      <c r="B162" s="11">
        <v>45</v>
      </c>
      <c r="C162" s="11" t="s">
        <v>55</v>
      </c>
      <c r="D162" s="11" t="s">
        <v>56</v>
      </c>
      <c r="E162" s="11">
        <v>1.49</v>
      </c>
      <c r="F162" s="11">
        <v>3.12</v>
      </c>
      <c r="G162" s="8">
        <f t="shared" si="2"/>
        <v>28.653846153846153</v>
      </c>
    </row>
    <row r="163" spans="1:7" x14ac:dyDescent="0.25">
      <c r="A163" s="10">
        <v>45805.3125</v>
      </c>
      <c r="B163" s="11">
        <v>46</v>
      </c>
      <c r="C163" s="11" t="s">
        <v>56</v>
      </c>
      <c r="D163" s="11" t="s">
        <v>57</v>
      </c>
      <c r="E163" s="11">
        <v>1.52</v>
      </c>
      <c r="F163" s="11">
        <v>3.62</v>
      </c>
      <c r="G163" s="8">
        <f t="shared" si="2"/>
        <v>25.193370165745858</v>
      </c>
    </row>
    <row r="164" spans="1:7" x14ac:dyDescent="0.25">
      <c r="A164" s="10">
        <v>45805.3125</v>
      </c>
      <c r="B164" s="11">
        <v>47</v>
      </c>
      <c r="C164" s="11" t="s">
        <v>58</v>
      </c>
      <c r="D164" s="11" t="s">
        <v>59</v>
      </c>
      <c r="E164" s="11">
        <v>1.52</v>
      </c>
      <c r="F164" s="11">
        <v>3.53</v>
      </c>
      <c r="G164" s="8">
        <f t="shared" si="2"/>
        <v>25.835694050991503</v>
      </c>
    </row>
    <row r="165" spans="1:7" x14ac:dyDescent="0.25">
      <c r="A165" s="10">
        <v>45805.3125</v>
      </c>
      <c r="B165" s="11">
        <v>48</v>
      </c>
      <c r="C165" s="11" t="s">
        <v>59</v>
      </c>
      <c r="D165" s="11" t="s">
        <v>60</v>
      </c>
      <c r="E165" s="11">
        <v>1.5</v>
      </c>
      <c r="F165" s="11">
        <v>3.32</v>
      </c>
      <c r="G165" s="8">
        <f t="shared" si="2"/>
        <v>27.108433734939759</v>
      </c>
    </row>
    <row r="166" spans="1:7" x14ac:dyDescent="0.25">
      <c r="A166" s="10">
        <v>45805.3125</v>
      </c>
      <c r="B166" s="11">
        <v>49</v>
      </c>
      <c r="C166" s="11" t="s">
        <v>60</v>
      </c>
      <c r="D166" s="11" t="s">
        <v>61</v>
      </c>
      <c r="E166" s="11">
        <v>1.54</v>
      </c>
      <c r="F166" s="11">
        <v>3.32</v>
      </c>
      <c r="G166" s="8">
        <f t="shared" si="2"/>
        <v>27.831325301204821</v>
      </c>
    </row>
    <row r="167" spans="1:7" x14ac:dyDescent="0.25">
      <c r="A167" s="10">
        <v>45805.3125</v>
      </c>
      <c r="B167" s="11">
        <v>50</v>
      </c>
      <c r="C167" s="11" t="s">
        <v>62</v>
      </c>
      <c r="D167" s="11" t="s">
        <v>63</v>
      </c>
      <c r="E167" s="11">
        <v>1.38</v>
      </c>
      <c r="F167" s="11">
        <v>2.87</v>
      </c>
      <c r="G167" s="8">
        <f t="shared" si="2"/>
        <v>28.850174216027874</v>
      </c>
    </row>
    <row r="168" spans="1:7" x14ac:dyDescent="0.25">
      <c r="A168" s="10">
        <v>45805.3125</v>
      </c>
      <c r="B168" s="11">
        <v>51</v>
      </c>
      <c r="C168" s="11" t="s">
        <v>63</v>
      </c>
      <c r="D168" s="11" t="s">
        <v>64</v>
      </c>
      <c r="E168" s="11">
        <v>2.79</v>
      </c>
      <c r="F168" s="11">
        <v>5.37</v>
      </c>
      <c r="G168" s="8">
        <f t="shared" si="2"/>
        <v>31.173184357541899</v>
      </c>
    </row>
    <row r="169" spans="1:7" x14ac:dyDescent="0.25">
      <c r="A169" s="10">
        <v>45805.3125</v>
      </c>
      <c r="B169" s="11">
        <v>52</v>
      </c>
      <c r="C169" s="11" t="s">
        <v>64</v>
      </c>
      <c r="D169" s="11" t="s">
        <v>65</v>
      </c>
      <c r="E169" s="11">
        <v>1.5</v>
      </c>
      <c r="F169" s="11">
        <v>2.92</v>
      </c>
      <c r="G169" s="8">
        <f t="shared" si="2"/>
        <v>30.82191780821918</v>
      </c>
    </row>
    <row r="170" spans="1:7" x14ac:dyDescent="0.25">
      <c r="A170" s="10">
        <v>45805.3125</v>
      </c>
      <c r="B170" s="11">
        <v>53</v>
      </c>
      <c r="C170" s="11" t="s">
        <v>65</v>
      </c>
      <c r="D170" s="11" t="s">
        <v>66</v>
      </c>
      <c r="E170" s="11">
        <v>1.46</v>
      </c>
      <c r="F170" s="11">
        <v>3.4</v>
      </c>
      <c r="G170" s="8">
        <f t="shared" si="2"/>
        <v>25.764705882352938</v>
      </c>
    </row>
    <row r="171" spans="1:7" x14ac:dyDescent="0.25">
      <c r="A171" s="10">
        <v>45805.3125</v>
      </c>
      <c r="B171" s="11">
        <v>54</v>
      </c>
      <c r="C171" s="11" t="s">
        <v>67</v>
      </c>
      <c r="D171" s="11" t="s">
        <v>68</v>
      </c>
      <c r="E171" s="11">
        <v>1.46</v>
      </c>
      <c r="F171" s="11">
        <v>2.6</v>
      </c>
      <c r="G171" s="8">
        <f t="shared" si="2"/>
        <v>33.692307692307686</v>
      </c>
    </row>
    <row r="172" spans="1:7" x14ac:dyDescent="0.25">
      <c r="A172" s="10">
        <v>45805.3125</v>
      </c>
      <c r="B172" s="11">
        <v>55</v>
      </c>
      <c r="C172" s="11" t="s">
        <v>68</v>
      </c>
      <c r="D172" s="11" t="s">
        <v>69</v>
      </c>
      <c r="E172" s="11">
        <v>1.5</v>
      </c>
      <c r="F172" s="11">
        <v>2.12</v>
      </c>
      <c r="G172" s="8">
        <f t="shared" si="2"/>
        <v>42.452830188679243</v>
      </c>
    </row>
    <row r="173" spans="1:7" x14ac:dyDescent="0.25">
      <c r="A173" s="10">
        <v>45805.3125</v>
      </c>
      <c r="B173" s="11">
        <v>56</v>
      </c>
      <c r="C173" s="11" t="s">
        <v>70</v>
      </c>
      <c r="D173" s="11" t="s">
        <v>71</v>
      </c>
      <c r="E173" s="11">
        <v>1.51</v>
      </c>
      <c r="F173" s="11">
        <v>3.9</v>
      </c>
      <c r="G173" s="8">
        <f t="shared" si="2"/>
        <v>23.23076923076923</v>
      </c>
    </row>
    <row r="174" spans="1:7" x14ac:dyDescent="0.25">
      <c r="A174" s="10">
        <v>45805.3125</v>
      </c>
      <c r="B174" s="11">
        <v>57</v>
      </c>
      <c r="C174" s="11" t="s">
        <v>71</v>
      </c>
      <c r="D174" s="11" t="s">
        <v>72</v>
      </c>
      <c r="E174" s="11">
        <v>1.52</v>
      </c>
      <c r="F174" s="11">
        <v>3.48</v>
      </c>
      <c r="G174" s="8">
        <f t="shared" si="2"/>
        <v>26.206896551724139</v>
      </c>
    </row>
    <row r="175" spans="1:7" x14ac:dyDescent="0.25">
      <c r="A175" s="10">
        <v>45805.3125</v>
      </c>
      <c r="B175" s="11">
        <v>58</v>
      </c>
      <c r="C175" s="11" t="s">
        <v>72</v>
      </c>
      <c r="D175" s="11" t="s">
        <v>73</v>
      </c>
      <c r="E175" s="11">
        <v>1.5</v>
      </c>
      <c r="F175" s="11">
        <v>3.12</v>
      </c>
      <c r="G175" s="8">
        <f t="shared" si="2"/>
        <v>28.846153846153847</v>
      </c>
    </row>
    <row r="176" spans="1:7" x14ac:dyDescent="0.25">
      <c r="A176" s="10">
        <v>45805.322916666664</v>
      </c>
      <c r="B176" s="11">
        <v>1</v>
      </c>
      <c r="C176" s="11" t="s">
        <v>6</v>
      </c>
      <c r="D176" s="11" t="s">
        <v>7</v>
      </c>
      <c r="E176" s="11">
        <v>1.53</v>
      </c>
      <c r="F176" s="11">
        <v>2.93</v>
      </c>
      <c r="G176" s="8">
        <f t="shared" si="2"/>
        <v>31.331058020477812</v>
      </c>
    </row>
    <row r="177" spans="1:7" x14ac:dyDescent="0.25">
      <c r="A177" s="10">
        <v>45805.322916666664</v>
      </c>
      <c r="B177" s="11">
        <v>2</v>
      </c>
      <c r="C177" s="11" t="s">
        <v>7</v>
      </c>
      <c r="D177" s="11" t="s">
        <v>8</v>
      </c>
      <c r="E177" s="11">
        <v>1.57</v>
      </c>
      <c r="F177" s="11">
        <v>4.43</v>
      </c>
      <c r="G177" s="8">
        <f t="shared" si="2"/>
        <v>21.264108352144472</v>
      </c>
    </row>
    <row r="178" spans="1:7" x14ac:dyDescent="0.25">
      <c r="A178" s="10">
        <v>45805.322916666664</v>
      </c>
      <c r="B178" s="11">
        <v>3</v>
      </c>
      <c r="C178" s="11" t="s">
        <v>8</v>
      </c>
      <c r="D178" s="11" t="s">
        <v>9</v>
      </c>
      <c r="E178" s="11">
        <v>1.5</v>
      </c>
      <c r="F178" s="11">
        <v>2.82</v>
      </c>
      <c r="G178" s="8">
        <f t="shared" si="2"/>
        <v>31.914893617021278</v>
      </c>
    </row>
    <row r="179" spans="1:7" x14ac:dyDescent="0.25">
      <c r="A179" s="10">
        <v>45805.322916666664</v>
      </c>
      <c r="B179" s="11">
        <v>4</v>
      </c>
      <c r="C179" s="11" t="s">
        <v>9</v>
      </c>
      <c r="D179" s="11" t="s">
        <v>10</v>
      </c>
      <c r="E179" s="11">
        <v>1.5</v>
      </c>
      <c r="F179" s="11">
        <v>2.4500000000000002</v>
      </c>
      <c r="G179" s="8">
        <f t="shared" si="2"/>
        <v>36.734693877551017</v>
      </c>
    </row>
    <row r="180" spans="1:7" x14ac:dyDescent="0.25">
      <c r="A180" s="10">
        <v>45805.322916666664</v>
      </c>
      <c r="B180" s="11">
        <v>5</v>
      </c>
      <c r="C180" s="11" t="s">
        <v>10</v>
      </c>
      <c r="D180" s="11" t="s">
        <v>11</v>
      </c>
      <c r="E180" s="11">
        <v>1.52</v>
      </c>
      <c r="F180" s="11">
        <v>2.9</v>
      </c>
      <c r="G180" s="8">
        <f t="shared" si="2"/>
        <v>31.448275862068968</v>
      </c>
    </row>
    <row r="181" spans="1:7" x14ac:dyDescent="0.25">
      <c r="A181" s="10">
        <v>45805.322916666664</v>
      </c>
      <c r="B181" s="11">
        <v>6</v>
      </c>
      <c r="C181" s="11" t="s">
        <v>11</v>
      </c>
      <c r="D181" s="11" t="s">
        <v>12</v>
      </c>
      <c r="E181" s="11">
        <v>1.5</v>
      </c>
      <c r="F181" s="11">
        <v>2.4700000000000002</v>
      </c>
      <c r="G181" s="8">
        <f t="shared" si="2"/>
        <v>36.43724696356275</v>
      </c>
    </row>
    <row r="182" spans="1:7" x14ac:dyDescent="0.25">
      <c r="A182" s="10">
        <v>45805.322916666664</v>
      </c>
      <c r="B182" s="11">
        <v>7</v>
      </c>
      <c r="C182" s="11" t="s">
        <v>12</v>
      </c>
      <c r="D182" s="11" t="s">
        <v>13</v>
      </c>
      <c r="E182" s="11">
        <v>1.54</v>
      </c>
      <c r="F182" s="11">
        <v>2.5299999999999998</v>
      </c>
      <c r="G182" s="8">
        <f t="shared" si="2"/>
        <v>36.521739130434788</v>
      </c>
    </row>
    <row r="183" spans="1:7" x14ac:dyDescent="0.25">
      <c r="A183" s="10">
        <v>45805.322916666664</v>
      </c>
      <c r="B183" s="11">
        <v>8</v>
      </c>
      <c r="C183" s="11" t="s">
        <v>13</v>
      </c>
      <c r="D183" s="11" t="s">
        <v>14</v>
      </c>
      <c r="E183" s="11">
        <v>1.54</v>
      </c>
      <c r="F183" s="11">
        <v>2.83</v>
      </c>
      <c r="G183" s="8">
        <f t="shared" si="2"/>
        <v>32.650176678445234</v>
      </c>
    </row>
    <row r="184" spans="1:7" x14ac:dyDescent="0.25">
      <c r="A184" s="10">
        <v>45805.322916666664</v>
      </c>
      <c r="B184" s="11">
        <v>9</v>
      </c>
      <c r="C184" s="11" t="s">
        <v>14</v>
      </c>
      <c r="D184" s="11" t="s">
        <v>15</v>
      </c>
      <c r="E184" s="11">
        <v>1.52</v>
      </c>
      <c r="F184" s="11">
        <v>2.98</v>
      </c>
      <c r="G184" s="8">
        <f t="shared" si="2"/>
        <v>30.604026845637584</v>
      </c>
    </row>
    <row r="185" spans="1:7" x14ac:dyDescent="0.25">
      <c r="A185" s="10">
        <v>45805.322916666664</v>
      </c>
      <c r="B185" s="11">
        <v>10</v>
      </c>
      <c r="C185" s="11" t="s">
        <v>15</v>
      </c>
      <c r="D185" s="11" t="s">
        <v>16</v>
      </c>
      <c r="E185" s="11">
        <v>1.5</v>
      </c>
      <c r="F185" s="11">
        <v>3.33</v>
      </c>
      <c r="G185" s="8">
        <f t="shared" si="2"/>
        <v>27.027027027027028</v>
      </c>
    </row>
    <row r="186" spans="1:7" x14ac:dyDescent="0.25">
      <c r="A186" s="10">
        <v>45805.322916666664</v>
      </c>
      <c r="B186" s="11">
        <v>11</v>
      </c>
      <c r="C186" s="11" t="s">
        <v>16</v>
      </c>
      <c r="D186" s="11" t="s">
        <v>17</v>
      </c>
      <c r="E186" s="11">
        <v>1.48</v>
      </c>
      <c r="F186" s="11">
        <v>2.67</v>
      </c>
      <c r="G186" s="8">
        <f t="shared" si="2"/>
        <v>33.258426966292134</v>
      </c>
    </row>
    <row r="187" spans="1:7" x14ac:dyDescent="0.25">
      <c r="A187" s="10">
        <v>45805.322916666664</v>
      </c>
      <c r="B187" s="11">
        <v>12</v>
      </c>
      <c r="C187" s="11" t="s">
        <v>17</v>
      </c>
      <c r="D187" s="11" t="s">
        <v>18</v>
      </c>
      <c r="E187" s="11">
        <v>1.46</v>
      </c>
      <c r="F187" s="11">
        <v>3.25</v>
      </c>
      <c r="G187" s="8">
        <f t="shared" si="2"/>
        <v>26.95384615384615</v>
      </c>
    </row>
    <row r="188" spans="1:7" x14ac:dyDescent="0.25">
      <c r="A188" s="10">
        <v>45805.322916666664</v>
      </c>
      <c r="B188" s="11">
        <v>13</v>
      </c>
      <c r="C188" s="11" t="s">
        <v>18</v>
      </c>
      <c r="D188" s="11" t="s">
        <v>19</v>
      </c>
      <c r="E188" s="11">
        <v>1.52</v>
      </c>
      <c r="F188" s="11">
        <v>3.95</v>
      </c>
      <c r="G188" s="8">
        <f t="shared" si="2"/>
        <v>23.088607594936708</v>
      </c>
    </row>
    <row r="189" spans="1:7" x14ac:dyDescent="0.25">
      <c r="A189" s="10">
        <v>45805.322916666664</v>
      </c>
      <c r="B189" s="11">
        <v>14</v>
      </c>
      <c r="C189" s="11" t="s">
        <v>19</v>
      </c>
      <c r="D189" s="11" t="s">
        <v>20</v>
      </c>
      <c r="E189" s="11">
        <v>1.51</v>
      </c>
      <c r="F189" s="11">
        <v>3.25</v>
      </c>
      <c r="G189" s="8">
        <f t="shared" si="2"/>
        <v>27.876923076923074</v>
      </c>
    </row>
    <row r="190" spans="1:7" x14ac:dyDescent="0.25">
      <c r="A190" s="10">
        <v>45805.322916666664</v>
      </c>
      <c r="B190" s="11">
        <v>15</v>
      </c>
      <c r="C190" s="11" t="s">
        <v>20</v>
      </c>
      <c r="D190" s="11" t="s">
        <v>21</v>
      </c>
      <c r="E190" s="11">
        <v>1.47</v>
      </c>
      <c r="F190" s="11">
        <v>2.4700000000000002</v>
      </c>
      <c r="G190" s="8">
        <f t="shared" si="2"/>
        <v>35.708502024291498</v>
      </c>
    </row>
    <row r="191" spans="1:7" x14ac:dyDescent="0.25">
      <c r="A191" s="10">
        <v>45805.322916666664</v>
      </c>
      <c r="B191" s="11">
        <v>16</v>
      </c>
      <c r="C191" s="11" t="s">
        <v>21</v>
      </c>
      <c r="D191" s="11" t="s">
        <v>22</v>
      </c>
      <c r="E191" s="11">
        <v>1.5</v>
      </c>
      <c r="F191" s="11">
        <v>1.85</v>
      </c>
      <c r="G191" s="8">
        <f t="shared" si="2"/>
        <v>48.648648648648646</v>
      </c>
    </row>
    <row r="192" spans="1:7" x14ac:dyDescent="0.25">
      <c r="A192" s="10">
        <v>45805.322916666664</v>
      </c>
      <c r="B192" s="11">
        <v>17</v>
      </c>
      <c r="C192" s="11" t="s">
        <v>22</v>
      </c>
      <c r="D192" s="11" t="s">
        <v>23</v>
      </c>
      <c r="E192" s="11">
        <v>1.51</v>
      </c>
      <c r="F192" s="11">
        <v>2.88</v>
      </c>
      <c r="G192" s="8">
        <f t="shared" si="2"/>
        <v>31.458333333333332</v>
      </c>
    </row>
    <row r="193" spans="1:7" x14ac:dyDescent="0.25">
      <c r="A193" s="10">
        <v>45805.322916666664</v>
      </c>
      <c r="B193" s="11">
        <v>18</v>
      </c>
      <c r="C193" s="11" t="s">
        <v>23</v>
      </c>
      <c r="D193" s="11" t="s">
        <v>24</v>
      </c>
      <c r="E193" s="11">
        <v>1.51</v>
      </c>
      <c r="F193" s="11">
        <v>2.82</v>
      </c>
      <c r="G193" s="8">
        <f t="shared" si="2"/>
        <v>32.127659574468083</v>
      </c>
    </row>
    <row r="194" spans="1:7" x14ac:dyDescent="0.25">
      <c r="A194" s="10">
        <v>45805.322916666664</v>
      </c>
      <c r="B194" s="11">
        <v>19</v>
      </c>
      <c r="C194" s="11" t="s">
        <v>25</v>
      </c>
      <c r="D194" s="11" t="s">
        <v>26</v>
      </c>
      <c r="E194" s="11">
        <v>1.5</v>
      </c>
      <c r="F194" s="11">
        <v>3.73</v>
      </c>
      <c r="G194" s="8">
        <f t="shared" si="2"/>
        <v>24.128686327077748</v>
      </c>
    </row>
    <row r="195" spans="1:7" x14ac:dyDescent="0.25">
      <c r="A195" s="10">
        <v>45805.322916666664</v>
      </c>
      <c r="B195" s="11">
        <v>20</v>
      </c>
      <c r="C195" s="11" t="s">
        <v>26</v>
      </c>
      <c r="D195" s="11" t="s">
        <v>27</v>
      </c>
      <c r="E195" s="11">
        <v>1.48</v>
      </c>
      <c r="F195" s="11">
        <v>3.65</v>
      </c>
      <c r="G195" s="8">
        <f t="shared" ref="G195:G258" si="3">E195*60/F195</f>
        <v>24.328767123287673</v>
      </c>
    </row>
    <row r="196" spans="1:7" x14ac:dyDescent="0.25">
      <c r="A196" s="10">
        <v>45805.322916666664</v>
      </c>
      <c r="B196" s="11">
        <v>21</v>
      </c>
      <c r="C196" s="11" t="s">
        <v>27</v>
      </c>
      <c r="D196" s="11" t="s">
        <v>28</v>
      </c>
      <c r="E196" s="11">
        <v>1.51</v>
      </c>
      <c r="F196" s="11">
        <v>3.22</v>
      </c>
      <c r="G196" s="8">
        <f t="shared" si="3"/>
        <v>28.136645962732917</v>
      </c>
    </row>
    <row r="197" spans="1:7" x14ac:dyDescent="0.25">
      <c r="A197" s="10">
        <v>45805.322916666664</v>
      </c>
      <c r="B197" s="11">
        <v>22</v>
      </c>
      <c r="C197" s="11" t="s">
        <v>28</v>
      </c>
      <c r="D197" s="11" t="s">
        <v>29</v>
      </c>
      <c r="E197" s="11">
        <v>1.57</v>
      </c>
      <c r="F197" s="11">
        <v>3.25</v>
      </c>
      <c r="G197" s="8">
        <f t="shared" si="3"/>
        <v>28.984615384615385</v>
      </c>
    </row>
    <row r="198" spans="1:7" x14ac:dyDescent="0.25">
      <c r="A198" s="10">
        <v>45805.322916666664</v>
      </c>
      <c r="B198" s="11">
        <v>23</v>
      </c>
      <c r="C198" s="11" t="s">
        <v>29</v>
      </c>
      <c r="D198" s="11" t="s">
        <v>30</v>
      </c>
      <c r="E198" s="11">
        <v>1.43</v>
      </c>
      <c r="F198" s="11">
        <v>3.47</v>
      </c>
      <c r="G198" s="8">
        <f t="shared" si="3"/>
        <v>24.726224783861671</v>
      </c>
    </row>
    <row r="199" spans="1:7" x14ac:dyDescent="0.25">
      <c r="A199" s="10">
        <v>45805.322916666664</v>
      </c>
      <c r="B199" s="11">
        <v>24</v>
      </c>
      <c r="C199" s="11" t="s">
        <v>30</v>
      </c>
      <c r="D199" s="11" t="s">
        <v>31</v>
      </c>
      <c r="E199" s="11">
        <v>1.52</v>
      </c>
      <c r="F199" s="11">
        <v>3.65</v>
      </c>
      <c r="G199" s="8">
        <f t="shared" si="3"/>
        <v>24.986301369863014</v>
      </c>
    </row>
    <row r="200" spans="1:7" x14ac:dyDescent="0.25">
      <c r="A200" s="10">
        <v>45805.322916666664</v>
      </c>
      <c r="B200" s="11">
        <v>25</v>
      </c>
      <c r="C200" s="11" t="s">
        <v>31</v>
      </c>
      <c r="D200" s="11" t="s">
        <v>32</v>
      </c>
      <c r="E200" s="11">
        <v>1.52</v>
      </c>
      <c r="F200" s="11">
        <v>3.07</v>
      </c>
      <c r="G200" s="8">
        <f t="shared" si="3"/>
        <v>29.706840390879481</v>
      </c>
    </row>
    <row r="201" spans="1:7" x14ac:dyDescent="0.25">
      <c r="A201" s="10">
        <v>45805.322916666664</v>
      </c>
      <c r="B201" s="11">
        <v>26</v>
      </c>
      <c r="C201" s="11" t="s">
        <v>32</v>
      </c>
      <c r="D201" s="11" t="s">
        <v>33</v>
      </c>
      <c r="E201" s="11">
        <v>1.49</v>
      </c>
      <c r="F201" s="11">
        <v>3.1</v>
      </c>
      <c r="G201" s="8">
        <f t="shared" si="3"/>
        <v>28.838709677419356</v>
      </c>
    </row>
    <row r="202" spans="1:7" x14ac:dyDescent="0.25">
      <c r="A202" s="10">
        <v>45805.322916666664</v>
      </c>
      <c r="B202" s="11">
        <v>27</v>
      </c>
      <c r="C202" s="11" t="s">
        <v>33</v>
      </c>
      <c r="D202" s="11" t="s">
        <v>34</v>
      </c>
      <c r="E202" s="11">
        <v>1.53</v>
      </c>
      <c r="F202" s="11">
        <v>3.02</v>
      </c>
      <c r="G202" s="8">
        <f t="shared" si="3"/>
        <v>30.397350993377483</v>
      </c>
    </row>
    <row r="203" spans="1:7" x14ac:dyDescent="0.25">
      <c r="A203" s="10">
        <v>45805.322916666664</v>
      </c>
      <c r="B203" s="11">
        <v>28</v>
      </c>
      <c r="C203" s="11" t="s">
        <v>34</v>
      </c>
      <c r="D203" s="11" t="s">
        <v>35</v>
      </c>
      <c r="E203" s="11">
        <v>1.51</v>
      </c>
      <c r="F203" s="11">
        <v>3.83</v>
      </c>
      <c r="G203" s="8">
        <f t="shared" si="3"/>
        <v>23.655352480417754</v>
      </c>
    </row>
    <row r="204" spans="1:7" x14ac:dyDescent="0.25">
      <c r="A204" s="10">
        <v>45805.322916666664</v>
      </c>
      <c r="B204" s="11">
        <v>29</v>
      </c>
      <c r="C204" s="11" t="s">
        <v>36</v>
      </c>
      <c r="D204" s="11" t="s">
        <v>37</v>
      </c>
      <c r="E204" s="11">
        <v>1.57</v>
      </c>
      <c r="F204" s="11">
        <v>3.92</v>
      </c>
      <c r="G204" s="8">
        <f t="shared" si="3"/>
        <v>24.030612244897959</v>
      </c>
    </row>
    <row r="205" spans="1:7" x14ac:dyDescent="0.25">
      <c r="A205" s="10">
        <v>45805.322916666664</v>
      </c>
      <c r="B205" s="11">
        <v>30</v>
      </c>
      <c r="C205" s="11" t="s">
        <v>37</v>
      </c>
      <c r="D205" s="11" t="s">
        <v>38</v>
      </c>
      <c r="E205" s="11">
        <v>1.57</v>
      </c>
      <c r="F205" s="11">
        <v>5.6</v>
      </c>
      <c r="G205" s="8">
        <f t="shared" si="3"/>
        <v>16.821428571428573</v>
      </c>
    </row>
    <row r="206" spans="1:7" x14ac:dyDescent="0.25">
      <c r="A206" s="10">
        <v>45805.322916666664</v>
      </c>
      <c r="B206" s="11">
        <v>31</v>
      </c>
      <c r="C206" s="11" t="s">
        <v>38</v>
      </c>
      <c r="D206" s="11" t="s">
        <v>39</v>
      </c>
      <c r="E206" s="11">
        <v>1.52</v>
      </c>
      <c r="F206" s="11">
        <v>2.65</v>
      </c>
      <c r="G206" s="8">
        <f t="shared" si="3"/>
        <v>34.415094339622641</v>
      </c>
    </row>
    <row r="207" spans="1:7" x14ac:dyDescent="0.25">
      <c r="A207" s="10">
        <v>45805.322916666664</v>
      </c>
      <c r="B207" s="11">
        <v>32</v>
      </c>
      <c r="C207" s="11" t="s">
        <v>39</v>
      </c>
      <c r="D207" s="11" t="s">
        <v>40</v>
      </c>
      <c r="E207" s="11">
        <v>1.5</v>
      </c>
      <c r="F207" s="11">
        <v>1.68</v>
      </c>
      <c r="G207" s="8">
        <f t="shared" si="3"/>
        <v>53.571428571428577</v>
      </c>
    </row>
    <row r="208" spans="1:7" x14ac:dyDescent="0.25">
      <c r="A208" s="10">
        <v>45805.322916666664</v>
      </c>
      <c r="B208" s="11">
        <v>33</v>
      </c>
      <c r="C208" s="11" t="s">
        <v>40</v>
      </c>
      <c r="D208" s="11" t="s">
        <v>41</v>
      </c>
      <c r="E208" s="11">
        <v>1.51</v>
      </c>
      <c r="F208" s="11">
        <v>1.68</v>
      </c>
      <c r="G208" s="8">
        <f t="shared" si="3"/>
        <v>53.928571428571431</v>
      </c>
    </row>
    <row r="209" spans="1:7" x14ac:dyDescent="0.25">
      <c r="A209" s="10">
        <v>45805.322916666664</v>
      </c>
      <c r="B209" s="11">
        <v>34</v>
      </c>
      <c r="C209" s="11" t="s">
        <v>41</v>
      </c>
      <c r="D209" s="11" t="s">
        <v>42</v>
      </c>
      <c r="E209" s="11">
        <v>1.5</v>
      </c>
      <c r="F209" s="11">
        <v>1.9</v>
      </c>
      <c r="G209" s="8">
        <f t="shared" si="3"/>
        <v>47.368421052631582</v>
      </c>
    </row>
    <row r="210" spans="1:7" x14ac:dyDescent="0.25">
      <c r="A210" s="10">
        <v>45805.322916666664</v>
      </c>
      <c r="B210" s="11">
        <v>35</v>
      </c>
      <c r="C210" s="11" t="s">
        <v>43</v>
      </c>
      <c r="D210" s="11" t="s">
        <v>44</v>
      </c>
      <c r="E210" s="11">
        <v>1.55</v>
      </c>
      <c r="F210" s="11">
        <v>3.38</v>
      </c>
      <c r="G210" s="8">
        <f t="shared" si="3"/>
        <v>27.514792899408285</v>
      </c>
    </row>
    <row r="211" spans="1:7" x14ac:dyDescent="0.25">
      <c r="A211" s="10">
        <v>45805.322916666664</v>
      </c>
      <c r="B211" s="11">
        <v>36</v>
      </c>
      <c r="C211" s="11" t="s">
        <v>44</v>
      </c>
      <c r="D211" s="11" t="s">
        <v>45</v>
      </c>
      <c r="E211" s="11">
        <v>1.5</v>
      </c>
      <c r="F211" s="11">
        <v>2.92</v>
      </c>
      <c r="G211" s="8">
        <f t="shared" si="3"/>
        <v>30.82191780821918</v>
      </c>
    </row>
    <row r="212" spans="1:7" x14ac:dyDescent="0.25">
      <c r="A212" s="10">
        <v>45805.322916666664</v>
      </c>
      <c r="B212" s="11">
        <v>37</v>
      </c>
      <c r="C212" s="11" t="s">
        <v>45</v>
      </c>
      <c r="D212" s="11" t="s">
        <v>46</v>
      </c>
      <c r="E212" s="11">
        <v>1.38</v>
      </c>
      <c r="F212" s="11">
        <v>3.47</v>
      </c>
      <c r="G212" s="8">
        <f t="shared" si="3"/>
        <v>23.861671469740632</v>
      </c>
    </row>
    <row r="213" spans="1:7" x14ac:dyDescent="0.25">
      <c r="A213" s="10">
        <v>45805.322916666664</v>
      </c>
      <c r="B213" s="11">
        <v>38</v>
      </c>
      <c r="C213" s="11" t="s">
        <v>46</v>
      </c>
      <c r="D213" s="11" t="s">
        <v>47</v>
      </c>
      <c r="E213" s="11">
        <v>1.61</v>
      </c>
      <c r="F213" s="11">
        <v>3.47</v>
      </c>
      <c r="G213" s="8">
        <f t="shared" si="3"/>
        <v>27.838616714697409</v>
      </c>
    </row>
    <row r="214" spans="1:7" x14ac:dyDescent="0.25">
      <c r="A214" s="10">
        <v>45805.322916666664</v>
      </c>
      <c r="B214" s="11">
        <v>39</v>
      </c>
      <c r="C214" s="11" t="s">
        <v>47</v>
      </c>
      <c r="D214" s="11" t="s">
        <v>48</v>
      </c>
      <c r="E214" s="11">
        <v>1.55</v>
      </c>
      <c r="F214" s="11">
        <v>2.95</v>
      </c>
      <c r="G214" s="8">
        <f t="shared" si="3"/>
        <v>31.525423728813557</v>
      </c>
    </row>
    <row r="215" spans="1:7" x14ac:dyDescent="0.25">
      <c r="A215" s="10">
        <v>45805.322916666664</v>
      </c>
      <c r="B215" s="11">
        <v>40</v>
      </c>
      <c r="C215" s="11" t="s">
        <v>48</v>
      </c>
      <c r="D215" s="11" t="s">
        <v>49</v>
      </c>
      <c r="E215" s="11">
        <v>1.39</v>
      </c>
      <c r="F215" s="11">
        <v>2.62</v>
      </c>
      <c r="G215" s="8">
        <f t="shared" si="3"/>
        <v>31.832061068702284</v>
      </c>
    </row>
    <row r="216" spans="1:7" x14ac:dyDescent="0.25">
      <c r="A216" s="10">
        <v>45805.322916666664</v>
      </c>
      <c r="B216" s="11">
        <v>41</v>
      </c>
      <c r="C216" s="11" t="s">
        <v>50</v>
      </c>
      <c r="D216" s="11" t="s">
        <v>51</v>
      </c>
      <c r="E216" s="11">
        <v>1.56</v>
      </c>
      <c r="F216" s="11">
        <v>3.8</v>
      </c>
      <c r="G216" s="8">
        <f t="shared" si="3"/>
        <v>24.631578947368425</v>
      </c>
    </row>
    <row r="217" spans="1:7" x14ac:dyDescent="0.25">
      <c r="A217" s="10">
        <v>45805.322916666664</v>
      </c>
      <c r="B217" s="11">
        <v>42</v>
      </c>
      <c r="C217" s="11" t="s">
        <v>51</v>
      </c>
      <c r="D217" s="11" t="s">
        <v>52</v>
      </c>
      <c r="E217" s="11">
        <v>1.56</v>
      </c>
      <c r="F217" s="11">
        <v>3.78</v>
      </c>
      <c r="G217" s="8">
        <f t="shared" si="3"/>
        <v>24.761904761904766</v>
      </c>
    </row>
    <row r="218" spans="1:7" x14ac:dyDescent="0.25">
      <c r="A218" s="10">
        <v>45805.322916666664</v>
      </c>
      <c r="B218" s="11">
        <v>43</v>
      </c>
      <c r="C218" s="11" t="s">
        <v>52</v>
      </c>
      <c r="D218" s="11" t="s">
        <v>53</v>
      </c>
      <c r="E218" s="11">
        <v>1.51</v>
      </c>
      <c r="F218" s="11">
        <v>3.13</v>
      </c>
      <c r="G218" s="8">
        <f t="shared" si="3"/>
        <v>28.945686900958467</v>
      </c>
    </row>
    <row r="219" spans="1:7" x14ac:dyDescent="0.25">
      <c r="A219" s="10">
        <v>45805.322916666664</v>
      </c>
      <c r="B219" s="11">
        <v>44</v>
      </c>
      <c r="C219" s="11" t="s">
        <v>54</v>
      </c>
      <c r="D219" s="11" t="s">
        <v>55</v>
      </c>
      <c r="E219" s="11">
        <v>1.51</v>
      </c>
      <c r="F219" s="11">
        <v>4.08</v>
      </c>
      <c r="G219" s="8">
        <f t="shared" si="3"/>
        <v>22.205882352941174</v>
      </c>
    </row>
    <row r="220" spans="1:7" x14ac:dyDescent="0.25">
      <c r="A220" s="10">
        <v>45805.322916666664</v>
      </c>
      <c r="B220" s="11">
        <v>45</v>
      </c>
      <c r="C220" s="11" t="s">
        <v>55</v>
      </c>
      <c r="D220" s="11" t="s">
        <v>56</v>
      </c>
      <c r="E220" s="11">
        <v>1.49</v>
      </c>
      <c r="F220" s="11">
        <v>3.27</v>
      </c>
      <c r="G220" s="8">
        <f t="shared" si="3"/>
        <v>27.339449541284406</v>
      </c>
    </row>
    <row r="221" spans="1:7" x14ac:dyDescent="0.25">
      <c r="A221" s="10">
        <v>45805.322916666664</v>
      </c>
      <c r="B221" s="11">
        <v>46</v>
      </c>
      <c r="C221" s="11" t="s">
        <v>56</v>
      </c>
      <c r="D221" s="11" t="s">
        <v>57</v>
      </c>
      <c r="E221" s="11">
        <v>1.52</v>
      </c>
      <c r="F221" s="11">
        <v>3.47</v>
      </c>
      <c r="G221" s="8">
        <f t="shared" si="3"/>
        <v>26.282420749279538</v>
      </c>
    </row>
    <row r="222" spans="1:7" x14ac:dyDescent="0.25">
      <c r="A222" s="10">
        <v>45805.322916666664</v>
      </c>
      <c r="B222" s="11">
        <v>47</v>
      </c>
      <c r="C222" s="11" t="s">
        <v>58</v>
      </c>
      <c r="D222" s="11" t="s">
        <v>59</v>
      </c>
      <c r="E222" s="11">
        <v>1.52</v>
      </c>
      <c r="F222" s="11">
        <v>4.3499999999999996</v>
      </c>
      <c r="G222" s="8">
        <f t="shared" si="3"/>
        <v>20.965517241379313</v>
      </c>
    </row>
    <row r="223" spans="1:7" x14ac:dyDescent="0.25">
      <c r="A223" s="10">
        <v>45805.322916666664</v>
      </c>
      <c r="B223" s="11">
        <v>48</v>
      </c>
      <c r="C223" s="11" t="s">
        <v>59</v>
      </c>
      <c r="D223" s="11" t="s">
        <v>60</v>
      </c>
      <c r="E223" s="11">
        <v>1.5</v>
      </c>
      <c r="F223" s="11">
        <v>3.33</v>
      </c>
      <c r="G223" s="8">
        <f t="shared" si="3"/>
        <v>27.027027027027028</v>
      </c>
    </row>
    <row r="224" spans="1:7" x14ac:dyDescent="0.25">
      <c r="A224" s="10">
        <v>45805.322916666664</v>
      </c>
      <c r="B224" s="11">
        <v>49</v>
      </c>
      <c r="C224" s="11" t="s">
        <v>60</v>
      </c>
      <c r="D224" s="11" t="s">
        <v>61</v>
      </c>
      <c r="E224" s="11">
        <v>1.54</v>
      </c>
      <c r="F224" s="11">
        <v>3.53</v>
      </c>
      <c r="G224" s="8">
        <f t="shared" si="3"/>
        <v>26.175637393767708</v>
      </c>
    </row>
    <row r="225" spans="1:7" x14ac:dyDescent="0.25">
      <c r="A225" s="10">
        <v>45805.322916666664</v>
      </c>
      <c r="B225" s="11">
        <v>50</v>
      </c>
      <c r="C225" s="11" t="s">
        <v>62</v>
      </c>
      <c r="D225" s="11" t="s">
        <v>63</v>
      </c>
      <c r="E225" s="11">
        <v>1.38</v>
      </c>
      <c r="F225" s="11">
        <v>3</v>
      </c>
      <c r="G225" s="8">
        <f t="shared" si="3"/>
        <v>27.599999999999998</v>
      </c>
    </row>
    <row r="226" spans="1:7" x14ac:dyDescent="0.25">
      <c r="A226" s="10">
        <v>45805.322916666664</v>
      </c>
      <c r="B226" s="11">
        <v>51</v>
      </c>
      <c r="C226" s="11" t="s">
        <v>63</v>
      </c>
      <c r="D226" s="11" t="s">
        <v>64</v>
      </c>
      <c r="E226" s="11">
        <v>2.79</v>
      </c>
      <c r="F226" s="11">
        <v>5.27</v>
      </c>
      <c r="G226" s="8">
        <f t="shared" si="3"/>
        <v>31.764705882352946</v>
      </c>
    </row>
    <row r="227" spans="1:7" x14ac:dyDescent="0.25">
      <c r="A227" s="10">
        <v>45805.322916666664</v>
      </c>
      <c r="B227" s="11">
        <v>52</v>
      </c>
      <c r="C227" s="11" t="s">
        <v>64</v>
      </c>
      <c r="D227" s="11" t="s">
        <v>65</v>
      </c>
      <c r="E227" s="11">
        <v>1.5</v>
      </c>
      <c r="F227" s="11">
        <v>2.97</v>
      </c>
      <c r="G227" s="8">
        <f t="shared" si="3"/>
        <v>30.303030303030301</v>
      </c>
    </row>
    <row r="228" spans="1:7" x14ac:dyDescent="0.25">
      <c r="A228" s="10">
        <v>45805.322916666664</v>
      </c>
      <c r="B228" s="11">
        <v>53</v>
      </c>
      <c r="C228" s="11" t="s">
        <v>65</v>
      </c>
      <c r="D228" s="11" t="s">
        <v>66</v>
      </c>
      <c r="E228" s="11">
        <v>1.46</v>
      </c>
      <c r="F228" s="11">
        <v>3.5</v>
      </c>
      <c r="G228" s="8">
        <f t="shared" si="3"/>
        <v>25.028571428571428</v>
      </c>
    </row>
    <row r="229" spans="1:7" x14ac:dyDescent="0.25">
      <c r="A229" s="10">
        <v>45805.322916666664</v>
      </c>
      <c r="B229" s="11">
        <v>54</v>
      </c>
      <c r="C229" s="11" t="s">
        <v>67</v>
      </c>
      <c r="D229" s="11" t="s">
        <v>68</v>
      </c>
      <c r="E229" s="11">
        <v>1.46</v>
      </c>
      <c r="F229" s="11">
        <v>3</v>
      </c>
      <c r="G229" s="8">
        <f t="shared" si="3"/>
        <v>29.2</v>
      </c>
    </row>
    <row r="230" spans="1:7" x14ac:dyDescent="0.25">
      <c r="A230" s="10">
        <v>45805.322916666664</v>
      </c>
      <c r="B230" s="11">
        <v>55</v>
      </c>
      <c r="C230" s="11" t="s">
        <v>68</v>
      </c>
      <c r="D230" s="11" t="s">
        <v>69</v>
      </c>
      <c r="E230" s="11">
        <v>1.5</v>
      </c>
      <c r="F230" s="11">
        <v>1.93</v>
      </c>
      <c r="G230" s="8">
        <f t="shared" si="3"/>
        <v>46.632124352331608</v>
      </c>
    </row>
    <row r="231" spans="1:7" x14ac:dyDescent="0.25">
      <c r="A231" s="10">
        <v>45805.322916666664</v>
      </c>
      <c r="B231" s="11">
        <v>56</v>
      </c>
      <c r="C231" s="11" t="s">
        <v>70</v>
      </c>
      <c r="D231" s="11" t="s">
        <v>71</v>
      </c>
      <c r="E231" s="11">
        <v>1.51</v>
      </c>
      <c r="F231" s="11">
        <v>3.6</v>
      </c>
      <c r="G231" s="8">
        <f t="shared" si="3"/>
        <v>25.166666666666664</v>
      </c>
    </row>
    <row r="232" spans="1:7" x14ac:dyDescent="0.25">
      <c r="A232" s="10">
        <v>45805.322916666664</v>
      </c>
      <c r="B232" s="11">
        <v>57</v>
      </c>
      <c r="C232" s="11" t="s">
        <v>71</v>
      </c>
      <c r="D232" s="11" t="s">
        <v>72</v>
      </c>
      <c r="E232" s="11">
        <v>1.52</v>
      </c>
      <c r="F232" s="11">
        <v>3.67</v>
      </c>
      <c r="G232" s="8">
        <f t="shared" si="3"/>
        <v>24.850136239782017</v>
      </c>
    </row>
    <row r="233" spans="1:7" x14ac:dyDescent="0.25">
      <c r="A233" s="10">
        <v>45805.322916666664</v>
      </c>
      <c r="B233" s="11">
        <v>58</v>
      </c>
      <c r="C233" s="11" t="s">
        <v>72</v>
      </c>
      <c r="D233" s="11" t="s">
        <v>73</v>
      </c>
      <c r="E233" s="11">
        <v>1.5</v>
      </c>
      <c r="F233" s="11">
        <v>3.38</v>
      </c>
      <c r="G233" s="8">
        <f t="shared" si="3"/>
        <v>26.627218934911244</v>
      </c>
    </row>
    <row r="234" spans="1:7" x14ac:dyDescent="0.25">
      <c r="A234" s="10">
        <v>45805.333333333336</v>
      </c>
      <c r="B234" s="11">
        <v>1</v>
      </c>
      <c r="C234" s="11" t="s">
        <v>6</v>
      </c>
      <c r="D234" s="11" t="s">
        <v>7</v>
      </c>
      <c r="E234" s="11">
        <v>1.53</v>
      </c>
      <c r="F234" s="11">
        <v>2.93</v>
      </c>
      <c r="G234" s="8">
        <f t="shared" si="3"/>
        <v>31.331058020477812</v>
      </c>
    </row>
    <row r="235" spans="1:7" x14ac:dyDescent="0.25">
      <c r="A235" s="10">
        <v>45805.333333333336</v>
      </c>
      <c r="B235" s="11">
        <v>2</v>
      </c>
      <c r="C235" s="11" t="s">
        <v>7</v>
      </c>
      <c r="D235" s="11" t="s">
        <v>8</v>
      </c>
      <c r="E235" s="11">
        <v>1.57</v>
      </c>
      <c r="F235" s="11">
        <v>4.7300000000000004</v>
      </c>
      <c r="G235" s="8">
        <f t="shared" si="3"/>
        <v>19.915433403805494</v>
      </c>
    </row>
    <row r="236" spans="1:7" x14ac:dyDescent="0.25">
      <c r="A236" s="10">
        <v>45805.333333333336</v>
      </c>
      <c r="B236" s="11">
        <v>3</v>
      </c>
      <c r="C236" s="11" t="s">
        <v>8</v>
      </c>
      <c r="D236" s="11" t="s">
        <v>9</v>
      </c>
      <c r="E236" s="11">
        <v>1.5</v>
      </c>
      <c r="F236" s="11">
        <v>2.93</v>
      </c>
      <c r="G236" s="8">
        <f t="shared" si="3"/>
        <v>30.716723549488052</v>
      </c>
    </row>
    <row r="237" spans="1:7" x14ac:dyDescent="0.25">
      <c r="A237" s="10">
        <v>45805.333333333336</v>
      </c>
      <c r="B237" s="11">
        <v>4</v>
      </c>
      <c r="C237" s="11" t="s">
        <v>9</v>
      </c>
      <c r="D237" s="11" t="s">
        <v>10</v>
      </c>
      <c r="E237" s="11">
        <v>1.5</v>
      </c>
      <c r="F237" s="11">
        <v>2.5299999999999998</v>
      </c>
      <c r="G237" s="8">
        <f t="shared" si="3"/>
        <v>35.573122529644273</v>
      </c>
    </row>
    <row r="238" spans="1:7" x14ac:dyDescent="0.25">
      <c r="A238" s="10">
        <v>45805.333333333336</v>
      </c>
      <c r="B238" s="11">
        <v>5</v>
      </c>
      <c r="C238" s="11" t="s">
        <v>10</v>
      </c>
      <c r="D238" s="11" t="s">
        <v>11</v>
      </c>
      <c r="E238" s="11">
        <v>1.52</v>
      </c>
      <c r="F238" s="11">
        <v>2.97</v>
      </c>
      <c r="G238" s="8">
        <f t="shared" si="3"/>
        <v>30.707070707070706</v>
      </c>
    </row>
    <row r="239" spans="1:7" x14ac:dyDescent="0.25">
      <c r="A239" s="10">
        <v>45805.333333333336</v>
      </c>
      <c r="B239" s="11">
        <v>6</v>
      </c>
      <c r="C239" s="11" t="s">
        <v>11</v>
      </c>
      <c r="D239" s="11" t="s">
        <v>12</v>
      </c>
      <c r="E239" s="11">
        <v>1.5</v>
      </c>
      <c r="F239" s="11">
        <v>2.63</v>
      </c>
      <c r="G239" s="8">
        <f t="shared" si="3"/>
        <v>34.220532319391637</v>
      </c>
    </row>
    <row r="240" spans="1:7" x14ac:dyDescent="0.25">
      <c r="A240" s="10">
        <v>45805.333333333336</v>
      </c>
      <c r="B240" s="11">
        <v>7</v>
      </c>
      <c r="C240" s="11" t="s">
        <v>12</v>
      </c>
      <c r="D240" s="11" t="s">
        <v>13</v>
      </c>
      <c r="E240" s="11">
        <v>1.54</v>
      </c>
      <c r="F240" s="11">
        <v>2.7</v>
      </c>
      <c r="G240" s="8">
        <f t="shared" si="3"/>
        <v>34.222222222222221</v>
      </c>
    </row>
    <row r="241" spans="1:7" x14ac:dyDescent="0.25">
      <c r="A241" s="10">
        <v>45805.333333333336</v>
      </c>
      <c r="B241" s="11">
        <v>8</v>
      </c>
      <c r="C241" s="11" t="s">
        <v>13</v>
      </c>
      <c r="D241" s="11" t="s">
        <v>14</v>
      </c>
      <c r="E241" s="11">
        <v>1.54</v>
      </c>
      <c r="F241" s="11">
        <v>3.33</v>
      </c>
      <c r="G241" s="8">
        <f t="shared" si="3"/>
        <v>27.747747747747749</v>
      </c>
    </row>
    <row r="242" spans="1:7" x14ac:dyDescent="0.25">
      <c r="A242" s="10">
        <v>45805.333333333336</v>
      </c>
      <c r="B242" s="11">
        <v>9</v>
      </c>
      <c r="C242" s="11" t="s">
        <v>14</v>
      </c>
      <c r="D242" s="11" t="s">
        <v>15</v>
      </c>
      <c r="E242" s="11">
        <v>1.52</v>
      </c>
      <c r="F242" s="11">
        <v>3.62</v>
      </c>
      <c r="G242" s="8">
        <f t="shared" si="3"/>
        <v>25.193370165745858</v>
      </c>
    </row>
    <row r="243" spans="1:7" x14ac:dyDescent="0.25">
      <c r="A243" s="10">
        <v>45805.333333333336</v>
      </c>
      <c r="B243" s="11">
        <v>10</v>
      </c>
      <c r="C243" s="11" t="s">
        <v>15</v>
      </c>
      <c r="D243" s="11" t="s">
        <v>16</v>
      </c>
      <c r="E243" s="11">
        <v>1.5</v>
      </c>
      <c r="F243" s="11">
        <v>3.92</v>
      </c>
      <c r="G243" s="8">
        <f t="shared" si="3"/>
        <v>22.95918367346939</v>
      </c>
    </row>
    <row r="244" spans="1:7" x14ac:dyDescent="0.25">
      <c r="A244" s="10">
        <v>45805.333333333336</v>
      </c>
      <c r="B244" s="11">
        <v>11</v>
      </c>
      <c r="C244" s="11" t="s">
        <v>16</v>
      </c>
      <c r="D244" s="11" t="s">
        <v>17</v>
      </c>
      <c r="E244" s="11">
        <v>1.48</v>
      </c>
      <c r="F244" s="11">
        <v>3.15</v>
      </c>
      <c r="G244" s="8">
        <f t="shared" si="3"/>
        <v>28.19047619047619</v>
      </c>
    </row>
    <row r="245" spans="1:7" x14ac:dyDescent="0.25">
      <c r="A245" s="10">
        <v>45805.333333333336</v>
      </c>
      <c r="B245" s="11">
        <v>12</v>
      </c>
      <c r="C245" s="11" t="s">
        <v>17</v>
      </c>
      <c r="D245" s="11" t="s">
        <v>18</v>
      </c>
      <c r="E245" s="11">
        <v>1.46</v>
      </c>
      <c r="F245" s="11">
        <v>3.83</v>
      </c>
      <c r="G245" s="8">
        <f t="shared" si="3"/>
        <v>22.872062663185378</v>
      </c>
    </row>
    <row r="246" spans="1:7" x14ac:dyDescent="0.25">
      <c r="A246" s="10">
        <v>45805.333333333336</v>
      </c>
      <c r="B246" s="11">
        <v>13</v>
      </c>
      <c r="C246" s="11" t="s">
        <v>18</v>
      </c>
      <c r="D246" s="11" t="s">
        <v>19</v>
      </c>
      <c r="E246" s="11">
        <v>1.52</v>
      </c>
      <c r="F246" s="11">
        <v>4.07</v>
      </c>
      <c r="G246" s="8">
        <f t="shared" si="3"/>
        <v>22.407862407862407</v>
      </c>
    </row>
    <row r="247" spans="1:7" x14ac:dyDescent="0.25">
      <c r="A247" s="10">
        <v>45805.333333333336</v>
      </c>
      <c r="B247" s="11">
        <v>14</v>
      </c>
      <c r="C247" s="11" t="s">
        <v>19</v>
      </c>
      <c r="D247" s="11" t="s">
        <v>20</v>
      </c>
      <c r="E247" s="11">
        <v>1.51</v>
      </c>
      <c r="F247" s="11">
        <v>3.85</v>
      </c>
      <c r="G247" s="8">
        <f t="shared" si="3"/>
        <v>23.532467532467532</v>
      </c>
    </row>
    <row r="248" spans="1:7" x14ac:dyDescent="0.25">
      <c r="A248" s="10">
        <v>45805.333333333336</v>
      </c>
      <c r="B248" s="11">
        <v>15</v>
      </c>
      <c r="C248" s="11" t="s">
        <v>20</v>
      </c>
      <c r="D248" s="11" t="s">
        <v>21</v>
      </c>
      <c r="E248" s="11">
        <v>1.47</v>
      </c>
      <c r="F248" s="11">
        <v>3.07</v>
      </c>
      <c r="G248" s="8">
        <f t="shared" si="3"/>
        <v>28.729641693811079</v>
      </c>
    </row>
    <row r="249" spans="1:7" x14ac:dyDescent="0.25">
      <c r="A249" s="10">
        <v>45805.333333333336</v>
      </c>
      <c r="B249" s="11">
        <v>16</v>
      </c>
      <c r="C249" s="11" t="s">
        <v>21</v>
      </c>
      <c r="D249" s="11" t="s">
        <v>22</v>
      </c>
      <c r="E249" s="11">
        <v>1.5</v>
      </c>
      <c r="F249" s="11">
        <v>1.77</v>
      </c>
      <c r="G249" s="8">
        <f t="shared" si="3"/>
        <v>50.847457627118644</v>
      </c>
    </row>
    <row r="250" spans="1:7" x14ac:dyDescent="0.25">
      <c r="A250" s="10">
        <v>45805.333333333336</v>
      </c>
      <c r="B250" s="11">
        <v>17</v>
      </c>
      <c r="C250" s="11" t="s">
        <v>22</v>
      </c>
      <c r="D250" s="11" t="s">
        <v>23</v>
      </c>
      <c r="E250" s="11">
        <v>1.51</v>
      </c>
      <c r="F250" s="11">
        <v>2.8</v>
      </c>
      <c r="G250" s="8">
        <f t="shared" si="3"/>
        <v>32.357142857142854</v>
      </c>
    </row>
    <row r="251" spans="1:7" x14ac:dyDescent="0.25">
      <c r="A251" s="10">
        <v>45805.333333333336</v>
      </c>
      <c r="B251" s="11">
        <v>18</v>
      </c>
      <c r="C251" s="11" t="s">
        <v>23</v>
      </c>
      <c r="D251" s="11" t="s">
        <v>24</v>
      </c>
      <c r="E251" s="11">
        <v>1.51</v>
      </c>
      <c r="F251" s="11">
        <v>2.83</v>
      </c>
      <c r="G251" s="8">
        <f t="shared" si="3"/>
        <v>32.014134275618375</v>
      </c>
    </row>
    <row r="252" spans="1:7" x14ac:dyDescent="0.25">
      <c r="A252" s="10">
        <v>45805.333333333336</v>
      </c>
      <c r="B252" s="11">
        <v>19</v>
      </c>
      <c r="C252" s="11" t="s">
        <v>25</v>
      </c>
      <c r="D252" s="11" t="s">
        <v>26</v>
      </c>
      <c r="E252" s="11">
        <v>1.5</v>
      </c>
      <c r="F252" s="11">
        <v>3.98</v>
      </c>
      <c r="G252" s="8">
        <f t="shared" si="3"/>
        <v>22.613065326633166</v>
      </c>
    </row>
    <row r="253" spans="1:7" x14ac:dyDescent="0.25">
      <c r="A253" s="10">
        <v>45805.333333333336</v>
      </c>
      <c r="B253" s="11">
        <v>20</v>
      </c>
      <c r="C253" s="11" t="s">
        <v>26</v>
      </c>
      <c r="D253" s="11" t="s">
        <v>27</v>
      </c>
      <c r="E253" s="11">
        <v>1.48</v>
      </c>
      <c r="F253" s="11">
        <v>4.05</v>
      </c>
      <c r="G253" s="8">
        <f t="shared" si="3"/>
        <v>21.925925925925927</v>
      </c>
    </row>
    <row r="254" spans="1:7" x14ac:dyDescent="0.25">
      <c r="A254" s="10">
        <v>45805.333333333336</v>
      </c>
      <c r="B254" s="11">
        <v>21</v>
      </c>
      <c r="C254" s="11" t="s">
        <v>27</v>
      </c>
      <c r="D254" s="11" t="s">
        <v>28</v>
      </c>
      <c r="E254" s="11">
        <v>1.51</v>
      </c>
      <c r="F254" s="11">
        <v>3.97</v>
      </c>
      <c r="G254" s="8">
        <f t="shared" si="3"/>
        <v>22.821158690176318</v>
      </c>
    </row>
    <row r="255" spans="1:7" x14ac:dyDescent="0.25">
      <c r="A255" s="10">
        <v>45805.333333333336</v>
      </c>
      <c r="B255" s="11">
        <v>22</v>
      </c>
      <c r="C255" s="11" t="s">
        <v>28</v>
      </c>
      <c r="D255" s="11" t="s">
        <v>29</v>
      </c>
      <c r="E255" s="11">
        <v>1.57</v>
      </c>
      <c r="F255" s="11">
        <v>3.6</v>
      </c>
      <c r="G255" s="8">
        <f t="shared" si="3"/>
        <v>26.166666666666668</v>
      </c>
    </row>
    <row r="256" spans="1:7" x14ac:dyDescent="0.25">
      <c r="A256" s="10">
        <v>45805.333333333336</v>
      </c>
      <c r="B256" s="11">
        <v>23</v>
      </c>
      <c r="C256" s="11" t="s">
        <v>29</v>
      </c>
      <c r="D256" s="11" t="s">
        <v>30</v>
      </c>
      <c r="E256" s="11">
        <v>1.43</v>
      </c>
      <c r="F256" s="11">
        <v>4.0999999999999996</v>
      </c>
      <c r="G256" s="8">
        <f t="shared" si="3"/>
        <v>20.926829268292686</v>
      </c>
    </row>
    <row r="257" spans="1:7" x14ac:dyDescent="0.25">
      <c r="A257" s="10">
        <v>45805.333333333336</v>
      </c>
      <c r="B257" s="11">
        <v>24</v>
      </c>
      <c r="C257" s="11" t="s">
        <v>30</v>
      </c>
      <c r="D257" s="11" t="s">
        <v>31</v>
      </c>
      <c r="E257" s="11">
        <v>1.52</v>
      </c>
      <c r="F257" s="11">
        <v>3.83</v>
      </c>
      <c r="G257" s="8">
        <f t="shared" si="3"/>
        <v>23.812010443864231</v>
      </c>
    </row>
    <row r="258" spans="1:7" x14ac:dyDescent="0.25">
      <c r="A258" s="10">
        <v>45805.333333333336</v>
      </c>
      <c r="B258" s="11">
        <v>25</v>
      </c>
      <c r="C258" s="11" t="s">
        <v>31</v>
      </c>
      <c r="D258" s="11" t="s">
        <v>32</v>
      </c>
      <c r="E258" s="11">
        <v>1.52</v>
      </c>
      <c r="F258" s="11">
        <v>3.05</v>
      </c>
      <c r="G258" s="8">
        <f t="shared" si="3"/>
        <v>29.901639344262296</v>
      </c>
    </row>
    <row r="259" spans="1:7" x14ac:dyDescent="0.25">
      <c r="A259" s="10">
        <v>45805.333333333336</v>
      </c>
      <c r="B259" s="11">
        <v>26</v>
      </c>
      <c r="C259" s="11" t="s">
        <v>32</v>
      </c>
      <c r="D259" s="11" t="s">
        <v>33</v>
      </c>
      <c r="E259" s="11">
        <v>1.49</v>
      </c>
      <c r="F259" s="11">
        <v>3.35</v>
      </c>
      <c r="G259" s="8">
        <f t="shared" ref="G259:G322" si="4">E259*60/F259</f>
        <v>26.686567164179106</v>
      </c>
    </row>
    <row r="260" spans="1:7" x14ac:dyDescent="0.25">
      <c r="A260" s="10">
        <v>45805.333333333336</v>
      </c>
      <c r="B260" s="11">
        <v>27</v>
      </c>
      <c r="C260" s="11" t="s">
        <v>33</v>
      </c>
      <c r="D260" s="11" t="s">
        <v>34</v>
      </c>
      <c r="E260" s="11">
        <v>1.53</v>
      </c>
      <c r="F260" s="11">
        <v>3.1</v>
      </c>
      <c r="G260" s="8">
        <f t="shared" si="4"/>
        <v>29.612903225806448</v>
      </c>
    </row>
    <row r="261" spans="1:7" x14ac:dyDescent="0.25">
      <c r="A261" s="10">
        <v>45805.333333333336</v>
      </c>
      <c r="B261" s="11">
        <v>28</v>
      </c>
      <c r="C261" s="11" t="s">
        <v>34</v>
      </c>
      <c r="D261" s="11" t="s">
        <v>35</v>
      </c>
      <c r="E261" s="11">
        <v>1.51</v>
      </c>
      <c r="F261" s="11">
        <v>3.92</v>
      </c>
      <c r="G261" s="8">
        <f t="shared" si="4"/>
        <v>23.112244897959183</v>
      </c>
    </row>
    <row r="262" spans="1:7" x14ac:dyDescent="0.25">
      <c r="A262" s="10">
        <v>45805.333333333336</v>
      </c>
      <c r="B262" s="11">
        <v>29</v>
      </c>
      <c r="C262" s="11" t="s">
        <v>36</v>
      </c>
      <c r="D262" s="11" t="s">
        <v>37</v>
      </c>
      <c r="E262" s="11">
        <v>1.57</v>
      </c>
      <c r="F262" s="11">
        <v>4.53</v>
      </c>
      <c r="G262" s="8">
        <f t="shared" si="4"/>
        <v>20.794701986754966</v>
      </c>
    </row>
    <row r="263" spans="1:7" x14ac:dyDescent="0.25">
      <c r="A263" s="10">
        <v>45805.333333333336</v>
      </c>
      <c r="B263" s="11">
        <v>30</v>
      </c>
      <c r="C263" s="11" t="s">
        <v>37</v>
      </c>
      <c r="D263" s="11" t="s">
        <v>38</v>
      </c>
      <c r="E263" s="11">
        <v>1.57</v>
      </c>
      <c r="F263" s="11">
        <v>5.97</v>
      </c>
      <c r="G263" s="8">
        <f t="shared" si="4"/>
        <v>15.778894472361809</v>
      </c>
    </row>
    <row r="264" spans="1:7" x14ac:dyDescent="0.25">
      <c r="A264" s="10">
        <v>45805.333333333336</v>
      </c>
      <c r="B264" s="11">
        <v>31</v>
      </c>
      <c r="C264" s="11" t="s">
        <v>38</v>
      </c>
      <c r="D264" s="11" t="s">
        <v>39</v>
      </c>
      <c r="E264" s="11">
        <v>1.52</v>
      </c>
      <c r="F264" s="11">
        <v>2.98</v>
      </c>
      <c r="G264" s="8">
        <f t="shared" si="4"/>
        <v>30.604026845637584</v>
      </c>
    </row>
    <row r="265" spans="1:7" x14ac:dyDescent="0.25">
      <c r="A265" s="10">
        <v>45805.333333333336</v>
      </c>
      <c r="B265" s="11">
        <v>32</v>
      </c>
      <c r="C265" s="11" t="s">
        <v>39</v>
      </c>
      <c r="D265" s="11" t="s">
        <v>40</v>
      </c>
      <c r="E265" s="11">
        <v>1.5</v>
      </c>
      <c r="F265" s="11">
        <v>1.75</v>
      </c>
      <c r="G265" s="8">
        <f t="shared" si="4"/>
        <v>51.428571428571431</v>
      </c>
    </row>
    <row r="266" spans="1:7" x14ac:dyDescent="0.25">
      <c r="A266" s="10">
        <v>45805.333333333336</v>
      </c>
      <c r="B266" s="11">
        <v>33</v>
      </c>
      <c r="C266" s="11" t="s">
        <v>40</v>
      </c>
      <c r="D266" s="11" t="s">
        <v>41</v>
      </c>
      <c r="E266" s="11">
        <v>1.51</v>
      </c>
      <c r="F266" s="11">
        <v>1.75</v>
      </c>
      <c r="G266" s="8">
        <f t="shared" si="4"/>
        <v>51.771428571428565</v>
      </c>
    </row>
    <row r="267" spans="1:7" x14ac:dyDescent="0.25">
      <c r="A267" s="10">
        <v>45805.333333333336</v>
      </c>
      <c r="B267" s="11">
        <v>34</v>
      </c>
      <c r="C267" s="11" t="s">
        <v>41</v>
      </c>
      <c r="D267" s="11" t="s">
        <v>42</v>
      </c>
      <c r="E267" s="11">
        <v>1.5</v>
      </c>
      <c r="F267" s="11">
        <v>1.8</v>
      </c>
      <c r="G267" s="8">
        <f t="shared" si="4"/>
        <v>50</v>
      </c>
    </row>
    <row r="268" spans="1:7" x14ac:dyDescent="0.25">
      <c r="A268" s="10">
        <v>45805.333333333336</v>
      </c>
      <c r="B268" s="11">
        <v>35</v>
      </c>
      <c r="C268" s="11" t="s">
        <v>43</v>
      </c>
      <c r="D268" s="11" t="s">
        <v>44</v>
      </c>
      <c r="E268" s="11">
        <v>1.55</v>
      </c>
      <c r="F268" s="11">
        <v>3.8</v>
      </c>
      <c r="G268" s="8">
        <f t="shared" si="4"/>
        <v>24.473684210526319</v>
      </c>
    </row>
    <row r="269" spans="1:7" x14ac:dyDescent="0.25">
      <c r="A269" s="10">
        <v>45805.333333333336</v>
      </c>
      <c r="B269" s="11">
        <v>36</v>
      </c>
      <c r="C269" s="11" t="s">
        <v>44</v>
      </c>
      <c r="D269" s="11" t="s">
        <v>45</v>
      </c>
      <c r="E269" s="11">
        <v>1.5</v>
      </c>
      <c r="F269" s="11">
        <v>3.07</v>
      </c>
      <c r="G269" s="8">
        <f t="shared" si="4"/>
        <v>29.31596091205212</v>
      </c>
    </row>
    <row r="270" spans="1:7" x14ac:dyDescent="0.25">
      <c r="A270" s="10">
        <v>45805.333333333336</v>
      </c>
      <c r="B270" s="11">
        <v>37</v>
      </c>
      <c r="C270" s="11" t="s">
        <v>45</v>
      </c>
      <c r="D270" s="11" t="s">
        <v>46</v>
      </c>
      <c r="E270" s="11">
        <v>1.38</v>
      </c>
      <c r="F270" s="11">
        <v>3.83</v>
      </c>
      <c r="G270" s="8">
        <f t="shared" si="4"/>
        <v>21.618798955613578</v>
      </c>
    </row>
    <row r="271" spans="1:7" x14ac:dyDescent="0.25">
      <c r="A271" s="10">
        <v>45805.333333333336</v>
      </c>
      <c r="B271" s="11">
        <v>38</v>
      </c>
      <c r="C271" s="11" t="s">
        <v>46</v>
      </c>
      <c r="D271" s="11" t="s">
        <v>47</v>
      </c>
      <c r="E271" s="11">
        <v>1.61</v>
      </c>
      <c r="F271" s="11">
        <v>3.62</v>
      </c>
      <c r="G271" s="8">
        <f t="shared" si="4"/>
        <v>26.685082872928177</v>
      </c>
    </row>
    <row r="272" spans="1:7" x14ac:dyDescent="0.25">
      <c r="A272" s="10">
        <v>45805.333333333336</v>
      </c>
      <c r="B272" s="11">
        <v>39</v>
      </c>
      <c r="C272" s="11" t="s">
        <v>47</v>
      </c>
      <c r="D272" s="11" t="s">
        <v>48</v>
      </c>
      <c r="E272" s="11">
        <v>1.55</v>
      </c>
      <c r="F272" s="11">
        <v>3.08</v>
      </c>
      <c r="G272" s="8">
        <f t="shared" si="4"/>
        <v>30.194805194805195</v>
      </c>
    </row>
    <row r="273" spans="1:7" x14ac:dyDescent="0.25">
      <c r="A273" s="10">
        <v>45805.333333333336</v>
      </c>
      <c r="B273" s="11">
        <v>40</v>
      </c>
      <c r="C273" s="11" t="s">
        <v>48</v>
      </c>
      <c r="D273" s="11" t="s">
        <v>49</v>
      </c>
      <c r="E273" s="11">
        <v>1.39</v>
      </c>
      <c r="F273" s="11">
        <v>2.68</v>
      </c>
      <c r="G273" s="8">
        <f t="shared" si="4"/>
        <v>31.119402985074622</v>
      </c>
    </row>
    <row r="274" spans="1:7" x14ac:dyDescent="0.25">
      <c r="A274" s="10">
        <v>45805.333333333336</v>
      </c>
      <c r="B274" s="11">
        <v>41</v>
      </c>
      <c r="C274" s="11" t="s">
        <v>50</v>
      </c>
      <c r="D274" s="11" t="s">
        <v>51</v>
      </c>
      <c r="E274" s="11">
        <v>1.56</v>
      </c>
      <c r="F274" s="11">
        <v>4.07</v>
      </c>
      <c r="G274" s="8">
        <f t="shared" si="4"/>
        <v>22.997542997542997</v>
      </c>
    </row>
    <row r="275" spans="1:7" x14ac:dyDescent="0.25">
      <c r="A275" s="10">
        <v>45805.333333333336</v>
      </c>
      <c r="B275" s="11">
        <v>42</v>
      </c>
      <c r="C275" s="11" t="s">
        <v>51</v>
      </c>
      <c r="D275" s="11" t="s">
        <v>52</v>
      </c>
      <c r="E275" s="11">
        <v>1.56</v>
      </c>
      <c r="F275" s="11">
        <v>4.42</v>
      </c>
      <c r="G275" s="8">
        <f t="shared" si="4"/>
        <v>21.176470588235297</v>
      </c>
    </row>
    <row r="276" spans="1:7" x14ac:dyDescent="0.25">
      <c r="A276" s="10">
        <v>45805.333333333336</v>
      </c>
      <c r="B276" s="11">
        <v>43</v>
      </c>
      <c r="C276" s="11" t="s">
        <v>52</v>
      </c>
      <c r="D276" s="11" t="s">
        <v>53</v>
      </c>
      <c r="E276" s="11">
        <v>1.51</v>
      </c>
      <c r="F276" s="11">
        <v>3.37</v>
      </c>
      <c r="G276" s="8">
        <f t="shared" si="4"/>
        <v>26.884272997032639</v>
      </c>
    </row>
    <row r="277" spans="1:7" x14ac:dyDescent="0.25">
      <c r="A277" s="10">
        <v>45805.333333333336</v>
      </c>
      <c r="B277" s="11">
        <v>44</v>
      </c>
      <c r="C277" s="11" t="s">
        <v>54</v>
      </c>
      <c r="D277" s="11" t="s">
        <v>55</v>
      </c>
      <c r="E277" s="11">
        <v>1.51</v>
      </c>
      <c r="F277" s="11">
        <v>4.5</v>
      </c>
      <c r="G277" s="8">
        <f t="shared" si="4"/>
        <v>20.133333333333333</v>
      </c>
    </row>
    <row r="278" spans="1:7" x14ac:dyDescent="0.25">
      <c r="A278" s="10">
        <v>45805.333333333336</v>
      </c>
      <c r="B278" s="11">
        <v>45</v>
      </c>
      <c r="C278" s="11" t="s">
        <v>55</v>
      </c>
      <c r="D278" s="11" t="s">
        <v>56</v>
      </c>
      <c r="E278" s="11">
        <v>1.49</v>
      </c>
      <c r="F278" s="11">
        <v>3.35</v>
      </c>
      <c r="G278" s="8">
        <f t="shared" si="4"/>
        <v>26.686567164179106</v>
      </c>
    </row>
    <row r="279" spans="1:7" x14ac:dyDescent="0.25">
      <c r="A279" s="10">
        <v>45805.333333333336</v>
      </c>
      <c r="B279" s="11">
        <v>46</v>
      </c>
      <c r="C279" s="11" t="s">
        <v>56</v>
      </c>
      <c r="D279" s="11" t="s">
        <v>57</v>
      </c>
      <c r="E279" s="11">
        <v>1.52</v>
      </c>
      <c r="F279" s="11">
        <v>3.63</v>
      </c>
      <c r="G279" s="8">
        <f t="shared" si="4"/>
        <v>25.123966942148762</v>
      </c>
    </row>
    <row r="280" spans="1:7" x14ac:dyDescent="0.25">
      <c r="A280" s="10">
        <v>45805.333333333336</v>
      </c>
      <c r="B280" s="11">
        <v>47</v>
      </c>
      <c r="C280" s="11" t="s">
        <v>58</v>
      </c>
      <c r="D280" s="11" t="s">
        <v>59</v>
      </c>
      <c r="E280" s="11">
        <v>1.52</v>
      </c>
      <c r="F280" s="11">
        <v>4.7699999999999996</v>
      </c>
      <c r="G280" s="8">
        <f t="shared" si="4"/>
        <v>19.119496855345915</v>
      </c>
    </row>
    <row r="281" spans="1:7" x14ac:dyDescent="0.25">
      <c r="A281" s="10">
        <v>45805.333333333336</v>
      </c>
      <c r="B281" s="11">
        <v>48</v>
      </c>
      <c r="C281" s="11" t="s">
        <v>59</v>
      </c>
      <c r="D281" s="11" t="s">
        <v>60</v>
      </c>
      <c r="E281" s="11">
        <v>1.5</v>
      </c>
      <c r="F281" s="11">
        <v>4.28</v>
      </c>
      <c r="G281" s="8">
        <f t="shared" si="4"/>
        <v>21.028037383177569</v>
      </c>
    </row>
    <row r="282" spans="1:7" x14ac:dyDescent="0.25">
      <c r="A282" s="10">
        <v>45805.333333333336</v>
      </c>
      <c r="B282" s="11">
        <v>49</v>
      </c>
      <c r="C282" s="11" t="s">
        <v>60</v>
      </c>
      <c r="D282" s="11" t="s">
        <v>61</v>
      </c>
      <c r="E282" s="11">
        <v>1.54</v>
      </c>
      <c r="F282" s="11">
        <v>4.45</v>
      </c>
      <c r="G282" s="8">
        <f t="shared" si="4"/>
        <v>20.764044943820224</v>
      </c>
    </row>
    <row r="283" spans="1:7" x14ac:dyDescent="0.25">
      <c r="A283" s="10">
        <v>45805.333333333336</v>
      </c>
      <c r="B283" s="11">
        <v>50</v>
      </c>
      <c r="C283" s="11" t="s">
        <v>62</v>
      </c>
      <c r="D283" s="11" t="s">
        <v>63</v>
      </c>
      <c r="E283" s="11">
        <v>1.38</v>
      </c>
      <c r="F283" s="11">
        <v>3.13</v>
      </c>
      <c r="G283" s="8">
        <f t="shared" si="4"/>
        <v>26.453674121405751</v>
      </c>
    </row>
    <row r="284" spans="1:7" x14ac:dyDescent="0.25">
      <c r="A284" s="10">
        <v>45805.333333333336</v>
      </c>
      <c r="B284" s="11">
        <v>51</v>
      </c>
      <c r="C284" s="11" t="s">
        <v>63</v>
      </c>
      <c r="D284" s="11" t="s">
        <v>64</v>
      </c>
      <c r="E284" s="11">
        <v>2.79</v>
      </c>
      <c r="F284" s="11">
        <v>5.9</v>
      </c>
      <c r="G284" s="8">
        <f t="shared" si="4"/>
        <v>28.372881355932204</v>
      </c>
    </row>
    <row r="285" spans="1:7" x14ac:dyDescent="0.25">
      <c r="A285" s="10">
        <v>45805.333333333336</v>
      </c>
      <c r="B285" s="11">
        <v>52</v>
      </c>
      <c r="C285" s="11" t="s">
        <v>64</v>
      </c>
      <c r="D285" s="11" t="s">
        <v>65</v>
      </c>
      <c r="E285" s="11">
        <v>1.5</v>
      </c>
      <c r="F285" s="11">
        <v>3.1</v>
      </c>
      <c r="G285" s="8">
        <f t="shared" si="4"/>
        <v>29.032258064516128</v>
      </c>
    </row>
    <row r="286" spans="1:7" x14ac:dyDescent="0.25">
      <c r="A286" s="10">
        <v>45805.333333333336</v>
      </c>
      <c r="B286" s="11">
        <v>53</v>
      </c>
      <c r="C286" s="11" t="s">
        <v>65</v>
      </c>
      <c r="D286" s="11" t="s">
        <v>66</v>
      </c>
      <c r="E286" s="11">
        <v>1.46</v>
      </c>
      <c r="F286" s="11">
        <v>3.72</v>
      </c>
      <c r="G286" s="8">
        <f t="shared" si="4"/>
        <v>23.548387096774192</v>
      </c>
    </row>
    <row r="287" spans="1:7" x14ac:dyDescent="0.25">
      <c r="A287" s="10">
        <v>45805.333333333336</v>
      </c>
      <c r="B287" s="11">
        <v>54</v>
      </c>
      <c r="C287" s="11" t="s">
        <v>67</v>
      </c>
      <c r="D287" s="11" t="s">
        <v>68</v>
      </c>
      <c r="E287" s="11">
        <v>1.46</v>
      </c>
      <c r="F287" s="11">
        <v>5.03</v>
      </c>
      <c r="G287" s="8">
        <f t="shared" si="4"/>
        <v>17.415506958250496</v>
      </c>
    </row>
    <row r="288" spans="1:7" x14ac:dyDescent="0.25">
      <c r="A288" s="10">
        <v>45805.333333333336</v>
      </c>
      <c r="B288" s="11">
        <v>55</v>
      </c>
      <c r="C288" s="11" t="s">
        <v>68</v>
      </c>
      <c r="D288" s="11" t="s">
        <v>69</v>
      </c>
      <c r="E288" s="11">
        <v>1.5</v>
      </c>
      <c r="F288" s="11">
        <v>2.2799999999999998</v>
      </c>
      <c r="G288" s="8">
        <f t="shared" si="4"/>
        <v>39.473684210526322</v>
      </c>
    </row>
    <row r="289" spans="1:7" x14ac:dyDescent="0.25">
      <c r="A289" s="10">
        <v>45805.333333333336</v>
      </c>
      <c r="B289" s="11">
        <v>56</v>
      </c>
      <c r="C289" s="11" t="s">
        <v>70</v>
      </c>
      <c r="D289" s="11" t="s">
        <v>71</v>
      </c>
      <c r="E289" s="11">
        <v>1.51</v>
      </c>
      <c r="F289" s="11">
        <v>4.63</v>
      </c>
      <c r="G289" s="8">
        <f t="shared" si="4"/>
        <v>19.568034557235421</v>
      </c>
    </row>
    <row r="290" spans="1:7" x14ac:dyDescent="0.25">
      <c r="A290" s="10">
        <v>45805.333333333336</v>
      </c>
      <c r="B290" s="11">
        <v>57</v>
      </c>
      <c r="C290" s="11" t="s">
        <v>71</v>
      </c>
      <c r="D290" s="11" t="s">
        <v>72</v>
      </c>
      <c r="E290" s="11">
        <v>1.52</v>
      </c>
      <c r="F290" s="11">
        <v>3.73</v>
      </c>
      <c r="G290" s="8">
        <f t="shared" si="4"/>
        <v>24.45040214477212</v>
      </c>
    </row>
    <row r="291" spans="1:7" x14ac:dyDescent="0.25">
      <c r="A291" s="10">
        <v>45805.333333333336</v>
      </c>
      <c r="B291" s="11">
        <v>58</v>
      </c>
      <c r="C291" s="11" t="s">
        <v>72</v>
      </c>
      <c r="D291" s="11" t="s">
        <v>73</v>
      </c>
      <c r="E291" s="11">
        <v>1.5</v>
      </c>
      <c r="F291" s="11">
        <v>3.47</v>
      </c>
      <c r="G291" s="8">
        <f t="shared" si="4"/>
        <v>25.936599423631122</v>
      </c>
    </row>
    <row r="292" spans="1:7" x14ac:dyDescent="0.25">
      <c r="A292" s="10">
        <v>45805.34375</v>
      </c>
      <c r="B292" s="11">
        <v>1</v>
      </c>
      <c r="C292" s="11" t="s">
        <v>6</v>
      </c>
      <c r="D292" s="11" t="s">
        <v>7</v>
      </c>
      <c r="E292" s="11">
        <v>1.53</v>
      </c>
      <c r="F292" s="11">
        <v>3.13</v>
      </c>
      <c r="G292" s="8">
        <f t="shared" si="4"/>
        <v>29.329073482428115</v>
      </c>
    </row>
    <row r="293" spans="1:7" x14ac:dyDescent="0.25">
      <c r="A293" s="10">
        <v>45805.34375</v>
      </c>
      <c r="B293" s="11">
        <v>2</v>
      </c>
      <c r="C293" s="11" t="s">
        <v>7</v>
      </c>
      <c r="D293" s="11" t="s">
        <v>8</v>
      </c>
      <c r="E293" s="11">
        <v>1.57</v>
      </c>
      <c r="F293" s="11">
        <v>4.7699999999999996</v>
      </c>
      <c r="G293" s="8">
        <f t="shared" si="4"/>
        <v>19.748427672955977</v>
      </c>
    </row>
    <row r="294" spans="1:7" x14ac:dyDescent="0.25">
      <c r="A294" s="10">
        <v>45805.34375</v>
      </c>
      <c r="B294" s="11">
        <v>3</v>
      </c>
      <c r="C294" s="11" t="s">
        <v>8</v>
      </c>
      <c r="D294" s="11" t="s">
        <v>9</v>
      </c>
      <c r="E294" s="11">
        <v>1.5</v>
      </c>
      <c r="F294" s="11">
        <v>3.05</v>
      </c>
      <c r="G294" s="8">
        <f t="shared" si="4"/>
        <v>29.508196721311478</v>
      </c>
    </row>
    <row r="295" spans="1:7" x14ac:dyDescent="0.25">
      <c r="A295" s="10">
        <v>45805.34375</v>
      </c>
      <c r="B295" s="11">
        <v>4</v>
      </c>
      <c r="C295" s="11" t="s">
        <v>9</v>
      </c>
      <c r="D295" s="11" t="s">
        <v>10</v>
      </c>
      <c r="E295" s="11">
        <v>1.5</v>
      </c>
      <c r="F295" s="11">
        <v>2.5</v>
      </c>
      <c r="G295" s="8">
        <f t="shared" si="4"/>
        <v>36</v>
      </c>
    </row>
    <row r="296" spans="1:7" x14ac:dyDescent="0.25">
      <c r="A296" s="10">
        <v>45805.34375</v>
      </c>
      <c r="B296" s="11">
        <v>5</v>
      </c>
      <c r="C296" s="11" t="s">
        <v>10</v>
      </c>
      <c r="D296" s="11" t="s">
        <v>11</v>
      </c>
      <c r="E296" s="11">
        <v>1.52</v>
      </c>
      <c r="F296" s="11">
        <v>2.92</v>
      </c>
      <c r="G296" s="8">
        <f t="shared" si="4"/>
        <v>31.232876712328768</v>
      </c>
    </row>
    <row r="297" spans="1:7" x14ac:dyDescent="0.25">
      <c r="A297" s="10">
        <v>45805.34375</v>
      </c>
      <c r="B297" s="11">
        <v>6</v>
      </c>
      <c r="C297" s="11" t="s">
        <v>11</v>
      </c>
      <c r="D297" s="11" t="s">
        <v>12</v>
      </c>
      <c r="E297" s="11">
        <v>1.5</v>
      </c>
      <c r="F297" s="11">
        <v>2.67</v>
      </c>
      <c r="G297" s="8">
        <f t="shared" si="4"/>
        <v>33.707865168539328</v>
      </c>
    </row>
    <row r="298" spans="1:7" x14ac:dyDescent="0.25">
      <c r="A298" s="10">
        <v>45805.34375</v>
      </c>
      <c r="B298" s="11">
        <v>7</v>
      </c>
      <c r="C298" s="11" t="s">
        <v>12</v>
      </c>
      <c r="D298" s="11" t="s">
        <v>13</v>
      </c>
      <c r="E298" s="11">
        <v>1.54</v>
      </c>
      <c r="F298" s="11">
        <v>2.6</v>
      </c>
      <c r="G298" s="8">
        <f t="shared" si="4"/>
        <v>35.53846153846154</v>
      </c>
    </row>
    <row r="299" spans="1:7" x14ac:dyDescent="0.25">
      <c r="A299" s="10">
        <v>45805.34375</v>
      </c>
      <c r="B299" s="11">
        <v>8</v>
      </c>
      <c r="C299" s="11" t="s">
        <v>13</v>
      </c>
      <c r="D299" s="11" t="s">
        <v>14</v>
      </c>
      <c r="E299" s="11">
        <v>1.54</v>
      </c>
      <c r="F299" s="11">
        <v>3.5</v>
      </c>
      <c r="G299" s="8">
        <f t="shared" si="4"/>
        <v>26.400000000000002</v>
      </c>
    </row>
    <row r="300" spans="1:7" x14ac:dyDescent="0.25">
      <c r="A300" s="10">
        <v>45805.34375</v>
      </c>
      <c r="B300" s="11">
        <v>9</v>
      </c>
      <c r="C300" s="11" t="s">
        <v>14</v>
      </c>
      <c r="D300" s="11" t="s">
        <v>15</v>
      </c>
      <c r="E300" s="11">
        <v>1.52</v>
      </c>
      <c r="F300" s="11">
        <v>4.57</v>
      </c>
      <c r="G300" s="8">
        <f t="shared" si="4"/>
        <v>19.956236323851204</v>
      </c>
    </row>
    <row r="301" spans="1:7" x14ac:dyDescent="0.25">
      <c r="A301" s="10">
        <v>45805.34375</v>
      </c>
      <c r="B301" s="11">
        <v>10</v>
      </c>
      <c r="C301" s="11" t="s">
        <v>15</v>
      </c>
      <c r="D301" s="11" t="s">
        <v>16</v>
      </c>
      <c r="E301" s="11">
        <v>1.5</v>
      </c>
      <c r="F301" s="11">
        <v>4.38</v>
      </c>
      <c r="G301" s="8">
        <f t="shared" si="4"/>
        <v>20.547945205479454</v>
      </c>
    </row>
    <row r="302" spans="1:7" x14ac:dyDescent="0.25">
      <c r="A302" s="10">
        <v>45805.34375</v>
      </c>
      <c r="B302" s="11">
        <v>11</v>
      </c>
      <c r="C302" s="11" t="s">
        <v>16</v>
      </c>
      <c r="D302" s="11" t="s">
        <v>17</v>
      </c>
      <c r="E302" s="11">
        <v>1.48</v>
      </c>
      <c r="F302" s="11">
        <v>5.97</v>
      </c>
      <c r="G302" s="8">
        <f t="shared" si="4"/>
        <v>14.874371859296483</v>
      </c>
    </row>
    <row r="303" spans="1:7" x14ac:dyDescent="0.25">
      <c r="A303" s="10">
        <v>45805.34375</v>
      </c>
      <c r="B303" s="11">
        <v>12</v>
      </c>
      <c r="C303" s="11" t="s">
        <v>17</v>
      </c>
      <c r="D303" s="11" t="s">
        <v>18</v>
      </c>
      <c r="E303" s="11">
        <v>1.46</v>
      </c>
      <c r="F303" s="11">
        <v>4.75</v>
      </c>
      <c r="G303" s="8">
        <f t="shared" si="4"/>
        <v>18.442105263157895</v>
      </c>
    </row>
    <row r="304" spans="1:7" x14ac:dyDescent="0.25">
      <c r="A304" s="10">
        <v>45805.34375</v>
      </c>
      <c r="B304" s="11">
        <v>13</v>
      </c>
      <c r="C304" s="11" t="s">
        <v>18</v>
      </c>
      <c r="D304" s="11" t="s">
        <v>19</v>
      </c>
      <c r="E304" s="11">
        <v>1.52</v>
      </c>
      <c r="F304" s="11">
        <v>4.78</v>
      </c>
      <c r="G304" s="8">
        <f t="shared" si="4"/>
        <v>19.07949790794979</v>
      </c>
    </row>
    <row r="305" spans="1:7" x14ac:dyDescent="0.25">
      <c r="A305" s="10">
        <v>45805.34375</v>
      </c>
      <c r="B305" s="11">
        <v>14</v>
      </c>
      <c r="C305" s="11" t="s">
        <v>19</v>
      </c>
      <c r="D305" s="11" t="s">
        <v>20</v>
      </c>
      <c r="E305" s="11">
        <v>1.51</v>
      </c>
      <c r="F305" s="11">
        <v>4.2699999999999996</v>
      </c>
      <c r="G305" s="8">
        <f t="shared" si="4"/>
        <v>21.217798594847775</v>
      </c>
    </row>
    <row r="306" spans="1:7" x14ac:dyDescent="0.25">
      <c r="A306" s="10">
        <v>45805.34375</v>
      </c>
      <c r="B306" s="11">
        <v>15</v>
      </c>
      <c r="C306" s="11" t="s">
        <v>20</v>
      </c>
      <c r="D306" s="11" t="s">
        <v>21</v>
      </c>
      <c r="E306" s="11">
        <v>1.47</v>
      </c>
      <c r="F306" s="11">
        <v>2.27</v>
      </c>
      <c r="G306" s="8">
        <f t="shared" si="4"/>
        <v>38.854625550660792</v>
      </c>
    </row>
    <row r="307" spans="1:7" x14ac:dyDescent="0.25">
      <c r="A307" s="10">
        <v>45805.34375</v>
      </c>
      <c r="B307" s="11">
        <v>16</v>
      </c>
      <c r="C307" s="11" t="s">
        <v>21</v>
      </c>
      <c r="D307" s="11" t="s">
        <v>22</v>
      </c>
      <c r="E307" s="11">
        <v>1.5</v>
      </c>
      <c r="F307" s="11">
        <v>1.95</v>
      </c>
      <c r="G307" s="8">
        <f t="shared" si="4"/>
        <v>46.153846153846153</v>
      </c>
    </row>
    <row r="308" spans="1:7" x14ac:dyDescent="0.25">
      <c r="A308" s="10">
        <v>45805.34375</v>
      </c>
      <c r="B308" s="11">
        <v>17</v>
      </c>
      <c r="C308" s="11" t="s">
        <v>22</v>
      </c>
      <c r="D308" s="11" t="s">
        <v>23</v>
      </c>
      <c r="E308" s="11">
        <v>1.51</v>
      </c>
      <c r="F308" s="11">
        <v>3.18</v>
      </c>
      <c r="G308" s="8">
        <f t="shared" si="4"/>
        <v>28.490566037735846</v>
      </c>
    </row>
    <row r="309" spans="1:7" x14ac:dyDescent="0.25">
      <c r="A309" s="10">
        <v>45805.34375</v>
      </c>
      <c r="B309" s="11">
        <v>18</v>
      </c>
      <c r="C309" s="11" t="s">
        <v>23</v>
      </c>
      <c r="D309" s="11" t="s">
        <v>24</v>
      </c>
      <c r="E309" s="11">
        <v>1.51</v>
      </c>
      <c r="F309" s="11">
        <v>2.85</v>
      </c>
      <c r="G309" s="8">
        <f t="shared" si="4"/>
        <v>31.789473684210524</v>
      </c>
    </row>
    <row r="310" spans="1:7" x14ac:dyDescent="0.25">
      <c r="A310" s="10">
        <v>45805.34375</v>
      </c>
      <c r="B310" s="11">
        <v>19</v>
      </c>
      <c r="C310" s="11" t="s">
        <v>25</v>
      </c>
      <c r="D310" s="11" t="s">
        <v>26</v>
      </c>
      <c r="E310" s="11">
        <v>1.5</v>
      </c>
      <c r="F310" s="11">
        <v>4.8</v>
      </c>
      <c r="G310" s="8">
        <f t="shared" si="4"/>
        <v>18.75</v>
      </c>
    </row>
    <row r="311" spans="1:7" x14ac:dyDescent="0.25">
      <c r="A311" s="10">
        <v>45805.34375</v>
      </c>
      <c r="B311" s="11">
        <v>20</v>
      </c>
      <c r="C311" s="11" t="s">
        <v>26</v>
      </c>
      <c r="D311" s="11" t="s">
        <v>27</v>
      </c>
      <c r="E311" s="11">
        <v>1.48</v>
      </c>
      <c r="F311" s="11">
        <v>4.5</v>
      </c>
      <c r="G311" s="8">
        <f t="shared" si="4"/>
        <v>19.733333333333334</v>
      </c>
    </row>
    <row r="312" spans="1:7" x14ac:dyDescent="0.25">
      <c r="A312" s="10">
        <v>45805.34375</v>
      </c>
      <c r="B312" s="11">
        <v>21</v>
      </c>
      <c r="C312" s="11" t="s">
        <v>27</v>
      </c>
      <c r="D312" s="11" t="s">
        <v>28</v>
      </c>
      <c r="E312" s="11">
        <v>1.51</v>
      </c>
      <c r="F312" s="11">
        <v>5.25</v>
      </c>
      <c r="G312" s="8">
        <f t="shared" si="4"/>
        <v>17.257142857142856</v>
      </c>
    </row>
    <row r="313" spans="1:7" x14ac:dyDescent="0.25">
      <c r="A313" s="10">
        <v>45805.34375</v>
      </c>
      <c r="B313" s="11">
        <v>22</v>
      </c>
      <c r="C313" s="11" t="s">
        <v>28</v>
      </c>
      <c r="D313" s="11" t="s">
        <v>29</v>
      </c>
      <c r="E313" s="11">
        <v>1.57</v>
      </c>
      <c r="F313" s="11">
        <v>4.1500000000000004</v>
      </c>
      <c r="G313" s="8">
        <f t="shared" si="4"/>
        <v>22.69879518072289</v>
      </c>
    </row>
    <row r="314" spans="1:7" x14ac:dyDescent="0.25">
      <c r="A314" s="10">
        <v>45805.34375</v>
      </c>
      <c r="B314" s="11">
        <v>23</v>
      </c>
      <c r="C314" s="11" t="s">
        <v>29</v>
      </c>
      <c r="D314" s="11" t="s">
        <v>30</v>
      </c>
      <c r="E314" s="11">
        <v>1.43</v>
      </c>
      <c r="F314" s="11">
        <v>4.1500000000000004</v>
      </c>
      <c r="G314" s="8">
        <f t="shared" si="4"/>
        <v>20.674698795180721</v>
      </c>
    </row>
    <row r="315" spans="1:7" x14ac:dyDescent="0.25">
      <c r="A315" s="10">
        <v>45805.34375</v>
      </c>
      <c r="B315" s="11">
        <v>24</v>
      </c>
      <c r="C315" s="11" t="s">
        <v>30</v>
      </c>
      <c r="D315" s="11" t="s">
        <v>31</v>
      </c>
      <c r="E315" s="11">
        <v>1.52</v>
      </c>
      <c r="F315" s="11">
        <v>4.0999999999999996</v>
      </c>
      <c r="G315" s="8">
        <f t="shared" si="4"/>
        <v>22.243902439024392</v>
      </c>
    </row>
    <row r="316" spans="1:7" x14ac:dyDescent="0.25">
      <c r="A316" s="10">
        <v>45805.34375</v>
      </c>
      <c r="B316" s="11">
        <v>25</v>
      </c>
      <c r="C316" s="11" t="s">
        <v>31</v>
      </c>
      <c r="D316" s="11" t="s">
        <v>32</v>
      </c>
      <c r="E316" s="11">
        <v>1.52</v>
      </c>
      <c r="F316" s="11">
        <v>3.18</v>
      </c>
      <c r="G316" s="8">
        <f t="shared" si="4"/>
        <v>28.679245283018869</v>
      </c>
    </row>
    <row r="317" spans="1:7" x14ac:dyDescent="0.25">
      <c r="A317" s="10">
        <v>45805.34375</v>
      </c>
      <c r="B317" s="11">
        <v>26</v>
      </c>
      <c r="C317" s="11" t="s">
        <v>32</v>
      </c>
      <c r="D317" s="11" t="s">
        <v>33</v>
      </c>
      <c r="E317" s="11">
        <v>1.49</v>
      </c>
      <c r="F317" s="11">
        <v>3.63</v>
      </c>
      <c r="G317" s="8">
        <f t="shared" si="4"/>
        <v>24.628099173553721</v>
      </c>
    </row>
    <row r="318" spans="1:7" x14ac:dyDescent="0.25">
      <c r="A318" s="10">
        <v>45805.34375</v>
      </c>
      <c r="B318" s="11">
        <v>27</v>
      </c>
      <c r="C318" s="11" t="s">
        <v>33</v>
      </c>
      <c r="D318" s="11" t="s">
        <v>34</v>
      </c>
      <c r="E318" s="11">
        <v>1.53</v>
      </c>
      <c r="F318" s="11">
        <v>3.18</v>
      </c>
      <c r="G318" s="8">
        <f t="shared" si="4"/>
        <v>28.867924528301884</v>
      </c>
    </row>
    <row r="319" spans="1:7" x14ac:dyDescent="0.25">
      <c r="A319" s="10">
        <v>45805.34375</v>
      </c>
      <c r="B319" s="11">
        <v>28</v>
      </c>
      <c r="C319" s="11" t="s">
        <v>34</v>
      </c>
      <c r="D319" s="11" t="s">
        <v>35</v>
      </c>
      <c r="E319" s="11">
        <v>1.51</v>
      </c>
      <c r="F319" s="11">
        <v>4.13</v>
      </c>
      <c r="G319" s="8">
        <f t="shared" si="4"/>
        <v>21.937046004842614</v>
      </c>
    </row>
    <row r="320" spans="1:7" x14ac:dyDescent="0.25">
      <c r="A320" s="10">
        <v>45805.34375</v>
      </c>
      <c r="B320" s="11">
        <v>29</v>
      </c>
      <c r="C320" s="11" t="s">
        <v>36</v>
      </c>
      <c r="D320" s="11" t="s">
        <v>37</v>
      </c>
      <c r="E320" s="11">
        <v>1.57</v>
      </c>
      <c r="F320" s="11">
        <v>5.37</v>
      </c>
      <c r="G320" s="8">
        <f t="shared" si="4"/>
        <v>17.541899441340782</v>
      </c>
    </row>
    <row r="321" spans="1:7" x14ac:dyDescent="0.25">
      <c r="A321" s="10">
        <v>45805.34375</v>
      </c>
      <c r="B321" s="11">
        <v>30</v>
      </c>
      <c r="C321" s="11" t="s">
        <v>37</v>
      </c>
      <c r="D321" s="11" t="s">
        <v>38</v>
      </c>
      <c r="E321" s="11">
        <v>1.57</v>
      </c>
      <c r="F321" s="11">
        <v>6.13</v>
      </c>
      <c r="G321" s="8">
        <f t="shared" si="4"/>
        <v>15.367047308319739</v>
      </c>
    </row>
    <row r="322" spans="1:7" x14ac:dyDescent="0.25">
      <c r="A322" s="10">
        <v>45805.34375</v>
      </c>
      <c r="B322" s="11">
        <v>31</v>
      </c>
      <c r="C322" s="11" t="s">
        <v>38</v>
      </c>
      <c r="D322" s="11" t="s">
        <v>39</v>
      </c>
      <c r="E322" s="11">
        <v>1.52</v>
      </c>
      <c r="F322" s="11">
        <v>3.22</v>
      </c>
      <c r="G322" s="8">
        <f t="shared" si="4"/>
        <v>28.322981366459626</v>
      </c>
    </row>
    <row r="323" spans="1:7" x14ac:dyDescent="0.25">
      <c r="A323" s="10">
        <v>45805.34375</v>
      </c>
      <c r="B323" s="11">
        <v>32</v>
      </c>
      <c r="C323" s="11" t="s">
        <v>39</v>
      </c>
      <c r="D323" s="11" t="s">
        <v>40</v>
      </c>
      <c r="E323" s="11">
        <v>1.5</v>
      </c>
      <c r="F323" s="11">
        <v>1.73</v>
      </c>
      <c r="G323" s="8">
        <f t="shared" ref="G323:G386" si="5">E323*60/F323</f>
        <v>52.02312138728324</v>
      </c>
    </row>
    <row r="324" spans="1:7" x14ac:dyDescent="0.25">
      <c r="A324" s="10">
        <v>45805.34375</v>
      </c>
      <c r="B324" s="11">
        <v>33</v>
      </c>
      <c r="C324" s="11" t="s">
        <v>40</v>
      </c>
      <c r="D324" s="11" t="s">
        <v>41</v>
      </c>
      <c r="E324" s="11">
        <v>1.51</v>
      </c>
      <c r="F324" s="11">
        <v>1.83</v>
      </c>
      <c r="G324" s="8">
        <f t="shared" si="5"/>
        <v>49.508196721311471</v>
      </c>
    </row>
    <row r="325" spans="1:7" x14ac:dyDescent="0.25">
      <c r="A325" s="10">
        <v>45805.34375</v>
      </c>
      <c r="B325" s="11">
        <v>34</v>
      </c>
      <c r="C325" s="11" t="s">
        <v>41</v>
      </c>
      <c r="D325" s="11" t="s">
        <v>42</v>
      </c>
      <c r="E325" s="11">
        <v>1.5</v>
      </c>
      <c r="F325" s="11">
        <v>1.93</v>
      </c>
      <c r="G325" s="8">
        <f t="shared" si="5"/>
        <v>46.632124352331608</v>
      </c>
    </row>
    <row r="326" spans="1:7" x14ac:dyDescent="0.25">
      <c r="A326" s="10">
        <v>45805.34375</v>
      </c>
      <c r="B326" s="11">
        <v>35</v>
      </c>
      <c r="C326" s="11" t="s">
        <v>43</v>
      </c>
      <c r="D326" s="11" t="s">
        <v>44</v>
      </c>
      <c r="E326" s="11">
        <v>1.55</v>
      </c>
      <c r="F326" s="11">
        <v>3.92</v>
      </c>
      <c r="G326" s="8">
        <f t="shared" si="5"/>
        <v>23.724489795918366</v>
      </c>
    </row>
    <row r="327" spans="1:7" x14ac:dyDescent="0.25">
      <c r="A327" s="10">
        <v>45805.34375</v>
      </c>
      <c r="B327" s="11">
        <v>36</v>
      </c>
      <c r="C327" s="11" t="s">
        <v>44</v>
      </c>
      <c r="D327" s="11" t="s">
        <v>45</v>
      </c>
      <c r="E327" s="11">
        <v>1.5</v>
      </c>
      <c r="F327" s="11">
        <v>3.3</v>
      </c>
      <c r="G327" s="8">
        <f t="shared" si="5"/>
        <v>27.272727272727273</v>
      </c>
    </row>
    <row r="328" spans="1:7" x14ac:dyDescent="0.25">
      <c r="A328" s="10">
        <v>45805.34375</v>
      </c>
      <c r="B328" s="11">
        <v>37</v>
      </c>
      <c r="C328" s="11" t="s">
        <v>45</v>
      </c>
      <c r="D328" s="11" t="s">
        <v>46</v>
      </c>
      <c r="E328" s="11">
        <v>1.38</v>
      </c>
      <c r="F328" s="11">
        <v>4.13</v>
      </c>
      <c r="G328" s="8">
        <f t="shared" si="5"/>
        <v>20.048426150121067</v>
      </c>
    </row>
    <row r="329" spans="1:7" x14ac:dyDescent="0.25">
      <c r="A329" s="10">
        <v>45805.34375</v>
      </c>
      <c r="B329" s="11">
        <v>38</v>
      </c>
      <c r="C329" s="11" t="s">
        <v>46</v>
      </c>
      <c r="D329" s="11" t="s">
        <v>47</v>
      </c>
      <c r="E329" s="11">
        <v>1.61</v>
      </c>
      <c r="F329" s="11">
        <v>3.57</v>
      </c>
      <c r="G329" s="8">
        <f t="shared" si="5"/>
        <v>27.058823529411768</v>
      </c>
    </row>
    <row r="330" spans="1:7" x14ac:dyDescent="0.25">
      <c r="A330" s="10">
        <v>45805.34375</v>
      </c>
      <c r="B330" s="11">
        <v>39</v>
      </c>
      <c r="C330" s="11" t="s">
        <v>47</v>
      </c>
      <c r="D330" s="11" t="s">
        <v>48</v>
      </c>
      <c r="E330" s="11">
        <v>1.55</v>
      </c>
      <c r="F330" s="11">
        <v>3.25</v>
      </c>
      <c r="G330" s="8">
        <f t="shared" si="5"/>
        <v>28.615384615384617</v>
      </c>
    </row>
    <row r="331" spans="1:7" x14ac:dyDescent="0.25">
      <c r="A331" s="10">
        <v>45805.34375</v>
      </c>
      <c r="B331" s="11">
        <v>40</v>
      </c>
      <c r="C331" s="11" t="s">
        <v>48</v>
      </c>
      <c r="D331" s="11" t="s">
        <v>49</v>
      </c>
      <c r="E331" s="11">
        <v>1.39</v>
      </c>
      <c r="F331" s="11">
        <v>2.72</v>
      </c>
      <c r="G331" s="8">
        <f t="shared" si="5"/>
        <v>30.661764705882348</v>
      </c>
    </row>
    <row r="332" spans="1:7" x14ac:dyDescent="0.25">
      <c r="A332" s="10">
        <v>45805.34375</v>
      </c>
      <c r="B332" s="11">
        <v>41</v>
      </c>
      <c r="C332" s="11" t="s">
        <v>50</v>
      </c>
      <c r="D332" s="11" t="s">
        <v>51</v>
      </c>
      <c r="E332" s="11">
        <v>1.56</v>
      </c>
      <c r="F332" s="11">
        <v>6.33</v>
      </c>
      <c r="G332" s="8">
        <f t="shared" si="5"/>
        <v>14.786729857819907</v>
      </c>
    </row>
    <row r="333" spans="1:7" x14ac:dyDescent="0.25">
      <c r="A333" s="10">
        <v>45805.34375</v>
      </c>
      <c r="B333" s="11">
        <v>42</v>
      </c>
      <c r="C333" s="11" t="s">
        <v>51</v>
      </c>
      <c r="D333" s="11" t="s">
        <v>52</v>
      </c>
      <c r="E333" s="11">
        <v>1.56</v>
      </c>
      <c r="F333" s="11">
        <v>4.7699999999999996</v>
      </c>
      <c r="G333" s="8">
        <f t="shared" si="5"/>
        <v>19.622641509433965</v>
      </c>
    </row>
    <row r="334" spans="1:7" x14ac:dyDescent="0.25">
      <c r="A334" s="10">
        <v>45805.34375</v>
      </c>
      <c r="B334" s="11">
        <v>43</v>
      </c>
      <c r="C334" s="11" t="s">
        <v>52</v>
      </c>
      <c r="D334" s="11" t="s">
        <v>53</v>
      </c>
      <c r="E334" s="11">
        <v>1.51</v>
      </c>
      <c r="F334" s="11">
        <v>3.45</v>
      </c>
      <c r="G334" s="8">
        <f t="shared" si="5"/>
        <v>26.260869565217387</v>
      </c>
    </row>
    <row r="335" spans="1:7" x14ac:dyDescent="0.25">
      <c r="A335" s="10">
        <v>45805.34375</v>
      </c>
      <c r="B335" s="11">
        <v>44</v>
      </c>
      <c r="C335" s="11" t="s">
        <v>54</v>
      </c>
      <c r="D335" s="11" t="s">
        <v>55</v>
      </c>
      <c r="E335" s="11">
        <v>1.51</v>
      </c>
      <c r="F335" s="11">
        <v>5.0199999999999996</v>
      </c>
      <c r="G335" s="8">
        <f t="shared" si="5"/>
        <v>18.047808764940239</v>
      </c>
    </row>
    <row r="336" spans="1:7" x14ac:dyDescent="0.25">
      <c r="A336" s="10">
        <v>45805.34375</v>
      </c>
      <c r="B336" s="11">
        <v>45</v>
      </c>
      <c r="C336" s="11" t="s">
        <v>55</v>
      </c>
      <c r="D336" s="11" t="s">
        <v>56</v>
      </c>
      <c r="E336" s="11">
        <v>1.49</v>
      </c>
      <c r="F336" s="11">
        <v>3.68</v>
      </c>
      <c r="G336" s="8">
        <f t="shared" si="5"/>
        <v>24.293478260869566</v>
      </c>
    </row>
    <row r="337" spans="1:7" x14ac:dyDescent="0.25">
      <c r="A337" s="10">
        <v>45805.34375</v>
      </c>
      <c r="B337" s="11">
        <v>46</v>
      </c>
      <c r="C337" s="11" t="s">
        <v>56</v>
      </c>
      <c r="D337" s="11" t="s">
        <v>57</v>
      </c>
      <c r="E337" s="11">
        <v>1.52</v>
      </c>
      <c r="F337" s="11">
        <v>3.97</v>
      </c>
      <c r="G337" s="8">
        <f t="shared" si="5"/>
        <v>22.972292191435766</v>
      </c>
    </row>
    <row r="338" spans="1:7" x14ac:dyDescent="0.25">
      <c r="A338" s="10">
        <v>45805.34375</v>
      </c>
      <c r="B338" s="11">
        <v>47</v>
      </c>
      <c r="C338" s="11" t="s">
        <v>58</v>
      </c>
      <c r="D338" s="11" t="s">
        <v>59</v>
      </c>
      <c r="E338" s="11">
        <v>1.52</v>
      </c>
      <c r="F338" s="11">
        <v>6.05</v>
      </c>
      <c r="G338" s="8">
        <f t="shared" si="5"/>
        <v>15.074380165289258</v>
      </c>
    </row>
    <row r="339" spans="1:7" x14ac:dyDescent="0.25">
      <c r="A339" s="10">
        <v>45805.34375</v>
      </c>
      <c r="B339" s="11">
        <v>48</v>
      </c>
      <c r="C339" s="11" t="s">
        <v>59</v>
      </c>
      <c r="D339" s="11" t="s">
        <v>60</v>
      </c>
      <c r="E339" s="11">
        <v>1.5</v>
      </c>
      <c r="F339" s="11">
        <v>4.33</v>
      </c>
      <c r="G339" s="8">
        <f t="shared" si="5"/>
        <v>20.785219399538107</v>
      </c>
    </row>
    <row r="340" spans="1:7" x14ac:dyDescent="0.25">
      <c r="A340" s="10">
        <v>45805.34375</v>
      </c>
      <c r="B340" s="11">
        <v>49</v>
      </c>
      <c r="C340" s="11" t="s">
        <v>60</v>
      </c>
      <c r="D340" s="11" t="s">
        <v>61</v>
      </c>
      <c r="E340" s="11">
        <v>1.54</v>
      </c>
      <c r="F340" s="11">
        <v>4.7699999999999996</v>
      </c>
      <c r="G340" s="8">
        <f t="shared" si="5"/>
        <v>19.371069182389942</v>
      </c>
    </row>
    <row r="341" spans="1:7" x14ac:dyDescent="0.25">
      <c r="A341" s="10">
        <v>45805.34375</v>
      </c>
      <c r="B341" s="11">
        <v>50</v>
      </c>
      <c r="C341" s="11" t="s">
        <v>62</v>
      </c>
      <c r="D341" s="11" t="s">
        <v>63</v>
      </c>
      <c r="E341" s="11">
        <v>1.38</v>
      </c>
      <c r="F341" s="11">
        <v>3.22</v>
      </c>
      <c r="G341" s="8">
        <f t="shared" si="5"/>
        <v>25.714285714285712</v>
      </c>
    </row>
    <row r="342" spans="1:7" x14ac:dyDescent="0.25">
      <c r="A342" s="10">
        <v>45805.34375</v>
      </c>
      <c r="B342" s="11">
        <v>51</v>
      </c>
      <c r="C342" s="11" t="s">
        <v>63</v>
      </c>
      <c r="D342" s="11" t="s">
        <v>64</v>
      </c>
      <c r="E342" s="11">
        <v>2.79</v>
      </c>
      <c r="F342" s="11">
        <v>6.03</v>
      </c>
      <c r="G342" s="8">
        <f t="shared" si="5"/>
        <v>27.761194029850746</v>
      </c>
    </row>
    <row r="343" spans="1:7" x14ac:dyDescent="0.25">
      <c r="A343" s="10">
        <v>45805.34375</v>
      </c>
      <c r="B343" s="11">
        <v>52</v>
      </c>
      <c r="C343" s="11" t="s">
        <v>64</v>
      </c>
      <c r="D343" s="11" t="s">
        <v>65</v>
      </c>
      <c r="E343" s="11">
        <v>1.5</v>
      </c>
      <c r="F343" s="11">
        <v>3.15</v>
      </c>
      <c r="G343" s="8">
        <f t="shared" si="5"/>
        <v>28.571428571428573</v>
      </c>
    </row>
    <row r="344" spans="1:7" x14ac:dyDescent="0.25">
      <c r="A344" s="10">
        <v>45805.34375</v>
      </c>
      <c r="B344" s="11">
        <v>53</v>
      </c>
      <c r="C344" s="11" t="s">
        <v>65</v>
      </c>
      <c r="D344" s="11" t="s">
        <v>66</v>
      </c>
      <c r="E344" s="11">
        <v>1.46</v>
      </c>
      <c r="F344" s="11">
        <v>3.83</v>
      </c>
      <c r="G344" s="8">
        <f t="shared" si="5"/>
        <v>22.872062663185378</v>
      </c>
    </row>
    <row r="345" spans="1:7" x14ac:dyDescent="0.25">
      <c r="A345" s="10">
        <v>45805.34375</v>
      </c>
      <c r="B345" s="11">
        <v>54</v>
      </c>
      <c r="C345" s="11" t="s">
        <v>67</v>
      </c>
      <c r="D345" s="11" t="s">
        <v>68</v>
      </c>
      <c r="E345" s="11">
        <v>1.46</v>
      </c>
      <c r="F345" s="11">
        <v>3.1</v>
      </c>
      <c r="G345" s="8">
        <f t="shared" si="5"/>
        <v>28.258064516129028</v>
      </c>
    </row>
    <row r="346" spans="1:7" x14ac:dyDescent="0.25">
      <c r="A346" s="10">
        <v>45805.34375</v>
      </c>
      <c r="B346" s="11">
        <v>55</v>
      </c>
      <c r="C346" s="11" t="s">
        <v>68</v>
      </c>
      <c r="D346" s="11" t="s">
        <v>69</v>
      </c>
      <c r="E346" s="11">
        <v>1.5</v>
      </c>
      <c r="F346" s="11">
        <v>2.1800000000000002</v>
      </c>
      <c r="G346" s="8">
        <f t="shared" si="5"/>
        <v>41.284403669724767</v>
      </c>
    </row>
    <row r="347" spans="1:7" x14ac:dyDescent="0.25">
      <c r="A347" s="10">
        <v>45805.34375</v>
      </c>
      <c r="B347" s="11">
        <v>56</v>
      </c>
      <c r="C347" s="11" t="s">
        <v>70</v>
      </c>
      <c r="D347" s="11" t="s">
        <v>71</v>
      </c>
      <c r="E347" s="11">
        <v>1.51</v>
      </c>
      <c r="F347" s="11">
        <v>4.78</v>
      </c>
      <c r="G347" s="8">
        <f t="shared" si="5"/>
        <v>18.953974895397486</v>
      </c>
    </row>
    <row r="348" spans="1:7" x14ac:dyDescent="0.25">
      <c r="A348" s="10">
        <v>45805.34375</v>
      </c>
      <c r="B348" s="11">
        <v>57</v>
      </c>
      <c r="C348" s="11" t="s">
        <v>71</v>
      </c>
      <c r="D348" s="11" t="s">
        <v>72</v>
      </c>
      <c r="E348" s="11">
        <v>1.52</v>
      </c>
      <c r="F348" s="11">
        <v>3.97</v>
      </c>
      <c r="G348" s="8">
        <f t="shared" si="5"/>
        <v>22.972292191435766</v>
      </c>
    </row>
    <row r="349" spans="1:7" x14ac:dyDescent="0.25">
      <c r="A349" s="10">
        <v>45805.34375</v>
      </c>
      <c r="B349" s="11">
        <v>58</v>
      </c>
      <c r="C349" s="11" t="s">
        <v>72</v>
      </c>
      <c r="D349" s="11" t="s">
        <v>73</v>
      </c>
      <c r="E349" s="11">
        <v>1.5</v>
      </c>
      <c r="F349" s="11">
        <v>3.78</v>
      </c>
      <c r="G349" s="8">
        <f t="shared" si="5"/>
        <v>23.80952380952381</v>
      </c>
    </row>
    <row r="350" spans="1:7" x14ac:dyDescent="0.25">
      <c r="A350" s="10">
        <v>45805.354166666664</v>
      </c>
      <c r="B350" s="11">
        <v>1</v>
      </c>
      <c r="C350" s="11" t="s">
        <v>6</v>
      </c>
      <c r="D350" s="11" t="s">
        <v>7</v>
      </c>
      <c r="E350" s="11">
        <v>1.53</v>
      </c>
      <c r="F350" s="11">
        <v>3.02</v>
      </c>
      <c r="G350" s="8">
        <f t="shared" si="5"/>
        <v>30.397350993377483</v>
      </c>
    </row>
    <row r="351" spans="1:7" x14ac:dyDescent="0.25">
      <c r="A351" s="10">
        <v>45805.354166666664</v>
      </c>
      <c r="B351" s="11">
        <v>2</v>
      </c>
      <c r="C351" s="11" t="s">
        <v>7</v>
      </c>
      <c r="D351" s="11" t="s">
        <v>8</v>
      </c>
      <c r="E351" s="11">
        <v>1.57</v>
      </c>
      <c r="F351" s="11">
        <v>5.07</v>
      </c>
      <c r="G351" s="8">
        <f t="shared" si="5"/>
        <v>18.579881656804734</v>
      </c>
    </row>
    <row r="352" spans="1:7" x14ac:dyDescent="0.25">
      <c r="A352" s="10">
        <v>45805.354166666664</v>
      </c>
      <c r="B352" s="11">
        <v>3</v>
      </c>
      <c r="C352" s="11" t="s">
        <v>8</v>
      </c>
      <c r="D352" s="11" t="s">
        <v>9</v>
      </c>
      <c r="E352" s="11">
        <v>1.5</v>
      </c>
      <c r="F352" s="11">
        <v>3.02</v>
      </c>
      <c r="G352" s="8">
        <f t="shared" si="5"/>
        <v>29.801324503311257</v>
      </c>
    </row>
    <row r="353" spans="1:7" x14ac:dyDescent="0.25">
      <c r="A353" s="10">
        <v>45805.354166666664</v>
      </c>
      <c r="B353" s="11">
        <v>4</v>
      </c>
      <c r="C353" s="11" t="s">
        <v>9</v>
      </c>
      <c r="D353" s="11" t="s">
        <v>10</v>
      </c>
      <c r="E353" s="11">
        <v>1.5</v>
      </c>
      <c r="F353" s="11">
        <v>2.7</v>
      </c>
      <c r="G353" s="8">
        <f t="shared" si="5"/>
        <v>33.333333333333329</v>
      </c>
    </row>
    <row r="354" spans="1:7" x14ac:dyDescent="0.25">
      <c r="A354" s="10">
        <v>45805.354166666664</v>
      </c>
      <c r="B354" s="11">
        <v>5</v>
      </c>
      <c r="C354" s="11" t="s">
        <v>10</v>
      </c>
      <c r="D354" s="11" t="s">
        <v>11</v>
      </c>
      <c r="E354" s="11">
        <v>1.52</v>
      </c>
      <c r="F354" s="11">
        <v>3.02</v>
      </c>
      <c r="G354" s="8">
        <f t="shared" si="5"/>
        <v>30.198675496688743</v>
      </c>
    </row>
    <row r="355" spans="1:7" x14ac:dyDescent="0.25">
      <c r="A355" s="10">
        <v>45805.354166666664</v>
      </c>
      <c r="B355" s="11">
        <v>6</v>
      </c>
      <c r="C355" s="11" t="s">
        <v>11</v>
      </c>
      <c r="D355" s="11" t="s">
        <v>12</v>
      </c>
      <c r="E355" s="11">
        <v>1.5</v>
      </c>
      <c r="F355" s="11">
        <v>2.67</v>
      </c>
      <c r="G355" s="8">
        <f t="shared" si="5"/>
        <v>33.707865168539328</v>
      </c>
    </row>
    <row r="356" spans="1:7" x14ac:dyDescent="0.25">
      <c r="A356" s="10">
        <v>45805.354166666664</v>
      </c>
      <c r="B356" s="11">
        <v>7</v>
      </c>
      <c r="C356" s="11" t="s">
        <v>12</v>
      </c>
      <c r="D356" s="11" t="s">
        <v>13</v>
      </c>
      <c r="E356" s="11">
        <v>1.54</v>
      </c>
      <c r="F356" s="11">
        <v>2.7</v>
      </c>
      <c r="G356" s="8">
        <f t="shared" si="5"/>
        <v>34.222222222222221</v>
      </c>
    </row>
    <row r="357" spans="1:7" x14ac:dyDescent="0.25">
      <c r="A357" s="10">
        <v>45805.354166666664</v>
      </c>
      <c r="B357" s="11">
        <v>8</v>
      </c>
      <c r="C357" s="11" t="s">
        <v>13</v>
      </c>
      <c r="D357" s="11" t="s">
        <v>14</v>
      </c>
      <c r="E357" s="11">
        <v>1.54</v>
      </c>
      <c r="F357" s="11">
        <v>3.5</v>
      </c>
      <c r="G357" s="8">
        <f t="shared" si="5"/>
        <v>26.400000000000002</v>
      </c>
    </row>
    <row r="358" spans="1:7" x14ac:dyDescent="0.25">
      <c r="A358" s="10">
        <v>45805.354166666664</v>
      </c>
      <c r="B358" s="11">
        <v>9</v>
      </c>
      <c r="C358" s="11" t="s">
        <v>14</v>
      </c>
      <c r="D358" s="11" t="s">
        <v>15</v>
      </c>
      <c r="E358" s="11">
        <v>1.52</v>
      </c>
      <c r="F358" s="11">
        <v>4.12</v>
      </c>
      <c r="G358" s="8">
        <f t="shared" si="5"/>
        <v>22.135922330097088</v>
      </c>
    </row>
    <row r="359" spans="1:7" x14ac:dyDescent="0.25">
      <c r="A359" s="10">
        <v>45805.354166666664</v>
      </c>
      <c r="B359" s="11">
        <v>10</v>
      </c>
      <c r="C359" s="11" t="s">
        <v>15</v>
      </c>
      <c r="D359" s="11" t="s">
        <v>16</v>
      </c>
      <c r="E359" s="11">
        <v>1.5</v>
      </c>
      <c r="F359" s="11">
        <v>4.8499999999999996</v>
      </c>
      <c r="G359" s="8">
        <f t="shared" si="5"/>
        <v>18.556701030927837</v>
      </c>
    </row>
    <row r="360" spans="1:7" x14ac:dyDescent="0.25">
      <c r="A360" s="10">
        <v>45805.354166666664</v>
      </c>
      <c r="B360" s="11">
        <v>11</v>
      </c>
      <c r="C360" s="11" t="s">
        <v>16</v>
      </c>
      <c r="D360" s="11" t="s">
        <v>17</v>
      </c>
      <c r="E360" s="11">
        <v>1.48</v>
      </c>
      <c r="F360" s="11">
        <v>5.22</v>
      </c>
      <c r="G360" s="8">
        <f t="shared" si="5"/>
        <v>17.011494252873565</v>
      </c>
    </row>
    <row r="361" spans="1:7" x14ac:dyDescent="0.25">
      <c r="A361" s="10">
        <v>45805.354166666664</v>
      </c>
      <c r="B361" s="11">
        <v>12</v>
      </c>
      <c r="C361" s="11" t="s">
        <v>17</v>
      </c>
      <c r="D361" s="11" t="s">
        <v>18</v>
      </c>
      <c r="E361" s="11">
        <v>1.46</v>
      </c>
      <c r="F361" s="11">
        <v>5.43</v>
      </c>
      <c r="G361" s="8">
        <f t="shared" si="5"/>
        <v>16.132596685082873</v>
      </c>
    </row>
    <row r="362" spans="1:7" x14ac:dyDescent="0.25">
      <c r="A362" s="10">
        <v>45805.354166666664</v>
      </c>
      <c r="B362" s="11">
        <v>13</v>
      </c>
      <c r="C362" s="11" t="s">
        <v>18</v>
      </c>
      <c r="D362" s="11" t="s">
        <v>19</v>
      </c>
      <c r="E362" s="11">
        <v>1.52</v>
      </c>
      <c r="F362" s="11">
        <v>5.0999999999999996</v>
      </c>
      <c r="G362" s="8">
        <f t="shared" si="5"/>
        <v>17.882352941176471</v>
      </c>
    </row>
    <row r="363" spans="1:7" x14ac:dyDescent="0.25">
      <c r="A363" s="10">
        <v>45805.354166666664</v>
      </c>
      <c r="B363" s="11">
        <v>14</v>
      </c>
      <c r="C363" s="11" t="s">
        <v>19</v>
      </c>
      <c r="D363" s="11" t="s">
        <v>20</v>
      </c>
      <c r="E363" s="11">
        <v>1.51</v>
      </c>
      <c r="F363" s="11">
        <v>4.3</v>
      </c>
      <c r="G363" s="8">
        <f t="shared" si="5"/>
        <v>21.069767441860463</v>
      </c>
    </row>
    <row r="364" spans="1:7" x14ac:dyDescent="0.25">
      <c r="A364" s="10">
        <v>45805.354166666664</v>
      </c>
      <c r="B364" s="11">
        <v>15</v>
      </c>
      <c r="C364" s="11" t="s">
        <v>20</v>
      </c>
      <c r="D364" s="11" t="s">
        <v>21</v>
      </c>
      <c r="E364" s="11">
        <v>1.47</v>
      </c>
      <c r="F364" s="11">
        <v>3.35</v>
      </c>
      <c r="G364" s="8">
        <f t="shared" si="5"/>
        <v>26.328358208955223</v>
      </c>
    </row>
    <row r="365" spans="1:7" x14ac:dyDescent="0.25">
      <c r="A365" s="10">
        <v>45805.354166666664</v>
      </c>
      <c r="B365" s="11">
        <v>16</v>
      </c>
      <c r="C365" s="11" t="s">
        <v>21</v>
      </c>
      <c r="D365" s="11" t="s">
        <v>22</v>
      </c>
      <c r="E365" s="11">
        <v>1.5</v>
      </c>
      <c r="F365" s="11">
        <v>2.2200000000000002</v>
      </c>
      <c r="G365" s="8">
        <f t="shared" si="5"/>
        <v>40.54054054054054</v>
      </c>
    </row>
    <row r="366" spans="1:7" x14ac:dyDescent="0.25">
      <c r="A366" s="10">
        <v>45805.354166666664</v>
      </c>
      <c r="B366" s="11">
        <v>17</v>
      </c>
      <c r="C366" s="11" t="s">
        <v>22</v>
      </c>
      <c r="D366" s="11" t="s">
        <v>23</v>
      </c>
      <c r="E366" s="11">
        <v>1.51</v>
      </c>
      <c r="F366" s="11">
        <v>3.4</v>
      </c>
      <c r="G366" s="8">
        <f t="shared" si="5"/>
        <v>26.647058823529409</v>
      </c>
    </row>
    <row r="367" spans="1:7" x14ac:dyDescent="0.25">
      <c r="A367" s="10">
        <v>45805.354166666664</v>
      </c>
      <c r="B367" s="11">
        <v>18</v>
      </c>
      <c r="C367" s="11" t="s">
        <v>23</v>
      </c>
      <c r="D367" s="11" t="s">
        <v>24</v>
      </c>
      <c r="E367" s="11">
        <v>1.51</v>
      </c>
      <c r="F367" s="11">
        <v>3.1</v>
      </c>
      <c r="G367" s="8">
        <f t="shared" si="5"/>
        <v>29.2258064516129</v>
      </c>
    </row>
    <row r="368" spans="1:7" x14ac:dyDescent="0.25">
      <c r="A368" s="10">
        <v>45805.354166666664</v>
      </c>
      <c r="B368" s="11">
        <v>19</v>
      </c>
      <c r="C368" s="11" t="s">
        <v>25</v>
      </c>
      <c r="D368" s="11" t="s">
        <v>26</v>
      </c>
      <c r="E368" s="11">
        <v>1.5</v>
      </c>
      <c r="F368" s="11">
        <v>4.7</v>
      </c>
      <c r="G368" s="8">
        <f t="shared" si="5"/>
        <v>19.148936170212764</v>
      </c>
    </row>
    <row r="369" spans="1:7" x14ac:dyDescent="0.25">
      <c r="A369" s="10">
        <v>45805.354166666664</v>
      </c>
      <c r="B369" s="11">
        <v>20</v>
      </c>
      <c r="C369" s="11" t="s">
        <v>26</v>
      </c>
      <c r="D369" s="11" t="s">
        <v>27</v>
      </c>
      <c r="E369" s="11">
        <v>1.48</v>
      </c>
      <c r="F369" s="11">
        <v>5.23</v>
      </c>
      <c r="G369" s="8">
        <f t="shared" si="5"/>
        <v>16.978967495219884</v>
      </c>
    </row>
    <row r="370" spans="1:7" x14ac:dyDescent="0.25">
      <c r="A370" s="10">
        <v>45805.354166666664</v>
      </c>
      <c r="B370" s="11">
        <v>21</v>
      </c>
      <c r="C370" s="11" t="s">
        <v>27</v>
      </c>
      <c r="D370" s="11" t="s">
        <v>28</v>
      </c>
      <c r="E370" s="11">
        <v>1.51</v>
      </c>
      <c r="F370" s="11">
        <v>5.15</v>
      </c>
      <c r="G370" s="8">
        <f t="shared" si="5"/>
        <v>17.592233009708735</v>
      </c>
    </row>
    <row r="371" spans="1:7" x14ac:dyDescent="0.25">
      <c r="A371" s="10">
        <v>45805.354166666664</v>
      </c>
      <c r="B371" s="11">
        <v>22</v>
      </c>
      <c r="C371" s="11" t="s">
        <v>28</v>
      </c>
      <c r="D371" s="11" t="s">
        <v>29</v>
      </c>
      <c r="E371" s="11">
        <v>1.57</v>
      </c>
      <c r="F371" s="11">
        <v>4.47</v>
      </c>
      <c r="G371" s="8">
        <f t="shared" si="5"/>
        <v>21.073825503355707</v>
      </c>
    </row>
    <row r="372" spans="1:7" x14ac:dyDescent="0.25">
      <c r="A372" s="10">
        <v>45805.354166666664</v>
      </c>
      <c r="B372" s="11">
        <v>23</v>
      </c>
      <c r="C372" s="11" t="s">
        <v>29</v>
      </c>
      <c r="D372" s="11" t="s">
        <v>30</v>
      </c>
      <c r="E372" s="11">
        <v>1.43</v>
      </c>
      <c r="F372" s="11">
        <v>4.5199999999999996</v>
      </c>
      <c r="G372" s="8">
        <f t="shared" si="5"/>
        <v>18.982300884955752</v>
      </c>
    </row>
    <row r="373" spans="1:7" x14ac:dyDescent="0.25">
      <c r="A373" s="10">
        <v>45805.354166666664</v>
      </c>
      <c r="B373" s="11">
        <v>24</v>
      </c>
      <c r="C373" s="11" t="s">
        <v>30</v>
      </c>
      <c r="D373" s="11" t="s">
        <v>31</v>
      </c>
      <c r="E373" s="11">
        <v>1.52</v>
      </c>
      <c r="F373" s="11">
        <v>4.43</v>
      </c>
      <c r="G373" s="8">
        <f t="shared" si="5"/>
        <v>20.586907449209935</v>
      </c>
    </row>
    <row r="374" spans="1:7" x14ac:dyDescent="0.25">
      <c r="A374" s="10">
        <v>45805.354166666664</v>
      </c>
      <c r="B374" s="11">
        <v>25</v>
      </c>
      <c r="C374" s="11" t="s">
        <v>31</v>
      </c>
      <c r="D374" s="11" t="s">
        <v>32</v>
      </c>
      <c r="E374" s="11">
        <v>1.52</v>
      </c>
      <c r="F374" s="11">
        <v>3.5</v>
      </c>
      <c r="G374" s="8">
        <f t="shared" si="5"/>
        <v>26.057142857142857</v>
      </c>
    </row>
    <row r="375" spans="1:7" x14ac:dyDescent="0.25">
      <c r="A375" s="10">
        <v>45805.354166666664</v>
      </c>
      <c r="B375" s="11">
        <v>26</v>
      </c>
      <c r="C375" s="11" t="s">
        <v>32</v>
      </c>
      <c r="D375" s="11" t="s">
        <v>33</v>
      </c>
      <c r="E375" s="11">
        <v>1.49</v>
      </c>
      <c r="F375" s="11">
        <v>3.58</v>
      </c>
      <c r="G375" s="8">
        <f t="shared" si="5"/>
        <v>24.972067039106147</v>
      </c>
    </row>
    <row r="376" spans="1:7" x14ac:dyDescent="0.25">
      <c r="A376" s="10">
        <v>45805.354166666664</v>
      </c>
      <c r="B376" s="11">
        <v>27</v>
      </c>
      <c r="C376" s="11" t="s">
        <v>33</v>
      </c>
      <c r="D376" s="11" t="s">
        <v>34</v>
      </c>
      <c r="E376" s="11">
        <v>1.53</v>
      </c>
      <c r="F376" s="11">
        <v>3.3</v>
      </c>
      <c r="G376" s="8">
        <f t="shared" si="5"/>
        <v>27.81818181818182</v>
      </c>
    </row>
    <row r="377" spans="1:7" x14ac:dyDescent="0.25">
      <c r="A377" s="10">
        <v>45805.354166666664</v>
      </c>
      <c r="B377" s="11">
        <v>28</v>
      </c>
      <c r="C377" s="11" t="s">
        <v>34</v>
      </c>
      <c r="D377" s="11" t="s">
        <v>35</v>
      </c>
      <c r="E377" s="11">
        <v>1.51</v>
      </c>
      <c r="F377" s="11">
        <v>4.08</v>
      </c>
      <c r="G377" s="8">
        <f t="shared" si="5"/>
        <v>22.205882352941174</v>
      </c>
    </row>
    <row r="378" spans="1:7" x14ac:dyDescent="0.25">
      <c r="A378" s="10">
        <v>45805.354166666664</v>
      </c>
      <c r="B378" s="11">
        <v>29</v>
      </c>
      <c r="C378" s="11" t="s">
        <v>36</v>
      </c>
      <c r="D378" s="11" t="s">
        <v>37</v>
      </c>
      <c r="E378" s="11">
        <v>1.57</v>
      </c>
      <c r="F378" s="11">
        <v>5.47</v>
      </c>
      <c r="G378" s="8">
        <f t="shared" si="5"/>
        <v>17.221206581352835</v>
      </c>
    </row>
    <row r="379" spans="1:7" x14ac:dyDescent="0.25">
      <c r="A379" s="10">
        <v>45805.354166666664</v>
      </c>
      <c r="B379" s="11">
        <v>30</v>
      </c>
      <c r="C379" s="11" t="s">
        <v>37</v>
      </c>
      <c r="D379" s="11" t="s">
        <v>38</v>
      </c>
      <c r="E379" s="11">
        <v>1.57</v>
      </c>
      <c r="F379" s="11">
        <v>6.22</v>
      </c>
      <c r="G379" s="8">
        <f t="shared" si="5"/>
        <v>15.14469453376206</v>
      </c>
    </row>
    <row r="380" spans="1:7" x14ac:dyDescent="0.25">
      <c r="A380" s="10">
        <v>45805.354166666664</v>
      </c>
      <c r="B380" s="11">
        <v>31</v>
      </c>
      <c r="C380" s="11" t="s">
        <v>38</v>
      </c>
      <c r="D380" s="11" t="s">
        <v>39</v>
      </c>
      <c r="E380" s="11">
        <v>1.52</v>
      </c>
      <c r="F380" s="11">
        <v>6.63</v>
      </c>
      <c r="G380" s="8">
        <f t="shared" si="5"/>
        <v>13.755656108597286</v>
      </c>
    </row>
    <row r="381" spans="1:7" x14ac:dyDescent="0.25">
      <c r="A381" s="10">
        <v>45805.354166666664</v>
      </c>
      <c r="B381" s="11">
        <v>32</v>
      </c>
      <c r="C381" s="11" t="s">
        <v>39</v>
      </c>
      <c r="D381" s="11" t="s">
        <v>40</v>
      </c>
      <c r="E381" s="11">
        <v>1.5</v>
      </c>
      <c r="F381" s="11">
        <v>1.77</v>
      </c>
      <c r="G381" s="8">
        <f t="shared" si="5"/>
        <v>50.847457627118644</v>
      </c>
    </row>
    <row r="382" spans="1:7" x14ac:dyDescent="0.25">
      <c r="A382" s="10">
        <v>45805.354166666664</v>
      </c>
      <c r="B382" s="11">
        <v>33</v>
      </c>
      <c r="C382" s="11" t="s">
        <v>40</v>
      </c>
      <c r="D382" s="11" t="s">
        <v>41</v>
      </c>
      <c r="E382" s="11">
        <v>1.51</v>
      </c>
      <c r="F382" s="11">
        <v>1.88</v>
      </c>
      <c r="G382" s="8">
        <f t="shared" si="5"/>
        <v>48.191489361702125</v>
      </c>
    </row>
    <row r="383" spans="1:7" x14ac:dyDescent="0.25">
      <c r="A383" s="10">
        <v>45805.354166666664</v>
      </c>
      <c r="B383" s="11">
        <v>34</v>
      </c>
      <c r="C383" s="11" t="s">
        <v>41</v>
      </c>
      <c r="D383" s="11" t="s">
        <v>42</v>
      </c>
      <c r="E383" s="11">
        <v>1.5</v>
      </c>
      <c r="F383" s="11">
        <v>1.88</v>
      </c>
      <c r="G383" s="8">
        <f t="shared" si="5"/>
        <v>47.872340425531917</v>
      </c>
    </row>
    <row r="384" spans="1:7" x14ac:dyDescent="0.25">
      <c r="A384" s="10">
        <v>45805.354166666664</v>
      </c>
      <c r="B384" s="11">
        <v>35</v>
      </c>
      <c r="C384" s="11" t="s">
        <v>43</v>
      </c>
      <c r="D384" s="11" t="s">
        <v>44</v>
      </c>
      <c r="E384" s="11">
        <v>1.55</v>
      </c>
      <c r="F384" s="11">
        <v>4.3499999999999996</v>
      </c>
      <c r="G384" s="8">
        <f t="shared" si="5"/>
        <v>21.379310344827587</v>
      </c>
    </row>
    <row r="385" spans="1:7" x14ac:dyDescent="0.25">
      <c r="A385" s="10">
        <v>45805.354166666664</v>
      </c>
      <c r="B385" s="11">
        <v>36</v>
      </c>
      <c r="C385" s="11" t="s">
        <v>44</v>
      </c>
      <c r="D385" s="11" t="s">
        <v>45</v>
      </c>
      <c r="E385" s="11">
        <v>1.5</v>
      </c>
      <c r="F385" s="11">
        <v>3.27</v>
      </c>
      <c r="G385" s="8">
        <f t="shared" si="5"/>
        <v>27.522935779816514</v>
      </c>
    </row>
    <row r="386" spans="1:7" x14ac:dyDescent="0.25">
      <c r="A386" s="10">
        <v>45805.354166666664</v>
      </c>
      <c r="B386" s="11">
        <v>37</v>
      </c>
      <c r="C386" s="11" t="s">
        <v>45</v>
      </c>
      <c r="D386" s="11" t="s">
        <v>46</v>
      </c>
      <c r="E386" s="11">
        <v>1.38</v>
      </c>
      <c r="F386" s="11">
        <v>4.17</v>
      </c>
      <c r="G386" s="8">
        <f t="shared" si="5"/>
        <v>19.85611510791367</v>
      </c>
    </row>
    <row r="387" spans="1:7" x14ac:dyDescent="0.25">
      <c r="A387" s="10">
        <v>45805.354166666664</v>
      </c>
      <c r="B387" s="11">
        <v>38</v>
      </c>
      <c r="C387" s="11" t="s">
        <v>46</v>
      </c>
      <c r="D387" s="11" t="s">
        <v>47</v>
      </c>
      <c r="E387" s="11">
        <v>1.61</v>
      </c>
      <c r="F387" s="11">
        <v>3.8</v>
      </c>
      <c r="G387" s="8">
        <f t="shared" ref="G387:G450" si="6">E387*60/F387</f>
        <v>25.421052631578952</v>
      </c>
    </row>
    <row r="388" spans="1:7" x14ac:dyDescent="0.25">
      <c r="A388" s="10">
        <v>45805.354166666664</v>
      </c>
      <c r="B388" s="11">
        <v>39</v>
      </c>
      <c r="C388" s="11" t="s">
        <v>47</v>
      </c>
      <c r="D388" s="11" t="s">
        <v>48</v>
      </c>
      <c r="E388" s="11">
        <v>1.55</v>
      </c>
      <c r="F388" s="11">
        <v>3.23</v>
      </c>
      <c r="G388" s="8">
        <f t="shared" si="6"/>
        <v>28.792569659442723</v>
      </c>
    </row>
    <row r="389" spans="1:7" x14ac:dyDescent="0.25">
      <c r="A389" s="10">
        <v>45805.354166666664</v>
      </c>
      <c r="B389" s="11">
        <v>40</v>
      </c>
      <c r="C389" s="11" t="s">
        <v>48</v>
      </c>
      <c r="D389" s="11" t="s">
        <v>49</v>
      </c>
      <c r="E389" s="11">
        <v>1.39</v>
      </c>
      <c r="F389" s="11">
        <v>2.73</v>
      </c>
      <c r="G389" s="8">
        <f t="shared" si="6"/>
        <v>30.549450549450547</v>
      </c>
    </row>
    <row r="390" spans="1:7" x14ac:dyDescent="0.25">
      <c r="A390" s="10">
        <v>45805.354166666664</v>
      </c>
      <c r="B390" s="11">
        <v>41</v>
      </c>
      <c r="C390" s="11" t="s">
        <v>50</v>
      </c>
      <c r="D390" s="11" t="s">
        <v>51</v>
      </c>
      <c r="E390" s="11">
        <v>1.56</v>
      </c>
      <c r="F390" s="11">
        <v>4.93</v>
      </c>
      <c r="G390" s="8">
        <f t="shared" si="6"/>
        <v>18.985801217038542</v>
      </c>
    </row>
    <row r="391" spans="1:7" x14ac:dyDescent="0.25">
      <c r="A391" s="10">
        <v>45805.354166666664</v>
      </c>
      <c r="B391" s="11">
        <v>42</v>
      </c>
      <c r="C391" s="11" t="s">
        <v>51</v>
      </c>
      <c r="D391" s="11" t="s">
        <v>52</v>
      </c>
      <c r="E391" s="11">
        <v>1.56</v>
      </c>
      <c r="F391" s="11">
        <v>4.87</v>
      </c>
      <c r="G391" s="8">
        <f t="shared" si="6"/>
        <v>19.219712525667351</v>
      </c>
    </row>
    <row r="392" spans="1:7" x14ac:dyDescent="0.25">
      <c r="A392" s="10">
        <v>45805.354166666664</v>
      </c>
      <c r="B392" s="11">
        <v>43</v>
      </c>
      <c r="C392" s="11" t="s">
        <v>52</v>
      </c>
      <c r="D392" s="11" t="s">
        <v>53</v>
      </c>
      <c r="E392" s="11">
        <v>1.51</v>
      </c>
      <c r="F392" s="11">
        <v>3.62</v>
      </c>
      <c r="G392" s="8">
        <f t="shared" si="6"/>
        <v>25.027624309392262</v>
      </c>
    </row>
    <row r="393" spans="1:7" x14ac:dyDescent="0.25">
      <c r="A393" s="10">
        <v>45805.354166666664</v>
      </c>
      <c r="B393" s="11">
        <v>44</v>
      </c>
      <c r="C393" s="11" t="s">
        <v>54</v>
      </c>
      <c r="D393" s="11" t="s">
        <v>55</v>
      </c>
      <c r="E393" s="11">
        <v>1.51</v>
      </c>
      <c r="F393" s="11">
        <v>4.7699999999999996</v>
      </c>
      <c r="G393" s="8">
        <f t="shared" si="6"/>
        <v>18.9937106918239</v>
      </c>
    </row>
    <row r="394" spans="1:7" x14ac:dyDescent="0.25">
      <c r="A394" s="10">
        <v>45805.354166666664</v>
      </c>
      <c r="B394" s="11">
        <v>45</v>
      </c>
      <c r="C394" s="11" t="s">
        <v>55</v>
      </c>
      <c r="D394" s="11" t="s">
        <v>56</v>
      </c>
      <c r="E394" s="11">
        <v>1.49</v>
      </c>
      <c r="F394" s="11">
        <v>3.72</v>
      </c>
      <c r="G394" s="8">
        <f t="shared" si="6"/>
        <v>24.032258064516128</v>
      </c>
    </row>
    <row r="395" spans="1:7" x14ac:dyDescent="0.25">
      <c r="A395" s="10">
        <v>45805.354166666664</v>
      </c>
      <c r="B395" s="11">
        <v>46</v>
      </c>
      <c r="C395" s="11" t="s">
        <v>56</v>
      </c>
      <c r="D395" s="11" t="s">
        <v>57</v>
      </c>
      <c r="E395" s="11">
        <v>1.52</v>
      </c>
      <c r="F395" s="11">
        <v>4.08</v>
      </c>
      <c r="G395" s="8">
        <f t="shared" si="6"/>
        <v>22.352941176470587</v>
      </c>
    </row>
    <row r="396" spans="1:7" x14ac:dyDescent="0.25">
      <c r="A396" s="10">
        <v>45805.354166666664</v>
      </c>
      <c r="B396" s="11">
        <v>47</v>
      </c>
      <c r="C396" s="11" t="s">
        <v>58</v>
      </c>
      <c r="D396" s="11" t="s">
        <v>59</v>
      </c>
      <c r="E396" s="11">
        <v>1.52</v>
      </c>
      <c r="F396" s="11">
        <v>6.37</v>
      </c>
      <c r="G396" s="8">
        <f t="shared" si="6"/>
        <v>14.317111459968602</v>
      </c>
    </row>
    <row r="397" spans="1:7" x14ac:dyDescent="0.25">
      <c r="A397" s="10">
        <v>45805.354166666664</v>
      </c>
      <c r="B397" s="11">
        <v>48</v>
      </c>
      <c r="C397" s="11" t="s">
        <v>59</v>
      </c>
      <c r="D397" s="11" t="s">
        <v>60</v>
      </c>
      <c r="E397" s="11">
        <v>1.5</v>
      </c>
      <c r="F397" s="11">
        <v>4</v>
      </c>
      <c r="G397" s="8">
        <f t="shared" si="6"/>
        <v>22.5</v>
      </c>
    </row>
    <row r="398" spans="1:7" x14ac:dyDescent="0.25">
      <c r="A398" s="10">
        <v>45805.354166666664</v>
      </c>
      <c r="B398" s="11">
        <v>49</v>
      </c>
      <c r="C398" s="11" t="s">
        <v>60</v>
      </c>
      <c r="D398" s="11" t="s">
        <v>61</v>
      </c>
      <c r="E398" s="11">
        <v>1.54</v>
      </c>
      <c r="F398" s="11">
        <v>5.42</v>
      </c>
      <c r="G398" s="8">
        <f t="shared" si="6"/>
        <v>17.047970479704798</v>
      </c>
    </row>
    <row r="399" spans="1:7" x14ac:dyDescent="0.25">
      <c r="A399" s="10">
        <v>45805.354166666664</v>
      </c>
      <c r="B399" s="11">
        <v>50</v>
      </c>
      <c r="C399" s="11" t="s">
        <v>62</v>
      </c>
      <c r="D399" s="11" t="s">
        <v>63</v>
      </c>
      <c r="E399" s="11">
        <v>1.38</v>
      </c>
      <c r="F399" s="11">
        <v>3.02</v>
      </c>
      <c r="G399" s="8">
        <f t="shared" si="6"/>
        <v>27.417218543046356</v>
      </c>
    </row>
    <row r="400" spans="1:7" x14ac:dyDescent="0.25">
      <c r="A400" s="10">
        <v>45805.354166666664</v>
      </c>
      <c r="B400" s="11">
        <v>51</v>
      </c>
      <c r="C400" s="11" t="s">
        <v>63</v>
      </c>
      <c r="D400" s="11" t="s">
        <v>64</v>
      </c>
      <c r="E400" s="11">
        <v>2.79</v>
      </c>
      <c r="F400" s="11">
        <v>5.95</v>
      </c>
      <c r="G400" s="8">
        <f t="shared" si="6"/>
        <v>28.134453781512605</v>
      </c>
    </row>
    <row r="401" spans="1:7" x14ac:dyDescent="0.25">
      <c r="A401" s="10">
        <v>45805.354166666664</v>
      </c>
      <c r="B401" s="11">
        <v>52</v>
      </c>
      <c r="C401" s="11" t="s">
        <v>64</v>
      </c>
      <c r="D401" s="11" t="s">
        <v>65</v>
      </c>
      <c r="E401" s="11">
        <v>1.5</v>
      </c>
      <c r="F401" s="11">
        <v>3.03</v>
      </c>
      <c r="G401" s="8">
        <f t="shared" si="6"/>
        <v>29.702970297029704</v>
      </c>
    </row>
    <row r="402" spans="1:7" x14ac:dyDescent="0.25">
      <c r="A402" s="10">
        <v>45805.354166666664</v>
      </c>
      <c r="B402" s="11">
        <v>53</v>
      </c>
      <c r="C402" s="11" t="s">
        <v>65</v>
      </c>
      <c r="D402" s="11" t="s">
        <v>66</v>
      </c>
      <c r="E402" s="11">
        <v>1.46</v>
      </c>
      <c r="F402" s="11">
        <v>4.1500000000000004</v>
      </c>
      <c r="G402" s="8">
        <f t="shared" si="6"/>
        <v>21.108433734939755</v>
      </c>
    </row>
    <row r="403" spans="1:7" x14ac:dyDescent="0.25">
      <c r="A403" s="10">
        <v>45805.354166666664</v>
      </c>
      <c r="B403" s="11">
        <v>54</v>
      </c>
      <c r="C403" s="11" t="s">
        <v>67</v>
      </c>
      <c r="D403" s="11" t="s">
        <v>68</v>
      </c>
      <c r="E403" s="11">
        <v>1.46</v>
      </c>
      <c r="F403" s="11">
        <v>6.18</v>
      </c>
      <c r="G403" s="8">
        <f t="shared" si="6"/>
        <v>14.174757281553397</v>
      </c>
    </row>
    <row r="404" spans="1:7" x14ac:dyDescent="0.25">
      <c r="A404" s="10">
        <v>45805.354166666664</v>
      </c>
      <c r="B404" s="11">
        <v>55</v>
      </c>
      <c r="C404" s="11" t="s">
        <v>68</v>
      </c>
      <c r="D404" s="11" t="s">
        <v>69</v>
      </c>
      <c r="E404" s="11">
        <v>1.5</v>
      </c>
      <c r="F404" s="11">
        <v>2.27</v>
      </c>
      <c r="G404" s="8">
        <f t="shared" si="6"/>
        <v>39.647577092511014</v>
      </c>
    </row>
    <row r="405" spans="1:7" x14ac:dyDescent="0.25">
      <c r="A405" s="10">
        <v>45805.354166666664</v>
      </c>
      <c r="B405" s="11">
        <v>56</v>
      </c>
      <c r="C405" s="11" t="s">
        <v>70</v>
      </c>
      <c r="D405" s="11" t="s">
        <v>71</v>
      </c>
      <c r="E405" s="11">
        <v>1.51</v>
      </c>
      <c r="F405" s="11">
        <v>4.8</v>
      </c>
      <c r="G405" s="8">
        <f t="shared" si="6"/>
        <v>18.875</v>
      </c>
    </row>
    <row r="406" spans="1:7" x14ac:dyDescent="0.25">
      <c r="A406" s="10">
        <v>45805.354166666664</v>
      </c>
      <c r="B406" s="11">
        <v>57</v>
      </c>
      <c r="C406" s="11" t="s">
        <v>71</v>
      </c>
      <c r="D406" s="11" t="s">
        <v>72</v>
      </c>
      <c r="E406" s="11">
        <v>1.52</v>
      </c>
      <c r="F406" s="11">
        <v>4.12</v>
      </c>
      <c r="G406" s="8">
        <f t="shared" si="6"/>
        <v>22.135922330097088</v>
      </c>
    </row>
    <row r="407" spans="1:7" x14ac:dyDescent="0.25">
      <c r="A407" s="10">
        <v>45805.354166666664</v>
      </c>
      <c r="B407" s="11">
        <v>58</v>
      </c>
      <c r="C407" s="11" t="s">
        <v>72</v>
      </c>
      <c r="D407" s="11" t="s">
        <v>73</v>
      </c>
      <c r="E407" s="11">
        <v>1.5</v>
      </c>
      <c r="F407" s="11">
        <v>3.63</v>
      </c>
      <c r="G407" s="8">
        <f t="shared" si="6"/>
        <v>24.793388429752067</v>
      </c>
    </row>
    <row r="408" spans="1:7" x14ac:dyDescent="0.25">
      <c r="A408" s="10">
        <v>45805.364583333336</v>
      </c>
      <c r="B408" s="11">
        <v>1</v>
      </c>
      <c r="C408" s="11" t="s">
        <v>6</v>
      </c>
      <c r="D408" s="11" t="s">
        <v>7</v>
      </c>
      <c r="E408" s="11">
        <v>1.53</v>
      </c>
      <c r="F408" s="11">
        <v>2.95</v>
      </c>
      <c r="G408" s="8">
        <f t="shared" si="6"/>
        <v>31.118644067796609</v>
      </c>
    </row>
    <row r="409" spans="1:7" x14ac:dyDescent="0.25">
      <c r="A409" s="10">
        <v>45805.364583333336</v>
      </c>
      <c r="B409" s="11">
        <v>2</v>
      </c>
      <c r="C409" s="11" t="s">
        <v>7</v>
      </c>
      <c r="D409" s="11" t="s">
        <v>8</v>
      </c>
      <c r="E409" s="11">
        <v>1.57</v>
      </c>
      <c r="F409" s="11">
        <v>5.35</v>
      </c>
      <c r="G409" s="8">
        <f t="shared" si="6"/>
        <v>17.607476635514022</v>
      </c>
    </row>
    <row r="410" spans="1:7" x14ac:dyDescent="0.25">
      <c r="A410" s="10">
        <v>45805.364583333336</v>
      </c>
      <c r="B410" s="11">
        <v>3</v>
      </c>
      <c r="C410" s="11" t="s">
        <v>8</v>
      </c>
      <c r="D410" s="11" t="s">
        <v>9</v>
      </c>
      <c r="E410" s="11">
        <v>1.5</v>
      </c>
      <c r="F410" s="11">
        <v>2.87</v>
      </c>
      <c r="G410" s="8">
        <f t="shared" si="6"/>
        <v>31.358885017421603</v>
      </c>
    </row>
    <row r="411" spans="1:7" x14ac:dyDescent="0.25">
      <c r="A411" s="10">
        <v>45805.364583333336</v>
      </c>
      <c r="B411" s="11">
        <v>4</v>
      </c>
      <c r="C411" s="11" t="s">
        <v>9</v>
      </c>
      <c r="D411" s="11" t="s">
        <v>10</v>
      </c>
      <c r="E411" s="11">
        <v>1.5</v>
      </c>
      <c r="F411" s="11">
        <v>2.73</v>
      </c>
      <c r="G411" s="8">
        <f t="shared" si="6"/>
        <v>32.967032967032971</v>
      </c>
    </row>
    <row r="412" spans="1:7" x14ac:dyDescent="0.25">
      <c r="A412" s="10">
        <v>45805.364583333336</v>
      </c>
      <c r="B412" s="11">
        <v>5</v>
      </c>
      <c r="C412" s="11" t="s">
        <v>10</v>
      </c>
      <c r="D412" s="11" t="s">
        <v>11</v>
      </c>
      <c r="E412" s="11">
        <v>1.52</v>
      </c>
      <c r="F412" s="11">
        <v>3.15</v>
      </c>
      <c r="G412" s="8">
        <f t="shared" si="6"/>
        <v>28.952380952380953</v>
      </c>
    </row>
    <row r="413" spans="1:7" x14ac:dyDescent="0.25">
      <c r="A413" s="10">
        <v>45805.364583333336</v>
      </c>
      <c r="B413" s="11">
        <v>6</v>
      </c>
      <c r="C413" s="11" t="s">
        <v>11</v>
      </c>
      <c r="D413" s="11" t="s">
        <v>12</v>
      </c>
      <c r="E413" s="11">
        <v>1.5</v>
      </c>
      <c r="F413" s="11">
        <v>2.6</v>
      </c>
      <c r="G413" s="8">
        <f t="shared" si="6"/>
        <v>34.615384615384613</v>
      </c>
    </row>
    <row r="414" spans="1:7" x14ac:dyDescent="0.25">
      <c r="A414" s="10">
        <v>45805.364583333336</v>
      </c>
      <c r="B414" s="11">
        <v>7</v>
      </c>
      <c r="C414" s="11" t="s">
        <v>12</v>
      </c>
      <c r="D414" s="11" t="s">
        <v>13</v>
      </c>
      <c r="E414" s="11">
        <v>1.54</v>
      </c>
      <c r="F414" s="11">
        <v>2.73</v>
      </c>
      <c r="G414" s="8">
        <f t="shared" si="6"/>
        <v>33.846153846153847</v>
      </c>
    </row>
    <row r="415" spans="1:7" x14ac:dyDescent="0.25">
      <c r="A415" s="10">
        <v>45805.364583333336</v>
      </c>
      <c r="B415" s="11">
        <v>8</v>
      </c>
      <c r="C415" s="11" t="s">
        <v>13</v>
      </c>
      <c r="D415" s="11" t="s">
        <v>14</v>
      </c>
      <c r="E415" s="11">
        <v>1.54</v>
      </c>
      <c r="F415" s="11">
        <v>3.47</v>
      </c>
      <c r="G415" s="8">
        <f t="shared" si="6"/>
        <v>26.628242074927954</v>
      </c>
    </row>
    <row r="416" spans="1:7" x14ac:dyDescent="0.25">
      <c r="A416" s="10">
        <v>45805.364583333336</v>
      </c>
      <c r="B416" s="11">
        <v>9</v>
      </c>
      <c r="C416" s="11" t="s">
        <v>14</v>
      </c>
      <c r="D416" s="11" t="s">
        <v>15</v>
      </c>
      <c r="E416" s="11">
        <v>1.52</v>
      </c>
      <c r="F416" s="11">
        <v>5.0199999999999996</v>
      </c>
      <c r="G416" s="8">
        <f t="shared" si="6"/>
        <v>18.167330677290838</v>
      </c>
    </row>
    <row r="417" spans="1:7" x14ac:dyDescent="0.25">
      <c r="A417" s="10">
        <v>45805.364583333336</v>
      </c>
      <c r="B417" s="11">
        <v>10</v>
      </c>
      <c r="C417" s="11" t="s">
        <v>15</v>
      </c>
      <c r="D417" s="11" t="s">
        <v>16</v>
      </c>
      <c r="E417" s="11">
        <v>1.5</v>
      </c>
      <c r="F417" s="11">
        <v>4.1500000000000004</v>
      </c>
      <c r="G417" s="8">
        <f t="shared" si="6"/>
        <v>21.686746987951807</v>
      </c>
    </row>
    <row r="418" spans="1:7" x14ac:dyDescent="0.25">
      <c r="A418" s="10">
        <v>45805.364583333336</v>
      </c>
      <c r="B418" s="11">
        <v>11</v>
      </c>
      <c r="C418" s="11" t="s">
        <v>16</v>
      </c>
      <c r="D418" s="11" t="s">
        <v>17</v>
      </c>
      <c r="E418" s="11">
        <v>1.48</v>
      </c>
      <c r="F418" s="11">
        <v>5.65</v>
      </c>
      <c r="G418" s="8">
        <f t="shared" si="6"/>
        <v>15.716814159292033</v>
      </c>
    </row>
    <row r="419" spans="1:7" x14ac:dyDescent="0.25">
      <c r="A419" s="10">
        <v>45805.364583333336</v>
      </c>
      <c r="B419" s="11">
        <v>12</v>
      </c>
      <c r="C419" s="11" t="s">
        <v>17</v>
      </c>
      <c r="D419" s="11" t="s">
        <v>18</v>
      </c>
      <c r="E419" s="11">
        <v>1.46</v>
      </c>
      <c r="F419" s="11">
        <v>4.4000000000000004</v>
      </c>
      <c r="G419" s="8">
        <f t="shared" si="6"/>
        <v>19.909090909090907</v>
      </c>
    </row>
    <row r="420" spans="1:7" x14ac:dyDescent="0.25">
      <c r="A420" s="10">
        <v>45805.364583333336</v>
      </c>
      <c r="B420" s="11">
        <v>13</v>
      </c>
      <c r="C420" s="11" t="s">
        <v>18</v>
      </c>
      <c r="D420" s="11" t="s">
        <v>19</v>
      </c>
      <c r="E420" s="11">
        <v>1.52</v>
      </c>
      <c r="F420" s="11">
        <v>4.72</v>
      </c>
      <c r="G420" s="8">
        <f t="shared" si="6"/>
        <v>19.322033898305087</v>
      </c>
    </row>
    <row r="421" spans="1:7" x14ac:dyDescent="0.25">
      <c r="A421" s="10">
        <v>45805.364583333336</v>
      </c>
      <c r="B421" s="11">
        <v>14</v>
      </c>
      <c r="C421" s="11" t="s">
        <v>19</v>
      </c>
      <c r="D421" s="11" t="s">
        <v>20</v>
      </c>
      <c r="E421" s="11">
        <v>1.51</v>
      </c>
      <c r="F421" s="11">
        <v>4.43</v>
      </c>
      <c r="G421" s="8">
        <f t="shared" si="6"/>
        <v>20.451467268623023</v>
      </c>
    </row>
    <row r="422" spans="1:7" x14ac:dyDescent="0.25">
      <c r="A422" s="10">
        <v>45805.364583333336</v>
      </c>
      <c r="B422" s="11">
        <v>15</v>
      </c>
      <c r="C422" s="11" t="s">
        <v>20</v>
      </c>
      <c r="D422" s="11" t="s">
        <v>21</v>
      </c>
      <c r="E422" s="11">
        <v>1.47</v>
      </c>
      <c r="F422" s="11">
        <v>2.68</v>
      </c>
      <c r="G422" s="8">
        <f t="shared" si="6"/>
        <v>32.910447761194028</v>
      </c>
    </row>
    <row r="423" spans="1:7" x14ac:dyDescent="0.25">
      <c r="A423" s="10">
        <v>45805.364583333336</v>
      </c>
      <c r="B423" s="11">
        <v>16</v>
      </c>
      <c r="C423" s="11" t="s">
        <v>21</v>
      </c>
      <c r="D423" s="11" t="s">
        <v>22</v>
      </c>
      <c r="E423" s="11">
        <v>1.5</v>
      </c>
      <c r="F423" s="11">
        <v>2.25</v>
      </c>
      <c r="G423" s="8">
        <f t="shared" si="6"/>
        <v>40</v>
      </c>
    </row>
    <row r="424" spans="1:7" x14ac:dyDescent="0.25">
      <c r="A424" s="10">
        <v>45805.364583333336</v>
      </c>
      <c r="B424" s="11">
        <v>17</v>
      </c>
      <c r="C424" s="11" t="s">
        <v>22</v>
      </c>
      <c r="D424" s="11" t="s">
        <v>23</v>
      </c>
      <c r="E424" s="11">
        <v>1.51</v>
      </c>
      <c r="F424" s="11">
        <v>3.63</v>
      </c>
      <c r="G424" s="8">
        <f t="shared" si="6"/>
        <v>24.958677685950413</v>
      </c>
    </row>
    <row r="425" spans="1:7" x14ac:dyDescent="0.25">
      <c r="A425" s="10">
        <v>45805.364583333336</v>
      </c>
      <c r="B425" s="11">
        <v>18</v>
      </c>
      <c r="C425" s="11" t="s">
        <v>23</v>
      </c>
      <c r="D425" s="11" t="s">
        <v>24</v>
      </c>
      <c r="E425" s="11">
        <v>1.51</v>
      </c>
      <c r="F425" s="11">
        <v>3.12</v>
      </c>
      <c r="G425" s="8">
        <f t="shared" si="6"/>
        <v>29.038461538461537</v>
      </c>
    </row>
    <row r="426" spans="1:7" x14ac:dyDescent="0.25">
      <c r="A426" s="10">
        <v>45805.364583333336</v>
      </c>
      <c r="B426" s="11">
        <v>19</v>
      </c>
      <c r="C426" s="11" t="s">
        <v>25</v>
      </c>
      <c r="D426" s="11" t="s">
        <v>26</v>
      </c>
      <c r="E426" s="11">
        <v>1.5</v>
      </c>
      <c r="F426" s="11">
        <v>3.97</v>
      </c>
      <c r="G426" s="8">
        <f t="shared" si="6"/>
        <v>22.670025188916874</v>
      </c>
    </row>
    <row r="427" spans="1:7" x14ac:dyDescent="0.25">
      <c r="A427" s="10">
        <v>45805.364583333336</v>
      </c>
      <c r="B427" s="11">
        <v>20</v>
      </c>
      <c r="C427" s="11" t="s">
        <v>26</v>
      </c>
      <c r="D427" s="11" t="s">
        <v>27</v>
      </c>
      <c r="E427" s="11">
        <v>1.48</v>
      </c>
      <c r="F427" s="11">
        <v>3.87</v>
      </c>
      <c r="G427" s="8">
        <f t="shared" si="6"/>
        <v>22.945736434108525</v>
      </c>
    </row>
    <row r="428" spans="1:7" x14ac:dyDescent="0.25">
      <c r="A428" s="10">
        <v>45805.364583333336</v>
      </c>
      <c r="B428" s="11">
        <v>21</v>
      </c>
      <c r="C428" s="11" t="s">
        <v>27</v>
      </c>
      <c r="D428" s="11" t="s">
        <v>28</v>
      </c>
      <c r="E428" s="11">
        <v>1.51</v>
      </c>
      <c r="F428" s="11">
        <v>4.0199999999999996</v>
      </c>
      <c r="G428" s="8">
        <f t="shared" si="6"/>
        <v>22.537313432835823</v>
      </c>
    </row>
    <row r="429" spans="1:7" x14ac:dyDescent="0.25">
      <c r="A429" s="10">
        <v>45805.364583333336</v>
      </c>
      <c r="B429" s="11">
        <v>22</v>
      </c>
      <c r="C429" s="11" t="s">
        <v>28</v>
      </c>
      <c r="D429" s="11" t="s">
        <v>29</v>
      </c>
      <c r="E429" s="11">
        <v>1.57</v>
      </c>
      <c r="F429" s="11">
        <v>4.47</v>
      </c>
      <c r="G429" s="8">
        <f t="shared" si="6"/>
        <v>21.073825503355707</v>
      </c>
    </row>
    <row r="430" spans="1:7" x14ac:dyDescent="0.25">
      <c r="A430" s="10">
        <v>45805.364583333336</v>
      </c>
      <c r="B430" s="11">
        <v>23</v>
      </c>
      <c r="C430" s="11" t="s">
        <v>29</v>
      </c>
      <c r="D430" s="11" t="s">
        <v>30</v>
      </c>
      <c r="E430" s="11">
        <v>1.43</v>
      </c>
      <c r="F430" s="11">
        <v>4.05</v>
      </c>
      <c r="G430" s="8">
        <f t="shared" si="6"/>
        <v>21.185185185185187</v>
      </c>
    </row>
    <row r="431" spans="1:7" x14ac:dyDescent="0.25">
      <c r="A431" s="10">
        <v>45805.364583333336</v>
      </c>
      <c r="B431" s="11">
        <v>24</v>
      </c>
      <c r="C431" s="11" t="s">
        <v>30</v>
      </c>
      <c r="D431" s="11" t="s">
        <v>31</v>
      </c>
      <c r="E431" s="11">
        <v>1.52</v>
      </c>
      <c r="F431" s="11">
        <v>4.03</v>
      </c>
      <c r="G431" s="8">
        <f t="shared" si="6"/>
        <v>22.630272952853598</v>
      </c>
    </row>
    <row r="432" spans="1:7" x14ac:dyDescent="0.25">
      <c r="A432" s="10">
        <v>45805.364583333336</v>
      </c>
      <c r="B432" s="11">
        <v>25</v>
      </c>
      <c r="C432" s="11" t="s">
        <v>31</v>
      </c>
      <c r="D432" s="11" t="s">
        <v>32</v>
      </c>
      <c r="E432" s="11">
        <v>1.52</v>
      </c>
      <c r="F432" s="11">
        <v>3.7</v>
      </c>
      <c r="G432" s="8">
        <f t="shared" si="6"/>
        <v>24.648648648648649</v>
      </c>
    </row>
    <row r="433" spans="1:7" x14ac:dyDescent="0.25">
      <c r="A433" s="10">
        <v>45805.364583333336</v>
      </c>
      <c r="B433" s="11">
        <v>26</v>
      </c>
      <c r="C433" s="11" t="s">
        <v>32</v>
      </c>
      <c r="D433" s="11" t="s">
        <v>33</v>
      </c>
      <c r="E433" s="11">
        <v>1.49</v>
      </c>
      <c r="F433" s="11">
        <v>3.72</v>
      </c>
      <c r="G433" s="8">
        <f t="shared" si="6"/>
        <v>24.032258064516128</v>
      </c>
    </row>
    <row r="434" spans="1:7" x14ac:dyDescent="0.25">
      <c r="A434" s="10">
        <v>45805.364583333336</v>
      </c>
      <c r="B434" s="11">
        <v>27</v>
      </c>
      <c r="C434" s="11" t="s">
        <v>33</v>
      </c>
      <c r="D434" s="11" t="s">
        <v>34</v>
      </c>
      <c r="E434" s="11">
        <v>1.53</v>
      </c>
      <c r="F434" s="11">
        <v>3.33</v>
      </c>
      <c r="G434" s="8">
        <f t="shared" si="6"/>
        <v>27.567567567567565</v>
      </c>
    </row>
    <row r="435" spans="1:7" x14ac:dyDescent="0.25">
      <c r="A435" s="10">
        <v>45805.364583333336</v>
      </c>
      <c r="B435" s="11">
        <v>28</v>
      </c>
      <c r="C435" s="11" t="s">
        <v>34</v>
      </c>
      <c r="D435" s="11" t="s">
        <v>35</v>
      </c>
      <c r="E435" s="11">
        <v>1.51</v>
      </c>
      <c r="F435" s="11">
        <v>3.92</v>
      </c>
      <c r="G435" s="8">
        <f t="shared" si="6"/>
        <v>23.112244897959183</v>
      </c>
    </row>
    <row r="436" spans="1:7" x14ac:dyDescent="0.25">
      <c r="A436" s="10">
        <v>45805.364583333336</v>
      </c>
      <c r="B436" s="11">
        <v>29</v>
      </c>
      <c r="C436" s="11" t="s">
        <v>36</v>
      </c>
      <c r="D436" s="11" t="s">
        <v>37</v>
      </c>
      <c r="E436" s="11">
        <v>1.57</v>
      </c>
      <c r="F436" s="11">
        <v>4.97</v>
      </c>
      <c r="G436" s="8">
        <f t="shared" si="6"/>
        <v>18.953722334004027</v>
      </c>
    </row>
    <row r="437" spans="1:7" x14ac:dyDescent="0.25">
      <c r="A437" s="10">
        <v>45805.364583333336</v>
      </c>
      <c r="B437" s="11">
        <v>30</v>
      </c>
      <c r="C437" s="11" t="s">
        <v>37</v>
      </c>
      <c r="D437" s="11" t="s">
        <v>38</v>
      </c>
      <c r="E437" s="11">
        <v>1.57</v>
      </c>
      <c r="F437" s="11">
        <v>6.47</v>
      </c>
      <c r="G437" s="8">
        <f t="shared" si="6"/>
        <v>14.559505409582691</v>
      </c>
    </row>
    <row r="438" spans="1:7" x14ac:dyDescent="0.25">
      <c r="A438" s="10">
        <v>45805.364583333336</v>
      </c>
      <c r="B438" s="11">
        <v>31</v>
      </c>
      <c r="C438" s="11" t="s">
        <v>38</v>
      </c>
      <c r="D438" s="11" t="s">
        <v>39</v>
      </c>
      <c r="E438" s="11">
        <v>1.52</v>
      </c>
      <c r="F438" s="11">
        <v>2.77</v>
      </c>
      <c r="G438" s="8">
        <f t="shared" si="6"/>
        <v>32.924187725631768</v>
      </c>
    </row>
    <row r="439" spans="1:7" x14ac:dyDescent="0.25">
      <c r="A439" s="10">
        <v>45805.364583333336</v>
      </c>
      <c r="B439" s="11">
        <v>32</v>
      </c>
      <c r="C439" s="11" t="s">
        <v>39</v>
      </c>
      <c r="D439" s="11" t="s">
        <v>40</v>
      </c>
      <c r="E439" s="11">
        <v>1.5</v>
      </c>
      <c r="F439" s="11">
        <v>1.77</v>
      </c>
      <c r="G439" s="8">
        <f t="shared" si="6"/>
        <v>50.847457627118644</v>
      </c>
    </row>
    <row r="440" spans="1:7" x14ac:dyDescent="0.25">
      <c r="A440" s="10">
        <v>45805.364583333336</v>
      </c>
      <c r="B440" s="11">
        <v>33</v>
      </c>
      <c r="C440" s="11" t="s">
        <v>40</v>
      </c>
      <c r="D440" s="11" t="s">
        <v>41</v>
      </c>
      <c r="E440" s="11">
        <v>1.51</v>
      </c>
      <c r="F440" s="11">
        <v>1.8</v>
      </c>
      <c r="G440" s="8">
        <f t="shared" si="6"/>
        <v>50.333333333333329</v>
      </c>
    </row>
    <row r="441" spans="1:7" x14ac:dyDescent="0.25">
      <c r="A441" s="10">
        <v>45805.364583333336</v>
      </c>
      <c r="B441" s="11">
        <v>34</v>
      </c>
      <c r="C441" s="11" t="s">
        <v>41</v>
      </c>
      <c r="D441" s="11" t="s">
        <v>42</v>
      </c>
      <c r="E441" s="11">
        <v>1.5</v>
      </c>
      <c r="F441" s="11">
        <v>1.85</v>
      </c>
      <c r="G441" s="8">
        <f t="shared" si="6"/>
        <v>48.648648648648646</v>
      </c>
    </row>
    <row r="442" spans="1:7" x14ac:dyDescent="0.25">
      <c r="A442" s="10">
        <v>45805.364583333336</v>
      </c>
      <c r="B442" s="11">
        <v>35</v>
      </c>
      <c r="C442" s="11" t="s">
        <v>43</v>
      </c>
      <c r="D442" s="11" t="s">
        <v>44</v>
      </c>
      <c r="E442" s="11">
        <v>1.55</v>
      </c>
      <c r="F442" s="11">
        <v>4.38</v>
      </c>
      <c r="G442" s="8">
        <f t="shared" si="6"/>
        <v>21.232876712328768</v>
      </c>
    </row>
    <row r="443" spans="1:7" x14ac:dyDescent="0.25">
      <c r="A443" s="10">
        <v>45805.364583333336</v>
      </c>
      <c r="B443" s="11">
        <v>36</v>
      </c>
      <c r="C443" s="11" t="s">
        <v>44</v>
      </c>
      <c r="D443" s="11" t="s">
        <v>45</v>
      </c>
      <c r="E443" s="11">
        <v>1.5</v>
      </c>
      <c r="F443" s="11">
        <v>3.25</v>
      </c>
      <c r="G443" s="8">
        <f t="shared" si="6"/>
        <v>27.692307692307693</v>
      </c>
    </row>
    <row r="444" spans="1:7" x14ac:dyDescent="0.25">
      <c r="A444" s="10">
        <v>45805.364583333336</v>
      </c>
      <c r="B444" s="11">
        <v>37</v>
      </c>
      <c r="C444" s="11" t="s">
        <v>45</v>
      </c>
      <c r="D444" s="11" t="s">
        <v>46</v>
      </c>
      <c r="E444" s="11">
        <v>1.38</v>
      </c>
      <c r="F444" s="11">
        <v>4.08</v>
      </c>
      <c r="G444" s="8">
        <f t="shared" si="6"/>
        <v>20.294117647058822</v>
      </c>
    </row>
    <row r="445" spans="1:7" x14ac:dyDescent="0.25">
      <c r="A445" s="10">
        <v>45805.364583333336</v>
      </c>
      <c r="B445" s="11">
        <v>38</v>
      </c>
      <c r="C445" s="11" t="s">
        <v>46</v>
      </c>
      <c r="D445" s="11" t="s">
        <v>47</v>
      </c>
      <c r="E445" s="11">
        <v>1.61</v>
      </c>
      <c r="F445" s="11">
        <v>3.82</v>
      </c>
      <c r="G445" s="8">
        <f t="shared" si="6"/>
        <v>25.287958115183251</v>
      </c>
    </row>
    <row r="446" spans="1:7" x14ac:dyDescent="0.25">
      <c r="A446" s="10">
        <v>45805.364583333336</v>
      </c>
      <c r="B446" s="11">
        <v>39</v>
      </c>
      <c r="C446" s="11" t="s">
        <v>47</v>
      </c>
      <c r="D446" s="11" t="s">
        <v>48</v>
      </c>
      <c r="E446" s="11">
        <v>1.55</v>
      </c>
      <c r="F446" s="11">
        <v>3.47</v>
      </c>
      <c r="G446" s="8">
        <f t="shared" si="6"/>
        <v>26.801152737752158</v>
      </c>
    </row>
    <row r="447" spans="1:7" x14ac:dyDescent="0.25">
      <c r="A447" s="10">
        <v>45805.364583333336</v>
      </c>
      <c r="B447" s="11">
        <v>40</v>
      </c>
      <c r="C447" s="11" t="s">
        <v>48</v>
      </c>
      <c r="D447" s="11" t="s">
        <v>49</v>
      </c>
      <c r="E447" s="11">
        <v>1.39</v>
      </c>
      <c r="F447" s="11">
        <v>2.82</v>
      </c>
      <c r="G447" s="8">
        <f t="shared" si="6"/>
        <v>29.574468085106382</v>
      </c>
    </row>
    <row r="448" spans="1:7" x14ac:dyDescent="0.25">
      <c r="A448" s="10">
        <v>45805.364583333336</v>
      </c>
      <c r="B448" s="11">
        <v>41</v>
      </c>
      <c r="C448" s="11" t="s">
        <v>50</v>
      </c>
      <c r="D448" s="11" t="s">
        <v>51</v>
      </c>
      <c r="E448" s="11">
        <v>1.56</v>
      </c>
      <c r="F448" s="11">
        <v>4.08</v>
      </c>
      <c r="G448" s="8">
        <f t="shared" si="6"/>
        <v>22.941176470588236</v>
      </c>
    </row>
    <row r="449" spans="1:7" x14ac:dyDescent="0.25">
      <c r="A449" s="10">
        <v>45805.364583333336</v>
      </c>
      <c r="B449" s="11">
        <v>42</v>
      </c>
      <c r="C449" s="11" t="s">
        <v>51</v>
      </c>
      <c r="D449" s="11" t="s">
        <v>52</v>
      </c>
      <c r="E449" s="11">
        <v>1.56</v>
      </c>
      <c r="F449" s="11">
        <v>4.05</v>
      </c>
      <c r="G449" s="8">
        <f t="shared" si="6"/>
        <v>23.111111111111114</v>
      </c>
    </row>
    <row r="450" spans="1:7" x14ac:dyDescent="0.25">
      <c r="A450" s="10">
        <v>45805.364583333336</v>
      </c>
      <c r="B450" s="11">
        <v>43</v>
      </c>
      <c r="C450" s="11" t="s">
        <v>52</v>
      </c>
      <c r="D450" s="11" t="s">
        <v>53</v>
      </c>
      <c r="E450" s="11">
        <v>1.51</v>
      </c>
      <c r="F450" s="11">
        <v>3.47</v>
      </c>
      <c r="G450" s="8">
        <f t="shared" si="6"/>
        <v>26.109510086455327</v>
      </c>
    </row>
    <row r="451" spans="1:7" x14ac:dyDescent="0.25">
      <c r="A451" s="10">
        <v>45805.364583333336</v>
      </c>
      <c r="B451" s="11">
        <v>44</v>
      </c>
      <c r="C451" s="11" t="s">
        <v>54</v>
      </c>
      <c r="D451" s="11" t="s">
        <v>55</v>
      </c>
      <c r="E451" s="11">
        <v>1.51</v>
      </c>
      <c r="F451" s="11">
        <v>4.67</v>
      </c>
      <c r="G451" s="8">
        <f t="shared" ref="G451:G514" si="7">E451*60/F451</f>
        <v>19.400428265524624</v>
      </c>
    </row>
    <row r="452" spans="1:7" x14ac:dyDescent="0.25">
      <c r="A452" s="10">
        <v>45805.364583333336</v>
      </c>
      <c r="B452" s="11">
        <v>45</v>
      </c>
      <c r="C452" s="11" t="s">
        <v>55</v>
      </c>
      <c r="D452" s="11" t="s">
        <v>56</v>
      </c>
      <c r="E452" s="11">
        <v>1.49</v>
      </c>
      <c r="F452" s="11">
        <v>3.8</v>
      </c>
      <c r="G452" s="8">
        <f t="shared" si="7"/>
        <v>23.526315789473689</v>
      </c>
    </row>
    <row r="453" spans="1:7" x14ac:dyDescent="0.25">
      <c r="A453" s="10">
        <v>45805.364583333336</v>
      </c>
      <c r="B453" s="11">
        <v>46</v>
      </c>
      <c r="C453" s="11" t="s">
        <v>56</v>
      </c>
      <c r="D453" s="11" t="s">
        <v>57</v>
      </c>
      <c r="E453" s="11">
        <v>1.52</v>
      </c>
      <c r="F453" s="11">
        <v>4.33</v>
      </c>
      <c r="G453" s="8">
        <f t="shared" si="7"/>
        <v>21.062355658198616</v>
      </c>
    </row>
    <row r="454" spans="1:7" x14ac:dyDescent="0.25">
      <c r="A454" s="10">
        <v>45805.364583333336</v>
      </c>
      <c r="B454" s="11">
        <v>47</v>
      </c>
      <c r="C454" s="11" t="s">
        <v>58</v>
      </c>
      <c r="D454" s="11" t="s">
        <v>59</v>
      </c>
      <c r="E454" s="11">
        <v>1.52</v>
      </c>
      <c r="F454" s="11">
        <v>7.9</v>
      </c>
      <c r="G454" s="8">
        <f t="shared" si="7"/>
        <v>11.544303797468354</v>
      </c>
    </row>
    <row r="455" spans="1:7" x14ac:dyDescent="0.25">
      <c r="A455" s="10">
        <v>45805.364583333336</v>
      </c>
      <c r="B455" s="11">
        <v>48</v>
      </c>
      <c r="C455" s="11" t="s">
        <v>59</v>
      </c>
      <c r="D455" s="11" t="s">
        <v>60</v>
      </c>
      <c r="E455" s="11">
        <v>1.5</v>
      </c>
      <c r="F455" s="11">
        <v>3.87</v>
      </c>
      <c r="G455" s="8">
        <f t="shared" si="7"/>
        <v>23.255813953488371</v>
      </c>
    </row>
    <row r="456" spans="1:7" x14ac:dyDescent="0.25">
      <c r="A456" s="10">
        <v>45805.364583333336</v>
      </c>
      <c r="B456" s="11">
        <v>49</v>
      </c>
      <c r="C456" s="11" t="s">
        <v>60</v>
      </c>
      <c r="D456" s="11" t="s">
        <v>61</v>
      </c>
      <c r="E456" s="11">
        <v>1.57</v>
      </c>
      <c r="F456" s="11">
        <v>4.17</v>
      </c>
      <c r="G456" s="8">
        <f t="shared" si="7"/>
        <v>22.589928057553958</v>
      </c>
    </row>
    <row r="457" spans="1:7" x14ac:dyDescent="0.25">
      <c r="A457" s="10">
        <v>45805.364583333336</v>
      </c>
      <c r="B457" s="11">
        <v>50</v>
      </c>
      <c r="C457" s="11" t="s">
        <v>62</v>
      </c>
      <c r="D457" s="11" t="s">
        <v>63</v>
      </c>
      <c r="E457" s="11">
        <v>1.38</v>
      </c>
      <c r="F457" s="11">
        <v>3.17</v>
      </c>
      <c r="G457" s="8">
        <f t="shared" si="7"/>
        <v>26.119873817034701</v>
      </c>
    </row>
    <row r="458" spans="1:7" x14ac:dyDescent="0.25">
      <c r="A458" s="10">
        <v>45805.364583333336</v>
      </c>
      <c r="B458" s="11">
        <v>51</v>
      </c>
      <c r="C458" s="11" t="s">
        <v>63</v>
      </c>
      <c r="D458" s="11" t="s">
        <v>64</v>
      </c>
      <c r="E458" s="11">
        <v>2.79</v>
      </c>
      <c r="F458" s="11">
        <v>5.67</v>
      </c>
      <c r="G458" s="8">
        <f t="shared" si="7"/>
        <v>29.523809523809526</v>
      </c>
    </row>
    <row r="459" spans="1:7" x14ac:dyDescent="0.25">
      <c r="A459" s="10">
        <v>45805.364583333336</v>
      </c>
      <c r="B459" s="11">
        <v>52</v>
      </c>
      <c r="C459" s="11" t="s">
        <v>64</v>
      </c>
      <c r="D459" s="11" t="s">
        <v>65</v>
      </c>
      <c r="E459" s="11">
        <v>1.5</v>
      </c>
      <c r="F459" s="11">
        <v>3.23</v>
      </c>
      <c r="G459" s="8">
        <f t="shared" si="7"/>
        <v>27.86377708978328</v>
      </c>
    </row>
    <row r="460" spans="1:7" x14ac:dyDescent="0.25">
      <c r="A460" s="10">
        <v>45805.364583333336</v>
      </c>
      <c r="B460" s="11">
        <v>53</v>
      </c>
      <c r="C460" s="11" t="s">
        <v>65</v>
      </c>
      <c r="D460" s="11" t="s">
        <v>66</v>
      </c>
      <c r="E460" s="11">
        <v>1.46</v>
      </c>
      <c r="F460" s="11">
        <v>4</v>
      </c>
      <c r="G460" s="8">
        <f t="shared" si="7"/>
        <v>21.9</v>
      </c>
    </row>
    <row r="461" spans="1:7" x14ac:dyDescent="0.25">
      <c r="A461" s="10">
        <v>45805.364583333336</v>
      </c>
      <c r="B461" s="11">
        <v>54</v>
      </c>
      <c r="C461" s="11" t="s">
        <v>67</v>
      </c>
      <c r="D461" s="11" t="s">
        <v>68</v>
      </c>
      <c r="E461" s="11">
        <v>1.46</v>
      </c>
      <c r="F461" s="11">
        <v>6.18</v>
      </c>
      <c r="G461" s="8">
        <f t="shared" si="7"/>
        <v>14.174757281553397</v>
      </c>
    </row>
    <row r="462" spans="1:7" x14ac:dyDescent="0.25">
      <c r="A462" s="10">
        <v>45805.364583333336</v>
      </c>
      <c r="B462" s="11">
        <v>55</v>
      </c>
      <c r="C462" s="11" t="s">
        <v>68</v>
      </c>
      <c r="D462" s="11" t="s">
        <v>69</v>
      </c>
      <c r="E462" s="11">
        <v>1.5</v>
      </c>
      <c r="F462" s="11">
        <v>2.2000000000000002</v>
      </c>
      <c r="G462" s="8">
        <f t="shared" si="7"/>
        <v>40.909090909090907</v>
      </c>
    </row>
    <row r="463" spans="1:7" x14ac:dyDescent="0.25">
      <c r="A463" s="10">
        <v>45805.364583333336</v>
      </c>
      <c r="B463" s="11">
        <v>56</v>
      </c>
      <c r="C463" s="11" t="s">
        <v>70</v>
      </c>
      <c r="D463" s="11" t="s">
        <v>71</v>
      </c>
      <c r="E463" s="11">
        <v>1.51</v>
      </c>
      <c r="F463" s="11">
        <v>4.95</v>
      </c>
      <c r="G463" s="8">
        <f t="shared" si="7"/>
        <v>18.303030303030301</v>
      </c>
    </row>
    <row r="464" spans="1:7" x14ac:dyDescent="0.25">
      <c r="A464" s="10">
        <v>45805.364583333336</v>
      </c>
      <c r="B464" s="11">
        <v>57</v>
      </c>
      <c r="C464" s="11" t="s">
        <v>71</v>
      </c>
      <c r="D464" s="11" t="s">
        <v>72</v>
      </c>
      <c r="E464" s="11">
        <v>1.52</v>
      </c>
      <c r="F464" s="11">
        <v>4.7699999999999996</v>
      </c>
      <c r="G464" s="8">
        <f t="shared" si="7"/>
        <v>19.119496855345915</v>
      </c>
    </row>
    <row r="465" spans="1:7" x14ac:dyDescent="0.25">
      <c r="A465" s="10">
        <v>45805.364583333336</v>
      </c>
      <c r="B465" s="11">
        <v>58</v>
      </c>
      <c r="C465" s="11" t="s">
        <v>72</v>
      </c>
      <c r="D465" s="11" t="s">
        <v>73</v>
      </c>
      <c r="E465" s="11">
        <v>1.5</v>
      </c>
      <c r="F465" s="11">
        <v>3.92</v>
      </c>
      <c r="G465" s="8">
        <f t="shared" si="7"/>
        <v>22.95918367346939</v>
      </c>
    </row>
    <row r="466" spans="1:7" x14ac:dyDescent="0.25">
      <c r="A466" s="10">
        <v>45805.375</v>
      </c>
      <c r="B466" s="11">
        <v>1</v>
      </c>
      <c r="C466" s="11" t="s">
        <v>6</v>
      </c>
      <c r="D466" s="11" t="s">
        <v>7</v>
      </c>
      <c r="E466" s="11">
        <v>1.53</v>
      </c>
      <c r="F466" s="11">
        <v>3.15</v>
      </c>
      <c r="G466" s="8">
        <f t="shared" si="7"/>
        <v>29.142857142857142</v>
      </c>
    </row>
    <row r="467" spans="1:7" x14ac:dyDescent="0.25">
      <c r="A467" s="10">
        <v>45805.375</v>
      </c>
      <c r="B467" s="11">
        <v>2</v>
      </c>
      <c r="C467" s="11" t="s">
        <v>7</v>
      </c>
      <c r="D467" s="11" t="s">
        <v>8</v>
      </c>
      <c r="E467" s="11">
        <v>1.57</v>
      </c>
      <c r="F467" s="11">
        <v>5.23</v>
      </c>
      <c r="G467" s="8">
        <f t="shared" si="7"/>
        <v>18.011472275334608</v>
      </c>
    </row>
    <row r="468" spans="1:7" x14ac:dyDescent="0.25">
      <c r="A468" s="10">
        <v>45805.375</v>
      </c>
      <c r="B468" s="11">
        <v>3</v>
      </c>
      <c r="C468" s="11" t="s">
        <v>8</v>
      </c>
      <c r="D468" s="11" t="s">
        <v>9</v>
      </c>
      <c r="E468" s="11">
        <v>1.5</v>
      </c>
      <c r="F468" s="11">
        <v>3.07</v>
      </c>
      <c r="G468" s="8">
        <f t="shared" si="7"/>
        <v>29.31596091205212</v>
      </c>
    </row>
    <row r="469" spans="1:7" x14ac:dyDescent="0.25">
      <c r="A469" s="10">
        <v>45805.375</v>
      </c>
      <c r="B469" s="11">
        <v>4</v>
      </c>
      <c r="C469" s="11" t="s">
        <v>9</v>
      </c>
      <c r="D469" s="11" t="s">
        <v>10</v>
      </c>
      <c r="E469" s="11">
        <v>1.5</v>
      </c>
      <c r="F469" s="11">
        <v>2.87</v>
      </c>
      <c r="G469" s="8">
        <f t="shared" si="7"/>
        <v>31.358885017421603</v>
      </c>
    </row>
    <row r="470" spans="1:7" x14ac:dyDescent="0.25">
      <c r="A470" s="10">
        <v>45805.375</v>
      </c>
      <c r="B470" s="11">
        <v>5</v>
      </c>
      <c r="C470" s="11" t="s">
        <v>10</v>
      </c>
      <c r="D470" s="11" t="s">
        <v>11</v>
      </c>
      <c r="E470" s="11">
        <v>1.52</v>
      </c>
      <c r="F470" s="11">
        <v>3.13</v>
      </c>
      <c r="G470" s="8">
        <f t="shared" si="7"/>
        <v>29.137380191693293</v>
      </c>
    </row>
    <row r="471" spans="1:7" x14ac:dyDescent="0.25">
      <c r="A471" s="10">
        <v>45805.375</v>
      </c>
      <c r="B471" s="11">
        <v>6</v>
      </c>
      <c r="C471" s="11" t="s">
        <v>11</v>
      </c>
      <c r="D471" s="11" t="s">
        <v>12</v>
      </c>
      <c r="E471" s="11">
        <v>1.5</v>
      </c>
      <c r="F471" s="11">
        <v>2.75</v>
      </c>
      <c r="G471" s="8">
        <f t="shared" si="7"/>
        <v>32.727272727272727</v>
      </c>
    </row>
    <row r="472" spans="1:7" x14ac:dyDescent="0.25">
      <c r="A472" s="10">
        <v>45805.375</v>
      </c>
      <c r="B472" s="11">
        <v>7</v>
      </c>
      <c r="C472" s="11" t="s">
        <v>12</v>
      </c>
      <c r="D472" s="11" t="s">
        <v>13</v>
      </c>
      <c r="E472" s="11">
        <v>1.54</v>
      </c>
      <c r="F472" s="11">
        <v>2.5499999999999998</v>
      </c>
      <c r="G472" s="8">
        <f t="shared" si="7"/>
        <v>36.235294117647065</v>
      </c>
    </row>
    <row r="473" spans="1:7" x14ac:dyDescent="0.25">
      <c r="A473" s="10">
        <v>45805.375</v>
      </c>
      <c r="B473" s="11">
        <v>8</v>
      </c>
      <c r="C473" s="11" t="s">
        <v>13</v>
      </c>
      <c r="D473" s="11" t="s">
        <v>14</v>
      </c>
      <c r="E473" s="11">
        <v>1.54</v>
      </c>
      <c r="F473" s="11">
        <v>3.3</v>
      </c>
      <c r="G473" s="8">
        <f t="shared" si="7"/>
        <v>28.000000000000004</v>
      </c>
    </row>
    <row r="474" spans="1:7" x14ac:dyDescent="0.25">
      <c r="A474" s="10">
        <v>45805.375</v>
      </c>
      <c r="B474" s="11">
        <v>9</v>
      </c>
      <c r="C474" s="11" t="s">
        <v>14</v>
      </c>
      <c r="D474" s="11" t="s">
        <v>15</v>
      </c>
      <c r="E474" s="11">
        <v>1.52</v>
      </c>
      <c r="F474" s="11">
        <v>4.5199999999999996</v>
      </c>
      <c r="G474" s="8">
        <f t="shared" si="7"/>
        <v>20.176991150442479</v>
      </c>
    </row>
    <row r="475" spans="1:7" x14ac:dyDescent="0.25">
      <c r="A475" s="10">
        <v>45805.375</v>
      </c>
      <c r="B475" s="11">
        <v>10</v>
      </c>
      <c r="C475" s="11" t="s">
        <v>15</v>
      </c>
      <c r="D475" s="11" t="s">
        <v>16</v>
      </c>
      <c r="E475" s="11">
        <v>1.5</v>
      </c>
      <c r="F475" s="11">
        <v>3.93</v>
      </c>
      <c r="G475" s="8">
        <f t="shared" si="7"/>
        <v>22.900763358778626</v>
      </c>
    </row>
    <row r="476" spans="1:7" x14ac:dyDescent="0.25">
      <c r="A476" s="10">
        <v>45805.375</v>
      </c>
      <c r="B476" s="11">
        <v>11</v>
      </c>
      <c r="C476" s="11" t="s">
        <v>16</v>
      </c>
      <c r="D476" s="11" t="s">
        <v>17</v>
      </c>
      <c r="E476" s="11">
        <v>1.48</v>
      </c>
      <c r="F476" s="11">
        <v>3.37</v>
      </c>
      <c r="G476" s="8">
        <f t="shared" si="7"/>
        <v>26.350148367952521</v>
      </c>
    </row>
    <row r="477" spans="1:7" x14ac:dyDescent="0.25">
      <c r="A477" s="10">
        <v>45805.375</v>
      </c>
      <c r="B477" s="11">
        <v>12</v>
      </c>
      <c r="C477" s="11" t="s">
        <v>17</v>
      </c>
      <c r="D477" s="11" t="s">
        <v>18</v>
      </c>
      <c r="E477" s="11">
        <v>1.46</v>
      </c>
      <c r="F477" s="11">
        <v>4.5999999999999996</v>
      </c>
      <c r="G477" s="8">
        <f t="shared" si="7"/>
        <v>19.043478260869566</v>
      </c>
    </row>
    <row r="478" spans="1:7" x14ac:dyDescent="0.25">
      <c r="A478" s="10">
        <v>45805.375</v>
      </c>
      <c r="B478" s="11">
        <v>13</v>
      </c>
      <c r="C478" s="11" t="s">
        <v>18</v>
      </c>
      <c r="D478" s="11" t="s">
        <v>19</v>
      </c>
      <c r="E478" s="11">
        <v>1.52</v>
      </c>
      <c r="F478" s="11">
        <v>5.22</v>
      </c>
      <c r="G478" s="8">
        <f t="shared" si="7"/>
        <v>17.471264367816094</v>
      </c>
    </row>
    <row r="479" spans="1:7" x14ac:dyDescent="0.25">
      <c r="A479" s="10">
        <v>45805.375</v>
      </c>
      <c r="B479" s="11">
        <v>14</v>
      </c>
      <c r="C479" s="11" t="s">
        <v>19</v>
      </c>
      <c r="D479" s="11" t="s">
        <v>20</v>
      </c>
      <c r="E479" s="11">
        <v>1.51</v>
      </c>
      <c r="F479" s="11">
        <v>3.75</v>
      </c>
      <c r="G479" s="8">
        <f t="shared" si="7"/>
        <v>24.16</v>
      </c>
    </row>
    <row r="480" spans="1:7" x14ac:dyDescent="0.25">
      <c r="A480" s="10">
        <v>45805.375</v>
      </c>
      <c r="B480" s="11">
        <v>15</v>
      </c>
      <c r="C480" s="11" t="s">
        <v>20</v>
      </c>
      <c r="D480" s="11" t="s">
        <v>21</v>
      </c>
      <c r="E480" s="11">
        <v>1.47</v>
      </c>
      <c r="F480" s="11">
        <v>2.98</v>
      </c>
      <c r="G480" s="8">
        <f t="shared" si="7"/>
        <v>29.597315436241612</v>
      </c>
    </row>
    <row r="481" spans="1:7" x14ac:dyDescent="0.25">
      <c r="A481" s="10">
        <v>45805.375</v>
      </c>
      <c r="B481" s="11">
        <v>16</v>
      </c>
      <c r="C481" s="11" t="s">
        <v>21</v>
      </c>
      <c r="D481" s="11" t="s">
        <v>22</v>
      </c>
      <c r="E481" s="11">
        <v>1.5</v>
      </c>
      <c r="F481" s="11">
        <v>1.83</v>
      </c>
      <c r="G481" s="8">
        <f t="shared" si="7"/>
        <v>49.180327868852459</v>
      </c>
    </row>
    <row r="482" spans="1:7" x14ac:dyDescent="0.25">
      <c r="A482" s="10">
        <v>45805.375</v>
      </c>
      <c r="B482" s="11">
        <v>17</v>
      </c>
      <c r="C482" s="11" t="s">
        <v>22</v>
      </c>
      <c r="D482" s="11" t="s">
        <v>23</v>
      </c>
      <c r="E482" s="11">
        <v>1.51</v>
      </c>
      <c r="F482" s="11">
        <v>2.98</v>
      </c>
      <c r="G482" s="8">
        <f t="shared" si="7"/>
        <v>30.402684563758388</v>
      </c>
    </row>
    <row r="483" spans="1:7" x14ac:dyDescent="0.25">
      <c r="A483" s="10">
        <v>45805.375</v>
      </c>
      <c r="B483" s="11">
        <v>18</v>
      </c>
      <c r="C483" s="11" t="s">
        <v>23</v>
      </c>
      <c r="D483" s="11" t="s">
        <v>24</v>
      </c>
      <c r="E483" s="11">
        <v>1.51</v>
      </c>
      <c r="F483" s="11">
        <v>3.18</v>
      </c>
      <c r="G483" s="8">
        <f t="shared" si="7"/>
        <v>28.490566037735846</v>
      </c>
    </row>
    <row r="484" spans="1:7" x14ac:dyDescent="0.25">
      <c r="A484" s="10">
        <v>45805.375</v>
      </c>
      <c r="B484" s="11">
        <v>19</v>
      </c>
      <c r="C484" s="11" t="s">
        <v>25</v>
      </c>
      <c r="D484" s="11" t="s">
        <v>26</v>
      </c>
      <c r="E484" s="11">
        <v>1.5</v>
      </c>
      <c r="F484" s="11">
        <v>3.72</v>
      </c>
      <c r="G484" s="8">
        <f t="shared" si="7"/>
        <v>24.193548387096772</v>
      </c>
    </row>
    <row r="485" spans="1:7" x14ac:dyDescent="0.25">
      <c r="A485" s="10">
        <v>45805.375</v>
      </c>
      <c r="B485" s="11">
        <v>20</v>
      </c>
      <c r="C485" s="11" t="s">
        <v>26</v>
      </c>
      <c r="D485" s="11" t="s">
        <v>27</v>
      </c>
      <c r="E485" s="11">
        <v>1.48</v>
      </c>
      <c r="F485" s="11">
        <v>3.85</v>
      </c>
      <c r="G485" s="8">
        <f t="shared" si="7"/>
        <v>23.064935064935064</v>
      </c>
    </row>
    <row r="486" spans="1:7" x14ac:dyDescent="0.25">
      <c r="A486" s="10">
        <v>45805.375</v>
      </c>
      <c r="B486" s="11">
        <v>21</v>
      </c>
      <c r="C486" s="11" t="s">
        <v>27</v>
      </c>
      <c r="D486" s="11" t="s">
        <v>28</v>
      </c>
      <c r="E486" s="11">
        <v>1.51</v>
      </c>
      <c r="F486" s="11">
        <v>3.33</v>
      </c>
      <c r="G486" s="8">
        <f t="shared" si="7"/>
        <v>27.207207207207205</v>
      </c>
    </row>
    <row r="487" spans="1:7" x14ac:dyDescent="0.25">
      <c r="A487" s="10">
        <v>45805.375</v>
      </c>
      <c r="B487" s="11">
        <v>22</v>
      </c>
      <c r="C487" s="11" t="s">
        <v>28</v>
      </c>
      <c r="D487" s="11" t="s">
        <v>29</v>
      </c>
      <c r="E487" s="11">
        <v>1.57</v>
      </c>
      <c r="F487" s="11">
        <v>3.92</v>
      </c>
      <c r="G487" s="8">
        <f t="shared" si="7"/>
        <v>24.030612244897959</v>
      </c>
    </row>
    <row r="488" spans="1:7" x14ac:dyDescent="0.25">
      <c r="A488" s="10">
        <v>45805.375</v>
      </c>
      <c r="B488" s="11">
        <v>23</v>
      </c>
      <c r="C488" s="11" t="s">
        <v>29</v>
      </c>
      <c r="D488" s="11" t="s">
        <v>30</v>
      </c>
      <c r="E488" s="11">
        <v>1.43</v>
      </c>
      <c r="F488" s="11">
        <v>4.75</v>
      </c>
      <c r="G488" s="8">
        <f t="shared" si="7"/>
        <v>18.063157894736843</v>
      </c>
    </row>
    <row r="489" spans="1:7" x14ac:dyDescent="0.25">
      <c r="A489" s="10">
        <v>45805.375</v>
      </c>
      <c r="B489" s="11">
        <v>24</v>
      </c>
      <c r="C489" s="11" t="s">
        <v>30</v>
      </c>
      <c r="D489" s="11" t="s">
        <v>31</v>
      </c>
      <c r="E489" s="11">
        <v>1.52</v>
      </c>
      <c r="F489" s="11">
        <v>3.9</v>
      </c>
      <c r="G489" s="8">
        <f t="shared" si="7"/>
        <v>23.384615384615387</v>
      </c>
    </row>
    <row r="490" spans="1:7" x14ac:dyDescent="0.25">
      <c r="A490" s="10">
        <v>45805.375</v>
      </c>
      <c r="B490" s="11">
        <v>25</v>
      </c>
      <c r="C490" s="11" t="s">
        <v>31</v>
      </c>
      <c r="D490" s="11" t="s">
        <v>32</v>
      </c>
      <c r="E490" s="11">
        <v>1.52</v>
      </c>
      <c r="F490" s="11">
        <v>3.3</v>
      </c>
      <c r="G490" s="8">
        <f t="shared" si="7"/>
        <v>27.63636363636364</v>
      </c>
    </row>
    <row r="491" spans="1:7" x14ac:dyDescent="0.25">
      <c r="A491" s="10">
        <v>45805.375</v>
      </c>
      <c r="B491" s="11">
        <v>26</v>
      </c>
      <c r="C491" s="11" t="s">
        <v>32</v>
      </c>
      <c r="D491" s="11" t="s">
        <v>33</v>
      </c>
      <c r="E491" s="11">
        <v>1.49</v>
      </c>
      <c r="F491" s="11">
        <v>4.97</v>
      </c>
      <c r="G491" s="8">
        <f t="shared" si="7"/>
        <v>17.987927565392358</v>
      </c>
    </row>
    <row r="492" spans="1:7" x14ac:dyDescent="0.25">
      <c r="A492" s="10">
        <v>45805.375</v>
      </c>
      <c r="B492" s="11">
        <v>27</v>
      </c>
      <c r="C492" s="11" t="s">
        <v>33</v>
      </c>
      <c r="D492" s="11" t="s">
        <v>34</v>
      </c>
      <c r="E492" s="11">
        <v>1.53</v>
      </c>
      <c r="F492" s="11">
        <v>3.48</v>
      </c>
      <c r="G492" s="8">
        <f t="shared" si="7"/>
        <v>26.379310344827587</v>
      </c>
    </row>
    <row r="493" spans="1:7" x14ac:dyDescent="0.25">
      <c r="A493" s="10">
        <v>45805.375</v>
      </c>
      <c r="B493" s="11">
        <v>28</v>
      </c>
      <c r="C493" s="11" t="s">
        <v>34</v>
      </c>
      <c r="D493" s="11" t="s">
        <v>35</v>
      </c>
      <c r="E493" s="11">
        <v>1.51</v>
      </c>
      <c r="F493" s="11">
        <v>4.17</v>
      </c>
      <c r="G493" s="8">
        <f t="shared" si="7"/>
        <v>21.726618705035971</v>
      </c>
    </row>
    <row r="494" spans="1:7" x14ac:dyDescent="0.25">
      <c r="A494" s="10">
        <v>45805.375</v>
      </c>
      <c r="B494" s="11">
        <v>29</v>
      </c>
      <c r="C494" s="11" t="s">
        <v>36</v>
      </c>
      <c r="D494" s="11" t="s">
        <v>37</v>
      </c>
      <c r="E494" s="11">
        <v>1.57</v>
      </c>
      <c r="F494" s="11">
        <v>4.55</v>
      </c>
      <c r="G494" s="8">
        <f t="shared" si="7"/>
        <v>20.703296703296704</v>
      </c>
    </row>
    <row r="495" spans="1:7" x14ac:dyDescent="0.25">
      <c r="A495" s="10">
        <v>45805.375</v>
      </c>
      <c r="B495" s="11">
        <v>30</v>
      </c>
      <c r="C495" s="11" t="s">
        <v>37</v>
      </c>
      <c r="D495" s="11" t="s">
        <v>38</v>
      </c>
      <c r="E495" s="11">
        <v>1.57</v>
      </c>
      <c r="F495" s="11">
        <v>6.4</v>
      </c>
      <c r="G495" s="8">
        <f t="shared" si="7"/>
        <v>14.71875</v>
      </c>
    </row>
    <row r="496" spans="1:7" x14ac:dyDescent="0.25">
      <c r="A496" s="10">
        <v>45805.375</v>
      </c>
      <c r="B496" s="11">
        <v>31</v>
      </c>
      <c r="C496" s="11" t="s">
        <v>38</v>
      </c>
      <c r="D496" s="11" t="s">
        <v>39</v>
      </c>
      <c r="E496" s="11">
        <v>1.52</v>
      </c>
      <c r="F496" s="11">
        <v>2.62</v>
      </c>
      <c r="G496" s="8">
        <f t="shared" si="7"/>
        <v>34.809160305343511</v>
      </c>
    </row>
    <row r="497" spans="1:7" x14ac:dyDescent="0.25">
      <c r="A497" s="10">
        <v>45805.375</v>
      </c>
      <c r="B497" s="11">
        <v>32</v>
      </c>
      <c r="C497" s="11" t="s">
        <v>39</v>
      </c>
      <c r="D497" s="11" t="s">
        <v>40</v>
      </c>
      <c r="E497" s="11">
        <v>1.5</v>
      </c>
      <c r="F497" s="11">
        <v>1.78</v>
      </c>
      <c r="G497" s="8">
        <f t="shared" si="7"/>
        <v>50.561797752808985</v>
      </c>
    </row>
    <row r="498" spans="1:7" x14ac:dyDescent="0.25">
      <c r="A498" s="10">
        <v>45805.375</v>
      </c>
      <c r="B498" s="11">
        <v>33</v>
      </c>
      <c r="C498" s="11" t="s">
        <v>40</v>
      </c>
      <c r="D498" s="11" t="s">
        <v>41</v>
      </c>
      <c r="E498" s="11">
        <v>1.51</v>
      </c>
      <c r="F498" s="11">
        <v>1.8</v>
      </c>
      <c r="G498" s="8">
        <f t="shared" si="7"/>
        <v>50.333333333333329</v>
      </c>
    </row>
    <row r="499" spans="1:7" x14ac:dyDescent="0.25">
      <c r="A499" s="10">
        <v>45805.375</v>
      </c>
      <c r="B499" s="11">
        <v>34</v>
      </c>
      <c r="C499" s="11" t="s">
        <v>41</v>
      </c>
      <c r="D499" s="11" t="s">
        <v>42</v>
      </c>
      <c r="E499" s="11">
        <v>1.5</v>
      </c>
      <c r="F499" s="11">
        <v>2.12</v>
      </c>
      <c r="G499" s="8">
        <f t="shared" si="7"/>
        <v>42.452830188679243</v>
      </c>
    </row>
    <row r="500" spans="1:7" x14ac:dyDescent="0.25">
      <c r="A500" s="10">
        <v>45805.375</v>
      </c>
      <c r="B500" s="11">
        <v>35</v>
      </c>
      <c r="C500" s="11" t="s">
        <v>43</v>
      </c>
      <c r="D500" s="11" t="s">
        <v>44</v>
      </c>
      <c r="E500" s="11">
        <v>1.55</v>
      </c>
      <c r="F500" s="11">
        <v>3.67</v>
      </c>
      <c r="G500" s="8">
        <f t="shared" si="7"/>
        <v>25.340599455040874</v>
      </c>
    </row>
    <row r="501" spans="1:7" x14ac:dyDescent="0.25">
      <c r="A501" s="10">
        <v>45805.375</v>
      </c>
      <c r="B501" s="11">
        <v>36</v>
      </c>
      <c r="C501" s="11" t="s">
        <v>44</v>
      </c>
      <c r="D501" s="11" t="s">
        <v>45</v>
      </c>
      <c r="E501" s="11">
        <v>1.5</v>
      </c>
      <c r="F501" s="11">
        <v>3.22</v>
      </c>
      <c r="G501" s="8">
        <f t="shared" si="7"/>
        <v>27.950310559006208</v>
      </c>
    </row>
    <row r="502" spans="1:7" x14ac:dyDescent="0.25">
      <c r="A502" s="10">
        <v>45805.375</v>
      </c>
      <c r="B502" s="11">
        <v>37</v>
      </c>
      <c r="C502" s="11" t="s">
        <v>45</v>
      </c>
      <c r="D502" s="11" t="s">
        <v>46</v>
      </c>
      <c r="E502" s="11">
        <v>1.38</v>
      </c>
      <c r="F502" s="11">
        <v>3.97</v>
      </c>
      <c r="G502" s="8">
        <f t="shared" si="7"/>
        <v>20.856423173803524</v>
      </c>
    </row>
    <row r="503" spans="1:7" x14ac:dyDescent="0.25">
      <c r="A503" s="10">
        <v>45805.375</v>
      </c>
      <c r="B503" s="11">
        <v>38</v>
      </c>
      <c r="C503" s="11" t="s">
        <v>46</v>
      </c>
      <c r="D503" s="11" t="s">
        <v>47</v>
      </c>
      <c r="E503" s="11">
        <v>1.61</v>
      </c>
      <c r="F503" s="11">
        <v>3.77</v>
      </c>
      <c r="G503" s="8">
        <f t="shared" si="7"/>
        <v>25.623342175066316</v>
      </c>
    </row>
    <row r="504" spans="1:7" x14ac:dyDescent="0.25">
      <c r="A504" s="10">
        <v>45805.375</v>
      </c>
      <c r="B504" s="11">
        <v>39</v>
      </c>
      <c r="C504" s="11" t="s">
        <v>47</v>
      </c>
      <c r="D504" s="11" t="s">
        <v>48</v>
      </c>
      <c r="E504" s="11">
        <v>1.55</v>
      </c>
      <c r="F504" s="11">
        <v>3.45</v>
      </c>
      <c r="G504" s="8">
        <f t="shared" si="7"/>
        <v>26.956521739130434</v>
      </c>
    </row>
    <row r="505" spans="1:7" x14ac:dyDescent="0.25">
      <c r="A505" s="10">
        <v>45805.375</v>
      </c>
      <c r="B505" s="11">
        <v>40</v>
      </c>
      <c r="C505" s="11" t="s">
        <v>48</v>
      </c>
      <c r="D505" s="11" t="s">
        <v>49</v>
      </c>
      <c r="E505" s="11">
        <v>1.39</v>
      </c>
      <c r="F505" s="11">
        <v>2.73</v>
      </c>
      <c r="G505" s="8">
        <f t="shared" si="7"/>
        <v>30.549450549450547</v>
      </c>
    </row>
    <row r="506" spans="1:7" x14ac:dyDescent="0.25">
      <c r="A506" s="10">
        <v>45805.375</v>
      </c>
      <c r="B506" s="11">
        <v>41</v>
      </c>
      <c r="C506" s="11" t="s">
        <v>50</v>
      </c>
      <c r="D506" s="11" t="s">
        <v>51</v>
      </c>
      <c r="E506" s="11">
        <v>1.56</v>
      </c>
      <c r="F506" s="11">
        <v>4.57</v>
      </c>
      <c r="G506" s="8">
        <f t="shared" si="7"/>
        <v>20.481400437636761</v>
      </c>
    </row>
    <row r="507" spans="1:7" x14ac:dyDescent="0.25">
      <c r="A507" s="10">
        <v>45805.375</v>
      </c>
      <c r="B507" s="11">
        <v>42</v>
      </c>
      <c r="C507" s="11" t="s">
        <v>51</v>
      </c>
      <c r="D507" s="11" t="s">
        <v>52</v>
      </c>
      <c r="E507" s="11">
        <v>1.56</v>
      </c>
      <c r="F507" s="11">
        <v>4.22</v>
      </c>
      <c r="G507" s="8">
        <f t="shared" si="7"/>
        <v>22.18009478672986</v>
      </c>
    </row>
    <row r="508" spans="1:7" x14ac:dyDescent="0.25">
      <c r="A508" s="10">
        <v>45805.375</v>
      </c>
      <c r="B508" s="11">
        <v>43</v>
      </c>
      <c r="C508" s="11" t="s">
        <v>52</v>
      </c>
      <c r="D508" s="11" t="s">
        <v>53</v>
      </c>
      <c r="E508" s="11">
        <v>1.51</v>
      </c>
      <c r="F508" s="11">
        <v>3.45</v>
      </c>
      <c r="G508" s="8">
        <f t="shared" si="7"/>
        <v>26.260869565217387</v>
      </c>
    </row>
    <row r="509" spans="1:7" x14ac:dyDescent="0.25">
      <c r="A509" s="10">
        <v>45805.375</v>
      </c>
      <c r="B509" s="11">
        <v>44</v>
      </c>
      <c r="C509" s="11" t="s">
        <v>54</v>
      </c>
      <c r="D509" s="11" t="s">
        <v>55</v>
      </c>
      <c r="E509" s="11">
        <v>1.51</v>
      </c>
      <c r="F509" s="11">
        <v>4.3</v>
      </c>
      <c r="G509" s="8">
        <f t="shared" si="7"/>
        <v>21.069767441860463</v>
      </c>
    </row>
    <row r="510" spans="1:7" x14ac:dyDescent="0.25">
      <c r="A510" s="10">
        <v>45805.375</v>
      </c>
      <c r="B510" s="11">
        <v>45</v>
      </c>
      <c r="C510" s="11" t="s">
        <v>55</v>
      </c>
      <c r="D510" s="11" t="s">
        <v>56</v>
      </c>
      <c r="E510" s="11">
        <v>1.49</v>
      </c>
      <c r="F510" s="11">
        <v>3.6</v>
      </c>
      <c r="G510" s="8">
        <f t="shared" si="7"/>
        <v>24.833333333333336</v>
      </c>
    </row>
    <row r="511" spans="1:7" x14ac:dyDescent="0.25">
      <c r="A511" s="10">
        <v>45805.375</v>
      </c>
      <c r="B511" s="11">
        <v>46</v>
      </c>
      <c r="C511" s="11" t="s">
        <v>56</v>
      </c>
      <c r="D511" s="11" t="s">
        <v>57</v>
      </c>
      <c r="E511" s="11">
        <v>1.52</v>
      </c>
      <c r="F511" s="11">
        <v>4.33</v>
      </c>
      <c r="G511" s="8">
        <f t="shared" si="7"/>
        <v>21.062355658198616</v>
      </c>
    </row>
    <row r="512" spans="1:7" x14ac:dyDescent="0.25">
      <c r="A512" s="10">
        <v>45805.375</v>
      </c>
      <c r="B512" s="11">
        <v>47</v>
      </c>
      <c r="C512" s="11" t="s">
        <v>58</v>
      </c>
      <c r="D512" s="11" t="s">
        <v>59</v>
      </c>
      <c r="E512" s="11">
        <v>1.52</v>
      </c>
      <c r="F512" s="11">
        <v>5.52</v>
      </c>
      <c r="G512" s="8">
        <f t="shared" si="7"/>
        <v>16.521739130434785</v>
      </c>
    </row>
    <row r="513" spans="1:7" x14ac:dyDescent="0.25">
      <c r="A513" s="10">
        <v>45805.375</v>
      </c>
      <c r="B513" s="11">
        <v>48</v>
      </c>
      <c r="C513" s="11" t="s">
        <v>59</v>
      </c>
      <c r="D513" s="11" t="s">
        <v>60</v>
      </c>
      <c r="E513" s="11">
        <v>1.5</v>
      </c>
      <c r="F513" s="11">
        <v>3.48</v>
      </c>
      <c r="G513" s="8">
        <f t="shared" si="7"/>
        <v>25.862068965517242</v>
      </c>
    </row>
    <row r="514" spans="1:7" x14ac:dyDescent="0.25">
      <c r="A514" s="10">
        <v>45805.375</v>
      </c>
      <c r="B514" s="11">
        <v>49</v>
      </c>
      <c r="C514" s="11" t="s">
        <v>60</v>
      </c>
      <c r="D514" s="11" t="s">
        <v>61</v>
      </c>
      <c r="E514" s="11">
        <v>1.54</v>
      </c>
      <c r="F514" s="11">
        <v>3.72</v>
      </c>
      <c r="G514" s="8">
        <f t="shared" si="7"/>
        <v>24.838709677419356</v>
      </c>
    </row>
    <row r="515" spans="1:7" x14ac:dyDescent="0.25">
      <c r="A515" s="10">
        <v>45805.375</v>
      </c>
      <c r="B515" s="11">
        <v>50</v>
      </c>
      <c r="C515" s="11" t="s">
        <v>62</v>
      </c>
      <c r="D515" s="11" t="s">
        <v>63</v>
      </c>
      <c r="E515" s="11">
        <v>1.38</v>
      </c>
      <c r="F515" s="11">
        <v>3.03</v>
      </c>
      <c r="G515" s="8">
        <f t="shared" ref="G515:G578" si="8">E515*60/F515</f>
        <v>27.326732673267326</v>
      </c>
    </row>
    <row r="516" spans="1:7" x14ac:dyDescent="0.25">
      <c r="A516" s="10">
        <v>45805.375</v>
      </c>
      <c r="B516" s="11">
        <v>51</v>
      </c>
      <c r="C516" s="11" t="s">
        <v>63</v>
      </c>
      <c r="D516" s="11" t="s">
        <v>64</v>
      </c>
      <c r="E516" s="11">
        <v>2.79</v>
      </c>
      <c r="F516" s="11">
        <v>5.75</v>
      </c>
      <c r="G516" s="8">
        <f t="shared" si="8"/>
        <v>29.11304347826087</v>
      </c>
    </row>
    <row r="517" spans="1:7" x14ac:dyDescent="0.25">
      <c r="A517" s="10">
        <v>45805.375</v>
      </c>
      <c r="B517" s="11">
        <v>52</v>
      </c>
      <c r="C517" s="11" t="s">
        <v>64</v>
      </c>
      <c r="D517" s="11" t="s">
        <v>65</v>
      </c>
      <c r="E517" s="11">
        <v>1.5</v>
      </c>
      <c r="F517" s="11">
        <v>3.12</v>
      </c>
      <c r="G517" s="8">
        <f t="shared" si="8"/>
        <v>28.846153846153847</v>
      </c>
    </row>
    <row r="518" spans="1:7" x14ac:dyDescent="0.25">
      <c r="A518" s="10">
        <v>45805.375</v>
      </c>
      <c r="B518" s="11">
        <v>53</v>
      </c>
      <c r="C518" s="11" t="s">
        <v>65</v>
      </c>
      <c r="D518" s="11" t="s">
        <v>66</v>
      </c>
      <c r="E518" s="11">
        <v>1.46</v>
      </c>
      <c r="F518" s="11">
        <v>3.92</v>
      </c>
      <c r="G518" s="8">
        <f t="shared" si="8"/>
        <v>22.346938775510203</v>
      </c>
    </row>
    <row r="519" spans="1:7" x14ac:dyDescent="0.25">
      <c r="A519" s="10">
        <v>45805.375</v>
      </c>
      <c r="B519" s="11">
        <v>54</v>
      </c>
      <c r="C519" s="11" t="s">
        <v>67</v>
      </c>
      <c r="D519" s="11" t="s">
        <v>68</v>
      </c>
      <c r="E519" s="11">
        <v>1.46</v>
      </c>
      <c r="F519" s="11">
        <v>5.62</v>
      </c>
      <c r="G519" s="8">
        <f t="shared" si="8"/>
        <v>15.587188612099643</v>
      </c>
    </row>
    <row r="520" spans="1:7" x14ac:dyDescent="0.25">
      <c r="A520" s="10">
        <v>45805.375</v>
      </c>
      <c r="B520" s="11">
        <v>55</v>
      </c>
      <c r="C520" s="11" t="s">
        <v>68</v>
      </c>
      <c r="D520" s="11" t="s">
        <v>69</v>
      </c>
      <c r="E520" s="11">
        <v>1.5</v>
      </c>
      <c r="F520" s="11">
        <v>2.33</v>
      </c>
      <c r="G520" s="8">
        <f t="shared" si="8"/>
        <v>38.626609442060087</v>
      </c>
    </row>
    <row r="521" spans="1:7" x14ac:dyDescent="0.25">
      <c r="A521" s="10">
        <v>45805.375</v>
      </c>
      <c r="B521" s="11">
        <v>56</v>
      </c>
      <c r="C521" s="11" t="s">
        <v>70</v>
      </c>
      <c r="D521" s="11" t="s">
        <v>71</v>
      </c>
      <c r="E521" s="11">
        <v>1.51</v>
      </c>
      <c r="F521" s="11">
        <v>4.88</v>
      </c>
      <c r="G521" s="8">
        <f t="shared" si="8"/>
        <v>18.565573770491802</v>
      </c>
    </row>
    <row r="522" spans="1:7" x14ac:dyDescent="0.25">
      <c r="A522" s="10">
        <v>45805.375</v>
      </c>
      <c r="B522" s="11">
        <v>57</v>
      </c>
      <c r="C522" s="11" t="s">
        <v>71</v>
      </c>
      <c r="D522" s="11" t="s">
        <v>72</v>
      </c>
      <c r="E522" s="11">
        <v>1.52</v>
      </c>
      <c r="F522" s="11">
        <v>4.4800000000000004</v>
      </c>
      <c r="G522" s="8">
        <f t="shared" si="8"/>
        <v>20.357142857142854</v>
      </c>
    </row>
    <row r="523" spans="1:7" x14ac:dyDescent="0.25">
      <c r="A523" s="10">
        <v>45805.375</v>
      </c>
      <c r="B523" s="11">
        <v>58</v>
      </c>
      <c r="C523" s="11" t="s">
        <v>72</v>
      </c>
      <c r="D523" s="11" t="s">
        <v>73</v>
      </c>
      <c r="E523" s="11">
        <v>1.5</v>
      </c>
      <c r="F523" s="11">
        <v>3.85</v>
      </c>
      <c r="G523" s="8">
        <f t="shared" si="8"/>
        <v>23.376623376623375</v>
      </c>
    </row>
    <row r="524" spans="1:7" x14ac:dyDescent="0.25">
      <c r="A524" s="10">
        <v>45805.385416666664</v>
      </c>
      <c r="B524" s="11">
        <v>1</v>
      </c>
      <c r="C524" s="11" t="s">
        <v>6</v>
      </c>
      <c r="D524" s="11" t="s">
        <v>7</v>
      </c>
      <c r="E524" s="11">
        <v>1.53</v>
      </c>
      <c r="F524" s="11">
        <v>3.23</v>
      </c>
      <c r="G524" s="8">
        <f t="shared" si="8"/>
        <v>28.421052631578945</v>
      </c>
    </row>
    <row r="525" spans="1:7" x14ac:dyDescent="0.25">
      <c r="A525" s="10">
        <v>45805.385416666664</v>
      </c>
      <c r="B525" s="11">
        <v>2</v>
      </c>
      <c r="C525" s="11" t="s">
        <v>7</v>
      </c>
      <c r="D525" s="11" t="s">
        <v>8</v>
      </c>
      <c r="E525" s="11">
        <v>1.57</v>
      </c>
      <c r="F525" s="11">
        <v>4.72</v>
      </c>
      <c r="G525" s="8">
        <f t="shared" si="8"/>
        <v>19.957627118644069</v>
      </c>
    </row>
    <row r="526" spans="1:7" x14ac:dyDescent="0.25">
      <c r="A526" s="10">
        <v>45805.385416666664</v>
      </c>
      <c r="B526" s="11">
        <v>3</v>
      </c>
      <c r="C526" s="11" t="s">
        <v>8</v>
      </c>
      <c r="D526" s="11" t="s">
        <v>9</v>
      </c>
      <c r="E526" s="11">
        <v>1.5</v>
      </c>
      <c r="F526" s="11">
        <v>3.4</v>
      </c>
      <c r="G526" s="8">
        <f t="shared" si="8"/>
        <v>26.47058823529412</v>
      </c>
    </row>
    <row r="527" spans="1:7" x14ac:dyDescent="0.25">
      <c r="A527" s="10">
        <v>45805.385416666664</v>
      </c>
      <c r="B527" s="11">
        <v>4</v>
      </c>
      <c r="C527" s="11" t="s">
        <v>9</v>
      </c>
      <c r="D527" s="11" t="s">
        <v>10</v>
      </c>
      <c r="E527" s="11">
        <v>1.5</v>
      </c>
      <c r="F527" s="11">
        <v>2.82</v>
      </c>
      <c r="G527" s="8">
        <f t="shared" si="8"/>
        <v>31.914893617021278</v>
      </c>
    </row>
    <row r="528" spans="1:7" x14ac:dyDescent="0.25">
      <c r="A528" s="10">
        <v>45805.385416666664</v>
      </c>
      <c r="B528" s="11">
        <v>5</v>
      </c>
      <c r="C528" s="11" t="s">
        <v>10</v>
      </c>
      <c r="D528" s="11" t="s">
        <v>11</v>
      </c>
      <c r="E528" s="11">
        <v>1.52</v>
      </c>
      <c r="F528" s="11">
        <v>2.9</v>
      </c>
      <c r="G528" s="8">
        <f t="shared" si="8"/>
        <v>31.448275862068968</v>
      </c>
    </row>
    <row r="529" spans="1:7" x14ac:dyDescent="0.25">
      <c r="A529" s="10">
        <v>45805.385416666664</v>
      </c>
      <c r="B529" s="11">
        <v>6</v>
      </c>
      <c r="C529" s="11" t="s">
        <v>11</v>
      </c>
      <c r="D529" s="11" t="s">
        <v>12</v>
      </c>
      <c r="E529" s="11">
        <v>1.5</v>
      </c>
      <c r="F529" s="11">
        <v>2.52</v>
      </c>
      <c r="G529" s="8">
        <f t="shared" si="8"/>
        <v>35.714285714285715</v>
      </c>
    </row>
    <row r="530" spans="1:7" x14ac:dyDescent="0.25">
      <c r="A530" s="10">
        <v>45805.385416666664</v>
      </c>
      <c r="B530" s="11">
        <v>7</v>
      </c>
      <c r="C530" s="11" t="s">
        <v>12</v>
      </c>
      <c r="D530" s="11" t="s">
        <v>13</v>
      </c>
      <c r="E530" s="11">
        <v>1.54</v>
      </c>
      <c r="F530" s="11">
        <v>2.5</v>
      </c>
      <c r="G530" s="8">
        <f t="shared" si="8"/>
        <v>36.96</v>
      </c>
    </row>
    <row r="531" spans="1:7" x14ac:dyDescent="0.25">
      <c r="A531" s="10">
        <v>45805.385416666664</v>
      </c>
      <c r="B531" s="11">
        <v>8</v>
      </c>
      <c r="C531" s="11" t="s">
        <v>13</v>
      </c>
      <c r="D531" s="11" t="s">
        <v>14</v>
      </c>
      <c r="E531" s="11">
        <v>1.54</v>
      </c>
      <c r="F531" s="11">
        <v>3.2</v>
      </c>
      <c r="G531" s="8">
        <f t="shared" si="8"/>
        <v>28.875</v>
      </c>
    </row>
    <row r="532" spans="1:7" x14ac:dyDescent="0.25">
      <c r="A532" s="10">
        <v>45805.385416666664</v>
      </c>
      <c r="B532" s="11">
        <v>9</v>
      </c>
      <c r="C532" s="11" t="s">
        <v>14</v>
      </c>
      <c r="D532" s="11" t="s">
        <v>15</v>
      </c>
      <c r="E532" s="11">
        <v>1.52</v>
      </c>
      <c r="F532" s="11">
        <v>4.12</v>
      </c>
      <c r="G532" s="8">
        <f t="shared" si="8"/>
        <v>22.135922330097088</v>
      </c>
    </row>
    <row r="533" spans="1:7" x14ac:dyDescent="0.25">
      <c r="A533" s="10">
        <v>45805.385416666664</v>
      </c>
      <c r="B533" s="11">
        <v>10</v>
      </c>
      <c r="C533" s="11" t="s">
        <v>15</v>
      </c>
      <c r="D533" s="11" t="s">
        <v>16</v>
      </c>
      <c r="E533" s="11">
        <v>1.5</v>
      </c>
      <c r="F533" s="11">
        <v>4.17</v>
      </c>
      <c r="G533" s="8">
        <f t="shared" si="8"/>
        <v>21.582733812949641</v>
      </c>
    </row>
    <row r="534" spans="1:7" x14ac:dyDescent="0.25">
      <c r="A534" s="10">
        <v>45805.385416666664</v>
      </c>
      <c r="B534" s="11">
        <v>11</v>
      </c>
      <c r="C534" s="11" t="s">
        <v>16</v>
      </c>
      <c r="D534" s="11" t="s">
        <v>17</v>
      </c>
      <c r="E534" s="11">
        <v>1.48</v>
      </c>
      <c r="F534" s="11">
        <v>3.08</v>
      </c>
      <c r="G534" s="8">
        <f t="shared" si="8"/>
        <v>28.831168831168828</v>
      </c>
    </row>
    <row r="535" spans="1:7" x14ac:dyDescent="0.25">
      <c r="A535" s="10">
        <v>45805.385416666664</v>
      </c>
      <c r="B535" s="11">
        <v>12</v>
      </c>
      <c r="C535" s="11" t="s">
        <v>17</v>
      </c>
      <c r="D535" s="11" t="s">
        <v>18</v>
      </c>
      <c r="E535" s="11">
        <v>1.46</v>
      </c>
      <c r="F535" s="11">
        <v>4.63</v>
      </c>
      <c r="G535" s="8">
        <f t="shared" si="8"/>
        <v>18.920086393088553</v>
      </c>
    </row>
    <row r="536" spans="1:7" x14ac:dyDescent="0.25">
      <c r="A536" s="10">
        <v>45805.385416666664</v>
      </c>
      <c r="B536" s="11">
        <v>13</v>
      </c>
      <c r="C536" s="11" t="s">
        <v>18</v>
      </c>
      <c r="D536" s="11" t="s">
        <v>19</v>
      </c>
      <c r="E536" s="11">
        <v>1.52</v>
      </c>
      <c r="F536" s="11">
        <v>4.28</v>
      </c>
      <c r="G536" s="8">
        <f t="shared" si="8"/>
        <v>21.308411214953271</v>
      </c>
    </row>
    <row r="537" spans="1:7" x14ac:dyDescent="0.25">
      <c r="A537" s="10">
        <v>45805.385416666664</v>
      </c>
      <c r="B537" s="11">
        <v>14</v>
      </c>
      <c r="C537" s="11" t="s">
        <v>19</v>
      </c>
      <c r="D537" s="11" t="s">
        <v>20</v>
      </c>
      <c r="E537" s="11">
        <v>1.51</v>
      </c>
      <c r="F537" s="11">
        <v>3.6</v>
      </c>
      <c r="G537" s="8">
        <f t="shared" si="8"/>
        <v>25.166666666666664</v>
      </c>
    </row>
    <row r="538" spans="1:7" x14ac:dyDescent="0.25">
      <c r="A538" s="10">
        <v>45805.385416666664</v>
      </c>
      <c r="B538" s="11">
        <v>15</v>
      </c>
      <c r="C538" s="11" t="s">
        <v>20</v>
      </c>
      <c r="D538" s="11" t="s">
        <v>21</v>
      </c>
      <c r="E538" s="11">
        <v>1.47</v>
      </c>
      <c r="F538" s="11">
        <v>2.83</v>
      </c>
      <c r="G538" s="8">
        <f t="shared" si="8"/>
        <v>31.166077738515902</v>
      </c>
    </row>
    <row r="539" spans="1:7" x14ac:dyDescent="0.25">
      <c r="A539" s="10">
        <v>45805.385416666664</v>
      </c>
      <c r="B539" s="11">
        <v>16</v>
      </c>
      <c r="C539" s="11" t="s">
        <v>21</v>
      </c>
      <c r="D539" s="11" t="s">
        <v>22</v>
      </c>
      <c r="E539" s="11">
        <v>1.5</v>
      </c>
      <c r="F539" s="11">
        <v>1.8</v>
      </c>
      <c r="G539" s="8">
        <f t="shared" si="8"/>
        <v>50</v>
      </c>
    </row>
    <row r="540" spans="1:7" x14ac:dyDescent="0.25">
      <c r="A540" s="10">
        <v>45805.385416666664</v>
      </c>
      <c r="B540" s="11">
        <v>17</v>
      </c>
      <c r="C540" s="11" t="s">
        <v>22</v>
      </c>
      <c r="D540" s="11" t="s">
        <v>23</v>
      </c>
      <c r="E540" s="11">
        <v>1.51</v>
      </c>
      <c r="F540" s="11">
        <v>2.98</v>
      </c>
      <c r="G540" s="8">
        <f t="shared" si="8"/>
        <v>30.402684563758388</v>
      </c>
    </row>
    <row r="541" spans="1:7" x14ac:dyDescent="0.25">
      <c r="A541" s="10">
        <v>45805.385416666664</v>
      </c>
      <c r="B541" s="11">
        <v>18</v>
      </c>
      <c r="C541" s="11" t="s">
        <v>23</v>
      </c>
      <c r="D541" s="11" t="s">
        <v>24</v>
      </c>
      <c r="E541" s="11">
        <v>1.51</v>
      </c>
      <c r="F541" s="11">
        <v>3.03</v>
      </c>
      <c r="G541" s="8">
        <f t="shared" si="8"/>
        <v>29.900990099009903</v>
      </c>
    </row>
    <row r="542" spans="1:7" x14ac:dyDescent="0.25">
      <c r="A542" s="10">
        <v>45805.385416666664</v>
      </c>
      <c r="B542" s="11">
        <v>19</v>
      </c>
      <c r="C542" s="11" t="s">
        <v>25</v>
      </c>
      <c r="D542" s="11" t="s">
        <v>26</v>
      </c>
      <c r="E542" s="11">
        <v>1.5</v>
      </c>
      <c r="F542" s="11">
        <v>4.07</v>
      </c>
      <c r="G542" s="8">
        <f t="shared" si="8"/>
        <v>22.113022113022112</v>
      </c>
    </row>
    <row r="543" spans="1:7" x14ac:dyDescent="0.25">
      <c r="A543" s="10">
        <v>45805.385416666664</v>
      </c>
      <c r="B543" s="11">
        <v>20</v>
      </c>
      <c r="C543" s="11" t="s">
        <v>26</v>
      </c>
      <c r="D543" s="11" t="s">
        <v>27</v>
      </c>
      <c r="E543" s="11">
        <v>1.48</v>
      </c>
      <c r="F543" s="11">
        <v>4.38</v>
      </c>
      <c r="G543" s="8">
        <f t="shared" si="8"/>
        <v>20.273972602739725</v>
      </c>
    </row>
    <row r="544" spans="1:7" x14ac:dyDescent="0.25">
      <c r="A544" s="10">
        <v>45805.385416666664</v>
      </c>
      <c r="B544" s="11">
        <v>21</v>
      </c>
      <c r="C544" s="11" t="s">
        <v>27</v>
      </c>
      <c r="D544" s="11" t="s">
        <v>28</v>
      </c>
      <c r="E544" s="11">
        <v>1.51</v>
      </c>
      <c r="F544" s="11">
        <v>3.62</v>
      </c>
      <c r="G544" s="8">
        <f t="shared" si="8"/>
        <v>25.027624309392262</v>
      </c>
    </row>
    <row r="545" spans="1:7" x14ac:dyDescent="0.25">
      <c r="A545" s="10">
        <v>45805.385416666664</v>
      </c>
      <c r="B545" s="11">
        <v>22</v>
      </c>
      <c r="C545" s="11" t="s">
        <v>28</v>
      </c>
      <c r="D545" s="11" t="s">
        <v>29</v>
      </c>
      <c r="E545" s="11">
        <v>1.57</v>
      </c>
      <c r="F545" s="11">
        <v>3.43</v>
      </c>
      <c r="G545" s="8">
        <f t="shared" si="8"/>
        <v>27.463556851311953</v>
      </c>
    </row>
    <row r="546" spans="1:7" x14ac:dyDescent="0.25">
      <c r="A546" s="10">
        <v>45805.385416666664</v>
      </c>
      <c r="B546" s="11">
        <v>23</v>
      </c>
      <c r="C546" s="11" t="s">
        <v>29</v>
      </c>
      <c r="D546" s="11" t="s">
        <v>30</v>
      </c>
      <c r="E546" s="11">
        <v>1.43</v>
      </c>
      <c r="F546" s="11">
        <v>4.12</v>
      </c>
      <c r="G546" s="8">
        <f t="shared" si="8"/>
        <v>20.825242718446599</v>
      </c>
    </row>
    <row r="547" spans="1:7" x14ac:dyDescent="0.25">
      <c r="A547" s="10">
        <v>45805.385416666664</v>
      </c>
      <c r="B547" s="11">
        <v>24</v>
      </c>
      <c r="C547" s="11" t="s">
        <v>30</v>
      </c>
      <c r="D547" s="11" t="s">
        <v>31</v>
      </c>
      <c r="E547" s="11">
        <v>1.52</v>
      </c>
      <c r="F547" s="11">
        <v>3.35</v>
      </c>
      <c r="G547" s="8">
        <f t="shared" si="8"/>
        <v>27.223880597014926</v>
      </c>
    </row>
    <row r="548" spans="1:7" x14ac:dyDescent="0.25">
      <c r="A548" s="10">
        <v>45805.385416666664</v>
      </c>
      <c r="B548" s="11">
        <v>25</v>
      </c>
      <c r="C548" s="11" t="s">
        <v>31</v>
      </c>
      <c r="D548" s="11" t="s">
        <v>32</v>
      </c>
      <c r="E548" s="11">
        <v>1.52</v>
      </c>
      <c r="F548" s="11">
        <v>3.52</v>
      </c>
      <c r="G548" s="8">
        <f t="shared" si="8"/>
        <v>25.90909090909091</v>
      </c>
    </row>
    <row r="549" spans="1:7" x14ac:dyDescent="0.25">
      <c r="A549" s="10">
        <v>45805.385416666664</v>
      </c>
      <c r="B549" s="11">
        <v>26</v>
      </c>
      <c r="C549" s="11" t="s">
        <v>32</v>
      </c>
      <c r="D549" s="11" t="s">
        <v>33</v>
      </c>
      <c r="E549" s="11">
        <v>1.49</v>
      </c>
      <c r="F549" s="11">
        <v>5.62</v>
      </c>
      <c r="G549" s="8">
        <f t="shared" si="8"/>
        <v>15.907473309608541</v>
      </c>
    </row>
    <row r="550" spans="1:7" x14ac:dyDescent="0.25">
      <c r="A550" s="10">
        <v>45805.385416666664</v>
      </c>
      <c r="B550" s="11">
        <v>27</v>
      </c>
      <c r="C550" s="11" t="s">
        <v>33</v>
      </c>
      <c r="D550" s="11" t="s">
        <v>34</v>
      </c>
      <c r="E550" s="11">
        <v>1.53</v>
      </c>
      <c r="F550" s="11">
        <v>3.8</v>
      </c>
      <c r="G550" s="8">
        <f t="shared" si="8"/>
        <v>24.157894736842106</v>
      </c>
    </row>
    <row r="551" spans="1:7" x14ac:dyDescent="0.25">
      <c r="A551" s="10">
        <v>45805.385416666664</v>
      </c>
      <c r="B551" s="11">
        <v>28</v>
      </c>
      <c r="C551" s="11" t="s">
        <v>34</v>
      </c>
      <c r="D551" s="11" t="s">
        <v>35</v>
      </c>
      <c r="E551" s="11">
        <v>1.51</v>
      </c>
      <c r="F551" s="11">
        <v>4.17</v>
      </c>
      <c r="G551" s="8">
        <f t="shared" si="8"/>
        <v>21.726618705035971</v>
      </c>
    </row>
    <row r="552" spans="1:7" x14ac:dyDescent="0.25">
      <c r="A552" s="10">
        <v>45805.385416666664</v>
      </c>
      <c r="B552" s="11">
        <v>29</v>
      </c>
      <c r="C552" s="11" t="s">
        <v>36</v>
      </c>
      <c r="D552" s="11" t="s">
        <v>37</v>
      </c>
      <c r="E552" s="11">
        <v>1.57</v>
      </c>
      <c r="F552" s="11">
        <v>5.2</v>
      </c>
      <c r="G552" s="8">
        <f t="shared" si="8"/>
        <v>18.115384615384617</v>
      </c>
    </row>
    <row r="553" spans="1:7" x14ac:dyDescent="0.25">
      <c r="A553" s="10">
        <v>45805.385416666664</v>
      </c>
      <c r="B553" s="11">
        <v>30</v>
      </c>
      <c r="C553" s="11" t="s">
        <v>37</v>
      </c>
      <c r="D553" s="11" t="s">
        <v>38</v>
      </c>
      <c r="E553" s="11">
        <v>1.57</v>
      </c>
      <c r="F553" s="11">
        <v>6.55</v>
      </c>
      <c r="G553" s="8">
        <f t="shared" si="8"/>
        <v>14.381679389312978</v>
      </c>
    </row>
    <row r="554" spans="1:7" x14ac:dyDescent="0.25">
      <c r="A554" s="10">
        <v>45805.385416666664</v>
      </c>
      <c r="B554" s="11">
        <v>31</v>
      </c>
      <c r="C554" s="11" t="s">
        <v>38</v>
      </c>
      <c r="D554" s="11" t="s">
        <v>39</v>
      </c>
      <c r="E554" s="11">
        <v>1.52</v>
      </c>
      <c r="F554" s="11">
        <v>2.83</v>
      </c>
      <c r="G554" s="8">
        <f t="shared" si="8"/>
        <v>32.226148409893995</v>
      </c>
    </row>
    <row r="555" spans="1:7" x14ac:dyDescent="0.25">
      <c r="A555" s="10">
        <v>45805.385416666664</v>
      </c>
      <c r="B555" s="11">
        <v>32</v>
      </c>
      <c r="C555" s="11" t="s">
        <v>39</v>
      </c>
      <c r="D555" s="11" t="s">
        <v>40</v>
      </c>
      <c r="E555" s="11">
        <v>1.5</v>
      </c>
      <c r="F555" s="11">
        <v>1.78</v>
      </c>
      <c r="G555" s="8">
        <f t="shared" si="8"/>
        <v>50.561797752808985</v>
      </c>
    </row>
    <row r="556" spans="1:7" x14ac:dyDescent="0.25">
      <c r="A556" s="10">
        <v>45805.385416666664</v>
      </c>
      <c r="B556" s="11">
        <v>33</v>
      </c>
      <c r="C556" s="11" t="s">
        <v>40</v>
      </c>
      <c r="D556" s="11" t="s">
        <v>41</v>
      </c>
      <c r="E556" s="11">
        <v>1.51</v>
      </c>
      <c r="F556" s="11">
        <v>1.83</v>
      </c>
      <c r="G556" s="8">
        <f t="shared" si="8"/>
        <v>49.508196721311471</v>
      </c>
    </row>
    <row r="557" spans="1:7" x14ac:dyDescent="0.25">
      <c r="A557" s="10">
        <v>45805.385416666664</v>
      </c>
      <c r="B557" s="11">
        <v>34</v>
      </c>
      <c r="C557" s="11" t="s">
        <v>41</v>
      </c>
      <c r="D557" s="11" t="s">
        <v>42</v>
      </c>
      <c r="E557" s="11">
        <v>1.5</v>
      </c>
      <c r="F557" s="11">
        <v>1.9</v>
      </c>
      <c r="G557" s="8">
        <f t="shared" si="8"/>
        <v>47.368421052631582</v>
      </c>
    </row>
    <row r="558" spans="1:7" x14ac:dyDescent="0.25">
      <c r="A558" s="10">
        <v>45805.385416666664</v>
      </c>
      <c r="B558" s="11">
        <v>35</v>
      </c>
      <c r="C558" s="11" t="s">
        <v>43</v>
      </c>
      <c r="D558" s="11" t="s">
        <v>44</v>
      </c>
      <c r="E558" s="11">
        <v>1.55</v>
      </c>
      <c r="F558" s="11">
        <v>4.12</v>
      </c>
      <c r="G558" s="8">
        <f t="shared" si="8"/>
        <v>22.572815533980581</v>
      </c>
    </row>
    <row r="559" spans="1:7" x14ac:dyDescent="0.25">
      <c r="A559" s="10">
        <v>45805.385416666664</v>
      </c>
      <c r="B559" s="11">
        <v>36</v>
      </c>
      <c r="C559" s="11" t="s">
        <v>44</v>
      </c>
      <c r="D559" s="11" t="s">
        <v>45</v>
      </c>
      <c r="E559" s="11">
        <v>1.5</v>
      </c>
      <c r="F559" s="11">
        <v>3.08</v>
      </c>
      <c r="G559" s="8">
        <f t="shared" si="8"/>
        <v>29.220779220779221</v>
      </c>
    </row>
    <row r="560" spans="1:7" x14ac:dyDescent="0.25">
      <c r="A560" s="10">
        <v>45805.385416666664</v>
      </c>
      <c r="B560" s="11">
        <v>37</v>
      </c>
      <c r="C560" s="11" t="s">
        <v>45</v>
      </c>
      <c r="D560" s="11" t="s">
        <v>46</v>
      </c>
      <c r="E560" s="11">
        <v>1.38</v>
      </c>
      <c r="F560" s="11">
        <v>3.85</v>
      </c>
      <c r="G560" s="8">
        <f t="shared" si="8"/>
        <v>21.506493506493506</v>
      </c>
    </row>
    <row r="561" spans="1:7" x14ac:dyDescent="0.25">
      <c r="A561" s="10">
        <v>45805.385416666664</v>
      </c>
      <c r="B561" s="11">
        <v>38</v>
      </c>
      <c r="C561" s="11" t="s">
        <v>46</v>
      </c>
      <c r="D561" s="11" t="s">
        <v>47</v>
      </c>
      <c r="E561" s="11">
        <v>1.61</v>
      </c>
      <c r="F561" s="11">
        <v>3.67</v>
      </c>
      <c r="G561" s="8">
        <f t="shared" si="8"/>
        <v>26.321525885558586</v>
      </c>
    </row>
    <row r="562" spans="1:7" x14ac:dyDescent="0.25">
      <c r="A562" s="10">
        <v>45805.385416666664</v>
      </c>
      <c r="B562" s="11">
        <v>39</v>
      </c>
      <c r="C562" s="11" t="s">
        <v>47</v>
      </c>
      <c r="D562" s="11" t="s">
        <v>48</v>
      </c>
      <c r="E562" s="11">
        <v>1.55</v>
      </c>
      <c r="F562" s="11">
        <v>3.27</v>
      </c>
      <c r="G562" s="8">
        <f t="shared" si="8"/>
        <v>28.440366972477065</v>
      </c>
    </row>
    <row r="563" spans="1:7" x14ac:dyDescent="0.25">
      <c r="A563" s="10">
        <v>45805.385416666664</v>
      </c>
      <c r="B563" s="11">
        <v>40</v>
      </c>
      <c r="C563" s="11" t="s">
        <v>48</v>
      </c>
      <c r="D563" s="11" t="s">
        <v>49</v>
      </c>
      <c r="E563" s="11">
        <v>1.39</v>
      </c>
      <c r="F563" s="11">
        <v>2.82</v>
      </c>
      <c r="G563" s="8">
        <f t="shared" si="8"/>
        <v>29.574468085106382</v>
      </c>
    </row>
    <row r="564" spans="1:7" x14ac:dyDescent="0.25">
      <c r="A564" s="10">
        <v>45805.385416666664</v>
      </c>
      <c r="B564" s="11">
        <v>41</v>
      </c>
      <c r="C564" s="11" t="s">
        <v>50</v>
      </c>
      <c r="D564" s="11" t="s">
        <v>51</v>
      </c>
      <c r="E564" s="11">
        <v>1.56</v>
      </c>
      <c r="F564" s="11">
        <v>3.77</v>
      </c>
      <c r="G564" s="8">
        <f t="shared" si="8"/>
        <v>24.827586206896555</v>
      </c>
    </row>
    <row r="565" spans="1:7" x14ac:dyDescent="0.25">
      <c r="A565" s="10">
        <v>45805.385416666664</v>
      </c>
      <c r="B565" s="11">
        <v>42</v>
      </c>
      <c r="C565" s="11" t="s">
        <v>51</v>
      </c>
      <c r="D565" s="11" t="s">
        <v>52</v>
      </c>
      <c r="E565" s="11">
        <v>1.56</v>
      </c>
      <c r="F565" s="11">
        <v>4.05</v>
      </c>
      <c r="G565" s="8">
        <f t="shared" si="8"/>
        <v>23.111111111111114</v>
      </c>
    </row>
    <row r="566" spans="1:7" x14ac:dyDescent="0.25">
      <c r="A566" s="10">
        <v>45805.385416666664</v>
      </c>
      <c r="B566" s="11">
        <v>43</v>
      </c>
      <c r="C566" s="11" t="s">
        <v>52</v>
      </c>
      <c r="D566" s="11" t="s">
        <v>53</v>
      </c>
      <c r="E566" s="11">
        <v>1.51</v>
      </c>
      <c r="F566" s="11">
        <v>3.55</v>
      </c>
      <c r="G566" s="8">
        <f t="shared" si="8"/>
        <v>25.52112676056338</v>
      </c>
    </row>
    <row r="567" spans="1:7" x14ac:dyDescent="0.25">
      <c r="A567" s="10">
        <v>45805.385416666664</v>
      </c>
      <c r="B567" s="11">
        <v>44</v>
      </c>
      <c r="C567" s="11" t="s">
        <v>54</v>
      </c>
      <c r="D567" s="11" t="s">
        <v>55</v>
      </c>
      <c r="E567" s="11">
        <v>1.51</v>
      </c>
      <c r="F567" s="11">
        <v>4.72</v>
      </c>
      <c r="G567" s="8">
        <f t="shared" si="8"/>
        <v>19.194915254237287</v>
      </c>
    </row>
    <row r="568" spans="1:7" x14ac:dyDescent="0.25">
      <c r="A568" s="10">
        <v>45805.385416666664</v>
      </c>
      <c r="B568" s="11">
        <v>45</v>
      </c>
      <c r="C568" s="11" t="s">
        <v>55</v>
      </c>
      <c r="D568" s="11" t="s">
        <v>56</v>
      </c>
      <c r="E568" s="11">
        <v>1.49</v>
      </c>
      <c r="F568" s="11">
        <v>3.48</v>
      </c>
      <c r="G568" s="8">
        <f t="shared" si="8"/>
        <v>25.689655172413794</v>
      </c>
    </row>
    <row r="569" spans="1:7" x14ac:dyDescent="0.25">
      <c r="A569" s="10">
        <v>45805.385416666664</v>
      </c>
      <c r="B569" s="11">
        <v>46</v>
      </c>
      <c r="C569" s="11" t="s">
        <v>56</v>
      </c>
      <c r="D569" s="11" t="s">
        <v>57</v>
      </c>
      <c r="E569" s="11">
        <v>1.52</v>
      </c>
      <c r="F569" s="11">
        <v>3.58</v>
      </c>
      <c r="G569" s="8">
        <f t="shared" si="8"/>
        <v>25.47486033519553</v>
      </c>
    </row>
    <row r="570" spans="1:7" x14ac:dyDescent="0.25">
      <c r="A570" s="10">
        <v>45805.385416666664</v>
      </c>
      <c r="B570" s="11">
        <v>47</v>
      </c>
      <c r="C570" s="11" t="s">
        <v>58</v>
      </c>
      <c r="D570" s="11" t="s">
        <v>59</v>
      </c>
      <c r="E570" s="11">
        <v>1.52</v>
      </c>
      <c r="F570" s="11">
        <v>5.23</v>
      </c>
      <c r="G570" s="8">
        <f t="shared" si="8"/>
        <v>17.437858508604204</v>
      </c>
    </row>
    <row r="571" spans="1:7" x14ac:dyDescent="0.25">
      <c r="A571" s="10">
        <v>45805.385416666664</v>
      </c>
      <c r="B571" s="11">
        <v>48</v>
      </c>
      <c r="C571" s="11" t="s">
        <v>59</v>
      </c>
      <c r="D571" s="11" t="s">
        <v>60</v>
      </c>
      <c r="E571" s="11">
        <v>1.5</v>
      </c>
      <c r="F571" s="11">
        <v>3.82</v>
      </c>
      <c r="G571" s="8">
        <f t="shared" si="8"/>
        <v>23.560209424083769</v>
      </c>
    </row>
    <row r="572" spans="1:7" x14ac:dyDescent="0.25">
      <c r="A572" s="10">
        <v>45805.385416666664</v>
      </c>
      <c r="B572" s="11">
        <v>49</v>
      </c>
      <c r="C572" s="11" t="s">
        <v>60</v>
      </c>
      <c r="D572" s="11" t="s">
        <v>61</v>
      </c>
      <c r="E572" s="11">
        <v>1.54</v>
      </c>
      <c r="F572" s="11">
        <v>3.67</v>
      </c>
      <c r="G572" s="8">
        <f t="shared" si="8"/>
        <v>25.177111716621255</v>
      </c>
    </row>
    <row r="573" spans="1:7" x14ac:dyDescent="0.25">
      <c r="A573" s="10">
        <v>45805.385416666664</v>
      </c>
      <c r="B573" s="11">
        <v>50</v>
      </c>
      <c r="C573" s="11" t="s">
        <v>62</v>
      </c>
      <c r="D573" s="11" t="s">
        <v>63</v>
      </c>
      <c r="E573" s="11">
        <v>1.38</v>
      </c>
      <c r="F573" s="11">
        <v>3.05</v>
      </c>
      <c r="G573" s="8">
        <f t="shared" si="8"/>
        <v>27.147540983606557</v>
      </c>
    </row>
    <row r="574" spans="1:7" x14ac:dyDescent="0.25">
      <c r="A574" s="10">
        <v>45805.385416666664</v>
      </c>
      <c r="B574" s="11">
        <v>51</v>
      </c>
      <c r="C574" s="11" t="s">
        <v>63</v>
      </c>
      <c r="D574" s="11" t="s">
        <v>64</v>
      </c>
      <c r="E574" s="11">
        <v>2.79</v>
      </c>
      <c r="F574" s="11">
        <v>5.7</v>
      </c>
      <c r="G574" s="8">
        <f t="shared" si="8"/>
        <v>29.368421052631579</v>
      </c>
    </row>
    <row r="575" spans="1:7" x14ac:dyDescent="0.25">
      <c r="A575" s="10">
        <v>45805.385416666664</v>
      </c>
      <c r="B575" s="11">
        <v>52</v>
      </c>
      <c r="C575" s="11" t="s">
        <v>64</v>
      </c>
      <c r="D575" s="11" t="s">
        <v>65</v>
      </c>
      <c r="E575" s="11">
        <v>1.5</v>
      </c>
      <c r="F575" s="11">
        <v>3.07</v>
      </c>
      <c r="G575" s="8">
        <f t="shared" si="8"/>
        <v>29.31596091205212</v>
      </c>
    </row>
    <row r="576" spans="1:7" x14ac:dyDescent="0.25">
      <c r="A576" s="10">
        <v>45805.385416666664</v>
      </c>
      <c r="B576" s="11">
        <v>53</v>
      </c>
      <c r="C576" s="11" t="s">
        <v>65</v>
      </c>
      <c r="D576" s="11" t="s">
        <v>66</v>
      </c>
      <c r="E576" s="11">
        <v>1.46</v>
      </c>
      <c r="F576" s="11">
        <v>3.65</v>
      </c>
      <c r="G576" s="8">
        <f t="shared" si="8"/>
        <v>24</v>
      </c>
    </row>
    <row r="577" spans="1:7" x14ac:dyDescent="0.25">
      <c r="A577" s="10">
        <v>45805.385416666664</v>
      </c>
      <c r="B577" s="11">
        <v>54</v>
      </c>
      <c r="C577" s="11" t="s">
        <v>67</v>
      </c>
      <c r="D577" s="11" t="s">
        <v>68</v>
      </c>
      <c r="E577" s="11">
        <v>1.46</v>
      </c>
      <c r="F577" s="11">
        <v>5.72</v>
      </c>
      <c r="G577" s="8">
        <f t="shared" si="8"/>
        <v>15.314685314685315</v>
      </c>
    </row>
    <row r="578" spans="1:7" x14ac:dyDescent="0.25">
      <c r="A578" s="10">
        <v>45805.385416666664</v>
      </c>
      <c r="B578" s="11">
        <v>55</v>
      </c>
      <c r="C578" s="11" t="s">
        <v>68</v>
      </c>
      <c r="D578" s="11" t="s">
        <v>69</v>
      </c>
      <c r="E578" s="11">
        <v>1.5</v>
      </c>
      <c r="F578" s="11">
        <v>2.1800000000000002</v>
      </c>
      <c r="G578" s="8">
        <f t="shared" si="8"/>
        <v>41.284403669724767</v>
      </c>
    </row>
    <row r="579" spans="1:7" x14ac:dyDescent="0.25">
      <c r="A579" s="10">
        <v>45805.385416666664</v>
      </c>
      <c r="B579" s="11">
        <v>56</v>
      </c>
      <c r="C579" s="11" t="s">
        <v>70</v>
      </c>
      <c r="D579" s="11" t="s">
        <v>71</v>
      </c>
      <c r="E579" s="11">
        <v>1.51</v>
      </c>
      <c r="F579" s="11">
        <v>5.82</v>
      </c>
      <c r="G579" s="8">
        <f t="shared" ref="G579:G642" si="9">E579*60/F579</f>
        <v>15.567010309278349</v>
      </c>
    </row>
    <row r="580" spans="1:7" x14ac:dyDescent="0.25">
      <c r="A580" s="10">
        <v>45805.385416666664</v>
      </c>
      <c r="B580" s="11">
        <v>57</v>
      </c>
      <c r="C580" s="11" t="s">
        <v>71</v>
      </c>
      <c r="D580" s="11" t="s">
        <v>72</v>
      </c>
      <c r="E580" s="11">
        <v>1.52</v>
      </c>
      <c r="F580" s="11">
        <v>5.52</v>
      </c>
      <c r="G580" s="8">
        <f t="shared" si="9"/>
        <v>16.521739130434785</v>
      </c>
    </row>
    <row r="581" spans="1:7" x14ac:dyDescent="0.25">
      <c r="A581" s="10">
        <v>45805.385416666664</v>
      </c>
      <c r="B581" s="11">
        <v>58</v>
      </c>
      <c r="C581" s="11" t="s">
        <v>72</v>
      </c>
      <c r="D581" s="11" t="s">
        <v>73</v>
      </c>
      <c r="E581" s="11">
        <v>1.5</v>
      </c>
      <c r="F581" s="11">
        <v>3.73</v>
      </c>
      <c r="G581" s="8">
        <f t="shared" si="9"/>
        <v>24.128686327077748</v>
      </c>
    </row>
    <row r="582" spans="1:7" x14ac:dyDescent="0.25">
      <c r="A582" s="10">
        <v>45805.395833333336</v>
      </c>
      <c r="B582" s="11">
        <v>1</v>
      </c>
      <c r="C582" s="11" t="s">
        <v>6</v>
      </c>
      <c r="D582" s="11" t="s">
        <v>7</v>
      </c>
      <c r="E582" s="11">
        <v>1.53</v>
      </c>
      <c r="F582" s="11">
        <v>3.13</v>
      </c>
      <c r="G582" s="8">
        <f t="shared" si="9"/>
        <v>29.329073482428115</v>
      </c>
    </row>
    <row r="583" spans="1:7" x14ac:dyDescent="0.25">
      <c r="A583" s="10">
        <v>45805.395833333336</v>
      </c>
      <c r="B583" s="11">
        <v>2</v>
      </c>
      <c r="C583" s="11" t="s">
        <v>7</v>
      </c>
      <c r="D583" s="11" t="s">
        <v>8</v>
      </c>
      <c r="E583" s="11">
        <v>1.57</v>
      </c>
      <c r="F583" s="11">
        <v>5.0999999999999996</v>
      </c>
      <c r="G583" s="8">
        <f t="shared" si="9"/>
        <v>18.47058823529412</v>
      </c>
    </row>
    <row r="584" spans="1:7" x14ac:dyDescent="0.25">
      <c r="A584" s="10">
        <v>45805.395833333336</v>
      </c>
      <c r="B584" s="11">
        <v>3</v>
      </c>
      <c r="C584" s="11" t="s">
        <v>8</v>
      </c>
      <c r="D584" s="11" t="s">
        <v>9</v>
      </c>
      <c r="E584" s="11">
        <v>1.5</v>
      </c>
      <c r="F584" s="11">
        <v>2.97</v>
      </c>
      <c r="G584" s="8">
        <f t="shared" si="9"/>
        <v>30.303030303030301</v>
      </c>
    </row>
    <row r="585" spans="1:7" x14ac:dyDescent="0.25">
      <c r="A585" s="10">
        <v>45805.395833333336</v>
      </c>
      <c r="B585" s="11">
        <v>4</v>
      </c>
      <c r="C585" s="11" t="s">
        <v>9</v>
      </c>
      <c r="D585" s="11" t="s">
        <v>10</v>
      </c>
      <c r="E585" s="11">
        <v>1.5</v>
      </c>
      <c r="F585" s="11">
        <v>2.87</v>
      </c>
      <c r="G585" s="8">
        <f t="shared" si="9"/>
        <v>31.358885017421603</v>
      </c>
    </row>
    <row r="586" spans="1:7" x14ac:dyDescent="0.25">
      <c r="A586" s="10">
        <v>45805.395833333336</v>
      </c>
      <c r="B586" s="11">
        <v>5</v>
      </c>
      <c r="C586" s="11" t="s">
        <v>10</v>
      </c>
      <c r="D586" s="11" t="s">
        <v>11</v>
      </c>
      <c r="E586" s="11">
        <v>1.52</v>
      </c>
      <c r="F586" s="11">
        <v>3.07</v>
      </c>
      <c r="G586" s="8">
        <f t="shared" si="9"/>
        <v>29.706840390879481</v>
      </c>
    </row>
    <row r="587" spans="1:7" x14ac:dyDescent="0.25">
      <c r="A587" s="10">
        <v>45805.395833333336</v>
      </c>
      <c r="B587" s="11">
        <v>6</v>
      </c>
      <c r="C587" s="11" t="s">
        <v>11</v>
      </c>
      <c r="D587" s="11" t="s">
        <v>12</v>
      </c>
      <c r="E587" s="11">
        <v>1.5</v>
      </c>
      <c r="F587" s="11">
        <v>2.7</v>
      </c>
      <c r="G587" s="8">
        <f t="shared" si="9"/>
        <v>33.333333333333329</v>
      </c>
    </row>
    <row r="588" spans="1:7" x14ac:dyDescent="0.25">
      <c r="A588" s="10">
        <v>45805.395833333336</v>
      </c>
      <c r="B588" s="11">
        <v>7</v>
      </c>
      <c r="C588" s="11" t="s">
        <v>12</v>
      </c>
      <c r="D588" s="11" t="s">
        <v>13</v>
      </c>
      <c r="E588" s="11">
        <v>1.54</v>
      </c>
      <c r="F588" s="11">
        <v>2.8</v>
      </c>
      <c r="G588" s="8">
        <f t="shared" si="9"/>
        <v>33.000000000000007</v>
      </c>
    </row>
    <row r="589" spans="1:7" x14ac:dyDescent="0.25">
      <c r="A589" s="10">
        <v>45805.395833333336</v>
      </c>
      <c r="B589" s="11">
        <v>8</v>
      </c>
      <c r="C589" s="11" t="s">
        <v>13</v>
      </c>
      <c r="D589" s="11" t="s">
        <v>14</v>
      </c>
      <c r="E589" s="11">
        <v>1.54</v>
      </c>
      <c r="F589" s="11">
        <v>3.32</v>
      </c>
      <c r="G589" s="8">
        <f t="shared" si="9"/>
        <v>27.831325301204821</v>
      </c>
    </row>
    <row r="590" spans="1:7" x14ac:dyDescent="0.25">
      <c r="A590" s="10">
        <v>45805.395833333336</v>
      </c>
      <c r="B590" s="11">
        <v>9</v>
      </c>
      <c r="C590" s="11" t="s">
        <v>14</v>
      </c>
      <c r="D590" s="11" t="s">
        <v>15</v>
      </c>
      <c r="E590" s="11">
        <v>1.52</v>
      </c>
      <c r="F590" s="11">
        <v>3.8</v>
      </c>
      <c r="G590" s="8">
        <f t="shared" si="9"/>
        <v>24.000000000000004</v>
      </c>
    </row>
    <row r="591" spans="1:7" x14ac:dyDescent="0.25">
      <c r="A591" s="10">
        <v>45805.395833333336</v>
      </c>
      <c r="B591" s="11">
        <v>10</v>
      </c>
      <c r="C591" s="11" t="s">
        <v>15</v>
      </c>
      <c r="D591" s="11" t="s">
        <v>16</v>
      </c>
      <c r="E591" s="11">
        <v>1.5</v>
      </c>
      <c r="F591" s="11">
        <v>4.0199999999999996</v>
      </c>
      <c r="G591" s="8">
        <f t="shared" si="9"/>
        <v>22.388059701492541</v>
      </c>
    </row>
    <row r="592" spans="1:7" x14ac:dyDescent="0.25">
      <c r="A592" s="10">
        <v>45805.395833333336</v>
      </c>
      <c r="B592" s="11">
        <v>11</v>
      </c>
      <c r="C592" s="11" t="s">
        <v>16</v>
      </c>
      <c r="D592" s="11" t="s">
        <v>17</v>
      </c>
      <c r="E592" s="11">
        <v>1.48</v>
      </c>
      <c r="F592" s="11">
        <v>4.18</v>
      </c>
      <c r="G592" s="8">
        <f t="shared" si="9"/>
        <v>21.244019138755981</v>
      </c>
    </row>
    <row r="593" spans="1:7" x14ac:dyDescent="0.25">
      <c r="A593" s="10">
        <v>45805.395833333336</v>
      </c>
      <c r="B593" s="11">
        <v>12</v>
      </c>
      <c r="C593" s="11" t="s">
        <v>17</v>
      </c>
      <c r="D593" s="11" t="s">
        <v>18</v>
      </c>
      <c r="E593" s="11">
        <v>1.46</v>
      </c>
      <c r="F593" s="11">
        <v>4.62</v>
      </c>
      <c r="G593" s="8">
        <f t="shared" si="9"/>
        <v>18.961038961038959</v>
      </c>
    </row>
    <row r="594" spans="1:7" x14ac:dyDescent="0.25">
      <c r="A594" s="10">
        <v>45805.395833333336</v>
      </c>
      <c r="B594" s="11">
        <v>13</v>
      </c>
      <c r="C594" s="11" t="s">
        <v>18</v>
      </c>
      <c r="D594" s="11" t="s">
        <v>19</v>
      </c>
      <c r="E594" s="11">
        <v>1.52</v>
      </c>
      <c r="F594" s="11">
        <v>4.0999999999999996</v>
      </c>
      <c r="G594" s="8">
        <f t="shared" si="9"/>
        <v>22.243902439024392</v>
      </c>
    </row>
    <row r="595" spans="1:7" x14ac:dyDescent="0.25">
      <c r="A595" s="10">
        <v>45805.395833333336</v>
      </c>
      <c r="B595" s="11">
        <v>14</v>
      </c>
      <c r="C595" s="11" t="s">
        <v>19</v>
      </c>
      <c r="D595" s="11" t="s">
        <v>20</v>
      </c>
      <c r="E595" s="11">
        <v>1.51</v>
      </c>
      <c r="F595" s="11">
        <v>4.0999999999999996</v>
      </c>
      <c r="G595" s="8">
        <f t="shared" si="9"/>
        <v>22.097560975609756</v>
      </c>
    </row>
    <row r="596" spans="1:7" x14ac:dyDescent="0.25">
      <c r="A596" s="10">
        <v>45805.395833333336</v>
      </c>
      <c r="B596" s="11">
        <v>15</v>
      </c>
      <c r="C596" s="11" t="s">
        <v>20</v>
      </c>
      <c r="D596" s="11" t="s">
        <v>21</v>
      </c>
      <c r="E596" s="11">
        <v>1.47</v>
      </c>
      <c r="F596" s="11">
        <v>3</v>
      </c>
      <c r="G596" s="8">
        <f t="shared" si="9"/>
        <v>29.400000000000002</v>
      </c>
    </row>
    <row r="597" spans="1:7" x14ac:dyDescent="0.25">
      <c r="A597" s="10">
        <v>45805.395833333336</v>
      </c>
      <c r="B597" s="11">
        <v>16</v>
      </c>
      <c r="C597" s="11" t="s">
        <v>21</v>
      </c>
      <c r="D597" s="11" t="s">
        <v>22</v>
      </c>
      <c r="E597" s="11">
        <v>1.5</v>
      </c>
      <c r="F597" s="11">
        <v>1.95</v>
      </c>
      <c r="G597" s="8">
        <f t="shared" si="9"/>
        <v>46.153846153846153</v>
      </c>
    </row>
    <row r="598" spans="1:7" x14ac:dyDescent="0.25">
      <c r="A598" s="10">
        <v>45805.395833333336</v>
      </c>
      <c r="B598" s="11">
        <v>17</v>
      </c>
      <c r="C598" s="11" t="s">
        <v>22</v>
      </c>
      <c r="D598" s="11" t="s">
        <v>23</v>
      </c>
      <c r="E598" s="11">
        <v>1.51</v>
      </c>
      <c r="F598" s="11">
        <v>3.62</v>
      </c>
      <c r="G598" s="8">
        <f t="shared" si="9"/>
        <v>25.027624309392262</v>
      </c>
    </row>
    <row r="599" spans="1:7" x14ac:dyDescent="0.25">
      <c r="A599" s="10">
        <v>45805.395833333336</v>
      </c>
      <c r="B599" s="11">
        <v>18</v>
      </c>
      <c r="C599" s="11" t="s">
        <v>23</v>
      </c>
      <c r="D599" s="11" t="s">
        <v>24</v>
      </c>
      <c r="E599" s="11">
        <v>1.51</v>
      </c>
      <c r="F599" s="11">
        <v>3.15</v>
      </c>
      <c r="G599" s="8">
        <f t="shared" si="9"/>
        <v>28.761904761904759</v>
      </c>
    </row>
    <row r="600" spans="1:7" x14ac:dyDescent="0.25">
      <c r="A600" s="10">
        <v>45805.395833333336</v>
      </c>
      <c r="B600" s="11">
        <v>19</v>
      </c>
      <c r="C600" s="11" t="s">
        <v>25</v>
      </c>
      <c r="D600" s="11" t="s">
        <v>26</v>
      </c>
      <c r="E600" s="11">
        <v>1.5</v>
      </c>
      <c r="F600" s="11">
        <v>4.75</v>
      </c>
      <c r="G600" s="8">
        <f t="shared" si="9"/>
        <v>18.94736842105263</v>
      </c>
    </row>
    <row r="601" spans="1:7" x14ac:dyDescent="0.25">
      <c r="A601" s="10">
        <v>45805.395833333336</v>
      </c>
      <c r="B601" s="11">
        <v>20</v>
      </c>
      <c r="C601" s="11" t="s">
        <v>26</v>
      </c>
      <c r="D601" s="11" t="s">
        <v>27</v>
      </c>
      <c r="E601" s="11">
        <v>1.48</v>
      </c>
      <c r="F601" s="11">
        <v>4.42</v>
      </c>
      <c r="G601" s="8">
        <f t="shared" si="9"/>
        <v>20.090497737556561</v>
      </c>
    </row>
    <row r="602" spans="1:7" x14ac:dyDescent="0.25">
      <c r="A602" s="10">
        <v>45805.395833333336</v>
      </c>
      <c r="B602" s="11">
        <v>21</v>
      </c>
      <c r="C602" s="11" t="s">
        <v>27</v>
      </c>
      <c r="D602" s="11" t="s">
        <v>28</v>
      </c>
      <c r="E602" s="11">
        <v>1.51</v>
      </c>
      <c r="F602" s="11">
        <v>4.07</v>
      </c>
      <c r="G602" s="8">
        <f t="shared" si="9"/>
        <v>22.260442260442257</v>
      </c>
    </row>
    <row r="603" spans="1:7" x14ac:dyDescent="0.25">
      <c r="A603" s="10">
        <v>45805.395833333336</v>
      </c>
      <c r="B603" s="11">
        <v>22</v>
      </c>
      <c r="C603" s="11" t="s">
        <v>28</v>
      </c>
      <c r="D603" s="11" t="s">
        <v>29</v>
      </c>
      <c r="E603" s="11">
        <v>1.57</v>
      </c>
      <c r="F603" s="11">
        <v>3.67</v>
      </c>
      <c r="G603" s="8">
        <f t="shared" si="9"/>
        <v>25.667574931880111</v>
      </c>
    </row>
    <row r="604" spans="1:7" x14ac:dyDescent="0.25">
      <c r="A604" s="10">
        <v>45805.395833333336</v>
      </c>
      <c r="B604" s="11">
        <v>23</v>
      </c>
      <c r="C604" s="11" t="s">
        <v>29</v>
      </c>
      <c r="D604" s="11" t="s">
        <v>30</v>
      </c>
      <c r="E604" s="11">
        <v>1.43</v>
      </c>
      <c r="F604" s="11">
        <v>4.18</v>
      </c>
      <c r="G604" s="8">
        <f t="shared" si="9"/>
        <v>20.526315789473685</v>
      </c>
    </row>
    <row r="605" spans="1:7" x14ac:dyDescent="0.25">
      <c r="A605" s="10">
        <v>45805.395833333336</v>
      </c>
      <c r="B605" s="11">
        <v>24</v>
      </c>
      <c r="C605" s="11" t="s">
        <v>30</v>
      </c>
      <c r="D605" s="11" t="s">
        <v>31</v>
      </c>
      <c r="E605" s="11">
        <v>1.52</v>
      </c>
      <c r="F605" s="11">
        <v>3.45</v>
      </c>
      <c r="G605" s="8">
        <f t="shared" si="9"/>
        <v>26.434782608695652</v>
      </c>
    </row>
    <row r="606" spans="1:7" x14ac:dyDescent="0.25">
      <c r="A606" s="10">
        <v>45805.395833333336</v>
      </c>
      <c r="B606" s="11">
        <v>25</v>
      </c>
      <c r="C606" s="11" t="s">
        <v>31</v>
      </c>
      <c r="D606" s="11" t="s">
        <v>32</v>
      </c>
      <c r="E606" s="11">
        <v>1.52</v>
      </c>
      <c r="F606" s="11">
        <v>3.4</v>
      </c>
      <c r="G606" s="8">
        <f t="shared" si="9"/>
        <v>26.823529411764707</v>
      </c>
    </row>
    <row r="607" spans="1:7" x14ac:dyDescent="0.25">
      <c r="A607" s="10">
        <v>45805.395833333336</v>
      </c>
      <c r="B607" s="11">
        <v>26</v>
      </c>
      <c r="C607" s="11" t="s">
        <v>32</v>
      </c>
      <c r="D607" s="11" t="s">
        <v>33</v>
      </c>
      <c r="E607" s="11">
        <v>1.49</v>
      </c>
      <c r="F607" s="11">
        <v>4.28</v>
      </c>
      <c r="G607" s="8">
        <f t="shared" si="9"/>
        <v>20.88785046728972</v>
      </c>
    </row>
    <row r="608" spans="1:7" x14ac:dyDescent="0.25">
      <c r="A608" s="10">
        <v>45805.395833333336</v>
      </c>
      <c r="B608" s="11">
        <v>27</v>
      </c>
      <c r="C608" s="11" t="s">
        <v>33</v>
      </c>
      <c r="D608" s="11" t="s">
        <v>34</v>
      </c>
      <c r="E608" s="11">
        <v>1.53</v>
      </c>
      <c r="F608" s="11">
        <v>4.07</v>
      </c>
      <c r="G608" s="8">
        <f t="shared" si="9"/>
        <v>22.555282555282552</v>
      </c>
    </row>
    <row r="609" spans="1:7" x14ac:dyDescent="0.25">
      <c r="A609" s="10">
        <v>45805.395833333336</v>
      </c>
      <c r="B609" s="11">
        <v>28</v>
      </c>
      <c r="C609" s="11" t="s">
        <v>34</v>
      </c>
      <c r="D609" s="11" t="s">
        <v>35</v>
      </c>
      <c r="E609" s="11">
        <v>1.51</v>
      </c>
      <c r="F609" s="11">
        <v>4.2300000000000004</v>
      </c>
      <c r="G609" s="8">
        <f t="shared" si="9"/>
        <v>21.418439716312054</v>
      </c>
    </row>
    <row r="610" spans="1:7" x14ac:dyDescent="0.25">
      <c r="A610" s="10">
        <v>45805.395833333336</v>
      </c>
      <c r="B610" s="11">
        <v>29</v>
      </c>
      <c r="C610" s="11" t="s">
        <v>36</v>
      </c>
      <c r="D610" s="11" t="s">
        <v>37</v>
      </c>
      <c r="E610" s="11">
        <v>1.57</v>
      </c>
      <c r="F610" s="11">
        <v>4.62</v>
      </c>
      <c r="G610" s="8">
        <f t="shared" si="9"/>
        <v>20.38961038961039</v>
      </c>
    </row>
    <row r="611" spans="1:7" x14ac:dyDescent="0.25">
      <c r="A611" s="10">
        <v>45805.395833333336</v>
      </c>
      <c r="B611" s="11">
        <v>30</v>
      </c>
      <c r="C611" s="11" t="s">
        <v>37</v>
      </c>
      <c r="D611" s="11" t="s">
        <v>38</v>
      </c>
      <c r="E611" s="11">
        <v>1.57</v>
      </c>
      <c r="F611" s="11">
        <v>6.67</v>
      </c>
      <c r="G611" s="8">
        <f t="shared" si="9"/>
        <v>14.122938530734633</v>
      </c>
    </row>
    <row r="612" spans="1:7" x14ac:dyDescent="0.25">
      <c r="A612" s="10">
        <v>45805.395833333336</v>
      </c>
      <c r="B612" s="11">
        <v>31</v>
      </c>
      <c r="C612" s="11" t="s">
        <v>38</v>
      </c>
      <c r="D612" s="11" t="s">
        <v>39</v>
      </c>
      <c r="E612" s="11">
        <v>1.52</v>
      </c>
      <c r="F612" s="11">
        <v>2.8</v>
      </c>
      <c r="G612" s="8">
        <f t="shared" si="9"/>
        <v>32.571428571428577</v>
      </c>
    </row>
    <row r="613" spans="1:7" x14ac:dyDescent="0.25">
      <c r="A613" s="10">
        <v>45805.395833333336</v>
      </c>
      <c r="B613" s="11">
        <v>32</v>
      </c>
      <c r="C613" s="11" t="s">
        <v>39</v>
      </c>
      <c r="D613" s="11" t="s">
        <v>40</v>
      </c>
      <c r="E613" s="11">
        <v>1.5</v>
      </c>
      <c r="F613" s="11">
        <v>1.77</v>
      </c>
      <c r="G613" s="8">
        <f t="shared" si="9"/>
        <v>50.847457627118644</v>
      </c>
    </row>
    <row r="614" spans="1:7" x14ac:dyDescent="0.25">
      <c r="A614" s="10">
        <v>45805.395833333336</v>
      </c>
      <c r="B614" s="11">
        <v>33</v>
      </c>
      <c r="C614" s="11" t="s">
        <v>40</v>
      </c>
      <c r="D614" s="11" t="s">
        <v>41</v>
      </c>
      <c r="E614" s="11">
        <v>1.51</v>
      </c>
      <c r="F614" s="11">
        <v>1.82</v>
      </c>
      <c r="G614" s="8">
        <f t="shared" si="9"/>
        <v>49.780219780219774</v>
      </c>
    </row>
    <row r="615" spans="1:7" x14ac:dyDescent="0.25">
      <c r="A615" s="10">
        <v>45805.395833333336</v>
      </c>
      <c r="B615" s="11">
        <v>34</v>
      </c>
      <c r="C615" s="11" t="s">
        <v>41</v>
      </c>
      <c r="D615" s="11" t="s">
        <v>42</v>
      </c>
      <c r="E615" s="11">
        <v>1.5</v>
      </c>
      <c r="F615" s="11">
        <v>1.85</v>
      </c>
      <c r="G615" s="8">
        <f t="shared" si="9"/>
        <v>48.648648648648646</v>
      </c>
    </row>
    <row r="616" spans="1:7" x14ac:dyDescent="0.25">
      <c r="A616" s="10">
        <v>45805.395833333336</v>
      </c>
      <c r="B616" s="11">
        <v>35</v>
      </c>
      <c r="C616" s="11" t="s">
        <v>43</v>
      </c>
      <c r="D616" s="11" t="s">
        <v>44</v>
      </c>
      <c r="E616" s="11">
        <v>1.55</v>
      </c>
      <c r="F616" s="11">
        <v>3.92</v>
      </c>
      <c r="G616" s="8">
        <f t="shared" si="9"/>
        <v>23.724489795918366</v>
      </c>
    </row>
    <row r="617" spans="1:7" x14ac:dyDescent="0.25">
      <c r="A617" s="10">
        <v>45805.395833333336</v>
      </c>
      <c r="B617" s="11">
        <v>36</v>
      </c>
      <c r="C617" s="11" t="s">
        <v>44</v>
      </c>
      <c r="D617" s="11" t="s">
        <v>45</v>
      </c>
      <c r="E617" s="11">
        <v>1.5</v>
      </c>
      <c r="F617" s="11">
        <v>2.9</v>
      </c>
      <c r="G617" s="8">
        <f t="shared" si="9"/>
        <v>31.03448275862069</v>
      </c>
    </row>
    <row r="618" spans="1:7" x14ac:dyDescent="0.25">
      <c r="A618" s="10">
        <v>45805.395833333336</v>
      </c>
      <c r="B618" s="11">
        <v>37</v>
      </c>
      <c r="C618" s="11" t="s">
        <v>45</v>
      </c>
      <c r="D618" s="11" t="s">
        <v>46</v>
      </c>
      <c r="E618" s="11">
        <v>1.38</v>
      </c>
      <c r="F618" s="11">
        <v>3.82</v>
      </c>
      <c r="G618" s="8">
        <f t="shared" si="9"/>
        <v>21.67539267015707</v>
      </c>
    </row>
    <row r="619" spans="1:7" x14ac:dyDescent="0.25">
      <c r="A619" s="10">
        <v>45805.395833333336</v>
      </c>
      <c r="B619" s="11">
        <v>38</v>
      </c>
      <c r="C619" s="11" t="s">
        <v>46</v>
      </c>
      <c r="D619" s="11" t="s">
        <v>47</v>
      </c>
      <c r="E619" s="11">
        <v>1.61</v>
      </c>
      <c r="F619" s="11">
        <v>3.65</v>
      </c>
      <c r="G619" s="8">
        <f t="shared" si="9"/>
        <v>26.465753424657539</v>
      </c>
    </row>
    <row r="620" spans="1:7" x14ac:dyDescent="0.25">
      <c r="A620" s="10">
        <v>45805.395833333336</v>
      </c>
      <c r="B620" s="11">
        <v>39</v>
      </c>
      <c r="C620" s="11" t="s">
        <v>47</v>
      </c>
      <c r="D620" s="11" t="s">
        <v>48</v>
      </c>
      <c r="E620" s="11">
        <v>1.55</v>
      </c>
      <c r="F620" s="11">
        <v>3.28</v>
      </c>
      <c r="G620" s="8">
        <f t="shared" si="9"/>
        <v>28.353658536585368</v>
      </c>
    </row>
    <row r="621" spans="1:7" x14ac:dyDescent="0.25">
      <c r="A621" s="10">
        <v>45805.395833333336</v>
      </c>
      <c r="B621" s="11">
        <v>40</v>
      </c>
      <c r="C621" s="11" t="s">
        <v>48</v>
      </c>
      <c r="D621" s="11" t="s">
        <v>49</v>
      </c>
      <c r="E621" s="11">
        <v>1.39</v>
      </c>
      <c r="F621" s="11">
        <v>3.12</v>
      </c>
      <c r="G621" s="8">
        <f t="shared" si="9"/>
        <v>26.730769230769226</v>
      </c>
    </row>
    <row r="622" spans="1:7" x14ac:dyDescent="0.25">
      <c r="A622" s="10">
        <v>45805.395833333336</v>
      </c>
      <c r="B622" s="11">
        <v>41</v>
      </c>
      <c r="C622" s="11" t="s">
        <v>50</v>
      </c>
      <c r="D622" s="11" t="s">
        <v>51</v>
      </c>
      <c r="E622" s="11">
        <v>1.56</v>
      </c>
      <c r="F622" s="11">
        <v>4.1500000000000004</v>
      </c>
      <c r="G622" s="8">
        <f t="shared" si="9"/>
        <v>22.554216867469879</v>
      </c>
    </row>
    <row r="623" spans="1:7" x14ac:dyDescent="0.25">
      <c r="A623" s="10">
        <v>45805.395833333336</v>
      </c>
      <c r="B623" s="11">
        <v>42</v>
      </c>
      <c r="C623" s="11" t="s">
        <v>51</v>
      </c>
      <c r="D623" s="11" t="s">
        <v>52</v>
      </c>
      <c r="E623" s="11">
        <v>1.56</v>
      </c>
      <c r="F623" s="11">
        <v>4.37</v>
      </c>
      <c r="G623" s="8">
        <f t="shared" si="9"/>
        <v>21.418764302059497</v>
      </c>
    </row>
    <row r="624" spans="1:7" x14ac:dyDescent="0.25">
      <c r="A624" s="10">
        <v>45805.395833333336</v>
      </c>
      <c r="B624" s="11">
        <v>43</v>
      </c>
      <c r="C624" s="11" t="s">
        <v>52</v>
      </c>
      <c r="D624" s="11" t="s">
        <v>53</v>
      </c>
      <c r="E624" s="11">
        <v>1.51</v>
      </c>
      <c r="F624" s="11">
        <v>3.57</v>
      </c>
      <c r="G624" s="8">
        <f t="shared" si="9"/>
        <v>25.3781512605042</v>
      </c>
    </row>
    <row r="625" spans="1:7" x14ac:dyDescent="0.25">
      <c r="A625" s="10">
        <v>45805.395833333336</v>
      </c>
      <c r="B625" s="11">
        <v>44</v>
      </c>
      <c r="C625" s="11" t="s">
        <v>54</v>
      </c>
      <c r="D625" s="11" t="s">
        <v>55</v>
      </c>
      <c r="E625" s="11">
        <v>1.51</v>
      </c>
      <c r="F625" s="11">
        <v>4.9000000000000004</v>
      </c>
      <c r="G625" s="8">
        <f t="shared" si="9"/>
        <v>18.489795918367346</v>
      </c>
    </row>
    <row r="626" spans="1:7" x14ac:dyDescent="0.25">
      <c r="A626" s="10">
        <v>45805.395833333336</v>
      </c>
      <c r="B626" s="11">
        <v>45</v>
      </c>
      <c r="C626" s="11" t="s">
        <v>55</v>
      </c>
      <c r="D626" s="11" t="s">
        <v>56</v>
      </c>
      <c r="E626" s="11">
        <v>1.49</v>
      </c>
      <c r="F626" s="11">
        <v>3.67</v>
      </c>
      <c r="G626" s="8">
        <f t="shared" si="9"/>
        <v>24.359673024523161</v>
      </c>
    </row>
    <row r="627" spans="1:7" x14ac:dyDescent="0.25">
      <c r="A627" s="10">
        <v>45805.395833333336</v>
      </c>
      <c r="B627" s="11">
        <v>46</v>
      </c>
      <c r="C627" s="11" t="s">
        <v>56</v>
      </c>
      <c r="D627" s="11" t="s">
        <v>57</v>
      </c>
      <c r="E627" s="11">
        <v>1.52</v>
      </c>
      <c r="F627" s="11">
        <v>3.7</v>
      </c>
      <c r="G627" s="8">
        <f t="shared" si="9"/>
        <v>24.648648648648649</v>
      </c>
    </row>
    <row r="628" spans="1:7" x14ac:dyDescent="0.25">
      <c r="A628" s="10">
        <v>45805.395833333336</v>
      </c>
      <c r="B628" s="11">
        <v>47</v>
      </c>
      <c r="C628" s="11" t="s">
        <v>58</v>
      </c>
      <c r="D628" s="11" t="s">
        <v>59</v>
      </c>
      <c r="E628" s="11">
        <v>1.52</v>
      </c>
      <c r="F628" s="11">
        <v>6.9</v>
      </c>
      <c r="G628" s="8">
        <f t="shared" si="9"/>
        <v>13.217391304347826</v>
      </c>
    </row>
    <row r="629" spans="1:7" x14ac:dyDescent="0.25">
      <c r="A629" s="10">
        <v>45805.395833333336</v>
      </c>
      <c r="B629" s="11">
        <v>48</v>
      </c>
      <c r="C629" s="11" t="s">
        <v>59</v>
      </c>
      <c r="D629" s="11" t="s">
        <v>60</v>
      </c>
      <c r="E629" s="11">
        <v>1.5</v>
      </c>
      <c r="F629" s="11">
        <v>3.75</v>
      </c>
      <c r="G629" s="8">
        <f t="shared" si="9"/>
        <v>24</v>
      </c>
    </row>
    <row r="630" spans="1:7" x14ac:dyDescent="0.25">
      <c r="A630" s="10">
        <v>45805.395833333336</v>
      </c>
      <c r="B630" s="11">
        <v>49</v>
      </c>
      <c r="C630" s="11" t="s">
        <v>60</v>
      </c>
      <c r="D630" s="11" t="s">
        <v>61</v>
      </c>
      <c r="E630" s="11">
        <v>1.54</v>
      </c>
      <c r="F630" s="11">
        <v>3.73</v>
      </c>
      <c r="G630" s="8">
        <f t="shared" si="9"/>
        <v>24.772117962466488</v>
      </c>
    </row>
    <row r="631" spans="1:7" x14ac:dyDescent="0.25">
      <c r="A631" s="10">
        <v>45805.395833333336</v>
      </c>
      <c r="B631" s="11">
        <v>50</v>
      </c>
      <c r="C631" s="11" t="s">
        <v>62</v>
      </c>
      <c r="D631" s="11" t="s">
        <v>63</v>
      </c>
      <c r="E631" s="11">
        <v>1.38</v>
      </c>
      <c r="F631" s="11">
        <v>3.1</v>
      </c>
      <c r="G631" s="8">
        <f t="shared" si="9"/>
        <v>26.709677419354836</v>
      </c>
    </row>
    <row r="632" spans="1:7" x14ac:dyDescent="0.25">
      <c r="A632" s="10">
        <v>45805.395833333336</v>
      </c>
      <c r="B632" s="11">
        <v>51</v>
      </c>
      <c r="C632" s="11" t="s">
        <v>63</v>
      </c>
      <c r="D632" s="11" t="s">
        <v>64</v>
      </c>
      <c r="E632" s="11">
        <v>2.79</v>
      </c>
      <c r="F632" s="11">
        <v>5.82</v>
      </c>
      <c r="G632" s="8">
        <f t="shared" si="9"/>
        <v>28.762886597938145</v>
      </c>
    </row>
    <row r="633" spans="1:7" x14ac:dyDescent="0.25">
      <c r="A633" s="10">
        <v>45805.395833333336</v>
      </c>
      <c r="B633" s="11">
        <v>52</v>
      </c>
      <c r="C633" s="11" t="s">
        <v>64</v>
      </c>
      <c r="D633" s="11" t="s">
        <v>65</v>
      </c>
      <c r="E633" s="11">
        <v>1.5</v>
      </c>
      <c r="F633" s="11">
        <v>2.93</v>
      </c>
      <c r="G633" s="8">
        <f t="shared" si="9"/>
        <v>30.716723549488052</v>
      </c>
    </row>
    <row r="634" spans="1:7" x14ac:dyDescent="0.25">
      <c r="A634" s="10">
        <v>45805.395833333336</v>
      </c>
      <c r="B634" s="11">
        <v>53</v>
      </c>
      <c r="C634" s="11" t="s">
        <v>65</v>
      </c>
      <c r="D634" s="11" t="s">
        <v>66</v>
      </c>
      <c r="E634" s="11">
        <v>1.46</v>
      </c>
      <c r="F634" s="11">
        <v>3.73</v>
      </c>
      <c r="G634" s="8">
        <f t="shared" si="9"/>
        <v>23.485254691689008</v>
      </c>
    </row>
    <row r="635" spans="1:7" x14ac:dyDescent="0.25">
      <c r="A635" s="10">
        <v>45805.395833333336</v>
      </c>
      <c r="B635" s="11">
        <v>54</v>
      </c>
      <c r="C635" s="11" t="s">
        <v>67</v>
      </c>
      <c r="D635" s="11" t="s">
        <v>68</v>
      </c>
      <c r="E635" s="11">
        <v>1.46</v>
      </c>
      <c r="F635" s="11">
        <v>5.58</v>
      </c>
      <c r="G635" s="8">
        <f t="shared" si="9"/>
        <v>15.698924731182794</v>
      </c>
    </row>
    <row r="636" spans="1:7" x14ac:dyDescent="0.25">
      <c r="A636" s="10">
        <v>45805.395833333336</v>
      </c>
      <c r="B636" s="11">
        <v>55</v>
      </c>
      <c r="C636" s="11" t="s">
        <v>68</v>
      </c>
      <c r="D636" s="11" t="s">
        <v>69</v>
      </c>
      <c r="E636" s="11">
        <v>1.5</v>
      </c>
      <c r="F636" s="11">
        <v>2.2000000000000002</v>
      </c>
      <c r="G636" s="8">
        <f t="shared" si="9"/>
        <v>40.909090909090907</v>
      </c>
    </row>
    <row r="637" spans="1:7" x14ac:dyDescent="0.25">
      <c r="A637" s="10">
        <v>45805.395833333336</v>
      </c>
      <c r="B637" s="11">
        <v>56</v>
      </c>
      <c r="C637" s="11" t="s">
        <v>70</v>
      </c>
      <c r="D637" s="11" t="s">
        <v>71</v>
      </c>
      <c r="E637" s="11">
        <v>1.51</v>
      </c>
      <c r="F637" s="11">
        <v>5.27</v>
      </c>
      <c r="G637" s="8">
        <f t="shared" si="9"/>
        <v>17.191650853889943</v>
      </c>
    </row>
    <row r="638" spans="1:7" x14ac:dyDescent="0.25">
      <c r="A638" s="10">
        <v>45805.395833333336</v>
      </c>
      <c r="B638" s="11">
        <v>57</v>
      </c>
      <c r="C638" s="11" t="s">
        <v>71</v>
      </c>
      <c r="D638" s="11" t="s">
        <v>72</v>
      </c>
      <c r="E638" s="11">
        <v>1.52</v>
      </c>
      <c r="F638" s="11">
        <v>3.77</v>
      </c>
      <c r="G638" s="8">
        <f t="shared" si="9"/>
        <v>24.190981432360743</v>
      </c>
    </row>
    <row r="639" spans="1:7" x14ac:dyDescent="0.25">
      <c r="A639" s="10">
        <v>45805.395833333336</v>
      </c>
      <c r="B639" s="11">
        <v>58</v>
      </c>
      <c r="C639" s="11" t="s">
        <v>72</v>
      </c>
      <c r="D639" s="11" t="s">
        <v>73</v>
      </c>
      <c r="E639" s="11">
        <v>1.5</v>
      </c>
      <c r="F639" s="11">
        <v>3.88</v>
      </c>
      <c r="G639" s="8">
        <f t="shared" si="9"/>
        <v>23.195876288659793</v>
      </c>
    </row>
    <row r="640" spans="1:7" x14ac:dyDescent="0.25">
      <c r="A640" s="10">
        <v>45805.40625</v>
      </c>
      <c r="B640" s="11">
        <v>1</v>
      </c>
      <c r="C640" s="11" t="s">
        <v>6</v>
      </c>
      <c r="D640" s="11" t="s">
        <v>7</v>
      </c>
      <c r="E640" s="11">
        <v>1.53</v>
      </c>
      <c r="F640" s="11">
        <v>3.13</v>
      </c>
      <c r="G640" s="8">
        <f t="shared" si="9"/>
        <v>29.329073482428115</v>
      </c>
    </row>
    <row r="641" spans="1:7" x14ac:dyDescent="0.25">
      <c r="A641" s="10">
        <v>45805.40625</v>
      </c>
      <c r="B641" s="11">
        <v>2</v>
      </c>
      <c r="C641" s="11" t="s">
        <v>7</v>
      </c>
      <c r="D641" s="11" t="s">
        <v>8</v>
      </c>
      <c r="E641" s="11">
        <v>1.57</v>
      </c>
      <c r="F641" s="11">
        <v>5.2</v>
      </c>
      <c r="G641" s="8">
        <f t="shared" si="9"/>
        <v>18.115384615384617</v>
      </c>
    </row>
    <row r="642" spans="1:7" x14ac:dyDescent="0.25">
      <c r="A642" s="10">
        <v>45805.40625</v>
      </c>
      <c r="B642" s="11">
        <v>3</v>
      </c>
      <c r="C642" s="11" t="s">
        <v>8</v>
      </c>
      <c r="D642" s="11" t="s">
        <v>9</v>
      </c>
      <c r="E642" s="11">
        <v>1.5</v>
      </c>
      <c r="F642" s="11">
        <v>3.13</v>
      </c>
      <c r="G642" s="8">
        <f t="shared" si="9"/>
        <v>28.753993610223642</v>
      </c>
    </row>
    <row r="643" spans="1:7" x14ac:dyDescent="0.25">
      <c r="A643" s="10">
        <v>45805.40625</v>
      </c>
      <c r="B643" s="11">
        <v>4</v>
      </c>
      <c r="C643" s="11" t="s">
        <v>9</v>
      </c>
      <c r="D643" s="11" t="s">
        <v>10</v>
      </c>
      <c r="E643" s="11">
        <v>1.5</v>
      </c>
      <c r="F643" s="11">
        <v>2.68</v>
      </c>
      <c r="G643" s="8">
        <f t="shared" ref="G643:G706" si="10">E643*60/F643</f>
        <v>33.582089552238806</v>
      </c>
    </row>
    <row r="644" spans="1:7" x14ac:dyDescent="0.25">
      <c r="A644" s="10">
        <v>45805.40625</v>
      </c>
      <c r="B644" s="11">
        <v>5</v>
      </c>
      <c r="C644" s="11" t="s">
        <v>10</v>
      </c>
      <c r="D644" s="11" t="s">
        <v>11</v>
      </c>
      <c r="E644" s="11">
        <v>1.52</v>
      </c>
      <c r="F644" s="11">
        <v>3.45</v>
      </c>
      <c r="G644" s="8">
        <f t="shared" si="10"/>
        <v>26.434782608695652</v>
      </c>
    </row>
    <row r="645" spans="1:7" x14ac:dyDescent="0.25">
      <c r="A645" s="10">
        <v>45805.40625</v>
      </c>
      <c r="B645" s="11">
        <v>6</v>
      </c>
      <c r="C645" s="11" t="s">
        <v>11</v>
      </c>
      <c r="D645" s="11" t="s">
        <v>12</v>
      </c>
      <c r="E645" s="11">
        <v>1.5</v>
      </c>
      <c r="F645" s="11">
        <v>2.82</v>
      </c>
      <c r="G645" s="8">
        <f t="shared" si="10"/>
        <v>31.914893617021278</v>
      </c>
    </row>
    <row r="646" spans="1:7" x14ac:dyDescent="0.25">
      <c r="A646" s="10">
        <v>45805.40625</v>
      </c>
      <c r="B646" s="11">
        <v>7</v>
      </c>
      <c r="C646" s="11" t="s">
        <v>12</v>
      </c>
      <c r="D646" s="11" t="s">
        <v>13</v>
      </c>
      <c r="E646" s="11">
        <v>1.54</v>
      </c>
      <c r="F646" s="11">
        <v>2.62</v>
      </c>
      <c r="G646" s="8">
        <f t="shared" si="10"/>
        <v>35.267175572519086</v>
      </c>
    </row>
    <row r="647" spans="1:7" x14ac:dyDescent="0.25">
      <c r="A647" s="10">
        <v>45805.40625</v>
      </c>
      <c r="B647" s="11">
        <v>8</v>
      </c>
      <c r="C647" s="11" t="s">
        <v>13</v>
      </c>
      <c r="D647" s="11" t="s">
        <v>14</v>
      </c>
      <c r="E647" s="11">
        <v>1.54</v>
      </c>
      <c r="F647" s="11">
        <v>3.23</v>
      </c>
      <c r="G647" s="8">
        <f t="shared" si="10"/>
        <v>28.606811145510839</v>
      </c>
    </row>
    <row r="648" spans="1:7" x14ac:dyDescent="0.25">
      <c r="A648" s="10">
        <v>45805.40625</v>
      </c>
      <c r="B648" s="11">
        <v>9</v>
      </c>
      <c r="C648" s="11" t="s">
        <v>14</v>
      </c>
      <c r="D648" s="11" t="s">
        <v>15</v>
      </c>
      <c r="E648" s="11">
        <v>1.52</v>
      </c>
      <c r="F648" s="11">
        <v>3.47</v>
      </c>
      <c r="G648" s="8">
        <f t="shared" si="10"/>
        <v>26.282420749279538</v>
      </c>
    </row>
    <row r="649" spans="1:7" x14ac:dyDescent="0.25">
      <c r="A649" s="10">
        <v>45805.40625</v>
      </c>
      <c r="B649" s="11">
        <v>10</v>
      </c>
      <c r="C649" s="11" t="s">
        <v>15</v>
      </c>
      <c r="D649" s="11" t="s">
        <v>16</v>
      </c>
      <c r="E649" s="11">
        <v>1.5</v>
      </c>
      <c r="F649" s="11">
        <v>3.97</v>
      </c>
      <c r="G649" s="8">
        <f t="shared" si="10"/>
        <v>22.670025188916874</v>
      </c>
    </row>
    <row r="650" spans="1:7" x14ac:dyDescent="0.25">
      <c r="A650" s="10">
        <v>45805.40625</v>
      </c>
      <c r="B650" s="11">
        <v>11</v>
      </c>
      <c r="C650" s="11" t="s">
        <v>16</v>
      </c>
      <c r="D650" s="11" t="s">
        <v>17</v>
      </c>
      <c r="E650" s="11">
        <v>1.48</v>
      </c>
      <c r="F650" s="11">
        <v>3.67</v>
      </c>
      <c r="G650" s="8">
        <f t="shared" si="10"/>
        <v>24.196185286103542</v>
      </c>
    </row>
    <row r="651" spans="1:7" x14ac:dyDescent="0.25">
      <c r="A651" s="10">
        <v>45805.40625</v>
      </c>
      <c r="B651" s="11">
        <v>12</v>
      </c>
      <c r="C651" s="11" t="s">
        <v>17</v>
      </c>
      <c r="D651" s="11" t="s">
        <v>18</v>
      </c>
      <c r="E651" s="11">
        <v>1.46</v>
      </c>
      <c r="F651" s="11">
        <v>4.58</v>
      </c>
      <c r="G651" s="8">
        <f t="shared" si="10"/>
        <v>19.126637554585152</v>
      </c>
    </row>
    <row r="652" spans="1:7" x14ac:dyDescent="0.25">
      <c r="A652" s="10">
        <v>45805.40625</v>
      </c>
      <c r="B652" s="11">
        <v>13</v>
      </c>
      <c r="C652" s="11" t="s">
        <v>18</v>
      </c>
      <c r="D652" s="11" t="s">
        <v>19</v>
      </c>
      <c r="E652" s="11">
        <v>1.52</v>
      </c>
      <c r="F652" s="11">
        <v>4.3499999999999996</v>
      </c>
      <c r="G652" s="8">
        <f t="shared" si="10"/>
        <v>20.965517241379313</v>
      </c>
    </row>
    <row r="653" spans="1:7" x14ac:dyDescent="0.25">
      <c r="A653" s="10">
        <v>45805.40625</v>
      </c>
      <c r="B653" s="11">
        <v>14</v>
      </c>
      <c r="C653" s="11" t="s">
        <v>19</v>
      </c>
      <c r="D653" s="11" t="s">
        <v>20</v>
      </c>
      <c r="E653" s="11">
        <v>1.51</v>
      </c>
      <c r="F653" s="11">
        <v>3.92</v>
      </c>
      <c r="G653" s="8">
        <f t="shared" si="10"/>
        <v>23.112244897959183</v>
      </c>
    </row>
    <row r="654" spans="1:7" x14ac:dyDescent="0.25">
      <c r="A654" s="10">
        <v>45805.40625</v>
      </c>
      <c r="B654" s="11">
        <v>15</v>
      </c>
      <c r="C654" s="11" t="s">
        <v>20</v>
      </c>
      <c r="D654" s="11" t="s">
        <v>21</v>
      </c>
      <c r="E654" s="11">
        <v>1.47</v>
      </c>
      <c r="F654" s="11">
        <v>3</v>
      </c>
      <c r="G654" s="8">
        <f t="shared" si="10"/>
        <v>29.400000000000002</v>
      </c>
    </row>
    <row r="655" spans="1:7" x14ac:dyDescent="0.25">
      <c r="A655" s="10">
        <v>45805.40625</v>
      </c>
      <c r="B655" s="11">
        <v>16</v>
      </c>
      <c r="C655" s="11" t="s">
        <v>21</v>
      </c>
      <c r="D655" s="11" t="s">
        <v>22</v>
      </c>
      <c r="E655" s="11">
        <v>1.5</v>
      </c>
      <c r="F655" s="11">
        <v>1.95</v>
      </c>
      <c r="G655" s="8">
        <f t="shared" si="10"/>
        <v>46.153846153846153</v>
      </c>
    </row>
    <row r="656" spans="1:7" x14ac:dyDescent="0.25">
      <c r="A656" s="10">
        <v>45805.40625</v>
      </c>
      <c r="B656" s="11">
        <v>17</v>
      </c>
      <c r="C656" s="11" t="s">
        <v>22</v>
      </c>
      <c r="D656" s="11" t="s">
        <v>23</v>
      </c>
      <c r="E656" s="11">
        <v>1.51</v>
      </c>
      <c r="F656" s="11">
        <v>3.17</v>
      </c>
      <c r="G656" s="8">
        <f t="shared" si="10"/>
        <v>28.580441640378549</v>
      </c>
    </row>
    <row r="657" spans="1:7" x14ac:dyDescent="0.25">
      <c r="A657" s="10">
        <v>45805.40625</v>
      </c>
      <c r="B657" s="11">
        <v>18</v>
      </c>
      <c r="C657" s="11" t="s">
        <v>23</v>
      </c>
      <c r="D657" s="11" t="s">
        <v>24</v>
      </c>
      <c r="E657" s="11">
        <v>1.51</v>
      </c>
      <c r="F657" s="11">
        <v>3.08</v>
      </c>
      <c r="G657" s="8">
        <f t="shared" si="10"/>
        <v>29.415584415584412</v>
      </c>
    </row>
    <row r="658" spans="1:7" x14ac:dyDescent="0.25">
      <c r="A658" s="10">
        <v>45805.40625</v>
      </c>
      <c r="B658" s="11">
        <v>19</v>
      </c>
      <c r="C658" s="11" t="s">
        <v>25</v>
      </c>
      <c r="D658" s="11" t="s">
        <v>26</v>
      </c>
      <c r="E658" s="11">
        <v>1.5</v>
      </c>
      <c r="F658" s="11">
        <v>4.78</v>
      </c>
      <c r="G658" s="8">
        <f t="shared" si="10"/>
        <v>18.828451882845187</v>
      </c>
    </row>
    <row r="659" spans="1:7" x14ac:dyDescent="0.25">
      <c r="A659" s="10">
        <v>45805.40625</v>
      </c>
      <c r="B659" s="11">
        <v>20</v>
      </c>
      <c r="C659" s="11" t="s">
        <v>26</v>
      </c>
      <c r="D659" s="11" t="s">
        <v>27</v>
      </c>
      <c r="E659" s="11">
        <v>1.48</v>
      </c>
      <c r="F659" s="11">
        <v>4.22</v>
      </c>
      <c r="G659" s="8">
        <f t="shared" si="10"/>
        <v>21.042654028436019</v>
      </c>
    </row>
    <row r="660" spans="1:7" x14ac:dyDescent="0.25">
      <c r="A660" s="10">
        <v>45805.40625</v>
      </c>
      <c r="B660" s="11">
        <v>21</v>
      </c>
      <c r="C660" s="11" t="s">
        <v>27</v>
      </c>
      <c r="D660" s="11" t="s">
        <v>28</v>
      </c>
      <c r="E660" s="11">
        <v>1.51</v>
      </c>
      <c r="F660" s="11">
        <v>4.43</v>
      </c>
      <c r="G660" s="8">
        <f t="shared" si="10"/>
        <v>20.451467268623023</v>
      </c>
    </row>
    <row r="661" spans="1:7" x14ac:dyDescent="0.25">
      <c r="A661" s="10">
        <v>45805.40625</v>
      </c>
      <c r="B661" s="11">
        <v>22</v>
      </c>
      <c r="C661" s="11" t="s">
        <v>28</v>
      </c>
      <c r="D661" s="11" t="s">
        <v>29</v>
      </c>
      <c r="E661" s="11">
        <v>1.57</v>
      </c>
      <c r="F661" s="11">
        <v>3.85</v>
      </c>
      <c r="G661" s="8">
        <f t="shared" si="10"/>
        <v>24.467532467532468</v>
      </c>
    </row>
    <row r="662" spans="1:7" x14ac:dyDescent="0.25">
      <c r="A662" s="10">
        <v>45805.40625</v>
      </c>
      <c r="B662" s="11">
        <v>23</v>
      </c>
      <c r="C662" s="11" t="s">
        <v>29</v>
      </c>
      <c r="D662" s="11" t="s">
        <v>30</v>
      </c>
      <c r="E662" s="11">
        <v>1.43</v>
      </c>
      <c r="F662" s="11">
        <v>4.2699999999999996</v>
      </c>
      <c r="G662" s="8">
        <f t="shared" si="10"/>
        <v>20.093676814988292</v>
      </c>
    </row>
    <row r="663" spans="1:7" x14ac:dyDescent="0.25">
      <c r="A663" s="10">
        <v>45805.40625</v>
      </c>
      <c r="B663" s="11">
        <v>24</v>
      </c>
      <c r="C663" s="11" t="s">
        <v>30</v>
      </c>
      <c r="D663" s="11" t="s">
        <v>31</v>
      </c>
      <c r="E663" s="11">
        <v>1.52</v>
      </c>
      <c r="F663" s="11">
        <v>3.42</v>
      </c>
      <c r="G663" s="8">
        <f t="shared" si="10"/>
        <v>26.666666666666668</v>
      </c>
    </row>
    <row r="664" spans="1:7" x14ac:dyDescent="0.25">
      <c r="A664" s="10">
        <v>45805.40625</v>
      </c>
      <c r="B664" s="11">
        <v>25</v>
      </c>
      <c r="C664" s="11" t="s">
        <v>31</v>
      </c>
      <c r="D664" s="11" t="s">
        <v>32</v>
      </c>
      <c r="E664" s="11">
        <v>1.52</v>
      </c>
      <c r="F664" s="11">
        <v>3.57</v>
      </c>
      <c r="G664" s="8">
        <f t="shared" si="10"/>
        <v>25.54621848739496</v>
      </c>
    </row>
    <row r="665" spans="1:7" x14ac:dyDescent="0.25">
      <c r="A665" s="10">
        <v>45805.40625</v>
      </c>
      <c r="B665" s="11">
        <v>26</v>
      </c>
      <c r="C665" s="11" t="s">
        <v>32</v>
      </c>
      <c r="D665" s="11" t="s">
        <v>33</v>
      </c>
      <c r="E665" s="11">
        <v>1.49</v>
      </c>
      <c r="F665" s="11">
        <v>4.25</v>
      </c>
      <c r="G665" s="8">
        <f t="shared" si="10"/>
        <v>21.035294117647059</v>
      </c>
    </row>
    <row r="666" spans="1:7" x14ac:dyDescent="0.25">
      <c r="A666" s="10">
        <v>45805.40625</v>
      </c>
      <c r="B666" s="11">
        <v>27</v>
      </c>
      <c r="C666" s="11" t="s">
        <v>33</v>
      </c>
      <c r="D666" s="11" t="s">
        <v>34</v>
      </c>
      <c r="E666" s="11">
        <v>1.53</v>
      </c>
      <c r="F666" s="11">
        <v>3.82</v>
      </c>
      <c r="G666" s="8">
        <f t="shared" si="10"/>
        <v>24.031413612565444</v>
      </c>
    </row>
    <row r="667" spans="1:7" x14ac:dyDescent="0.25">
      <c r="A667" s="10">
        <v>45805.40625</v>
      </c>
      <c r="B667" s="11">
        <v>28</v>
      </c>
      <c r="C667" s="11" t="s">
        <v>34</v>
      </c>
      <c r="D667" s="11" t="s">
        <v>35</v>
      </c>
      <c r="E667" s="11">
        <v>1.51</v>
      </c>
      <c r="F667" s="11">
        <v>4.25</v>
      </c>
      <c r="G667" s="8">
        <f t="shared" si="10"/>
        <v>21.317647058823528</v>
      </c>
    </row>
    <row r="668" spans="1:7" x14ac:dyDescent="0.25">
      <c r="A668" s="10">
        <v>45805.40625</v>
      </c>
      <c r="B668" s="11">
        <v>29</v>
      </c>
      <c r="C668" s="11" t="s">
        <v>36</v>
      </c>
      <c r="D668" s="11" t="s">
        <v>37</v>
      </c>
      <c r="E668" s="11">
        <v>1.57</v>
      </c>
      <c r="F668" s="11">
        <v>4.7699999999999996</v>
      </c>
      <c r="G668" s="8">
        <f t="shared" si="10"/>
        <v>19.748427672955977</v>
      </c>
    </row>
    <row r="669" spans="1:7" x14ac:dyDescent="0.25">
      <c r="A669" s="10">
        <v>45805.40625</v>
      </c>
      <c r="B669" s="11">
        <v>30</v>
      </c>
      <c r="C669" s="11" t="s">
        <v>37</v>
      </c>
      <c r="D669" s="11" t="s">
        <v>38</v>
      </c>
      <c r="E669" s="11">
        <v>1.57</v>
      </c>
      <c r="F669" s="11">
        <v>6.33</v>
      </c>
      <c r="G669" s="8">
        <f t="shared" si="10"/>
        <v>14.881516587677725</v>
      </c>
    </row>
    <row r="670" spans="1:7" x14ac:dyDescent="0.25">
      <c r="A670" s="10">
        <v>45805.40625</v>
      </c>
      <c r="B670" s="11">
        <v>31</v>
      </c>
      <c r="C670" s="11" t="s">
        <v>38</v>
      </c>
      <c r="D670" s="11" t="s">
        <v>39</v>
      </c>
      <c r="E670" s="11">
        <v>1.52</v>
      </c>
      <c r="F670" s="11">
        <v>2.75</v>
      </c>
      <c r="G670" s="8">
        <f t="shared" si="10"/>
        <v>33.163636363636364</v>
      </c>
    </row>
    <row r="671" spans="1:7" x14ac:dyDescent="0.25">
      <c r="A671" s="10">
        <v>45805.40625</v>
      </c>
      <c r="B671" s="11">
        <v>32</v>
      </c>
      <c r="C671" s="11" t="s">
        <v>39</v>
      </c>
      <c r="D671" s="11" t="s">
        <v>40</v>
      </c>
      <c r="E671" s="11">
        <v>1.5</v>
      </c>
      <c r="F671" s="11">
        <v>1.75</v>
      </c>
      <c r="G671" s="8">
        <f t="shared" si="10"/>
        <v>51.428571428571431</v>
      </c>
    </row>
    <row r="672" spans="1:7" x14ac:dyDescent="0.25">
      <c r="A672" s="10">
        <v>45805.40625</v>
      </c>
      <c r="B672" s="11">
        <v>33</v>
      </c>
      <c r="C672" s="11" t="s">
        <v>40</v>
      </c>
      <c r="D672" s="11" t="s">
        <v>41</v>
      </c>
      <c r="E672" s="11">
        <v>1.51</v>
      </c>
      <c r="F672" s="11">
        <v>1.87</v>
      </c>
      <c r="G672" s="8">
        <f t="shared" si="10"/>
        <v>48.449197860962563</v>
      </c>
    </row>
    <row r="673" spans="1:7" x14ac:dyDescent="0.25">
      <c r="A673" s="10">
        <v>45805.40625</v>
      </c>
      <c r="B673" s="11">
        <v>34</v>
      </c>
      <c r="C673" s="11" t="s">
        <v>41</v>
      </c>
      <c r="D673" s="11" t="s">
        <v>42</v>
      </c>
      <c r="E673" s="11">
        <v>1.5</v>
      </c>
      <c r="F673" s="11">
        <v>1.85</v>
      </c>
      <c r="G673" s="8">
        <f t="shared" si="10"/>
        <v>48.648648648648646</v>
      </c>
    </row>
    <row r="674" spans="1:7" x14ac:dyDescent="0.25">
      <c r="A674" s="10">
        <v>45805.40625</v>
      </c>
      <c r="B674" s="11">
        <v>35</v>
      </c>
      <c r="C674" s="11" t="s">
        <v>43</v>
      </c>
      <c r="D674" s="11" t="s">
        <v>44</v>
      </c>
      <c r="E674" s="11">
        <v>1.55</v>
      </c>
      <c r="F674" s="11">
        <v>4.0199999999999996</v>
      </c>
      <c r="G674" s="8">
        <f t="shared" si="10"/>
        <v>23.134328358208958</v>
      </c>
    </row>
    <row r="675" spans="1:7" x14ac:dyDescent="0.25">
      <c r="A675" s="10">
        <v>45805.40625</v>
      </c>
      <c r="B675" s="11">
        <v>36</v>
      </c>
      <c r="C675" s="11" t="s">
        <v>44</v>
      </c>
      <c r="D675" s="11" t="s">
        <v>45</v>
      </c>
      <c r="E675" s="11">
        <v>1.5</v>
      </c>
      <c r="F675" s="11">
        <v>2.98</v>
      </c>
      <c r="G675" s="8">
        <f t="shared" si="10"/>
        <v>30.201342281879196</v>
      </c>
    </row>
    <row r="676" spans="1:7" x14ac:dyDescent="0.25">
      <c r="A676" s="10">
        <v>45805.40625</v>
      </c>
      <c r="B676" s="11">
        <v>37</v>
      </c>
      <c r="C676" s="11" t="s">
        <v>45</v>
      </c>
      <c r="D676" s="11" t="s">
        <v>46</v>
      </c>
      <c r="E676" s="11">
        <v>1.38</v>
      </c>
      <c r="F676" s="11">
        <v>4</v>
      </c>
      <c r="G676" s="8">
        <f t="shared" si="10"/>
        <v>20.7</v>
      </c>
    </row>
    <row r="677" spans="1:7" x14ac:dyDescent="0.25">
      <c r="A677" s="10">
        <v>45805.40625</v>
      </c>
      <c r="B677" s="11">
        <v>38</v>
      </c>
      <c r="C677" s="11" t="s">
        <v>46</v>
      </c>
      <c r="D677" s="11" t="s">
        <v>47</v>
      </c>
      <c r="E677" s="11">
        <v>1.61</v>
      </c>
      <c r="F677" s="11">
        <v>3.9</v>
      </c>
      <c r="G677" s="8">
        <f t="shared" si="10"/>
        <v>24.769230769230774</v>
      </c>
    </row>
    <row r="678" spans="1:7" x14ac:dyDescent="0.25">
      <c r="A678" s="10">
        <v>45805.40625</v>
      </c>
      <c r="B678" s="11">
        <v>39</v>
      </c>
      <c r="C678" s="11" t="s">
        <v>47</v>
      </c>
      <c r="D678" s="11" t="s">
        <v>48</v>
      </c>
      <c r="E678" s="11">
        <v>1.55</v>
      </c>
      <c r="F678" s="11">
        <v>3.35</v>
      </c>
      <c r="G678" s="8">
        <f t="shared" si="10"/>
        <v>27.761194029850746</v>
      </c>
    </row>
    <row r="679" spans="1:7" x14ac:dyDescent="0.25">
      <c r="A679" s="10">
        <v>45805.40625</v>
      </c>
      <c r="B679" s="11">
        <v>40</v>
      </c>
      <c r="C679" s="11" t="s">
        <v>48</v>
      </c>
      <c r="D679" s="11" t="s">
        <v>49</v>
      </c>
      <c r="E679" s="11">
        <v>1.39</v>
      </c>
      <c r="F679" s="11">
        <v>2.88</v>
      </c>
      <c r="G679" s="8">
        <f t="shared" si="10"/>
        <v>28.958333333333332</v>
      </c>
    </row>
    <row r="680" spans="1:7" x14ac:dyDescent="0.25">
      <c r="A680" s="10">
        <v>45805.40625</v>
      </c>
      <c r="B680" s="11">
        <v>41</v>
      </c>
      <c r="C680" s="11" t="s">
        <v>50</v>
      </c>
      <c r="D680" s="11" t="s">
        <v>51</v>
      </c>
      <c r="E680" s="11">
        <v>1.56</v>
      </c>
      <c r="F680" s="11">
        <v>4.0999999999999996</v>
      </c>
      <c r="G680" s="8">
        <f t="shared" si="10"/>
        <v>22.829268292682929</v>
      </c>
    </row>
    <row r="681" spans="1:7" x14ac:dyDescent="0.25">
      <c r="A681" s="10">
        <v>45805.40625</v>
      </c>
      <c r="B681" s="11">
        <v>42</v>
      </c>
      <c r="C681" s="11" t="s">
        <v>51</v>
      </c>
      <c r="D681" s="11" t="s">
        <v>52</v>
      </c>
      <c r="E681" s="11">
        <v>1.56</v>
      </c>
      <c r="F681" s="11">
        <v>4</v>
      </c>
      <c r="G681" s="8">
        <f t="shared" si="10"/>
        <v>23.400000000000002</v>
      </c>
    </row>
    <row r="682" spans="1:7" x14ac:dyDescent="0.25">
      <c r="A682" s="10">
        <v>45805.40625</v>
      </c>
      <c r="B682" s="11">
        <v>43</v>
      </c>
      <c r="C682" s="11" t="s">
        <v>52</v>
      </c>
      <c r="D682" s="11" t="s">
        <v>53</v>
      </c>
      <c r="E682" s="11">
        <v>1.51</v>
      </c>
      <c r="F682" s="11">
        <v>3.55</v>
      </c>
      <c r="G682" s="8">
        <f t="shared" si="10"/>
        <v>25.52112676056338</v>
      </c>
    </row>
    <row r="683" spans="1:7" x14ac:dyDescent="0.25">
      <c r="A683" s="10">
        <v>45805.40625</v>
      </c>
      <c r="B683" s="11">
        <v>44</v>
      </c>
      <c r="C683" s="11" t="s">
        <v>54</v>
      </c>
      <c r="D683" s="11" t="s">
        <v>55</v>
      </c>
      <c r="E683" s="11">
        <v>1.51</v>
      </c>
      <c r="F683" s="11">
        <v>4.62</v>
      </c>
      <c r="G683" s="8">
        <f t="shared" si="10"/>
        <v>19.61038961038961</v>
      </c>
    </row>
    <row r="684" spans="1:7" x14ac:dyDescent="0.25">
      <c r="A684" s="10">
        <v>45805.40625</v>
      </c>
      <c r="B684" s="11">
        <v>45</v>
      </c>
      <c r="C684" s="11" t="s">
        <v>55</v>
      </c>
      <c r="D684" s="11" t="s">
        <v>56</v>
      </c>
      <c r="E684" s="11">
        <v>1.49</v>
      </c>
      <c r="F684" s="11">
        <v>3.52</v>
      </c>
      <c r="G684" s="8">
        <f t="shared" si="10"/>
        <v>25.397727272727273</v>
      </c>
    </row>
    <row r="685" spans="1:7" x14ac:dyDescent="0.25">
      <c r="A685" s="10">
        <v>45805.40625</v>
      </c>
      <c r="B685" s="11">
        <v>46</v>
      </c>
      <c r="C685" s="11" t="s">
        <v>56</v>
      </c>
      <c r="D685" s="11" t="s">
        <v>57</v>
      </c>
      <c r="E685" s="11">
        <v>1.52</v>
      </c>
      <c r="F685" s="11">
        <v>3.82</v>
      </c>
      <c r="G685" s="8">
        <f t="shared" si="10"/>
        <v>23.874345549738223</v>
      </c>
    </row>
    <row r="686" spans="1:7" x14ac:dyDescent="0.25">
      <c r="A686" s="10">
        <v>45805.40625</v>
      </c>
      <c r="B686" s="11">
        <v>47</v>
      </c>
      <c r="C686" s="11" t="s">
        <v>58</v>
      </c>
      <c r="D686" s="11" t="s">
        <v>59</v>
      </c>
      <c r="E686" s="11">
        <v>1.52</v>
      </c>
      <c r="F686" s="11">
        <v>7.82</v>
      </c>
      <c r="G686" s="8">
        <f t="shared" si="10"/>
        <v>11.662404092071611</v>
      </c>
    </row>
    <row r="687" spans="1:7" x14ac:dyDescent="0.25">
      <c r="A687" s="10">
        <v>45805.40625</v>
      </c>
      <c r="B687" s="11">
        <v>48</v>
      </c>
      <c r="C687" s="11" t="s">
        <v>59</v>
      </c>
      <c r="D687" s="11" t="s">
        <v>60</v>
      </c>
      <c r="E687" s="11">
        <v>1.5</v>
      </c>
      <c r="F687" s="11">
        <v>3.47</v>
      </c>
      <c r="G687" s="8">
        <f t="shared" si="10"/>
        <v>25.936599423631122</v>
      </c>
    </row>
    <row r="688" spans="1:7" x14ac:dyDescent="0.25">
      <c r="A688" s="10">
        <v>45805.40625</v>
      </c>
      <c r="B688" s="11">
        <v>49</v>
      </c>
      <c r="C688" s="11" t="s">
        <v>60</v>
      </c>
      <c r="D688" s="11" t="s">
        <v>61</v>
      </c>
      <c r="E688" s="11">
        <v>1.54</v>
      </c>
      <c r="F688" s="11">
        <v>3.95</v>
      </c>
      <c r="G688" s="8">
        <f t="shared" si="10"/>
        <v>23.39240506329114</v>
      </c>
    </row>
    <row r="689" spans="1:7" x14ac:dyDescent="0.25">
      <c r="A689" s="10">
        <v>45805.40625</v>
      </c>
      <c r="B689" s="11">
        <v>50</v>
      </c>
      <c r="C689" s="11" t="s">
        <v>62</v>
      </c>
      <c r="D689" s="11" t="s">
        <v>63</v>
      </c>
      <c r="E689" s="11">
        <v>1.38</v>
      </c>
      <c r="F689" s="11">
        <v>3.15</v>
      </c>
      <c r="G689" s="8">
        <f t="shared" si="10"/>
        <v>26.285714285714285</v>
      </c>
    </row>
    <row r="690" spans="1:7" x14ac:dyDescent="0.25">
      <c r="A690" s="10">
        <v>45805.40625</v>
      </c>
      <c r="B690" s="11">
        <v>51</v>
      </c>
      <c r="C690" s="11" t="s">
        <v>63</v>
      </c>
      <c r="D690" s="11" t="s">
        <v>64</v>
      </c>
      <c r="E690" s="11">
        <v>2.79</v>
      </c>
      <c r="F690" s="11">
        <v>5.78</v>
      </c>
      <c r="G690" s="8">
        <f t="shared" si="10"/>
        <v>28.961937716262977</v>
      </c>
    </row>
    <row r="691" spans="1:7" x14ac:dyDescent="0.25">
      <c r="A691" s="10">
        <v>45805.40625</v>
      </c>
      <c r="B691" s="11">
        <v>52</v>
      </c>
      <c r="C691" s="11" t="s">
        <v>64</v>
      </c>
      <c r="D691" s="11" t="s">
        <v>65</v>
      </c>
      <c r="E691" s="11">
        <v>1.5</v>
      </c>
      <c r="F691" s="11">
        <v>2.93</v>
      </c>
      <c r="G691" s="8">
        <f t="shared" si="10"/>
        <v>30.716723549488052</v>
      </c>
    </row>
    <row r="692" spans="1:7" x14ac:dyDescent="0.25">
      <c r="A692" s="10">
        <v>45805.40625</v>
      </c>
      <c r="B692" s="11">
        <v>53</v>
      </c>
      <c r="C692" s="11" t="s">
        <v>65</v>
      </c>
      <c r="D692" s="11" t="s">
        <v>66</v>
      </c>
      <c r="E692" s="11">
        <v>1.46</v>
      </c>
      <c r="F692" s="11">
        <v>3.97</v>
      </c>
      <c r="G692" s="8">
        <f t="shared" si="10"/>
        <v>22.065491183879089</v>
      </c>
    </row>
    <row r="693" spans="1:7" x14ac:dyDescent="0.25">
      <c r="A693" s="10">
        <v>45805.40625</v>
      </c>
      <c r="B693" s="11">
        <v>54</v>
      </c>
      <c r="C693" s="11" t="s">
        <v>67</v>
      </c>
      <c r="D693" s="11" t="s">
        <v>68</v>
      </c>
      <c r="E693" s="11">
        <v>1.46</v>
      </c>
      <c r="F693" s="11">
        <v>5.43</v>
      </c>
      <c r="G693" s="8">
        <f t="shared" si="10"/>
        <v>16.132596685082873</v>
      </c>
    </row>
    <row r="694" spans="1:7" x14ac:dyDescent="0.25">
      <c r="A694" s="10">
        <v>45805.40625</v>
      </c>
      <c r="B694" s="11">
        <v>55</v>
      </c>
      <c r="C694" s="11" t="s">
        <v>68</v>
      </c>
      <c r="D694" s="11" t="s">
        <v>69</v>
      </c>
      <c r="E694" s="11">
        <v>1.5</v>
      </c>
      <c r="F694" s="11">
        <v>2.2000000000000002</v>
      </c>
      <c r="G694" s="8">
        <f t="shared" si="10"/>
        <v>40.909090909090907</v>
      </c>
    </row>
    <row r="695" spans="1:7" x14ac:dyDescent="0.25">
      <c r="A695" s="10">
        <v>45805.40625</v>
      </c>
      <c r="B695" s="11">
        <v>56</v>
      </c>
      <c r="C695" s="11" t="s">
        <v>70</v>
      </c>
      <c r="D695" s="11" t="s">
        <v>71</v>
      </c>
      <c r="E695" s="11">
        <v>1.51</v>
      </c>
      <c r="F695" s="11">
        <v>5.98</v>
      </c>
      <c r="G695" s="8">
        <f t="shared" si="10"/>
        <v>15.1505016722408</v>
      </c>
    </row>
    <row r="696" spans="1:7" x14ac:dyDescent="0.25">
      <c r="A696" s="10">
        <v>45805.40625</v>
      </c>
      <c r="B696" s="11">
        <v>57</v>
      </c>
      <c r="C696" s="11" t="s">
        <v>71</v>
      </c>
      <c r="D696" s="11" t="s">
        <v>72</v>
      </c>
      <c r="E696" s="11">
        <v>1.52</v>
      </c>
      <c r="F696" s="11">
        <v>4.18</v>
      </c>
      <c r="G696" s="8">
        <f t="shared" si="10"/>
        <v>21.81818181818182</v>
      </c>
    </row>
    <row r="697" spans="1:7" x14ac:dyDescent="0.25">
      <c r="A697" s="10">
        <v>45805.40625</v>
      </c>
      <c r="B697" s="11">
        <v>58</v>
      </c>
      <c r="C697" s="11" t="s">
        <v>72</v>
      </c>
      <c r="D697" s="11" t="s">
        <v>73</v>
      </c>
      <c r="E697" s="11">
        <v>1.5</v>
      </c>
      <c r="F697" s="11">
        <v>4.12</v>
      </c>
      <c r="G697" s="8">
        <f t="shared" si="10"/>
        <v>21.844660194174757</v>
      </c>
    </row>
    <row r="698" spans="1:7" x14ac:dyDescent="0.25">
      <c r="A698" s="10">
        <v>45805.416666666664</v>
      </c>
      <c r="B698" s="11">
        <v>1</v>
      </c>
      <c r="C698" s="11" t="s">
        <v>6</v>
      </c>
      <c r="D698" s="11" t="s">
        <v>7</v>
      </c>
      <c r="E698" s="11">
        <v>1.53</v>
      </c>
      <c r="F698" s="11">
        <v>3.12</v>
      </c>
      <c r="G698" s="8">
        <f t="shared" si="10"/>
        <v>29.42307692307692</v>
      </c>
    </row>
    <row r="699" spans="1:7" x14ac:dyDescent="0.25">
      <c r="A699" s="10">
        <v>45805.416666666664</v>
      </c>
      <c r="B699" s="11">
        <v>2</v>
      </c>
      <c r="C699" s="11" t="s">
        <v>7</v>
      </c>
      <c r="D699" s="11" t="s">
        <v>8</v>
      </c>
      <c r="E699" s="11">
        <v>1.57</v>
      </c>
      <c r="F699" s="11">
        <v>5.2</v>
      </c>
      <c r="G699" s="8">
        <f t="shared" si="10"/>
        <v>18.115384615384617</v>
      </c>
    </row>
    <row r="700" spans="1:7" x14ac:dyDescent="0.25">
      <c r="A700" s="10">
        <v>45805.416666666664</v>
      </c>
      <c r="B700" s="11">
        <v>3</v>
      </c>
      <c r="C700" s="11" t="s">
        <v>8</v>
      </c>
      <c r="D700" s="11" t="s">
        <v>9</v>
      </c>
      <c r="E700" s="11">
        <v>1.5</v>
      </c>
      <c r="F700" s="11">
        <v>3.08</v>
      </c>
      <c r="G700" s="8">
        <f t="shared" si="10"/>
        <v>29.220779220779221</v>
      </c>
    </row>
    <row r="701" spans="1:7" x14ac:dyDescent="0.25">
      <c r="A701" s="10">
        <v>45805.416666666664</v>
      </c>
      <c r="B701" s="11">
        <v>4</v>
      </c>
      <c r="C701" s="11" t="s">
        <v>9</v>
      </c>
      <c r="D701" s="11" t="s">
        <v>10</v>
      </c>
      <c r="E701" s="11">
        <v>1.5</v>
      </c>
      <c r="F701" s="11">
        <v>2.77</v>
      </c>
      <c r="G701" s="8">
        <f t="shared" si="10"/>
        <v>32.490974729241877</v>
      </c>
    </row>
    <row r="702" spans="1:7" x14ac:dyDescent="0.25">
      <c r="A702" s="10">
        <v>45805.416666666664</v>
      </c>
      <c r="B702" s="11">
        <v>5</v>
      </c>
      <c r="C702" s="11" t="s">
        <v>10</v>
      </c>
      <c r="D702" s="11" t="s">
        <v>11</v>
      </c>
      <c r="E702" s="11">
        <v>1.52</v>
      </c>
      <c r="F702" s="11">
        <v>3.28</v>
      </c>
      <c r="G702" s="8">
        <f t="shared" si="10"/>
        <v>27.804878048780491</v>
      </c>
    </row>
    <row r="703" spans="1:7" x14ac:dyDescent="0.25">
      <c r="A703" s="10">
        <v>45805.416666666664</v>
      </c>
      <c r="B703" s="11">
        <v>6</v>
      </c>
      <c r="C703" s="11" t="s">
        <v>11</v>
      </c>
      <c r="D703" s="11" t="s">
        <v>12</v>
      </c>
      <c r="E703" s="11">
        <v>1.5</v>
      </c>
      <c r="F703" s="11">
        <v>2.72</v>
      </c>
      <c r="G703" s="8">
        <f t="shared" si="10"/>
        <v>33.088235294117645</v>
      </c>
    </row>
    <row r="704" spans="1:7" x14ac:dyDescent="0.25">
      <c r="A704" s="10">
        <v>45805.416666666664</v>
      </c>
      <c r="B704" s="11">
        <v>7</v>
      </c>
      <c r="C704" s="11" t="s">
        <v>12</v>
      </c>
      <c r="D704" s="11" t="s">
        <v>13</v>
      </c>
      <c r="E704" s="11">
        <v>1.54</v>
      </c>
      <c r="F704" s="11">
        <v>2.63</v>
      </c>
      <c r="G704" s="8">
        <f t="shared" si="10"/>
        <v>35.133079847908746</v>
      </c>
    </row>
    <row r="705" spans="1:7" x14ac:dyDescent="0.25">
      <c r="A705" s="10">
        <v>45805.416666666664</v>
      </c>
      <c r="B705" s="11">
        <v>8</v>
      </c>
      <c r="C705" s="11" t="s">
        <v>13</v>
      </c>
      <c r="D705" s="11" t="s">
        <v>14</v>
      </c>
      <c r="E705" s="11">
        <v>1.54</v>
      </c>
      <c r="F705" s="11">
        <v>3.32</v>
      </c>
      <c r="G705" s="8">
        <f t="shared" si="10"/>
        <v>27.831325301204821</v>
      </c>
    </row>
    <row r="706" spans="1:7" x14ac:dyDescent="0.25">
      <c r="A706" s="10">
        <v>45805.416666666664</v>
      </c>
      <c r="B706" s="11">
        <v>9</v>
      </c>
      <c r="C706" s="11" t="s">
        <v>14</v>
      </c>
      <c r="D706" s="11" t="s">
        <v>15</v>
      </c>
      <c r="E706" s="11">
        <v>1.52</v>
      </c>
      <c r="F706" s="11">
        <v>3.78</v>
      </c>
      <c r="G706" s="8">
        <f t="shared" si="10"/>
        <v>24.12698412698413</v>
      </c>
    </row>
    <row r="707" spans="1:7" x14ac:dyDescent="0.25">
      <c r="A707" s="10">
        <v>45805.416666666664</v>
      </c>
      <c r="B707" s="11">
        <v>10</v>
      </c>
      <c r="C707" s="11" t="s">
        <v>15</v>
      </c>
      <c r="D707" s="11" t="s">
        <v>16</v>
      </c>
      <c r="E707" s="11">
        <v>1.5</v>
      </c>
      <c r="F707" s="11">
        <v>3.8</v>
      </c>
      <c r="G707" s="8">
        <f t="shared" ref="G707:G770" si="11">E707*60/F707</f>
        <v>23.684210526315791</v>
      </c>
    </row>
    <row r="708" spans="1:7" x14ac:dyDescent="0.25">
      <c r="A708" s="10">
        <v>45805.416666666664</v>
      </c>
      <c r="B708" s="11">
        <v>11</v>
      </c>
      <c r="C708" s="11" t="s">
        <v>16</v>
      </c>
      <c r="D708" s="11" t="s">
        <v>17</v>
      </c>
      <c r="E708" s="11">
        <v>1.48</v>
      </c>
      <c r="F708" s="11">
        <v>2.9</v>
      </c>
      <c r="G708" s="8">
        <f t="shared" si="11"/>
        <v>30.620689655172413</v>
      </c>
    </row>
    <row r="709" spans="1:7" x14ac:dyDescent="0.25">
      <c r="A709" s="10">
        <v>45805.416666666664</v>
      </c>
      <c r="B709" s="11">
        <v>12</v>
      </c>
      <c r="C709" s="11" t="s">
        <v>17</v>
      </c>
      <c r="D709" s="11" t="s">
        <v>18</v>
      </c>
      <c r="E709" s="11">
        <v>1.46</v>
      </c>
      <c r="F709" s="11">
        <v>4.22</v>
      </c>
      <c r="G709" s="8">
        <f t="shared" si="11"/>
        <v>20.75829383886256</v>
      </c>
    </row>
    <row r="710" spans="1:7" x14ac:dyDescent="0.25">
      <c r="A710" s="10">
        <v>45805.416666666664</v>
      </c>
      <c r="B710" s="11">
        <v>13</v>
      </c>
      <c r="C710" s="11" t="s">
        <v>18</v>
      </c>
      <c r="D710" s="11" t="s">
        <v>19</v>
      </c>
      <c r="E710" s="11">
        <v>1.52</v>
      </c>
      <c r="F710" s="11">
        <v>4.28</v>
      </c>
      <c r="G710" s="8">
        <f t="shared" si="11"/>
        <v>21.308411214953271</v>
      </c>
    </row>
    <row r="711" spans="1:7" x14ac:dyDescent="0.25">
      <c r="A711" s="10">
        <v>45805.416666666664</v>
      </c>
      <c r="B711" s="11">
        <v>14</v>
      </c>
      <c r="C711" s="11" t="s">
        <v>19</v>
      </c>
      <c r="D711" s="11" t="s">
        <v>20</v>
      </c>
      <c r="E711" s="11">
        <v>1.51</v>
      </c>
      <c r="F711" s="11">
        <v>4.13</v>
      </c>
      <c r="G711" s="8">
        <f t="shared" si="11"/>
        <v>21.937046004842614</v>
      </c>
    </row>
    <row r="712" spans="1:7" x14ac:dyDescent="0.25">
      <c r="A712" s="10">
        <v>45805.416666666664</v>
      </c>
      <c r="B712" s="11">
        <v>15</v>
      </c>
      <c r="C712" s="11" t="s">
        <v>20</v>
      </c>
      <c r="D712" s="11" t="s">
        <v>21</v>
      </c>
      <c r="E712" s="11">
        <v>1.47</v>
      </c>
      <c r="F712" s="11">
        <v>2.73</v>
      </c>
      <c r="G712" s="8">
        <f t="shared" si="11"/>
        <v>32.307692307692307</v>
      </c>
    </row>
    <row r="713" spans="1:7" x14ac:dyDescent="0.25">
      <c r="A713" s="10">
        <v>45805.416666666664</v>
      </c>
      <c r="B713" s="11">
        <v>16</v>
      </c>
      <c r="C713" s="11" t="s">
        <v>21</v>
      </c>
      <c r="D713" s="11" t="s">
        <v>22</v>
      </c>
      <c r="E713" s="11">
        <v>1.5</v>
      </c>
      <c r="F713" s="11">
        <v>1.88</v>
      </c>
      <c r="G713" s="8">
        <f t="shared" si="11"/>
        <v>47.872340425531917</v>
      </c>
    </row>
    <row r="714" spans="1:7" x14ac:dyDescent="0.25">
      <c r="A714" s="10">
        <v>45805.416666666664</v>
      </c>
      <c r="B714" s="11">
        <v>17</v>
      </c>
      <c r="C714" s="11" t="s">
        <v>22</v>
      </c>
      <c r="D714" s="11" t="s">
        <v>23</v>
      </c>
      <c r="E714" s="11">
        <v>1.51</v>
      </c>
      <c r="F714" s="11">
        <v>3.23</v>
      </c>
      <c r="G714" s="8">
        <f t="shared" si="11"/>
        <v>28.049535603715167</v>
      </c>
    </row>
    <row r="715" spans="1:7" x14ac:dyDescent="0.25">
      <c r="A715" s="10">
        <v>45805.416666666664</v>
      </c>
      <c r="B715" s="11">
        <v>18</v>
      </c>
      <c r="C715" s="11" t="s">
        <v>23</v>
      </c>
      <c r="D715" s="11" t="s">
        <v>24</v>
      </c>
      <c r="E715" s="11">
        <v>1.51</v>
      </c>
      <c r="F715" s="11">
        <v>3.4</v>
      </c>
      <c r="G715" s="8">
        <f t="shared" si="11"/>
        <v>26.647058823529409</v>
      </c>
    </row>
    <row r="716" spans="1:7" x14ac:dyDescent="0.25">
      <c r="A716" s="10">
        <v>45805.416666666664</v>
      </c>
      <c r="B716" s="11">
        <v>19</v>
      </c>
      <c r="C716" s="11" t="s">
        <v>25</v>
      </c>
      <c r="D716" s="11" t="s">
        <v>26</v>
      </c>
      <c r="E716" s="11">
        <v>1.5</v>
      </c>
      <c r="F716" s="11">
        <v>4.57</v>
      </c>
      <c r="G716" s="8">
        <f t="shared" si="11"/>
        <v>19.693654266958422</v>
      </c>
    </row>
    <row r="717" spans="1:7" x14ac:dyDescent="0.25">
      <c r="A717" s="10">
        <v>45805.416666666664</v>
      </c>
      <c r="B717" s="11">
        <v>20</v>
      </c>
      <c r="C717" s="11" t="s">
        <v>26</v>
      </c>
      <c r="D717" s="11" t="s">
        <v>27</v>
      </c>
      <c r="E717" s="11">
        <v>1.48</v>
      </c>
      <c r="F717" s="11">
        <v>4.05</v>
      </c>
      <c r="G717" s="8">
        <f t="shared" si="11"/>
        <v>21.925925925925927</v>
      </c>
    </row>
    <row r="718" spans="1:7" x14ac:dyDescent="0.25">
      <c r="A718" s="10">
        <v>45805.416666666664</v>
      </c>
      <c r="B718" s="11">
        <v>21</v>
      </c>
      <c r="C718" s="11" t="s">
        <v>27</v>
      </c>
      <c r="D718" s="11" t="s">
        <v>28</v>
      </c>
      <c r="E718" s="11">
        <v>1.51</v>
      </c>
      <c r="F718" s="11">
        <v>3.72</v>
      </c>
      <c r="G718" s="8">
        <f t="shared" si="11"/>
        <v>24.354838709677416</v>
      </c>
    </row>
    <row r="719" spans="1:7" x14ac:dyDescent="0.25">
      <c r="A719" s="10">
        <v>45805.416666666664</v>
      </c>
      <c r="B719" s="11">
        <v>22</v>
      </c>
      <c r="C719" s="11" t="s">
        <v>28</v>
      </c>
      <c r="D719" s="11" t="s">
        <v>29</v>
      </c>
      <c r="E719" s="11">
        <v>1.57</v>
      </c>
      <c r="F719" s="11">
        <v>3.67</v>
      </c>
      <c r="G719" s="8">
        <f t="shared" si="11"/>
        <v>25.667574931880111</v>
      </c>
    </row>
    <row r="720" spans="1:7" x14ac:dyDescent="0.25">
      <c r="A720" s="10">
        <v>45805.416666666664</v>
      </c>
      <c r="B720" s="11">
        <v>23</v>
      </c>
      <c r="C720" s="11" t="s">
        <v>29</v>
      </c>
      <c r="D720" s="11" t="s">
        <v>30</v>
      </c>
      <c r="E720" s="11">
        <v>1.43</v>
      </c>
      <c r="F720" s="11">
        <v>4.53</v>
      </c>
      <c r="G720" s="8">
        <f t="shared" si="11"/>
        <v>18.940397350993376</v>
      </c>
    </row>
    <row r="721" spans="1:7" x14ac:dyDescent="0.25">
      <c r="A721" s="10">
        <v>45805.416666666664</v>
      </c>
      <c r="B721" s="11">
        <v>24</v>
      </c>
      <c r="C721" s="11" t="s">
        <v>30</v>
      </c>
      <c r="D721" s="11" t="s">
        <v>31</v>
      </c>
      <c r="E721" s="11">
        <v>1.52</v>
      </c>
      <c r="F721" s="11">
        <v>3.23</v>
      </c>
      <c r="G721" s="8">
        <f t="shared" si="11"/>
        <v>28.235294117647062</v>
      </c>
    </row>
    <row r="722" spans="1:7" x14ac:dyDescent="0.25">
      <c r="A722" s="10">
        <v>45805.416666666664</v>
      </c>
      <c r="B722" s="11">
        <v>25</v>
      </c>
      <c r="C722" s="11" t="s">
        <v>31</v>
      </c>
      <c r="D722" s="11" t="s">
        <v>32</v>
      </c>
      <c r="E722" s="11">
        <v>1.52</v>
      </c>
      <c r="F722" s="11">
        <v>3.4</v>
      </c>
      <c r="G722" s="8">
        <f t="shared" si="11"/>
        <v>26.823529411764707</v>
      </c>
    </row>
    <row r="723" spans="1:7" x14ac:dyDescent="0.25">
      <c r="A723" s="10">
        <v>45805.416666666664</v>
      </c>
      <c r="B723" s="11">
        <v>26</v>
      </c>
      <c r="C723" s="11" t="s">
        <v>32</v>
      </c>
      <c r="D723" s="11" t="s">
        <v>33</v>
      </c>
      <c r="E723" s="11">
        <v>1.49</v>
      </c>
      <c r="F723" s="11">
        <v>4.72</v>
      </c>
      <c r="G723" s="8">
        <f t="shared" si="11"/>
        <v>18.940677966101696</v>
      </c>
    </row>
    <row r="724" spans="1:7" x14ac:dyDescent="0.25">
      <c r="A724" s="10">
        <v>45805.416666666664</v>
      </c>
      <c r="B724" s="11">
        <v>27</v>
      </c>
      <c r="C724" s="11" t="s">
        <v>33</v>
      </c>
      <c r="D724" s="11" t="s">
        <v>34</v>
      </c>
      <c r="E724" s="11">
        <v>1.53</v>
      </c>
      <c r="F724" s="11">
        <v>3.73</v>
      </c>
      <c r="G724" s="8">
        <f t="shared" si="11"/>
        <v>24.611260053619301</v>
      </c>
    </row>
    <row r="725" spans="1:7" x14ac:dyDescent="0.25">
      <c r="A725" s="10">
        <v>45805.416666666664</v>
      </c>
      <c r="B725" s="11">
        <v>28</v>
      </c>
      <c r="C725" s="11" t="s">
        <v>34</v>
      </c>
      <c r="D725" s="11" t="s">
        <v>35</v>
      </c>
      <c r="E725" s="11">
        <v>1.51</v>
      </c>
      <c r="F725" s="11">
        <v>4.4800000000000004</v>
      </c>
      <c r="G725" s="8">
        <f t="shared" si="11"/>
        <v>20.223214285714281</v>
      </c>
    </row>
    <row r="726" spans="1:7" x14ac:dyDescent="0.25">
      <c r="A726" s="10">
        <v>45805.416666666664</v>
      </c>
      <c r="B726" s="11">
        <v>29</v>
      </c>
      <c r="C726" s="11" t="s">
        <v>36</v>
      </c>
      <c r="D726" s="11" t="s">
        <v>37</v>
      </c>
      <c r="E726" s="11">
        <v>1.57</v>
      </c>
      <c r="F726" s="11">
        <v>5.13</v>
      </c>
      <c r="G726" s="8">
        <f t="shared" si="11"/>
        <v>18.362573099415204</v>
      </c>
    </row>
    <row r="727" spans="1:7" x14ac:dyDescent="0.25">
      <c r="A727" s="10">
        <v>45805.416666666664</v>
      </c>
      <c r="B727" s="11">
        <v>30</v>
      </c>
      <c r="C727" s="11" t="s">
        <v>37</v>
      </c>
      <c r="D727" s="11" t="s">
        <v>38</v>
      </c>
      <c r="E727" s="11">
        <v>1.57</v>
      </c>
      <c r="F727" s="11">
        <v>6.08</v>
      </c>
      <c r="G727" s="8">
        <f t="shared" si="11"/>
        <v>15.493421052631579</v>
      </c>
    </row>
    <row r="728" spans="1:7" x14ac:dyDescent="0.25">
      <c r="A728" s="10">
        <v>45805.416666666664</v>
      </c>
      <c r="B728" s="11">
        <v>31</v>
      </c>
      <c r="C728" s="11" t="s">
        <v>38</v>
      </c>
      <c r="D728" s="11" t="s">
        <v>39</v>
      </c>
      <c r="E728" s="11">
        <v>1.52</v>
      </c>
      <c r="F728" s="11">
        <v>2.78</v>
      </c>
      <c r="G728" s="8">
        <f t="shared" si="11"/>
        <v>32.805755395683455</v>
      </c>
    </row>
    <row r="729" spans="1:7" x14ac:dyDescent="0.25">
      <c r="A729" s="10">
        <v>45805.416666666664</v>
      </c>
      <c r="B729" s="11">
        <v>32</v>
      </c>
      <c r="C729" s="11" t="s">
        <v>39</v>
      </c>
      <c r="D729" s="11" t="s">
        <v>40</v>
      </c>
      <c r="E729" s="11">
        <v>1.5</v>
      </c>
      <c r="F729" s="11">
        <v>1.85</v>
      </c>
      <c r="G729" s="8">
        <f t="shared" si="11"/>
        <v>48.648648648648646</v>
      </c>
    </row>
    <row r="730" spans="1:7" x14ac:dyDescent="0.25">
      <c r="A730" s="10">
        <v>45805.416666666664</v>
      </c>
      <c r="B730" s="11">
        <v>33</v>
      </c>
      <c r="C730" s="11" t="s">
        <v>40</v>
      </c>
      <c r="D730" s="11" t="s">
        <v>41</v>
      </c>
      <c r="E730" s="11">
        <v>1.51</v>
      </c>
      <c r="F730" s="11">
        <v>1.9</v>
      </c>
      <c r="G730" s="8">
        <f t="shared" si="11"/>
        <v>47.684210526315788</v>
      </c>
    </row>
    <row r="731" spans="1:7" x14ac:dyDescent="0.25">
      <c r="A731" s="10">
        <v>45805.416666666664</v>
      </c>
      <c r="B731" s="11">
        <v>34</v>
      </c>
      <c r="C731" s="11" t="s">
        <v>41</v>
      </c>
      <c r="D731" s="11" t="s">
        <v>42</v>
      </c>
      <c r="E731" s="11">
        <v>1.5</v>
      </c>
      <c r="F731" s="11">
        <v>1.9</v>
      </c>
      <c r="G731" s="8">
        <f t="shared" si="11"/>
        <v>47.368421052631582</v>
      </c>
    </row>
    <row r="732" spans="1:7" x14ac:dyDescent="0.25">
      <c r="A732" s="10">
        <v>45805.416666666664</v>
      </c>
      <c r="B732" s="11">
        <v>35</v>
      </c>
      <c r="C732" s="11" t="s">
        <v>43</v>
      </c>
      <c r="D732" s="11" t="s">
        <v>44</v>
      </c>
      <c r="E732" s="11">
        <v>1.55</v>
      </c>
      <c r="F732" s="11">
        <v>4.13</v>
      </c>
      <c r="G732" s="8">
        <f t="shared" si="11"/>
        <v>22.518159806295401</v>
      </c>
    </row>
    <row r="733" spans="1:7" x14ac:dyDescent="0.25">
      <c r="A733" s="10">
        <v>45805.416666666664</v>
      </c>
      <c r="B733" s="11">
        <v>36</v>
      </c>
      <c r="C733" s="11" t="s">
        <v>44</v>
      </c>
      <c r="D733" s="11" t="s">
        <v>45</v>
      </c>
      <c r="E733" s="11">
        <v>1.5</v>
      </c>
      <c r="F733" s="11">
        <v>3.22</v>
      </c>
      <c r="G733" s="8">
        <f t="shared" si="11"/>
        <v>27.950310559006208</v>
      </c>
    </row>
    <row r="734" spans="1:7" x14ac:dyDescent="0.25">
      <c r="A734" s="10">
        <v>45805.416666666664</v>
      </c>
      <c r="B734" s="11">
        <v>37</v>
      </c>
      <c r="C734" s="11" t="s">
        <v>45</v>
      </c>
      <c r="D734" s="11" t="s">
        <v>46</v>
      </c>
      <c r="E734" s="11">
        <v>1.38</v>
      </c>
      <c r="F734" s="11">
        <v>3.92</v>
      </c>
      <c r="G734" s="8">
        <f t="shared" si="11"/>
        <v>21.122448979591837</v>
      </c>
    </row>
    <row r="735" spans="1:7" x14ac:dyDescent="0.25">
      <c r="A735" s="10">
        <v>45805.416666666664</v>
      </c>
      <c r="B735" s="11">
        <v>38</v>
      </c>
      <c r="C735" s="11" t="s">
        <v>46</v>
      </c>
      <c r="D735" s="11" t="s">
        <v>47</v>
      </c>
      <c r="E735" s="11">
        <v>1.61</v>
      </c>
      <c r="F735" s="11">
        <v>3.87</v>
      </c>
      <c r="G735" s="8">
        <f t="shared" si="11"/>
        <v>24.961240310077521</v>
      </c>
    </row>
    <row r="736" spans="1:7" x14ac:dyDescent="0.25">
      <c r="A736" s="10">
        <v>45805.416666666664</v>
      </c>
      <c r="B736" s="11">
        <v>39</v>
      </c>
      <c r="C736" s="11" t="s">
        <v>47</v>
      </c>
      <c r="D736" s="11" t="s">
        <v>48</v>
      </c>
      <c r="E736" s="11">
        <v>1.55</v>
      </c>
      <c r="F736" s="11">
        <v>3.43</v>
      </c>
      <c r="G736" s="8">
        <f t="shared" si="11"/>
        <v>27.113702623906704</v>
      </c>
    </row>
    <row r="737" spans="1:7" x14ac:dyDescent="0.25">
      <c r="A737" s="10">
        <v>45805.416666666664</v>
      </c>
      <c r="B737" s="11">
        <v>40</v>
      </c>
      <c r="C737" s="11" t="s">
        <v>48</v>
      </c>
      <c r="D737" s="11" t="s">
        <v>49</v>
      </c>
      <c r="E737" s="11">
        <v>1.39</v>
      </c>
      <c r="F737" s="11">
        <v>2.98</v>
      </c>
      <c r="G737" s="8">
        <f t="shared" si="11"/>
        <v>27.986577181208052</v>
      </c>
    </row>
    <row r="738" spans="1:7" x14ac:dyDescent="0.25">
      <c r="A738" s="10">
        <v>45805.416666666664</v>
      </c>
      <c r="B738" s="11">
        <v>41</v>
      </c>
      <c r="C738" s="11" t="s">
        <v>50</v>
      </c>
      <c r="D738" s="11" t="s">
        <v>51</v>
      </c>
      <c r="E738" s="11">
        <v>1.56</v>
      </c>
      <c r="F738" s="11">
        <v>4.2</v>
      </c>
      <c r="G738" s="8">
        <f t="shared" si="11"/>
        <v>22.285714285714288</v>
      </c>
    </row>
    <row r="739" spans="1:7" x14ac:dyDescent="0.25">
      <c r="A739" s="10">
        <v>45805.416666666664</v>
      </c>
      <c r="B739" s="11">
        <v>42</v>
      </c>
      <c r="C739" s="11" t="s">
        <v>51</v>
      </c>
      <c r="D739" s="11" t="s">
        <v>52</v>
      </c>
      <c r="E739" s="11">
        <v>1.56</v>
      </c>
      <c r="F739" s="11">
        <v>4.0999999999999996</v>
      </c>
      <c r="G739" s="8">
        <f t="shared" si="11"/>
        <v>22.829268292682929</v>
      </c>
    </row>
    <row r="740" spans="1:7" x14ac:dyDescent="0.25">
      <c r="A740" s="10">
        <v>45805.416666666664</v>
      </c>
      <c r="B740" s="11">
        <v>43</v>
      </c>
      <c r="C740" s="11" t="s">
        <v>52</v>
      </c>
      <c r="D740" s="11" t="s">
        <v>53</v>
      </c>
      <c r="E740" s="11">
        <v>1.51</v>
      </c>
      <c r="F740" s="11">
        <v>3.57</v>
      </c>
      <c r="G740" s="8">
        <f t="shared" si="11"/>
        <v>25.3781512605042</v>
      </c>
    </row>
    <row r="741" spans="1:7" x14ac:dyDescent="0.25">
      <c r="A741" s="10">
        <v>45805.416666666664</v>
      </c>
      <c r="B741" s="11">
        <v>44</v>
      </c>
      <c r="C741" s="11" t="s">
        <v>54</v>
      </c>
      <c r="D741" s="11" t="s">
        <v>55</v>
      </c>
      <c r="E741" s="11">
        <v>1.51</v>
      </c>
      <c r="F741" s="11">
        <v>4.75</v>
      </c>
      <c r="G741" s="8">
        <f t="shared" si="11"/>
        <v>19.073684210526313</v>
      </c>
    </row>
    <row r="742" spans="1:7" x14ac:dyDescent="0.25">
      <c r="A742" s="10">
        <v>45805.416666666664</v>
      </c>
      <c r="B742" s="11">
        <v>45</v>
      </c>
      <c r="C742" s="11" t="s">
        <v>55</v>
      </c>
      <c r="D742" s="11" t="s">
        <v>56</v>
      </c>
      <c r="E742" s="11">
        <v>1.49</v>
      </c>
      <c r="F742" s="11">
        <v>3.42</v>
      </c>
      <c r="G742" s="8">
        <f t="shared" si="11"/>
        <v>26.140350877192983</v>
      </c>
    </row>
    <row r="743" spans="1:7" x14ac:dyDescent="0.25">
      <c r="A743" s="10">
        <v>45805.416666666664</v>
      </c>
      <c r="B743" s="11">
        <v>46</v>
      </c>
      <c r="C743" s="11" t="s">
        <v>56</v>
      </c>
      <c r="D743" s="11" t="s">
        <v>57</v>
      </c>
      <c r="E743" s="11">
        <v>1.52</v>
      </c>
      <c r="F743" s="11">
        <v>3.83</v>
      </c>
      <c r="G743" s="8">
        <f t="shared" si="11"/>
        <v>23.812010443864231</v>
      </c>
    </row>
    <row r="744" spans="1:7" x14ac:dyDescent="0.25">
      <c r="A744" s="10">
        <v>45805.416666666664</v>
      </c>
      <c r="B744" s="11">
        <v>47</v>
      </c>
      <c r="C744" s="11" t="s">
        <v>58</v>
      </c>
      <c r="D744" s="11" t="s">
        <v>59</v>
      </c>
      <c r="E744" s="11">
        <v>1.52</v>
      </c>
      <c r="F744" s="11">
        <v>5.25</v>
      </c>
      <c r="G744" s="8">
        <f t="shared" si="11"/>
        <v>17.371428571428574</v>
      </c>
    </row>
    <row r="745" spans="1:7" x14ac:dyDescent="0.25">
      <c r="A745" s="10">
        <v>45805.416666666664</v>
      </c>
      <c r="B745" s="11">
        <v>48</v>
      </c>
      <c r="C745" s="11" t="s">
        <v>59</v>
      </c>
      <c r="D745" s="11" t="s">
        <v>60</v>
      </c>
      <c r="E745" s="11">
        <v>1.5</v>
      </c>
      <c r="F745" s="11">
        <v>3.83</v>
      </c>
      <c r="G745" s="8">
        <f t="shared" si="11"/>
        <v>23.49869451697128</v>
      </c>
    </row>
    <row r="746" spans="1:7" x14ac:dyDescent="0.25">
      <c r="A746" s="10">
        <v>45805.416666666664</v>
      </c>
      <c r="B746" s="11">
        <v>49</v>
      </c>
      <c r="C746" s="11" t="s">
        <v>60</v>
      </c>
      <c r="D746" s="11" t="s">
        <v>61</v>
      </c>
      <c r="E746" s="11">
        <v>1.54</v>
      </c>
      <c r="F746" s="11">
        <v>3.7</v>
      </c>
      <c r="G746" s="8">
        <f t="shared" si="11"/>
        <v>24.972972972972972</v>
      </c>
    </row>
    <row r="747" spans="1:7" x14ac:dyDescent="0.25">
      <c r="A747" s="10">
        <v>45805.416666666664</v>
      </c>
      <c r="B747" s="11">
        <v>50</v>
      </c>
      <c r="C747" s="11" t="s">
        <v>62</v>
      </c>
      <c r="D747" s="11" t="s">
        <v>63</v>
      </c>
      <c r="E747" s="11">
        <v>1.38</v>
      </c>
      <c r="F747" s="11">
        <v>3.1</v>
      </c>
      <c r="G747" s="8">
        <f t="shared" si="11"/>
        <v>26.709677419354836</v>
      </c>
    </row>
    <row r="748" spans="1:7" x14ac:dyDescent="0.25">
      <c r="A748" s="10">
        <v>45805.416666666664</v>
      </c>
      <c r="B748" s="11">
        <v>51</v>
      </c>
      <c r="C748" s="11" t="s">
        <v>63</v>
      </c>
      <c r="D748" s="11" t="s">
        <v>64</v>
      </c>
      <c r="E748" s="11">
        <v>2.79</v>
      </c>
      <c r="F748" s="11">
        <v>5.75</v>
      </c>
      <c r="G748" s="8">
        <f t="shared" si="11"/>
        <v>29.11304347826087</v>
      </c>
    </row>
    <row r="749" spans="1:7" x14ac:dyDescent="0.25">
      <c r="A749" s="10">
        <v>45805.416666666664</v>
      </c>
      <c r="B749" s="11">
        <v>52</v>
      </c>
      <c r="C749" s="11" t="s">
        <v>64</v>
      </c>
      <c r="D749" s="11" t="s">
        <v>65</v>
      </c>
      <c r="E749" s="11">
        <v>1.5</v>
      </c>
      <c r="F749" s="11">
        <v>2.88</v>
      </c>
      <c r="G749" s="8">
        <f t="shared" si="11"/>
        <v>31.25</v>
      </c>
    </row>
    <row r="750" spans="1:7" x14ac:dyDescent="0.25">
      <c r="A750" s="10">
        <v>45805.416666666664</v>
      </c>
      <c r="B750" s="11">
        <v>53</v>
      </c>
      <c r="C750" s="11" t="s">
        <v>65</v>
      </c>
      <c r="D750" s="11" t="s">
        <v>66</v>
      </c>
      <c r="E750" s="11">
        <v>1.46</v>
      </c>
      <c r="F750" s="11">
        <v>3.72</v>
      </c>
      <c r="G750" s="8">
        <f t="shared" si="11"/>
        <v>23.548387096774192</v>
      </c>
    </row>
    <row r="751" spans="1:7" x14ac:dyDescent="0.25">
      <c r="A751" s="10">
        <v>45805.416666666664</v>
      </c>
      <c r="B751" s="11">
        <v>54</v>
      </c>
      <c r="C751" s="11" t="s">
        <v>67</v>
      </c>
      <c r="D751" s="11" t="s">
        <v>68</v>
      </c>
      <c r="E751" s="11">
        <v>1.46</v>
      </c>
      <c r="F751" s="11">
        <v>4.5999999999999996</v>
      </c>
      <c r="G751" s="8">
        <f t="shared" si="11"/>
        <v>19.043478260869566</v>
      </c>
    </row>
    <row r="752" spans="1:7" x14ac:dyDescent="0.25">
      <c r="A752" s="10">
        <v>45805.416666666664</v>
      </c>
      <c r="B752" s="11">
        <v>55</v>
      </c>
      <c r="C752" s="11" t="s">
        <v>68</v>
      </c>
      <c r="D752" s="11" t="s">
        <v>69</v>
      </c>
      <c r="E752" s="11">
        <v>1.5</v>
      </c>
      <c r="F752" s="11">
        <v>2.23</v>
      </c>
      <c r="G752" s="8">
        <f t="shared" si="11"/>
        <v>40.358744394618832</v>
      </c>
    </row>
    <row r="753" spans="1:7" x14ac:dyDescent="0.25">
      <c r="A753" s="10">
        <v>45805.416666666664</v>
      </c>
      <c r="B753" s="11">
        <v>56</v>
      </c>
      <c r="C753" s="11" t="s">
        <v>70</v>
      </c>
      <c r="D753" s="11" t="s">
        <v>71</v>
      </c>
      <c r="E753" s="11">
        <v>1.51</v>
      </c>
      <c r="F753" s="11">
        <v>5.8</v>
      </c>
      <c r="G753" s="8">
        <f t="shared" si="11"/>
        <v>15.620689655172413</v>
      </c>
    </row>
    <row r="754" spans="1:7" x14ac:dyDescent="0.25">
      <c r="A754" s="10">
        <v>45805.416666666664</v>
      </c>
      <c r="B754" s="11">
        <v>57</v>
      </c>
      <c r="C754" s="11" t="s">
        <v>71</v>
      </c>
      <c r="D754" s="11" t="s">
        <v>72</v>
      </c>
      <c r="E754" s="11">
        <v>1.52</v>
      </c>
      <c r="F754" s="11">
        <v>4.05</v>
      </c>
      <c r="G754" s="8">
        <f t="shared" si="11"/>
        <v>22.518518518518519</v>
      </c>
    </row>
    <row r="755" spans="1:7" x14ac:dyDescent="0.25">
      <c r="A755" s="10">
        <v>45805.416666666664</v>
      </c>
      <c r="B755" s="11">
        <v>58</v>
      </c>
      <c r="C755" s="11" t="s">
        <v>72</v>
      </c>
      <c r="D755" s="11" t="s">
        <v>73</v>
      </c>
      <c r="E755" s="11">
        <v>1.5</v>
      </c>
      <c r="F755" s="11">
        <v>4.1500000000000004</v>
      </c>
      <c r="G755" s="8">
        <f t="shared" si="11"/>
        <v>21.686746987951807</v>
      </c>
    </row>
    <row r="756" spans="1:7" s="3" customFormat="1" x14ac:dyDescent="0.25">
      <c r="A756" s="12">
        <v>45805.666666666664</v>
      </c>
      <c r="B756" s="13">
        <v>1</v>
      </c>
      <c r="C756" s="13" t="s">
        <v>6</v>
      </c>
      <c r="D756" s="13" t="s">
        <v>7</v>
      </c>
      <c r="E756" s="13">
        <v>1.53</v>
      </c>
      <c r="F756" s="13">
        <v>3.12</v>
      </c>
      <c r="G756" s="8">
        <f t="shared" si="11"/>
        <v>29.42307692307692</v>
      </c>
    </row>
    <row r="757" spans="1:7" x14ac:dyDescent="0.25">
      <c r="A757" s="12">
        <v>45805.666666666664</v>
      </c>
      <c r="B757" s="11">
        <v>2</v>
      </c>
      <c r="C757" s="11" t="s">
        <v>7</v>
      </c>
      <c r="D757" s="11" t="s">
        <v>8</v>
      </c>
      <c r="E757" s="11">
        <v>1.57</v>
      </c>
      <c r="F757" s="11">
        <v>5.62</v>
      </c>
      <c r="G757" s="8">
        <f t="shared" si="11"/>
        <v>16.761565836298931</v>
      </c>
    </row>
    <row r="758" spans="1:7" x14ac:dyDescent="0.25">
      <c r="A758" s="12">
        <v>45805.666666666664</v>
      </c>
      <c r="B758" s="11">
        <v>3</v>
      </c>
      <c r="C758" s="11" t="s">
        <v>8</v>
      </c>
      <c r="D758" s="11" t="s">
        <v>9</v>
      </c>
      <c r="E758" s="11">
        <v>1.5</v>
      </c>
      <c r="F758" s="11">
        <v>3.15</v>
      </c>
      <c r="G758" s="8">
        <f t="shared" si="11"/>
        <v>28.571428571428573</v>
      </c>
    </row>
    <row r="759" spans="1:7" x14ac:dyDescent="0.25">
      <c r="A759" s="12">
        <v>45805.666666666664</v>
      </c>
      <c r="B759" s="11">
        <v>4</v>
      </c>
      <c r="C759" s="11" t="s">
        <v>9</v>
      </c>
      <c r="D759" s="11" t="s">
        <v>10</v>
      </c>
      <c r="E759" s="11">
        <v>1.5</v>
      </c>
      <c r="F759" s="11">
        <v>3.05</v>
      </c>
      <c r="G759" s="8">
        <f t="shared" si="11"/>
        <v>29.508196721311478</v>
      </c>
    </row>
    <row r="760" spans="1:7" x14ac:dyDescent="0.25">
      <c r="A760" s="12">
        <v>45805.666666666664</v>
      </c>
      <c r="B760" s="11">
        <v>5</v>
      </c>
      <c r="C760" s="11" t="s">
        <v>10</v>
      </c>
      <c r="D760" s="11" t="s">
        <v>11</v>
      </c>
      <c r="E760" s="11">
        <v>1.52</v>
      </c>
      <c r="F760" s="11">
        <v>3.95</v>
      </c>
      <c r="G760" s="8">
        <f t="shared" si="11"/>
        <v>23.088607594936708</v>
      </c>
    </row>
    <row r="761" spans="1:7" x14ac:dyDescent="0.25">
      <c r="A761" s="12">
        <v>45805.666666666664</v>
      </c>
      <c r="B761" s="11">
        <v>6</v>
      </c>
      <c r="C761" s="11" t="s">
        <v>11</v>
      </c>
      <c r="D761" s="11" t="s">
        <v>12</v>
      </c>
      <c r="E761" s="11">
        <v>1.5</v>
      </c>
      <c r="F761" s="11">
        <v>2.8</v>
      </c>
      <c r="G761" s="8">
        <f t="shared" si="11"/>
        <v>32.142857142857146</v>
      </c>
    </row>
    <row r="762" spans="1:7" x14ac:dyDescent="0.25">
      <c r="A762" s="12">
        <v>45805.666666666664</v>
      </c>
      <c r="B762" s="11">
        <v>7</v>
      </c>
      <c r="C762" s="11" t="s">
        <v>12</v>
      </c>
      <c r="D762" s="11" t="s">
        <v>13</v>
      </c>
      <c r="E762" s="11">
        <v>1.54</v>
      </c>
      <c r="F762" s="11">
        <v>2.57</v>
      </c>
      <c r="G762" s="8">
        <f t="shared" si="11"/>
        <v>35.953307392996116</v>
      </c>
    </row>
    <row r="763" spans="1:7" x14ac:dyDescent="0.25">
      <c r="A763" s="12">
        <v>45805.666666666664</v>
      </c>
      <c r="B763" s="11">
        <v>8</v>
      </c>
      <c r="C763" s="11" t="s">
        <v>13</v>
      </c>
      <c r="D763" s="11" t="s">
        <v>14</v>
      </c>
      <c r="E763" s="11">
        <v>1.54</v>
      </c>
      <c r="F763" s="11">
        <v>3.22</v>
      </c>
      <c r="G763" s="8">
        <f t="shared" si="11"/>
        <v>28.695652173913043</v>
      </c>
    </row>
    <row r="764" spans="1:7" x14ac:dyDescent="0.25">
      <c r="A764" s="12">
        <v>45805.666666666664</v>
      </c>
      <c r="B764" s="11">
        <v>9</v>
      </c>
      <c r="C764" s="11" t="s">
        <v>14</v>
      </c>
      <c r="D764" s="11" t="s">
        <v>15</v>
      </c>
      <c r="E764" s="11">
        <v>1.52</v>
      </c>
      <c r="F764" s="11">
        <v>3.82</v>
      </c>
      <c r="G764" s="8">
        <f t="shared" si="11"/>
        <v>23.874345549738223</v>
      </c>
    </row>
    <row r="765" spans="1:7" x14ac:dyDescent="0.25">
      <c r="A765" s="12">
        <v>45805.666666666664</v>
      </c>
      <c r="B765" s="11">
        <v>10</v>
      </c>
      <c r="C765" s="11" t="s">
        <v>15</v>
      </c>
      <c r="D765" s="11" t="s">
        <v>16</v>
      </c>
      <c r="E765" s="11">
        <v>1.5</v>
      </c>
      <c r="F765" s="11">
        <v>3.87</v>
      </c>
      <c r="G765" s="8">
        <f t="shared" si="11"/>
        <v>23.255813953488371</v>
      </c>
    </row>
    <row r="766" spans="1:7" x14ac:dyDescent="0.25">
      <c r="A766" s="12">
        <v>45805.666666666664</v>
      </c>
      <c r="B766" s="11">
        <v>11</v>
      </c>
      <c r="C766" s="11" t="s">
        <v>16</v>
      </c>
      <c r="D766" s="11" t="s">
        <v>17</v>
      </c>
      <c r="E766" s="11">
        <v>1.48</v>
      </c>
      <c r="F766" s="11">
        <v>3.27</v>
      </c>
      <c r="G766" s="8">
        <f t="shared" si="11"/>
        <v>27.155963302752294</v>
      </c>
    </row>
    <row r="767" spans="1:7" x14ac:dyDescent="0.25">
      <c r="A767" s="12">
        <v>45805.666666666664</v>
      </c>
      <c r="B767" s="11">
        <v>12</v>
      </c>
      <c r="C767" s="11" t="s">
        <v>17</v>
      </c>
      <c r="D767" s="11" t="s">
        <v>18</v>
      </c>
      <c r="E767" s="11">
        <v>1.46</v>
      </c>
      <c r="F767" s="11">
        <v>4.37</v>
      </c>
      <c r="G767" s="8">
        <f t="shared" si="11"/>
        <v>20.045766590389015</v>
      </c>
    </row>
    <row r="768" spans="1:7" x14ac:dyDescent="0.25">
      <c r="A768" s="12">
        <v>45805.666666666664</v>
      </c>
      <c r="B768" s="11">
        <v>13</v>
      </c>
      <c r="C768" s="11" t="s">
        <v>18</v>
      </c>
      <c r="D768" s="11" t="s">
        <v>19</v>
      </c>
      <c r="E768" s="11">
        <v>1.52</v>
      </c>
      <c r="F768" s="11">
        <v>4.55</v>
      </c>
      <c r="G768" s="8">
        <f t="shared" si="11"/>
        <v>20.043956043956044</v>
      </c>
    </row>
    <row r="769" spans="1:7" x14ac:dyDescent="0.25">
      <c r="A769" s="12">
        <v>45805.666666666664</v>
      </c>
      <c r="B769" s="11">
        <v>14</v>
      </c>
      <c r="C769" s="11" t="s">
        <v>19</v>
      </c>
      <c r="D769" s="11" t="s">
        <v>20</v>
      </c>
      <c r="E769" s="11">
        <v>1.51</v>
      </c>
      <c r="F769" s="11">
        <v>4.9000000000000004</v>
      </c>
      <c r="G769" s="8">
        <f t="shared" si="11"/>
        <v>18.489795918367346</v>
      </c>
    </row>
    <row r="770" spans="1:7" x14ac:dyDescent="0.25">
      <c r="A770" s="12">
        <v>45805.666666666664</v>
      </c>
      <c r="B770" s="11">
        <v>15</v>
      </c>
      <c r="C770" s="11" t="s">
        <v>20</v>
      </c>
      <c r="D770" s="11" t="s">
        <v>21</v>
      </c>
      <c r="E770" s="11">
        <v>1.47</v>
      </c>
      <c r="F770" s="11">
        <v>2.72</v>
      </c>
      <c r="G770" s="8">
        <f t="shared" si="11"/>
        <v>32.42647058823529</v>
      </c>
    </row>
    <row r="771" spans="1:7" x14ac:dyDescent="0.25">
      <c r="A771" s="12">
        <v>45805.666666666664</v>
      </c>
      <c r="B771" s="11">
        <v>16</v>
      </c>
      <c r="C771" s="11" t="s">
        <v>21</v>
      </c>
      <c r="D771" s="11" t="s">
        <v>22</v>
      </c>
      <c r="E771" s="11">
        <v>1.5</v>
      </c>
      <c r="F771" s="11">
        <v>2.13</v>
      </c>
      <c r="G771" s="8">
        <f t="shared" ref="G771:G834" si="12">E771*60/F771</f>
        <v>42.253521126760567</v>
      </c>
    </row>
    <row r="772" spans="1:7" x14ac:dyDescent="0.25">
      <c r="A772" s="12">
        <v>45805.666666666664</v>
      </c>
      <c r="B772" s="11">
        <v>17</v>
      </c>
      <c r="C772" s="11" t="s">
        <v>22</v>
      </c>
      <c r="D772" s="11" t="s">
        <v>23</v>
      </c>
      <c r="E772" s="11">
        <v>1.51</v>
      </c>
      <c r="F772" s="11">
        <v>3.45</v>
      </c>
      <c r="G772" s="8">
        <f t="shared" si="12"/>
        <v>26.260869565217387</v>
      </c>
    </row>
    <row r="773" spans="1:7" x14ac:dyDescent="0.25">
      <c r="A773" s="12">
        <v>45805.666666666664</v>
      </c>
      <c r="B773" s="11">
        <v>18</v>
      </c>
      <c r="C773" s="11" t="s">
        <v>23</v>
      </c>
      <c r="D773" s="11" t="s">
        <v>24</v>
      </c>
      <c r="E773" s="11">
        <v>1.51</v>
      </c>
      <c r="F773" s="11">
        <v>3.4</v>
      </c>
      <c r="G773" s="8">
        <f t="shared" si="12"/>
        <v>26.647058823529409</v>
      </c>
    </row>
    <row r="774" spans="1:7" x14ac:dyDescent="0.25">
      <c r="A774" s="12">
        <v>45805.666666666664</v>
      </c>
      <c r="B774" s="11">
        <v>19</v>
      </c>
      <c r="C774" s="11" t="s">
        <v>25</v>
      </c>
      <c r="D774" s="11" t="s">
        <v>26</v>
      </c>
      <c r="E774" s="11">
        <v>1.5</v>
      </c>
      <c r="F774" s="11">
        <v>3.43</v>
      </c>
      <c r="G774" s="8">
        <f t="shared" si="12"/>
        <v>26.239067055393583</v>
      </c>
    </row>
    <row r="775" spans="1:7" x14ac:dyDescent="0.25">
      <c r="A775" s="12">
        <v>45805.666666666664</v>
      </c>
      <c r="B775" s="11">
        <v>20</v>
      </c>
      <c r="C775" s="11" t="s">
        <v>26</v>
      </c>
      <c r="D775" s="11" t="s">
        <v>27</v>
      </c>
      <c r="E775" s="11">
        <v>1.48</v>
      </c>
      <c r="F775" s="11">
        <v>3.58</v>
      </c>
      <c r="G775" s="8">
        <f t="shared" si="12"/>
        <v>24.804469273743017</v>
      </c>
    </row>
    <row r="776" spans="1:7" x14ac:dyDescent="0.25">
      <c r="A776" s="12">
        <v>45805.666666666664</v>
      </c>
      <c r="B776" s="11">
        <v>21</v>
      </c>
      <c r="C776" s="11" t="s">
        <v>27</v>
      </c>
      <c r="D776" s="11" t="s">
        <v>28</v>
      </c>
      <c r="E776" s="11">
        <v>1.51</v>
      </c>
      <c r="F776" s="11">
        <v>3.53</v>
      </c>
      <c r="G776" s="8">
        <f t="shared" si="12"/>
        <v>25.665722379603398</v>
      </c>
    </row>
    <row r="777" spans="1:7" x14ac:dyDescent="0.25">
      <c r="A777" s="12">
        <v>45805.666666666664</v>
      </c>
      <c r="B777" s="11">
        <v>22</v>
      </c>
      <c r="C777" s="11" t="s">
        <v>28</v>
      </c>
      <c r="D777" s="11" t="s">
        <v>29</v>
      </c>
      <c r="E777" s="11">
        <v>1.57</v>
      </c>
      <c r="F777" s="11">
        <v>3.9</v>
      </c>
      <c r="G777" s="8">
        <f t="shared" si="12"/>
        <v>24.153846153846157</v>
      </c>
    </row>
    <row r="778" spans="1:7" x14ac:dyDescent="0.25">
      <c r="A778" s="12">
        <v>45805.666666666664</v>
      </c>
      <c r="B778" s="11">
        <v>23</v>
      </c>
      <c r="C778" s="11" t="s">
        <v>29</v>
      </c>
      <c r="D778" s="11" t="s">
        <v>30</v>
      </c>
      <c r="E778" s="11">
        <v>1.43</v>
      </c>
      <c r="F778" s="11">
        <v>4.37</v>
      </c>
      <c r="G778" s="8">
        <f t="shared" si="12"/>
        <v>19.633867276887869</v>
      </c>
    </row>
    <row r="779" spans="1:7" x14ac:dyDescent="0.25">
      <c r="A779" s="12">
        <v>45805.666666666664</v>
      </c>
      <c r="B779" s="11">
        <v>24</v>
      </c>
      <c r="C779" s="11" t="s">
        <v>30</v>
      </c>
      <c r="D779" s="11" t="s">
        <v>31</v>
      </c>
      <c r="E779" s="11">
        <v>1.52</v>
      </c>
      <c r="F779" s="11">
        <v>3.48</v>
      </c>
      <c r="G779" s="8">
        <f t="shared" si="12"/>
        <v>26.206896551724139</v>
      </c>
    </row>
    <row r="780" spans="1:7" x14ac:dyDescent="0.25">
      <c r="A780" s="12">
        <v>45805.666666666664</v>
      </c>
      <c r="B780" s="11">
        <v>25</v>
      </c>
      <c r="C780" s="11" t="s">
        <v>31</v>
      </c>
      <c r="D780" s="11" t="s">
        <v>32</v>
      </c>
      <c r="E780" s="11">
        <v>1.52</v>
      </c>
      <c r="F780" s="11">
        <v>3.68</v>
      </c>
      <c r="G780" s="8">
        <f t="shared" si="12"/>
        <v>24.782608695652172</v>
      </c>
    </row>
    <row r="781" spans="1:7" x14ac:dyDescent="0.25">
      <c r="A781" s="12">
        <v>45805.666666666664</v>
      </c>
      <c r="B781" s="11">
        <v>26</v>
      </c>
      <c r="C781" s="11" t="s">
        <v>32</v>
      </c>
      <c r="D781" s="11" t="s">
        <v>33</v>
      </c>
      <c r="E781" s="11">
        <v>1.49</v>
      </c>
      <c r="F781" s="11">
        <v>6.07</v>
      </c>
      <c r="G781" s="8">
        <f t="shared" si="12"/>
        <v>14.728171334431631</v>
      </c>
    </row>
    <row r="782" spans="1:7" x14ac:dyDescent="0.25">
      <c r="A782" s="12">
        <v>45805.666666666664</v>
      </c>
      <c r="B782" s="11">
        <v>27</v>
      </c>
      <c r="C782" s="11" t="s">
        <v>33</v>
      </c>
      <c r="D782" s="11" t="s">
        <v>34</v>
      </c>
      <c r="E782" s="11">
        <v>1.53</v>
      </c>
      <c r="F782" s="11">
        <v>3.58</v>
      </c>
      <c r="G782" s="8">
        <f t="shared" si="12"/>
        <v>25.64245810055866</v>
      </c>
    </row>
    <row r="783" spans="1:7" x14ac:dyDescent="0.25">
      <c r="A783" s="12">
        <v>45805.666666666664</v>
      </c>
      <c r="B783" s="11">
        <v>28</v>
      </c>
      <c r="C783" s="11" t="s">
        <v>34</v>
      </c>
      <c r="D783" s="11" t="s">
        <v>35</v>
      </c>
      <c r="E783" s="11">
        <v>1.51</v>
      </c>
      <c r="F783" s="11">
        <v>4.33</v>
      </c>
      <c r="G783" s="8">
        <f t="shared" si="12"/>
        <v>20.92378752886836</v>
      </c>
    </row>
    <row r="784" spans="1:7" x14ac:dyDescent="0.25">
      <c r="A784" s="12">
        <v>45805.666666666664</v>
      </c>
      <c r="B784" s="11">
        <v>29</v>
      </c>
      <c r="C784" s="11" t="s">
        <v>36</v>
      </c>
      <c r="D784" s="11" t="s">
        <v>37</v>
      </c>
      <c r="E784" s="11">
        <v>1.57</v>
      </c>
      <c r="F784" s="11">
        <v>4.7300000000000004</v>
      </c>
      <c r="G784" s="8">
        <f t="shared" si="12"/>
        <v>19.915433403805494</v>
      </c>
    </row>
    <row r="785" spans="1:7" x14ac:dyDescent="0.25">
      <c r="A785" s="12">
        <v>45805.666666666664</v>
      </c>
      <c r="B785" s="11">
        <v>30</v>
      </c>
      <c r="C785" s="11" t="s">
        <v>37</v>
      </c>
      <c r="D785" s="11" t="s">
        <v>38</v>
      </c>
      <c r="E785" s="11">
        <v>1.57</v>
      </c>
      <c r="F785" s="11">
        <v>4.68</v>
      </c>
      <c r="G785" s="8">
        <f t="shared" si="12"/>
        <v>20.128205128205131</v>
      </c>
    </row>
    <row r="786" spans="1:7" x14ac:dyDescent="0.25">
      <c r="A786" s="12">
        <v>45805.666666666664</v>
      </c>
      <c r="B786" s="11">
        <v>31</v>
      </c>
      <c r="C786" s="11" t="s">
        <v>38</v>
      </c>
      <c r="D786" s="11" t="s">
        <v>39</v>
      </c>
      <c r="E786" s="11">
        <v>1.52</v>
      </c>
      <c r="F786" s="11">
        <v>4.5199999999999996</v>
      </c>
      <c r="G786" s="8">
        <f t="shared" si="12"/>
        <v>20.176991150442479</v>
      </c>
    </row>
    <row r="787" spans="1:7" x14ac:dyDescent="0.25">
      <c r="A787" s="12">
        <v>45805.666666666664</v>
      </c>
      <c r="B787" s="11">
        <v>32</v>
      </c>
      <c r="C787" s="11" t="s">
        <v>39</v>
      </c>
      <c r="D787" s="11" t="s">
        <v>40</v>
      </c>
      <c r="E787" s="11">
        <v>1.5</v>
      </c>
      <c r="F787" s="11">
        <v>1.92</v>
      </c>
      <c r="G787" s="8">
        <f t="shared" si="12"/>
        <v>46.875</v>
      </c>
    </row>
    <row r="788" spans="1:7" x14ac:dyDescent="0.25">
      <c r="A788" s="12">
        <v>45805.666666666664</v>
      </c>
      <c r="B788" s="11">
        <v>33</v>
      </c>
      <c r="C788" s="11" t="s">
        <v>40</v>
      </c>
      <c r="D788" s="11" t="s">
        <v>41</v>
      </c>
      <c r="E788" s="11">
        <v>1.51</v>
      </c>
      <c r="F788" s="11">
        <v>1.87</v>
      </c>
      <c r="G788" s="8">
        <f t="shared" si="12"/>
        <v>48.449197860962563</v>
      </c>
    </row>
    <row r="789" spans="1:7" x14ac:dyDescent="0.25">
      <c r="A789" s="12">
        <v>45805.666666666664</v>
      </c>
      <c r="B789" s="11">
        <v>34</v>
      </c>
      <c r="C789" s="11" t="s">
        <v>41</v>
      </c>
      <c r="D789" s="11" t="s">
        <v>42</v>
      </c>
      <c r="E789" s="11">
        <v>1.5</v>
      </c>
      <c r="F789" s="11">
        <v>2.13</v>
      </c>
      <c r="G789" s="8">
        <f t="shared" si="12"/>
        <v>42.253521126760567</v>
      </c>
    </row>
    <row r="790" spans="1:7" x14ac:dyDescent="0.25">
      <c r="A790" s="12">
        <v>45805.666666666664</v>
      </c>
      <c r="B790" s="11">
        <v>35</v>
      </c>
      <c r="C790" s="11" t="s">
        <v>43</v>
      </c>
      <c r="D790" s="11" t="s">
        <v>44</v>
      </c>
      <c r="E790" s="11">
        <v>1.55</v>
      </c>
      <c r="F790" s="11">
        <v>3.53</v>
      </c>
      <c r="G790" s="8">
        <f t="shared" si="12"/>
        <v>26.345609065155809</v>
      </c>
    </row>
    <row r="791" spans="1:7" x14ac:dyDescent="0.25">
      <c r="A791" s="12">
        <v>45805.666666666664</v>
      </c>
      <c r="B791" s="11">
        <v>36</v>
      </c>
      <c r="C791" s="11" t="s">
        <v>44</v>
      </c>
      <c r="D791" s="11" t="s">
        <v>45</v>
      </c>
      <c r="E791" s="11">
        <v>1.5</v>
      </c>
      <c r="F791" s="11">
        <v>3.2</v>
      </c>
      <c r="G791" s="8">
        <f t="shared" si="12"/>
        <v>28.125</v>
      </c>
    </row>
    <row r="792" spans="1:7" x14ac:dyDescent="0.25">
      <c r="A792" s="12">
        <v>45805.666666666664</v>
      </c>
      <c r="B792" s="11">
        <v>37</v>
      </c>
      <c r="C792" s="11" t="s">
        <v>45</v>
      </c>
      <c r="D792" s="11" t="s">
        <v>46</v>
      </c>
      <c r="E792" s="11">
        <v>1.38</v>
      </c>
      <c r="F792" s="11">
        <v>5</v>
      </c>
      <c r="G792" s="8">
        <f t="shared" si="12"/>
        <v>16.559999999999999</v>
      </c>
    </row>
    <row r="793" spans="1:7" x14ac:dyDescent="0.25">
      <c r="A793" s="12">
        <v>45805.666666666664</v>
      </c>
      <c r="B793" s="11">
        <v>38</v>
      </c>
      <c r="C793" s="11" t="s">
        <v>46</v>
      </c>
      <c r="D793" s="11" t="s">
        <v>47</v>
      </c>
      <c r="E793" s="11">
        <v>1.61</v>
      </c>
      <c r="F793" s="11">
        <v>4.38</v>
      </c>
      <c r="G793" s="8">
        <f t="shared" si="12"/>
        <v>22.054794520547947</v>
      </c>
    </row>
    <row r="794" spans="1:7" x14ac:dyDescent="0.25">
      <c r="A794" s="12">
        <v>45805.666666666664</v>
      </c>
      <c r="B794" s="11">
        <v>39</v>
      </c>
      <c r="C794" s="11" t="s">
        <v>47</v>
      </c>
      <c r="D794" s="11" t="s">
        <v>48</v>
      </c>
      <c r="E794" s="11">
        <v>1.55</v>
      </c>
      <c r="F794" s="11">
        <v>3.55</v>
      </c>
      <c r="G794" s="8">
        <f t="shared" si="12"/>
        <v>26.197183098591552</v>
      </c>
    </row>
    <row r="795" spans="1:7" x14ac:dyDescent="0.25">
      <c r="A795" s="12">
        <v>45805.666666666664</v>
      </c>
      <c r="B795" s="11">
        <v>40</v>
      </c>
      <c r="C795" s="11" t="s">
        <v>48</v>
      </c>
      <c r="D795" s="11" t="s">
        <v>49</v>
      </c>
      <c r="E795" s="11">
        <v>1.39</v>
      </c>
      <c r="F795" s="11">
        <v>3.03</v>
      </c>
      <c r="G795" s="8">
        <f t="shared" si="12"/>
        <v>27.524752475247524</v>
      </c>
    </row>
    <row r="796" spans="1:7" x14ac:dyDescent="0.25">
      <c r="A796" s="12">
        <v>45805.666666666664</v>
      </c>
      <c r="B796" s="11">
        <v>41</v>
      </c>
      <c r="C796" s="11" t="s">
        <v>50</v>
      </c>
      <c r="D796" s="11" t="s">
        <v>51</v>
      </c>
      <c r="E796" s="11">
        <v>1.56</v>
      </c>
      <c r="F796" s="11">
        <v>4.43</v>
      </c>
      <c r="G796" s="8">
        <f t="shared" si="12"/>
        <v>21.128668171557564</v>
      </c>
    </row>
    <row r="797" spans="1:7" x14ac:dyDescent="0.25">
      <c r="A797" s="12">
        <v>45805.666666666664</v>
      </c>
      <c r="B797" s="11">
        <v>42</v>
      </c>
      <c r="C797" s="11" t="s">
        <v>51</v>
      </c>
      <c r="D797" s="11" t="s">
        <v>52</v>
      </c>
      <c r="E797" s="11">
        <v>1.56</v>
      </c>
      <c r="F797" s="11">
        <v>4.12</v>
      </c>
      <c r="G797" s="8">
        <f t="shared" si="12"/>
        <v>22.71844660194175</v>
      </c>
    </row>
    <row r="798" spans="1:7" x14ac:dyDescent="0.25">
      <c r="A798" s="12">
        <v>45805.666666666664</v>
      </c>
      <c r="B798" s="11">
        <v>43</v>
      </c>
      <c r="C798" s="11" t="s">
        <v>52</v>
      </c>
      <c r="D798" s="11" t="s">
        <v>53</v>
      </c>
      <c r="E798" s="11">
        <v>1.51</v>
      </c>
      <c r="F798" s="11">
        <v>3.67</v>
      </c>
      <c r="G798" s="8">
        <f t="shared" si="12"/>
        <v>24.686648501362395</v>
      </c>
    </row>
    <row r="799" spans="1:7" x14ac:dyDescent="0.25">
      <c r="A799" s="12">
        <v>45805.666666666664</v>
      </c>
      <c r="B799" s="11">
        <v>44</v>
      </c>
      <c r="C799" s="11" t="s">
        <v>54</v>
      </c>
      <c r="D799" s="11" t="s">
        <v>55</v>
      </c>
      <c r="E799" s="11">
        <v>1.51</v>
      </c>
      <c r="F799" s="11">
        <v>4.43</v>
      </c>
      <c r="G799" s="8">
        <f t="shared" si="12"/>
        <v>20.451467268623023</v>
      </c>
    </row>
    <row r="800" spans="1:7" x14ac:dyDescent="0.25">
      <c r="A800" s="12">
        <v>45805.666666666664</v>
      </c>
      <c r="B800" s="11">
        <v>45</v>
      </c>
      <c r="C800" s="11" t="s">
        <v>55</v>
      </c>
      <c r="D800" s="11" t="s">
        <v>56</v>
      </c>
      <c r="E800" s="11">
        <v>1.49</v>
      </c>
      <c r="F800" s="11">
        <v>3.9</v>
      </c>
      <c r="G800" s="8">
        <f t="shared" si="12"/>
        <v>22.923076923076923</v>
      </c>
    </row>
    <row r="801" spans="1:7" x14ac:dyDescent="0.25">
      <c r="A801" s="12">
        <v>45805.666666666664</v>
      </c>
      <c r="B801" s="11">
        <v>46</v>
      </c>
      <c r="C801" s="11" t="s">
        <v>56</v>
      </c>
      <c r="D801" s="11" t="s">
        <v>57</v>
      </c>
      <c r="E801" s="11">
        <v>1.52</v>
      </c>
      <c r="F801" s="11">
        <v>4.05</v>
      </c>
      <c r="G801" s="8">
        <f t="shared" si="12"/>
        <v>22.518518518518519</v>
      </c>
    </row>
    <row r="802" spans="1:7" x14ac:dyDescent="0.25">
      <c r="A802" s="12">
        <v>45805.666666666664</v>
      </c>
      <c r="B802" s="11">
        <v>47</v>
      </c>
      <c r="C802" s="11" t="s">
        <v>58</v>
      </c>
      <c r="D802" s="11" t="s">
        <v>59</v>
      </c>
      <c r="E802" s="11">
        <v>1.52</v>
      </c>
      <c r="F802" s="11">
        <v>4.42</v>
      </c>
      <c r="G802" s="8">
        <f t="shared" si="12"/>
        <v>20.633484162895929</v>
      </c>
    </row>
    <row r="803" spans="1:7" x14ac:dyDescent="0.25">
      <c r="A803" s="12">
        <v>45805.666666666664</v>
      </c>
      <c r="B803" s="11">
        <v>48</v>
      </c>
      <c r="C803" s="11" t="s">
        <v>59</v>
      </c>
      <c r="D803" s="11" t="s">
        <v>60</v>
      </c>
      <c r="E803" s="11">
        <v>1.5</v>
      </c>
      <c r="F803" s="11">
        <v>3.97</v>
      </c>
      <c r="G803" s="8">
        <f t="shared" si="12"/>
        <v>22.670025188916874</v>
      </c>
    </row>
    <row r="804" spans="1:7" x14ac:dyDescent="0.25">
      <c r="A804" s="12">
        <v>45805.666666666664</v>
      </c>
      <c r="B804" s="11">
        <v>49</v>
      </c>
      <c r="C804" s="11" t="s">
        <v>60</v>
      </c>
      <c r="D804" s="11" t="s">
        <v>61</v>
      </c>
      <c r="E804" s="11">
        <v>1.54</v>
      </c>
      <c r="F804" s="11">
        <v>3.95</v>
      </c>
      <c r="G804" s="8">
        <f t="shared" si="12"/>
        <v>23.39240506329114</v>
      </c>
    </row>
    <row r="805" spans="1:7" x14ac:dyDescent="0.25">
      <c r="A805" s="12">
        <v>45805.666666666664</v>
      </c>
      <c r="B805" s="11">
        <v>50</v>
      </c>
      <c r="C805" s="11" t="s">
        <v>62</v>
      </c>
      <c r="D805" s="11" t="s">
        <v>63</v>
      </c>
      <c r="E805" s="11">
        <v>1.38</v>
      </c>
      <c r="F805" s="11">
        <v>3.18</v>
      </c>
      <c r="G805" s="8">
        <f t="shared" si="12"/>
        <v>26.037735849056602</v>
      </c>
    </row>
    <row r="806" spans="1:7" x14ac:dyDescent="0.25">
      <c r="A806" s="12">
        <v>45805.666666666664</v>
      </c>
      <c r="B806" s="11">
        <v>51</v>
      </c>
      <c r="C806" s="11" t="s">
        <v>63</v>
      </c>
      <c r="D806" s="11" t="s">
        <v>64</v>
      </c>
      <c r="E806" s="11">
        <v>2.79</v>
      </c>
      <c r="F806" s="11">
        <v>5.83</v>
      </c>
      <c r="G806" s="8">
        <f t="shared" si="12"/>
        <v>28.713550600343055</v>
      </c>
    </row>
    <row r="807" spans="1:7" x14ac:dyDescent="0.25">
      <c r="A807" s="12">
        <v>45805.666666666664</v>
      </c>
      <c r="B807" s="11">
        <v>52</v>
      </c>
      <c r="C807" s="11" t="s">
        <v>64</v>
      </c>
      <c r="D807" s="11" t="s">
        <v>65</v>
      </c>
      <c r="E807" s="11">
        <v>1.5</v>
      </c>
      <c r="F807" s="11">
        <v>2.88</v>
      </c>
      <c r="G807" s="8">
        <f t="shared" si="12"/>
        <v>31.25</v>
      </c>
    </row>
    <row r="808" spans="1:7" x14ac:dyDescent="0.25">
      <c r="A808" s="12">
        <v>45805.666666666664</v>
      </c>
      <c r="B808" s="11">
        <v>53</v>
      </c>
      <c r="C808" s="11" t="s">
        <v>65</v>
      </c>
      <c r="D808" s="11" t="s">
        <v>66</v>
      </c>
      <c r="E808" s="11">
        <v>1.46</v>
      </c>
      <c r="F808" s="11">
        <v>3.67</v>
      </c>
      <c r="G808" s="8">
        <f t="shared" si="12"/>
        <v>23.869209809264305</v>
      </c>
    </row>
    <row r="809" spans="1:7" x14ac:dyDescent="0.25">
      <c r="A809" s="12">
        <v>45805.666666666664</v>
      </c>
      <c r="B809" s="11">
        <v>54</v>
      </c>
      <c r="C809" s="11" t="s">
        <v>67</v>
      </c>
      <c r="D809" s="11" t="s">
        <v>68</v>
      </c>
      <c r="E809" s="11">
        <v>1.46</v>
      </c>
      <c r="F809" s="11">
        <v>3.22</v>
      </c>
      <c r="G809" s="8">
        <f t="shared" si="12"/>
        <v>27.204968944099374</v>
      </c>
    </row>
    <row r="810" spans="1:7" x14ac:dyDescent="0.25">
      <c r="A810" s="12">
        <v>45805.666666666664</v>
      </c>
      <c r="B810" s="11">
        <v>55</v>
      </c>
      <c r="C810" s="11" t="s">
        <v>68</v>
      </c>
      <c r="D810" s="11" t="s">
        <v>69</v>
      </c>
      <c r="E810" s="11">
        <v>1.5</v>
      </c>
      <c r="F810" s="11">
        <v>3.73</v>
      </c>
      <c r="G810" s="8">
        <f t="shared" si="12"/>
        <v>24.128686327077748</v>
      </c>
    </row>
    <row r="811" spans="1:7" x14ac:dyDescent="0.25">
      <c r="A811" s="12">
        <v>45805.666666666664</v>
      </c>
      <c r="B811" s="11">
        <v>56</v>
      </c>
      <c r="C811" s="11" t="s">
        <v>70</v>
      </c>
      <c r="D811" s="11" t="s">
        <v>71</v>
      </c>
      <c r="E811" s="11">
        <v>1.51</v>
      </c>
      <c r="F811" s="11">
        <v>5.53</v>
      </c>
      <c r="G811" s="8">
        <f t="shared" si="12"/>
        <v>16.383363471971066</v>
      </c>
    </row>
    <row r="812" spans="1:7" x14ac:dyDescent="0.25">
      <c r="A812" s="12">
        <v>45805.666666666664</v>
      </c>
      <c r="B812" s="11">
        <v>57</v>
      </c>
      <c r="C812" s="11" t="s">
        <v>71</v>
      </c>
      <c r="D812" s="11" t="s">
        <v>72</v>
      </c>
      <c r="E812" s="11">
        <v>1.52</v>
      </c>
      <c r="F812" s="11">
        <v>4.17</v>
      </c>
      <c r="G812" s="8">
        <f t="shared" si="12"/>
        <v>21.870503597122305</v>
      </c>
    </row>
    <row r="813" spans="1:7" x14ac:dyDescent="0.25">
      <c r="A813" s="12">
        <v>45805.666666666664</v>
      </c>
      <c r="B813" s="11">
        <v>58</v>
      </c>
      <c r="C813" s="11" t="s">
        <v>72</v>
      </c>
      <c r="D813" s="11" t="s">
        <v>73</v>
      </c>
      <c r="E813" s="11">
        <v>1.5</v>
      </c>
      <c r="F813" s="11">
        <v>4.22</v>
      </c>
      <c r="G813" s="8">
        <f t="shared" si="12"/>
        <v>21.327014218009481</v>
      </c>
    </row>
    <row r="814" spans="1:7" x14ac:dyDescent="0.25">
      <c r="A814" s="10">
        <v>45805.677083333336</v>
      </c>
      <c r="B814" s="11">
        <v>1</v>
      </c>
      <c r="C814" s="11" t="s">
        <v>6</v>
      </c>
      <c r="D814" s="11" t="s">
        <v>7</v>
      </c>
      <c r="E814" s="11">
        <v>1.53</v>
      </c>
      <c r="F814" s="11">
        <v>3.22</v>
      </c>
      <c r="G814" s="8">
        <f t="shared" si="12"/>
        <v>28.509316770186334</v>
      </c>
    </row>
    <row r="815" spans="1:7" x14ac:dyDescent="0.25">
      <c r="A815" s="10">
        <v>45805.677083333336</v>
      </c>
      <c r="B815" s="11">
        <v>2</v>
      </c>
      <c r="C815" s="11" t="s">
        <v>7</v>
      </c>
      <c r="D815" s="11" t="s">
        <v>8</v>
      </c>
      <c r="E815" s="11">
        <v>1.57</v>
      </c>
      <c r="F815" s="11">
        <v>5.42</v>
      </c>
      <c r="G815" s="8">
        <f t="shared" si="12"/>
        <v>17.380073800738007</v>
      </c>
    </row>
    <row r="816" spans="1:7" x14ac:dyDescent="0.25">
      <c r="A816" s="10">
        <v>45805.677083333336</v>
      </c>
      <c r="B816" s="11">
        <v>3</v>
      </c>
      <c r="C816" s="11" t="s">
        <v>8</v>
      </c>
      <c r="D816" s="11" t="s">
        <v>9</v>
      </c>
      <c r="E816" s="11">
        <v>1.5</v>
      </c>
      <c r="F816" s="11">
        <v>3.15</v>
      </c>
      <c r="G816" s="8">
        <f t="shared" si="12"/>
        <v>28.571428571428573</v>
      </c>
    </row>
    <row r="817" spans="1:7" x14ac:dyDescent="0.25">
      <c r="A817" s="10">
        <v>45805.677083333336</v>
      </c>
      <c r="B817" s="11">
        <v>4</v>
      </c>
      <c r="C817" s="11" t="s">
        <v>9</v>
      </c>
      <c r="D817" s="11" t="s">
        <v>10</v>
      </c>
      <c r="E817" s="11">
        <v>1.5</v>
      </c>
      <c r="F817" s="11">
        <v>3.23</v>
      </c>
      <c r="G817" s="8">
        <f t="shared" si="12"/>
        <v>27.86377708978328</v>
      </c>
    </row>
    <row r="818" spans="1:7" x14ac:dyDescent="0.25">
      <c r="A818" s="10">
        <v>45805.677083333336</v>
      </c>
      <c r="B818" s="11">
        <v>5</v>
      </c>
      <c r="C818" s="11" t="s">
        <v>10</v>
      </c>
      <c r="D818" s="11" t="s">
        <v>11</v>
      </c>
      <c r="E818" s="11">
        <v>1.52</v>
      </c>
      <c r="F818" s="11">
        <v>3.92</v>
      </c>
      <c r="G818" s="8">
        <f t="shared" si="12"/>
        <v>23.26530612244898</v>
      </c>
    </row>
    <row r="819" spans="1:7" x14ac:dyDescent="0.25">
      <c r="A819" s="10">
        <v>45805.677083333336</v>
      </c>
      <c r="B819" s="11">
        <v>6</v>
      </c>
      <c r="C819" s="11" t="s">
        <v>11</v>
      </c>
      <c r="D819" s="11" t="s">
        <v>12</v>
      </c>
      <c r="E819" s="11">
        <v>1.5</v>
      </c>
      <c r="F819" s="11">
        <v>2.72</v>
      </c>
      <c r="G819" s="8">
        <f t="shared" si="12"/>
        <v>33.088235294117645</v>
      </c>
    </row>
    <row r="820" spans="1:7" x14ac:dyDescent="0.25">
      <c r="A820" s="10">
        <v>45805.677083333336</v>
      </c>
      <c r="B820" s="11">
        <v>7</v>
      </c>
      <c r="C820" s="11" t="s">
        <v>12</v>
      </c>
      <c r="D820" s="11" t="s">
        <v>13</v>
      </c>
      <c r="E820" s="11">
        <v>1.54</v>
      </c>
      <c r="F820" s="11">
        <v>2.65</v>
      </c>
      <c r="G820" s="8">
        <f t="shared" si="12"/>
        <v>34.867924528301891</v>
      </c>
    </row>
    <row r="821" spans="1:7" x14ac:dyDescent="0.25">
      <c r="A821" s="10">
        <v>45805.677083333336</v>
      </c>
      <c r="B821" s="11">
        <v>8</v>
      </c>
      <c r="C821" s="11" t="s">
        <v>13</v>
      </c>
      <c r="D821" s="11" t="s">
        <v>14</v>
      </c>
      <c r="E821" s="11">
        <v>1.54</v>
      </c>
      <c r="F821" s="11">
        <v>3.4</v>
      </c>
      <c r="G821" s="8">
        <f t="shared" si="12"/>
        <v>27.176470588235297</v>
      </c>
    </row>
    <row r="822" spans="1:7" x14ac:dyDescent="0.25">
      <c r="A822" s="10">
        <v>45805.677083333336</v>
      </c>
      <c r="B822" s="11">
        <v>9</v>
      </c>
      <c r="C822" s="11" t="s">
        <v>14</v>
      </c>
      <c r="D822" s="11" t="s">
        <v>15</v>
      </c>
      <c r="E822" s="11">
        <v>1.52</v>
      </c>
      <c r="F822" s="11">
        <v>3.75</v>
      </c>
      <c r="G822" s="8">
        <f t="shared" si="12"/>
        <v>24.32</v>
      </c>
    </row>
    <row r="823" spans="1:7" x14ac:dyDescent="0.25">
      <c r="A823" s="10">
        <v>45805.677083333336</v>
      </c>
      <c r="B823" s="11">
        <v>10</v>
      </c>
      <c r="C823" s="11" t="s">
        <v>15</v>
      </c>
      <c r="D823" s="11" t="s">
        <v>16</v>
      </c>
      <c r="E823" s="11">
        <v>1.5</v>
      </c>
      <c r="F823" s="11">
        <v>3.88</v>
      </c>
      <c r="G823" s="8">
        <f t="shared" si="12"/>
        <v>23.195876288659793</v>
      </c>
    </row>
    <row r="824" spans="1:7" x14ac:dyDescent="0.25">
      <c r="A824" s="10">
        <v>45805.677083333336</v>
      </c>
      <c r="B824" s="11">
        <v>11</v>
      </c>
      <c r="C824" s="11" t="s">
        <v>16</v>
      </c>
      <c r="D824" s="11" t="s">
        <v>17</v>
      </c>
      <c r="E824" s="11">
        <v>1.48</v>
      </c>
      <c r="F824" s="11">
        <v>2.92</v>
      </c>
      <c r="G824" s="8">
        <f t="shared" si="12"/>
        <v>30.410958904109588</v>
      </c>
    </row>
    <row r="825" spans="1:7" x14ac:dyDescent="0.25">
      <c r="A825" s="10">
        <v>45805.677083333336</v>
      </c>
      <c r="B825" s="11">
        <v>12</v>
      </c>
      <c r="C825" s="11" t="s">
        <v>17</v>
      </c>
      <c r="D825" s="11" t="s">
        <v>18</v>
      </c>
      <c r="E825" s="11">
        <v>1.46</v>
      </c>
      <c r="F825" s="11">
        <v>4.1500000000000004</v>
      </c>
      <c r="G825" s="8">
        <f t="shared" si="12"/>
        <v>21.108433734939755</v>
      </c>
    </row>
    <row r="826" spans="1:7" x14ac:dyDescent="0.25">
      <c r="A826" s="10">
        <v>45805.677083333336</v>
      </c>
      <c r="B826" s="11">
        <v>13</v>
      </c>
      <c r="C826" s="11" t="s">
        <v>18</v>
      </c>
      <c r="D826" s="11" t="s">
        <v>19</v>
      </c>
      <c r="E826" s="11">
        <v>1.52</v>
      </c>
      <c r="F826" s="11">
        <v>4.3499999999999996</v>
      </c>
      <c r="G826" s="8">
        <f t="shared" si="12"/>
        <v>20.965517241379313</v>
      </c>
    </row>
    <row r="827" spans="1:7" x14ac:dyDescent="0.25">
      <c r="A827" s="10">
        <v>45805.677083333336</v>
      </c>
      <c r="B827" s="11">
        <v>14</v>
      </c>
      <c r="C827" s="11" t="s">
        <v>19</v>
      </c>
      <c r="D827" s="11" t="s">
        <v>20</v>
      </c>
      <c r="E827" s="11">
        <v>1.51</v>
      </c>
      <c r="F827" s="11">
        <v>5.22</v>
      </c>
      <c r="G827" s="8">
        <f t="shared" si="12"/>
        <v>17.356321839080458</v>
      </c>
    </row>
    <row r="828" spans="1:7" x14ac:dyDescent="0.25">
      <c r="A828" s="10">
        <v>45805.677083333336</v>
      </c>
      <c r="B828" s="11">
        <v>15</v>
      </c>
      <c r="C828" s="11" t="s">
        <v>20</v>
      </c>
      <c r="D828" s="11" t="s">
        <v>21</v>
      </c>
      <c r="E828" s="11">
        <v>1.47</v>
      </c>
      <c r="F828" s="11">
        <v>2.83</v>
      </c>
      <c r="G828" s="8">
        <f t="shared" si="12"/>
        <v>31.166077738515902</v>
      </c>
    </row>
    <row r="829" spans="1:7" x14ac:dyDescent="0.25">
      <c r="A829" s="10">
        <v>45805.677083333336</v>
      </c>
      <c r="B829" s="11">
        <v>16</v>
      </c>
      <c r="C829" s="11" t="s">
        <v>21</v>
      </c>
      <c r="D829" s="11" t="s">
        <v>22</v>
      </c>
      <c r="E829" s="11">
        <v>1.5</v>
      </c>
      <c r="F829" s="11">
        <v>2.13</v>
      </c>
      <c r="G829" s="8">
        <f t="shared" si="12"/>
        <v>42.253521126760567</v>
      </c>
    </row>
    <row r="830" spans="1:7" x14ac:dyDescent="0.25">
      <c r="A830" s="10">
        <v>45805.677083333336</v>
      </c>
      <c r="B830" s="11">
        <v>17</v>
      </c>
      <c r="C830" s="11" t="s">
        <v>22</v>
      </c>
      <c r="D830" s="11" t="s">
        <v>23</v>
      </c>
      <c r="E830" s="11">
        <v>1.51</v>
      </c>
      <c r="F830" s="11">
        <v>3.53</v>
      </c>
      <c r="G830" s="8">
        <f t="shared" si="12"/>
        <v>25.665722379603398</v>
      </c>
    </row>
    <row r="831" spans="1:7" x14ac:dyDescent="0.25">
      <c r="A831" s="10">
        <v>45805.677083333336</v>
      </c>
      <c r="B831" s="11">
        <v>18</v>
      </c>
      <c r="C831" s="11" t="s">
        <v>23</v>
      </c>
      <c r="D831" s="11" t="s">
        <v>24</v>
      </c>
      <c r="E831" s="11">
        <v>1.51</v>
      </c>
      <c r="F831" s="11">
        <v>3.75</v>
      </c>
      <c r="G831" s="8">
        <f t="shared" si="12"/>
        <v>24.16</v>
      </c>
    </row>
    <row r="832" spans="1:7" x14ac:dyDescent="0.25">
      <c r="A832" s="10">
        <v>45805.677083333336</v>
      </c>
      <c r="B832" s="11">
        <v>19</v>
      </c>
      <c r="C832" s="11" t="s">
        <v>25</v>
      </c>
      <c r="D832" s="11" t="s">
        <v>26</v>
      </c>
      <c r="E832" s="11">
        <v>1.5</v>
      </c>
      <c r="F832" s="11">
        <v>3.87</v>
      </c>
      <c r="G832" s="8">
        <f t="shared" si="12"/>
        <v>23.255813953488371</v>
      </c>
    </row>
    <row r="833" spans="1:7" x14ac:dyDescent="0.25">
      <c r="A833" s="10">
        <v>45805.677083333336</v>
      </c>
      <c r="B833" s="11">
        <v>20</v>
      </c>
      <c r="C833" s="11" t="s">
        <v>26</v>
      </c>
      <c r="D833" s="11" t="s">
        <v>27</v>
      </c>
      <c r="E833" s="11">
        <v>1.48</v>
      </c>
      <c r="F833" s="11">
        <v>3.38</v>
      </c>
      <c r="G833" s="8">
        <f t="shared" si="12"/>
        <v>26.272189349112427</v>
      </c>
    </row>
    <row r="834" spans="1:7" x14ac:dyDescent="0.25">
      <c r="A834" s="10">
        <v>45805.677083333336</v>
      </c>
      <c r="B834" s="11">
        <v>21</v>
      </c>
      <c r="C834" s="11" t="s">
        <v>27</v>
      </c>
      <c r="D834" s="11" t="s">
        <v>28</v>
      </c>
      <c r="E834" s="11">
        <v>1.51</v>
      </c>
      <c r="F834" s="11">
        <v>3.2</v>
      </c>
      <c r="G834" s="8">
        <f t="shared" si="12"/>
        <v>28.312499999999996</v>
      </c>
    </row>
    <row r="835" spans="1:7" x14ac:dyDescent="0.25">
      <c r="A835" s="10">
        <v>45805.677083333336</v>
      </c>
      <c r="B835" s="11">
        <v>22</v>
      </c>
      <c r="C835" s="11" t="s">
        <v>28</v>
      </c>
      <c r="D835" s="11" t="s">
        <v>29</v>
      </c>
      <c r="E835" s="11">
        <v>1.57</v>
      </c>
      <c r="F835" s="11">
        <v>3.68</v>
      </c>
      <c r="G835" s="8">
        <f t="shared" ref="G835:G898" si="13">E835*60/F835</f>
        <v>25.59782608695652</v>
      </c>
    </row>
    <row r="836" spans="1:7" x14ac:dyDescent="0.25">
      <c r="A836" s="10">
        <v>45805.677083333336</v>
      </c>
      <c r="B836" s="11">
        <v>23</v>
      </c>
      <c r="C836" s="11" t="s">
        <v>29</v>
      </c>
      <c r="D836" s="11" t="s">
        <v>30</v>
      </c>
      <c r="E836" s="11">
        <v>1.43</v>
      </c>
      <c r="F836" s="11">
        <v>4.4800000000000004</v>
      </c>
      <c r="G836" s="8">
        <f t="shared" si="13"/>
        <v>19.151785714285712</v>
      </c>
    </row>
    <row r="837" spans="1:7" x14ac:dyDescent="0.25">
      <c r="A837" s="10">
        <v>45805.677083333336</v>
      </c>
      <c r="B837" s="11">
        <v>24</v>
      </c>
      <c r="C837" s="11" t="s">
        <v>30</v>
      </c>
      <c r="D837" s="11" t="s">
        <v>31</v>
      </c>
      <c r="E837" s="11">
        <v>1.52</v>
      </c>
      <c r="F837" s="11">
        <v>3.63</v>
      </c>
      <c r="G837" s="8">
        <f t="shared" si="13"/>
        <v>25.123966942148762</v>
      </c>
    </row>
    <row r="838" spans="1:7" x14ac:dyDescent="0.25">
      <c r="A838" s="10">
        <v>45805.677083333336</v>
      </c>
      <c r="B838" s="11">
        <v>25</v>
      </c>
      <c r="C838" s="11" t="s">
        <v>31</v>
      </c>
      <c r="D838" s="11" t="s">
        <v>32</v>
      </c>
      <c r="E838" s="11">
        <v>1.52</v>
      </c>
      <c r="F838" s="11">
        <v>3.48</v>
      </c>
      <c r="G838" s="8">
        <f t="shared" si="13"/>
        <v>26.206896551724139</v>
      </c>
    </row>
    <row r="839" spans="1:7" x14ac:dyDescent="0.25">
      <c r="A839" s="10">
        <v>45805.677083333336</v>
      </c>
      <c r="B839" s="11">
        <v>26</v>
      </c>
      <c r="C839" s="11" t="s">
        <v>32</v>
      </c>
      <c r="D839" s="11" t="s">
        <v>33</v>
      </c>
      <c r="E839" s="11">
        <v>1.49</v>
      </c>
      <c r="F839" s="11">
        <v>7.93</v>
      </c>
      <c r="G839" s="8">
        <f t="shared" si="13"/>
        <v>11.273644388398488</v>
      </c>
    </row>
    <row r="840" spans="1:7" x14ac:dyDescent="0.25">
      <c r="A840" s="10">
        <v>45805.677083333336</v>
      </c>
      <c r="B840" s="11">
        <v>27</v>
      </c>
      <c r="C840" s="11" t="s">
        <v>33</v>
      </c>
      <c r="D840" s="11" t="s">
        <v>34</v>
      </c>
      <c r="E840" s="11">
        <v>1.53</v>
      </c>
      <c r="F840" s="11">
        <v>3.85</v>
      </c>
      <c r="G840" s="8">
        <f t="shared" si="13"/>
        <v>23.844155844155843</v>
      </c>
    </row>
    <row r="841" spans="1:7" x14ac:dyDescent="0.25">
      <c r="A841" s="10">
        <v>45805.677083333336</v>
      </c>
      <c r="B841" s="11">
        <v>28</v>
      </c>
      <c r="C841" s="11" t="s">
        <v>34</v>
      </c>
      <c r="D841" s="11" t="s">
        <v>35</v>
      </c>
      <c r="E841" s="11">
        <v>1.51</v>
      </c>
      <c r="F841" s="11">
        <v>4.67</v>
      </c>
      <c r="G841" s="8">
        <f t="shared" si="13"/>
        <v>19.400428265524624</v>
      </c>
    </row>
    <row r="842" spans="1:7" x14ac:dyDescent="0.25">
      <c r="A842" s="10">
        <v>45805.677083333336</v>
      </c>
      <c r="B842" s="11">
        <v>29</v>
      </c>
      <c r="C842" s="11" t="s">
        <v>36</v>
      </c>
      <c r="D842" s="11" t="s">
        <v>37</v>
      </c>
      <c r="E842" s="11">
        <v>1.57</v>
      </c>
      <c r="F842" s="11">
        <v>4.17</v>
      </c>
      <c r="G842" s="8">
        <f t="shared" si="13"/>
        <v>22.589928057553958</v>
      </c>
    </row>
    <row r="843" spans="1:7" x14ac:dyDescent="0.25">
      <c r="A843" s="10">
        <v>45805.677083333336</v>
      </c>
      <c r="B843" s="11">
        <v>30</v>
      </c>
      <c r="C843" s="11" t="s">
        <v>37</v>
      </c>
      <c r="D843" s="11" t="s">
        <v>38</v>
      </c>
      <c r="E843" s="11">
        <v>1.57</v>
      </c>
      <c r="F843" s="11">
        <v>4.93</v>
      </c>
      <c r="G843" s="8">
        <f t="shared" si="13"/>
        <v>19.107505070993916</v>
      </c>
    </row>
    <row r="844" spans="1:7" x14ac:dyDescent="0.25">
      <c r="A844" s="10">
        <v>45805.677083333336</v>
      </c>
      <c r="B844" s="11">
        <v>31</v>
      </c>
      <c r="C844" s="11" t="s">
        <v>38</v>
      </c>
      <c r="D844" s="11" t="s">
        <v>39</v>
      </c>
      <c r="E844" s="11">
        <v>1.52</v>
      </c>
      <c r="F844" s="11">
        <v>2.83</v>
      </c>
      <c r="G844" s="8">
        <f t="shared" si="13"/>
        <v>32.226148409893995</v>
      </c>
    </row>
    <row r="845" spans="1:7" x14ac:dyDescent="0.25">
      <c r="A845" s="10">
        <v>45805.677083333336</v>
      </c>
      <c r="B845" s="11">
        <v>32</v>
      </c>
      <c r="C845" s="11" t="s">
        <v>39</v>
      </c>
      <c r="D845" s="11" t="s">
        <v>40</v>
      </c>
      <c r="E845" s="11">
        <v>1.5</v>
      </c>
      <c r="F845" s="11">
        <v>1.87</v>
      </c>
      <c r="G845" s="8">
        <f t="shared" si="13"/>
        <v>48.128342245989302</v>
      </c>
    </row>
    <row r="846" spans="1:7" x14ac:dyDescent="0.25">
      <c r="A846" s="10">
        <v>45805.677083333336</v>
      </c>
      <c r="B846" s="11">
        <v>33</v>
      </c>
      <c r="C846" s="11" t="s">
        <v>40</v>
      </c>
      <c r="D846" s="11" t="s">
        <v>41</v>
      </c>
      <c r="E846" s="11">
        <v>1.51</v>
      </c>
      <c r="F846" s="11">
        <v>1.87</v>
      </c>
      <c r="G846" s="8">
        <f t="shared" si="13"/>
        <v>48.449197860962563</v>
      </c>
    </row>
    <row r="847" spans="1:7" x14ac:dyDescent="0.25">
      <c r="A847" s="10">
        <v>45805.677083333336</v>
      </c>
      <c r="B847" s="11">
        <v>34</v>
      </c>
      <c r="C847" s="11" t="s">
        <v>41</v>
      </c>
      <c r="D847" s="11" t="s">
        <v>42</v>
      </c>
      <c r="E847" s="11">
        <v>1.5</v>
      </c>
      <c r="F847" s="11">
        <v>1.98</v>
      </c>
      <c r="G847" s="8">
        <f t="shared" si="13"/>
        <v>45.454545454545453</v>
      </c>
    </row>
    <row r="848" spans="1:7" x14ac:dyDescent="0.25">
      <c r="A848" s="10">
        <v>45805.677083333336</v>
      </c>
      <c r="B848" s="11">
        <v>35</v>
      </c>
      <c r="C848" s="11" t="s">
        <v>43</v>
      </c>
      <c r="D848" s="11" t="s">
        <v>44</v>
      </c>
      <c r="E848" s="11">
        <v>1.55</v>
      </c>
      <c r="F848" s="11">
        <v>3.53</v>
      </c>
      <c r="G848" s="8">
        <f t="shared" si="13"/>
        <v>26.345609065155809</v>
      </c>
    </row>
    <row r="849" spans="1:7" x14ac:dyDescent="0.25">
      <c r="A849" s="10">
        <v>45805.677083333336</v>
      </c>
      <c r="B849" s="11">
        <v>36</v>
      </c>
      <c r="C849" s="11" t="s">
        <v>44</v>
      </c>
      <c r="D849" s="11" t="s">
        <v>45</v>
      </c>
      <c r="E849" s="11">
        <v>1.5</v>
      </c>
      <c r="F849" s="11">
        <v>3.43</v>
      </c>
      <c r="G849" s="8">
        <f t="shared" si="13"/>
        <v>26.239067055393583</v>
      </c>
    </row>
    <row r="850" spans="1:7" x14ac:dyDescent="0.25">
      <c r="A850" s="10">
        <v>45805.677083333336</v>
      </c>
      <c r="B850" s="11">
        <v>37</v>
      </c>
      <c r="C850" s="11" t="s">
        <v>45</v>
      </c>
      <c r="D850" s="11" t="s">
        <v>46</v>
      </c>
      <c r="E850" s="11">
        <v>1.38</v>
      </c>
      <c r="F850" s="11">
        <v>4.7300000000000004</v>
      </c>
      <c r="G850" s="8">
        <f t="shared" si="13"/>
        <v>17.505285412262154</v>
      </c>
    </row>
    <row r="851" spans="1:7" x14ac:dyDescent="0.25">
      <c r="A851" s="10">
        <v>45805.677083333336</v>
      </c>
      <c r="B851" s="11">
        <v>38</v>
      </c>
      <c r="C851" s="11" t="s">
        <v>46</v>
      </c>
      <c r="D851" s="11" t="s">
        <v>47</v>
      </c>
      <c r="E851" s="11">
        <v>1.61</v>
      </c>
      <c r="F851" s="11">
        <v>4.1500000000000004</v>
      </c>
      <c r="G851" s="8">
        <f t="shared" si="13"/>
        <v>23.277108433734941</v>
      </c>
    </row>
    <row r="852" spans="1:7" x14ac:dyDescent="0.25">
      <c r="A852" s="10">
        <v>45805.677083333336</v>
      </c>
      <c r="B852" s="11">
        <v>39</v>
      </c>
      <c r="C852" s="11" t="s">
        <v>47</v>
      </c>
      <c r="D852" s="11" t="s">
        <v>48</v>
      </c>
      <c r="E852" s="11">
        <v>1.55</v>
      </c>
      <c r="F852" s="11">
        <v>3.67</v>
      </c>
      <c r="G852" s="8">
        <f t="shared" si="13"/>
        <v>25.340599455040874</v>
      </c>
    </row>
    <row r="853" spans="1:7" x14ac:dyDescent="0.25">
      <c r="A853" s="10">
        <v>45805.677083333336</v>
      </c>
      <c r="B853" s="11">
        <v>40</v>
      </c>
      <c r="C853" s="11" t="s">
        <v>48</v>
      </c>
      <c r="D853" s="11" t="s">
        <v>49</v>
      </c>
      <c r="E853" s="11">
        <v>1.39</v>
      </c>
      <c r="F853" s="11">
        <v>3.08</v>
      </c>
      <c r="G853" s="8">
        <f t="shared" si="13"/>
        <v>27.077922077922075</v>
      </c>
    </row>
    <row r="854" spans="1:7" x14ac:dyDescent="0.25">
      <c r="A854" s="10">
        <v>45805.677083333336</v>
      </c>
      <c r="B854" s="11">
        <v>41</v>
      </c>
      <c r="C854" s="11" t="s">
        <v>50</v>
      </c>
      <c r="D854" s="11" t="s">
        <v>51</v>
      </c>
      <c r="E854" s="11">
        <v>1.56</v>
      </c>
      <c r="F854" s="11">
        <v>4.9800000000000004</v>
      </c>
      <c r="G854" s="8">
        <f t="shared" si="13"/>
        <v>18.795180722891565</v>
      </c>
    </row>
    <row r="855" spans="1:7" x14ac:dyDescent="0.25">
      <c r="A855" s="10">
        <v>45805.677083333336</v>
      </c>
      <c r="B855" s="11">
        <v>42</v>
      </c>
      <c r="C855" s="11" t="s">
        <v>51</v>
      </c>
      <c r="D855" s="11" t="s">
        <v>52</v>
      </c>
      <c r="E855" s="11">
        <v>1.56</v>
      </c>
      <c r="F855" s="11">
        <v>4.28</v>
      </c>
      <c r="G855" s="8">
        <f t="shared" si="13"/>
        <v>21.869158878504674</v>
      </c>
    </row>
    <row r="856" spans="1:7" x14ac:dyDescent="0.25">
      <c r="A856" s="10">
        <v>45805.677083333336</v>
      </c>
      <c r="B856" s="11">
        <v>43</v>
      </c>
      <c r="C856" s="11" t="s">
        <v>52</v>
      </c>
      <c r="D856" s="11" t="s">
        <v>53</v>
      </c>
      <c r="E856" s="11">
        <v>1.51</v>
      </c>
      <c r="F856" s="11">
        <v>3.63</v>
      </c>
      <c r="G856" s="8">
        <f t="shared" si="13"/>
        <v>24.958677685950413</v>
      </c>
    </row>
    <row r="857" spans="1:7" x14ac:dyDescent="0.25">
      <c r="A857" s="10">
        <v>45805.677083333336</v>
      </c>
      <c r="B857" s="11">
        <v>44</v>
      </c>
      <c r="C857" s="11" t="s">
        <v>54</v>
      </c>
      <c r="D857" s="11" t="s">
        <v>55</v>
      </c>
      <c r="E857" s="11">
        <v>1.51</v>
      </c>
      <c r="F857" s="11">
        <v>4.6500000000000004</v>
      </c>
      <c r="G857" s="8">
        <f t="shared" si="13"/>
        <v>19.483870967741932</v>
      </c>
    </row>
    <row r="858" spans="1:7" x14ac:dyDescent="0.25">
      <c r="A858" s="10">
        <v>45805.677083333336</v>
      </c>
      <c r="B858" s="11">
        <v>45</v>
      </c>
      <c r="C858" s="11" t="s">
        <v>55</v>
      </c>
      <c r="D858" s="11" t="s">
        <v>56</v>
      </c>
      <c r="E858" s="11">
        <v>1.49</v>
      </c>
      <c r="F858" s="11">
        <v>3.6</v>
      </c>
      <c r="G858" s="8">
        <f t="shared" si="13"/>
        <v>24.833333333333336</v>
      </c>
    </row>
    <row r="859" spans="1:7" x14ac:dyDescent="0.25">
      <c r="A859" s="10">
        <v>45805.677083333336</v>
      </c>
      <c r="B859" s="11">
        <v>46</v>
      </c>
      <c r="C859" s="11" t="s">
        <v>56</v>
      </c>
      <c r="D859" s="11" t="s">
        <v>57</v>
      </c>
      <c r="E859" s="11">
        <v>1.52</v>
      </c>
      <c r="F859" s="11">
        <v>3.93</v>
      </c>
      <c r="G859" s="8">
        <f t="shared" si="13"/>
        <v>23.206106870229007</v>
      </c>
    </row>
    <row r="860" spans="1:7" x14ac:dyDescent="0.25">
      <c r="A860" s="10">
        <v>45805.677083333336</v>
      </c>
      <c r="B860" s="11">
        <v>47</v>
      </c>
      <c r="C860" s="11" t="s">
        <v>58</v>
      </c>
      <c r="D860" s="11" t="s">
        <v>59</v>
      </c>
      <c r="E860" s="11">
        <v>1.52</v>
      </c>
      <c r="F860" s="11">
        <v>4.55</v>
      </c>
      <c r="G860" s="8">
        <f t="shared" si="13"/>
        <v>20.043956043956044</v>
      </c>
    </row>
    <row r="861" spans="1:7" x14ac:dyDescent="0.25">
      <c r="A861" s="10">
        <v>45805.677083333336</v>
      </c>
      <c r="B861" s="11">
        <v>48</v>
      </c>
      <c r="C861" s="11" t="s">
        <v>59</v>
      </c>
      <c r="D861" s="11" t="s">
        <v>60</v>
      </c>
      <c r="E861" s="11">
        <v>1.5</v>
      </c>
      <c r="F861" s="11">
        <v>3.92</v>
      </c>
      <c r="G861" s="8">
        <f t="shared" si="13"/>
        <v>22.95918367346939</v>
      </c>
    </row>
    <row r="862" spans="1:7" x14ac:dyDescent="0.25">
      <c r="A862" s="10">
        <v>45805.677083333336</v>
      </c>
      <c r="B862" s="11">
        <v>49</v>
      </c>
      <c r="C862" s="11" t="s">
        <v>60</v>
      </c>
      <c r="D862" s="11" t="s">
        <v>61</v>
      </c>
      <c r="E862" s="11">
        <v>1.54</v>
      </c>
      <c r="F862" s="11">
        <v>4.03</v>
      </c>
      <c r="G862" s="8">
        <f t="shared" si="13"/>
        <v>22.928039702233249</v>
      </c>
    </row>
    <row r="863" spans="1:7" x14ac:dyDescent="0.25">
      <c r="A863" s="10">
        <v>45805.677083333336</v>
      </c>
      <c r="B863" s="11">
        <v>50</v>
      </c>
      <c r="C863" s="11" t="s">
        <v>62</v>
      </c>
      <c r="D863" s="11" t="s">
        <v>63</v>
      </c>
      <c r="E863" s="11">
        <v>1.38</v>
      </c>
      <c r="F863" s="11">
        <v>3.12</v>
      </c>
      <c r="G863" s="8">
        <f t="shared" si="13"/>
        <v>26.538461538461537</v>
      </c>
    </row>
    <row r="864" spans="1:7" x14ac:dyDescent="0.25">
      <c r="A864" s="10">
        <v>45805.677083333336</v>
      </c>
      <c r="B864" s="11">
        <v>51</v>
      </c>
      <c r="C864" s="11" t="s">
        <v>63</v>
      </c>
      <c r="D864" s="11" t="s">
        <v>64</v>
      </c>
      <c r="E864" s="11">
        <v>2.79</v>
      </c>
      <c r="F864" s="11">
        <v>5.75</v>
      </c>
      <c r="G864" s="8">
        <f t="shared" si="13"/>
        <v>29.11304347826087</v>
      </c>
    </row>
    <row r="865" spans="1:7" x14ac:dyDescent="0.25">
      <c r="A865" s="10">
        <v>45805.677083333336</v>
      </c>
      <c r="B865" s="11">
        <v>52</v>
      </c>
      <c r="C865" s="11" t="s">
        <v>64</v>
      </c>
      <c r="D865" s="11" t="s">
        <v>65</v>
      </c>
      <c r="E865" s="11">
        <v>1.5</v>
      </c>
      <c r="F865" s="11">
        <v>2.93</v>
      </c>
      <c r="G865" s="8">
        <f t="shared" si="13"/>
        <v>30.716723549488052</v>
      </c>
    </row>
    <row r="866" spans="1:7" x14ac:dyDescent="0.25">
      <c r="A866" s="10">
        <v>45805.677083333336</v>
      </c>
      <c r="B866" s="11">
        <v>53</v>
      </c>
      <c r="C866" s="11" t="s">
        <v>65</v>
      </c>
      <c r="D866" s="11" t="s">
        <v>66</v>
      </c>
      <c r="E866" s="11">
        <v>1.46</v>
      </c>
      <c r="F866" s="11">
        <v>3.75</v>
      </c>
      <c r="G866" s="8">
        <f t="shared" si="13"/>
        <v>23.36</v>
      </c>
    </row>
    <row r="867" spans="1:7" x14ac:dyDescent="0.25">
      <c r="A867" s="10">
        <v>45805.677083333336</v>
      </c>
      <c r="B867" s="11">
        <v>54</v>
      </c>
      <c r="C867" s="11" t="s">
        <v>67</v>
      </c>
      <c r="D867" s="11" t="s">
        <v>68</v>
      </c>
      <c r="E867" s="11">
        <v>1.46</v>
      </c>
      <c r="F867" s="11">
        <v>3.52</v>
      </c>
      <c r="G867" s="8">
        <f t="shared" si="13"/>
        <v>24.886363636363633</v>
      </c>
    </row>
    <row r="868" spans="1:7" x14ac:dyDescent="0.25">
      <c r="A868" s="10">
        <v>45805.677083333336</v>
      </c>
      <c r="B868" s="11">
        <v>55</v>
      </c>
      <c r="C868" s="11" t="s">
        <v>68</v>
      </c>
      <c r="D868" s="11" t="s">
        <v>69</v>
      </c>
      <c r="E868" s="11">
        <v>1.97</v>
      </c>
      <c r="F868" s="11">
        <v>7.7</v>
      </c>
      <c r="G868" s="8">
        <f t="shared" si="13"/>
        <v>15.35064935064935</v>
      </c>
    </row>
    <row r="869" spans="1:7" x14ac:dyDescent="0.25">
      <c r="A869" s="10">
        <v>45805.677083333336</v>
      </c>
      <c r="B869" s="11">
        <v>56</v>
      </c>
      <c r="C869" s="11" t="s">
        <v>70</v>
      </c>
      <c r="D869" s="11" t="s">
        <v>71</v>
      </c>
      <c r="E869" s="11">
        <v>1.51</v>
      </c>
      <c r="F869" s="11">
        <v>4.95</v>
      </c>
      <c r="G869" s="8">
        <f t="shared" si="13"/>
        <v>18.303030303030301</v>
      </c>
    </row>
    <row r="870" spans="1:7" x14ac:dyDescent="0.25">
      <c r="A870" s="10">
        <v>45805.677083333336</v>
      </c>
      <c r="B870" s="11">
        <v>57</v>
      </c>
      <c r="C870" s="11" t="s">
        <v>71</v>
      </c>
      <c r="D870" s="11" t="s">
        <v>72</v>
      </c>
      <c r="E870" s="11">
        <v>1.52</v>
      </c>
      <c r="F870" s="11">
        <v>4.2300000000000004</v>
      </c>
      <c r="G870" s="8">
        <f t="shared" si="13"/>
        <v>21.560283687943262</v>
      </c>
    </row>
    <row r="871" spans="1:7" x14ac:dyDescent="0.25">
      <c r="A871" s="10">
        <v>45805.677083333336</v>
      </c>
      <c r="B871" s="11">
        <v>58</v>
      </c>
      <c r="C871" s="11" t="s">
        <v>72</v>
      </c>
      <c r="D871" s="11" t="s">
        <v>73</v>
      </c>
      <c r="E871" s="11">
        <v>1.5</v>
      </c>
      <c r="F871" s="11">
        <v>4.42</v>
      </c>
      <c r="G871" s="8">
        <f t="shared" si="13"/>
        <v>20.361990950226243</v>
      </c>
    </row>
    <row r="872" spans="1:7" x14ac:dyDescent="0.25">
      <c r="A872" s="10">
        <v>45805.6875</v>
      </c>
      <c r="B872" s="11">
        <v>1</v>
      </c>
      <c r="C872" s="11" t="s">
        <v>6</v>
      </c>
      <c r="D872" s="11" t="s">
        <v>7</v>
      </c>
      <c r="E872" s="11">
        <v>1.53</v>
      </c>
      <c r="F872" s="11">
        <v>3.12</v>
      </c>
      <c r="G872" s="8">
        <f t="shared" si="13"/>
        <v>29.42307692307692</v>
      </c>
    </row>
    <row r="873" spans="1:7" x14ac:dyDescent="0.25">
      <c r="A873" s="10">
        <v>45805.6875</v>
      </c>
      <c r="B873" s="11">
        <v>2</v>
      </c>
      <c r="C873" s="11" t="s">
        <v>7</v>
      </c>
      <c r="D873" s="11" t="s">
        <v>8</v>
      </c>
      <c r="E873" s="11">
        <v>1.57</v>
      </c>
      <c r="F873" s="11">
        <v>5.42</v>
      </c>
      <c r="G873" s="8">
        <f t="shared" si="13"/>
        <v>17.380073800738007</v>
      </c>
    </row>
    <row r="874" spans="1:7" x14ac:dyDescent="0.25">
      <c r="A874" s="10">
        <v>45805.6875</v>
      </c>
      <c r="B874" s="11">
        <v>3</v>
      </c>
      <c r="C874" s="11" t="s">
        <v>8</v>
      </c>
      <c r="D874" s="11" t="s">
        <v>9</v>
      </c>
      <c r="E874" s="11">
        <v>1.5</v>
      </c>
      <c r="F874" s="11">
        <v>3.13</v>
      </c>
      <c r="G874" s="8">
        <f t="shared" si="13"/>
        <v>28.753993610223642</v>
      </c>
    </row>
    <row r="875" spans="1:7" x14ac:dyDescent="0.25">
      <c r="A875" s="10">
        <v>45805.6875</v>
      </c>
      <c r="B875" s="11">
        <v>4</v>
      </c>
      <c r="C875" s="11" t="s">
        <v>9</v>
      </c>
      <c r="D875" s="11" t="s">
        <v>10</v>
      </c>
      <c r="E875" s="11">
        <v>1.5</v>
      </c>
      <c r="F875" s="11">
        <v>3.02</v>
      </c>
      <c r="G875" s="8">
        <f t="shared" si="13"/>
        <v>29.801324503311257</v>
      </c>
    </row>
    <row r="876" spans="1:7" x14ac:dyDescent="0.25">
      <c r="A876" s="10">
        <v>45805.6875</v>
      </c>
      <c r="B876" s="11">
        <v>5</v>
      </c>
      <c r="C876" s="11" t="s">
        <v>10</v>
      </c>
      <c r="D876" s="11" t="s">
        <v>11</v>
      </c>
      <c r="E876" s="11">
        <v>1.52</v>
      </c>
      <c r="F876" s="11">
        <v>3.97</v>
      </c>
      <c r="G876" s="8">
        <f t="shared" si="13"/>
        <v>22.972292191435766</v>
      </c>
    </row>
    <row r="877" spans="1:7" x14ac:dyDescent="0.25">
      <c r="A877" s="10">
        <v>45805.6875</v>
      </c>
      <c r="B877" s="11">
        <v>6</v>
      </c>
      <c r="C877" s="11" t="s">
        <v>11</v>
      </c>
      <c r="D877" s="11" t="s">
        <v>12</v>
      </c>
      <c r="E877" s="11">
        <v>1.5</v>
      </c>
      <c r="F877" s="11">
        <v>2.88</v>
      </c>
      <c r="G877" s="8">
        <f t="shared" si="13"/>
        <v>31.25</v>
      </c>
    </row>
    <row r="878" spans="1:7" x14ac:dyDescent="0.25">
      <c r="A878" s="10">
        <v>45805.6875</v>
      </c>
      <c r="B878" s="11">
        <v>7</v>
      </c>
      <c r="C878" s="11" t="s">
        <v>12</v>
      </c>
      <c r="D878" s="11" t="s">
        <v>13</v>
      </c>
      <c r="E878" s="11">
        <v>1.54</v>
      </c>
      <c r="F878" s="11">
        <v>2.72</v>
      </c>
      <c r="G878" s="8">
        <f t="shared" si="13"/>
        <v>33.970588235294116</v>
      </c>
    </row>
    <row r="879" spans="1:7" x14ac:dyDescent="0.25">
      <c r="A879" s="10">
        <v>45805.6875</v>
      </c>
      <c r="B879" s="11">
        <v>8</v>
      </c>
      <c r="C879" s="11" t="s">
        <v>13</v>
      </c>
      <c r="D879" s="11" t="s">
        <v>14</v>
      </c>
      <c r="E879" s="11">
        <v>1.54</v>
      </c>
      <c r="F879" s="11">
        <v>3.37</v>
      </c>
      <c r="G879" s="8">
        <f t="shared" si="13"/>
        <v>27.41839762611276</v>
      </c>
    </row>
    <row r="880" spans="1:7" x14ac:dyDescent="0.25">
      <c r="A880" s="10">
        <v>45805.6875</v>
      </c>
      <c r="B880" s="11">
        <v>9</v>
      </c>
      <c r="C880" s="11" t="s">
        <v>14</v>
      </c>
      <c r="D880" s="11" t="s">
        <v>15</v>
      </c>
      <c r="E880" s="11">
        <v>1.52</v>
      </c>
      <c r="F880" s="11">
        <v>4.38</v>
      </c>
      <c r="G880" s="8">
        <f t="shared" si="13"/>
        <v>20.82191780821918</v>
      </c>
    </row>
    <row r="881" spans="1:7" x14ac:dyDescent="0.25">
      <c r="A881" s="10">
        <v>45805.6875</v>
      </c>
      <c r="B881" s="11">
        <v>10</v>
      </c>
      <c r="C881" s="11" t="s">
        <v>15</v>
      </c>
      <c r="D881" s="11" t="s">
        <v>16</v>
      </c>
      <c r="E881" s="11">
        <v>1.5</v>
      </c>
      <c r="F881" s="11">
        <v>4.13</v>
      </c>
      <c r="G881" s="8">
        <f t="shared" si="13"/>
        <v>21.791767554479421</v>
      </c>
    </row>
    <row r="882" spans="1:7" x14ac:dyDescent="0.25">
      <c r="A882" s="10">
        <v>45805.6875</v>
      </c>
      <c r="B882" s="11">
        <v>11</v>
      </c>
      <c r="C882" s="11" t="s">
        <v>16</v>
      </c>
      <c r="D882" s="11" t="s">
        <v>17</v>
      </c>
      <c r="E882" s="11">
        <v>1.48</v>
      </c>
      <c r="F882" s="11">
        <v>3.1</v>
      </c>
      <c r="G882" s="8">
        <f t="shared" si="13"/>
        <v>28.64516129032258</v>
      </c>
    </row>
    <row r="883" spans="1:7" x14ac:dyDescent="0.25">
      <c r="A883" s="10">
        <v>45805.6875</v>
      </c>
      <c r="B883" s="11">
        <v>12</v>
      </c>
      <c r="C883" s="11" t="s">
        <v>17</v>
      </c>
      <c r="D883" s="11" t="s">
        <v>18</v>
      </c>
      <c r="E883" s="11">
        <v>1.46</v>
      </c>
      <c r="F883" s="11">
        <v>4.4000000000000004</v>
      </c>
      <c r="G883" s="8">
        <f t="shared" si="13"/>
        <v>19.909090909090907</v>
      </c>
    </row>
    <row r="884" spans="1:7" x14ac:dyDescent="0.25">
      <c r="A884" s="10">
        <v>45805.6875</v>
      </c>
      <c r="B884" s="11">
        <v>13</v>
      </c>
      <c r="C884" s="11" t="s">
        <v>18</v>
      </c>
      <c r="D884" s="11" t="s">
        <v>19</v>
      </c>
      <c r="E884" s="11">
        <v>1.52</v>
      </c>
      <c r="F884" s="11">
        <v>4.53</v>
      </c>
      <c r="G884" s="8">
        <f t="shared" si="13"/>
        <v>20.132450331125828</v>
      </c>
    </row>
    <row r="885" spans="1:7" x14ac:dyDescent="0.25">
      <c r="A885" s="10">
        <v>45805.6875</v>
      </c>
      <c r="B885" s="11">
        <v>14</v>
      </c>
      <c r="C885" s="11" t="s">
        <v>19</v>
      </c>
      <c r="D885" s="11" t="s">
        <v>20</v>
      </c>
      <c r="E885" s="11">
        <v>1.51</v>
      </c>
      <c r="F885" s="11">
        <v>3.75</v>
      </c>
      <c r="G885" s="8">
        <f t="shared" si="13"/>
        <v>24.16</v>
      </c>
    </row>
    <row r="886" spans="1:7" x14ac:dyDescent="0.25">
      <c r="A886" s="10">
        <v>45805.6875</v>
      </c>
      <c r="B886" s="11">
        <v>15</v>
      </c>
      <c r="C886" s="11" t="s">
        <v>20</v>
      </c>
      <c r="D886" s="11" t="s">
        <v>21</v>
      </c>
      <c r="E886" s="11">
        <v>1.47</v>
      </c>
      <c r="F886" s="11">
        <v>2.8</v>
      </c>
      <c r="G886" s="8">
        <f t="shared" si="13"/>
        <v>31.500000000000004</v>
      </c>
    </row>
    <row r="887" spans="1:7" x14ac:dyDescent="0.25">
      <c r="A887" s="10">
        <v>45805.6875</v>
      </c>
      <c r="B887" s="11">
        <v>16</v>
      </c>
      <c r="C887" s="11" t="s">
        <v>21</v>
      </c>
      <c r="D887" s="11" t="s">
        <v>22</v>
      </c>
      <c r="E887" s="11">
        <v>1.5</v>
      </c>
      <c r="F887" s="11">
        <v>1.92</v>
      </c>
      <c r="G887" s="8">
        <f t="shared" si="13"/>
        <v>46.875</v>
      </c>
    </row>
    <row r="888" spans="1:7" x14ac:dyDescent="0.25">
      <c r="A888" s="10">
        <v>45805.6875</v>
      </c>
      <c r="B888" s="11">
        <v>17</v>
      </c>
      <c r="C888" s="11" t="s">
        <v>22</v>
      </c>
      <c r="D888" s="11" t="s">
        <v>23</v>
      </c>
      <c r="E888" s="11">
        <v>1.51</v>
      </c>
      <c r="F888" s="11">
        <v>3.07</v>
      </c>
      <c r="G888" s="8">
        <f t="shared" si="13"/>
        <v>29.511400651465799</v>
      </c>
    </row>
    <row r="889" spans="1:7" x14ac:dyDescent="0.25">
      <c r="A889" s="10">
        <v>45805.6875</v>
      </c>
      <c r="B889" s="11">
        <v>18</v>
      </c>
      <c r="C889" s="11" t="s">
        <v>23</v>
      </c>
      <c r="D889" s="11" t="s">
        <v>24</v>
      </c>
      <c r="E889" s="11">
        <v>1.51</v>
      </c>
      <c r="F889" s="11">
        <v>4.32</v>
      </c>
      <c r="G889" s="8">
        <f t="shared" si="13"/>
        <v>20.972222222222218</v>
      </c>
    </row>
    <row r="890" spans="1:7" x14ac:dyDescent="0.25">
      <c r="A890" s="10">
        <v>45805.6875</v>
      </c>
      <c r="B890" s="11">
        <v>19</v>
      </c>
      <c r="C890" s="11" t="s">
        <v>25</v>
      </c>
      <c r="D890" s="11" t="s">
        <v>26</v>
      </c>
      <c r="E890" s="11">
        <v>1.5</v>
      </c>
      <c r="F890" s="11">
        <v>4.05</v>
      </c>
      <c r="G890" s="8">
        <f t="shared" si="13"/>
        <v>22.222222222222221</v>
      </c>
    </row>
    <row r="891" spans="1:7" x14ac:dyDescent="0.25">
      <c r="A891" s="10">
        <v>45805.6875</v>
      </c>
      <c r="B891" s="11">
        <v>20</v>
      </c>
      <c r="C891" s="11" t="s">
        <v>26</v>
      </c>
      <c r="D891" s="11" t="s">
        <v>27</v>
      </c>
      <c r="E891" s="11">
        <v>1.48</v>
      </c>
      <c r="F891" s="11">
        <v>3.67</v>
      </c>
      <c r="G891" s="8">
        <f t="shared" si="13"/>
        <v>24.196185286103542</v>
      </c>
    </row>
    <row r="892" spans="1:7" x14ac:dyDescent="0.25">
      <c r="A892" s="10">
        <v>45805.6875</v>
      </c>
      <c r="B892" s="11">
        <v>21</v>
      </c>
      <c r="C892" s="11" t="s">
        <v>27</v>
      </c>
      <c r="D892" s="11" t="s">
        <v>28</v>
      </c>
      <c r="E892" s="11">
        <v>1.51</v>
      </c>
      <c r="F892" s="11">
        <v>3.5</v>
      </c>
      <c r="G892" s="8">
        <f t="shared" si="13"/>
        <v>25.885714285714283</v>
      </c>
    </row>
    <row r="893" spans="1:7" x14ac:dyDescent="0.25">
      <c r="A893" s="10">
        <v>45805.6875</v>
      </c>
      <c r="B893" s="11">
        <v>22</v>
      </c>
      <c r="C893" s="11" t="s">
        <v>28</v>
      </c>
      <c r="D893" s="11" t="s">
        <v>29</v>
      </c>
      <c r="E893" s="11">
        <v>1.57</v>
      </c>
      <c r="F893" s="11">
        <v>3.4</v>
      </c>
      <c r="G893" s="8">
        <f t="shared" si="13"/>
        <v>27.705882352941178</v>
      </c>
    </row>
    <row r="894" spans="1:7" x14ac:dyDescent="0.25">
      <c r="A894" s="10">
        <v>45805.6875</v>
      </c>
      <c r="B894" s="11">
        <v>23</v>
      </c>
      <c r="C894" s="11" t="s">
        <v>29</v>
      </c>
      <c r="D894" s="11" t="s">
        <v>30</v>
      </c>
      <c r="E894" s="11">
        <v>1.43</v>
      </c>
      <c r="F894" s="11">
        <v>4.4800000000000004</v>
      </c>
      <c r="G894" s="8">
        <f t="shared" si="13"/>
        <v>19.151785714285712</v>
      </c>
    </row>
    <row r="895" spans="1:7" x14ac:dyDescent="0.25">
      <c r="A895" s="10">
        <v>45805.6875</v>
      </c>
      <c r="B895" s="11">
        <v>24</v>
      </c>
      <c r="C895" s="11" t="s">
        <v>30</v>
      </c>
      <c r="D895" s="11" t="s">
        <v>31</v>
      </c>
      <c r="E895" s="11">
        <v>1.52</v>
      </c>
      <c r="F895" s="11">
        <v>3.75</v>
      </c>
      <c r="G895" s="8">
        <f t="shared" si="13"/>
        <v>24.32</v>
      </c>
    </row>
    <row r="896" spans="1:7" x14ac:dyDescent="0.25">
      <c r="A896" s="10">
        <v>45805.6875</v>
      </c>
      <c r="B896" s="11">
        <v>25</v>
      </c>
      <c r="C896" s="11" t="s">
        <v>31</v>
      </c>
      <c r="D896" s="11" t="s">
        <v>32</v>
      </c>
      <c r="E896" s="11">
        <v>1.52</v>
      </c>
      <c r="F896" s="11">
        <v>3.37</v>
      </c>
      <c r="G896" s="8">
        <f t="shared" si="13"/>
        <v>27.062314540059347</v>
      </c>
    </row>
    <row r="897" spans="1:7" x14ac:dyDescent="0.25">
      <c r="A897" s="10">
        <v>45805.6875</v>
      </c>
      <c r="B897" s="11">
        <v>26</v>
      </c>
      <c r="C897" s="11" t="s">
        <v>32</v>
      </c>
      <c r="D897" s="11" t="s">
        <v>33</v>
      </c>
      <c r="E897" s="11">
        <v>1.49</v>
      </c>
      <c r="F897" s="11">
        <v>7</v>
      </c>
      <c r="G897" s="8">
        <f t="shared" si="13"/>
        <v>12.771428571428572</v>
      </c>
    </row>
    <row r="898" spans="1:7" x14ac:dyDescent="0.25">
      <c r="A898" s="10">
        <v>45805.6875</v>
      </c>
      <c r="B898" s="11">
        <v>27</v>
      </c>
      <c r="C898" s="11" t="s">
        <v>33</v>
      </c>
      <c r="D898" s="11" t="s">
        <v>34</v>
      </c>
      <c r="E898" s="11">
        <v>1.53</v>
      </c>
      <c r="F898" s="11">
        <v>4.47</v>
      </c>
      <c r="G898" s="8">
        <f t="shared" si="13"/>
        <v>20.536912751677853</v>
      </c>
    </row>
    <row r="899" spans="1:7" x14ac:dyDescent="0.25">
      <c r="A899" s="10">
        <v>45805.6875</v>
      </c>
      <c r="B899" s="11">
        <v>28</v>
      </c>
      <c r="C899" s="11" t="s">
        <v>34</v>
      </c>
      <c r="D899" s="11" t="s">
        <v>35</v>
      </c>
      <c r="E899" s="11">
        <v>1.51</v>
      </c>
      <c r="F899" s="11">
        <v>4.62</v>
      </c>
      <c r="G899" s="8">
        <f t="shared" ref="G899:G962" si="14">E899*60/F899</f>
        <v>19.61038961038961</v>
      </c>
    </row>
    <row r="900" spans="1:7" x14ac:dyDescent="0.25">
      <c r="A900" s="10">
        <v>45805.6875</v>
      </c>
      <c r="B900" s="11">
        <v>29</v>
      </c>
      <c r="C900" s="11" t="s">
        <v>36</v>
      </c>
      <c r="D900" s="11" t="s">
        <v>37</v>
      </c>
      <c r="E900" s="11">
        <v>1.57</v>
      </c>
      <c r="F900" s="11">
        <v>4.55</v>
      </c>
      <c r="G900" s="8">
        <f t="shared" si="14"/>
        <v>20.703296703296704</v>
      </c>
    </row>
    <row r="901" spans="1:7" x14ac:dyDescent="0.25">
      <c r="A901" s="10">
        <v>45805.6875</v>
      </c>
      <c r="B901" s="11">
        <v>30</v>
      </c>
      <c r="C901" s="11" t="s">
        <v>37</v>
      </c>
      <c r="D901" s="11" t="s">
        <v>38</v>
      </c>
      <c r="E901" s="11">
        <v>1.57</v>
      </c>
      <c r="F901" s="11">
        <v>5.35</v>
      </c>
      <c r="G901" s="8">
        <f t="shared" si="14"/>
        <v>17.607476635514022</v>
      </c>
    </row>
    <row r="902" spans="1:7" x14ac:dyDescent="0.25">
      <c r="A902" s="10">
        <v>45805.6875</v>
      </c>
      <c r="B902" s="11">
        <v>31</v>
      </c>
      <c r="C902" s="11" t="s">
        <v>38</v>
      </c>
      <c r="D902" s="11" t="s">
        <v>39</v>
      </c>
      <c r="E902" s="11">
        <v>1.52</v>
      </c>
      <c r="F902" s="11">
        <v>2.95</v>
      </c>
      <c r="G902" s="8">
        <f t="shared" si="14"/>
        <v>30.915254237288135</v>
      </c>
    </row>
    <row r="903" spans="1:7" x14ac:dyDescent="0.25">
      <c r="A903" s="10">
        <v>45805.6875</v>
      </c>
      <c r="B903" s="11">
        <v>32</v>
      </c>
      <c r="C903" s="11" t="s">
        <v>39</v>
      </c>
      <c r="D903" s="11" t="s">
        <v>40</v>
      </c>
      <c r="E903" s="11">
        <v>1.5</v>
      </c>
      <c r="F903" s="11">
        <v>1.9</v>
      </c>
      <c r="G903" s="8">
        <f t="shared" si="14"/>
        <v>47.368421052631582</v>
      </c>
    </row>
    <row r="904" spans="1:7" x14ac:dyDescent="0.25">
      <c r="A904" s="10">
        <v>45805.6875</v>
      </c>
      <c r="B904" s="11">
        <v>33</v>
      </c>
      <c r="C904" s="11" t="s">
        <v>40</v>
      </c>
      <c r="D904" s="11" t="s">
        <v>41</v>
      </c>
      <c r="E904" s="11">
        <v>1.51</v>
      </c>
      <c r="F904" s="11">
        <v>1.92</v>
      </c>
      <c r="G904" s="8">
        <f t="shared" si="14"/>
        <v>47.1875</v>
      </c>
    </row>
    <row r="905" spans="1:7" x14ac:dyDescent="0.25">
      <c r="A905" s="10">
        <v>45805.6875</v>
      </c>
      <c r="B905" s="11">
        <v>34</v>
      </c>
      <c r="C905" s="11" t="s">
        <v>41</v>
      </c>
      <c r="D905" s="11" t="s">
        <v>42</v>
      </c>
      <c r="E905" s="11">
        <v>1.5</v>
      </c>
      <c r="F905" s="11">
        <v>1.98</v>
      </c>
      <c r="G905" s="8">
        <f t="shared" si="14"/>
        <v>45.454545454545453</v>
      </c>
    </row>
    <row r="906" spans="1:7" x14ac:dyDescent="0.25">
      <c r="A906" s="10">
        <v>45805.6875</v>
      </c>
      <c r="B906" s="11">
        <v>35</v>
      </c>
      <c r="C906" s="11" t="s">
        <v>43</v>
      </c>
      <c r="D906" s="11" t="s">
        <v>44</v>
      </c>
      <c r="E906" s="11">
        <v>1.55</v>
      </c>
      <c r="F906" s="11">
        <v>3.63</v>
      </c>
      <c r="G906" s="8">
        <f t="shared" si="14"/>
        <v>25.619834710743802</v>
      </c>
    </row>
    <row r="907" spans="1:7" x14ac:dyDescent="0.25">
      <c r="A907" s="10">
        <v>45805.6875</v>
      </c>
      <c r="B907" s="11">
        <v>36</v>
      </c>
      <c r="C907" s="11" t="s">
        <v>44</v>
      </c>
      <c r="D907" s="11" t="s">
        <v>45</v>
      </c>
      <c r="E907" s="11">
        <v>1.5</v>
      </c>
      <c r="F907" s="11">
        <v>3.35</v>
      </c>
      <c r="G907" s="8">
        <f t="shared" si="14"/>
        <v>26.865671641791042</v>
      </c>
    </row>
    <row r="908" spans="1:7" x14ac:dyDescent="0.25">
      <c r="A908" s="10">
        <v>45805.6875</v>
      </c>
      <c r="B908" s="11">
        <v>37</v>
      </c>
      <c r="C908" s="11" t="s">
        <v>45</v>
      </c>
      <c r="D908" s="11" t="s">
        <v>46</v>
      </c>
      <c r="E908" s="11">
        <v>1.38</v>
      </c>
      <c r="F908" s="11">
        <v>4.92</v>
      </c>
      <c r="G908" s="8">
        <f t="shared" si="14"/>
        <v>16.829268292682926</v>
      </c>
    </row>
    <row r="909" spans="1:7" x14ac:dyDescent="0.25">
      <c r="A909" s="10">
        <v>45805.6875</v>
      </c>
      <c r="B909" s="11">
        <v>38</v>
      </c>
      <c r="C909" s="11" t="s">
        <v>46</v>
      </c>
      <c r="D909" s="11" t="s">
        <v>47</v>
      </c>
      <c r="E909" s="11">
        <v>1.61</v>
      </c>
      <c r="F909" s="11">
        <v>4.17</v>
      </c>
      <c r="G909" s="8">
        <f t="shared" si="14"/>
        <v>23.165467625899282</v>
      </c>
    </row>
    <row r="910" spans="1:7" x14ac:dyDescent="0.25">
      <c r="A910" s="10">
        <v>45805.6875</v>
      </c>
      <c r="B910" s="11">
        <v>39</v>
      </c>
      <c r="C910" s="11" t="s">
        <v>47</v>
      </c>
      <c r="D910" s="11" t="s">
        <v>48</v>
      </c>
      <c r="E910" s="11">
        <v>1.55</v>
      </c>
      <c r="F910" s="11">
        <v>3.63</v>
      </c>
      <c r="G910" s="8">
        <f t="shared" si="14"/>
        <v>25.619834710743802</v>
      </c>
    </row>
    <row r="911" spans="1:7" x14ac:dyDescent="0.25">
      <c r="A911" s="10">
        <v>45805.6875</v>
      </c>
      <c r="B911" s="11">
        <v>40</v>
      </c>
      <c r="C911" s="11" t="s">
        <v>48</v>
      </c>
      <c r="D911" s="11" t="s">
        <v>49</v>
      </c>
      <c r="E911" s="11">
        <v>1.39</v>
      </c>
      <c r="F911" s="11">
        <v>3.22</v>
      </c>
      <c r="G911" s="8">
        <f t="shared" si="14"/>
        <v>25.900621118012417</v>
      </c>
    </row>
    <row r="912" spans="1:7" x14ac:dyDescent="0.25">
      <c r="A912" s="10">
        <v>45805.6875</v>
      </c>
      <c r="B912" s="11">
        <v>41</v>
      </c>
      <c r="C912" s="11" t="s">
        <v>50</v>
      </c>
      <c r="D912" s="11" t="s">
        <v>51</v>
      </c>
      <c r="E912" s="11">
        <v>1.56</v>
      </c>
      <c r="F912" s="11">
        <v>4.8499999999999996</v>
      </c>
      <c r="G912" s="8">
        <f t="shared" si="14"/>
        <v>19.298969072164951</v>
      </c>
    </row>
    <row r="913" spans="1:7" x14ac:dyDescent="0.25">
      <c r="A913" s="10">
        <v>45805.6875</v>
      </c>
      <c r="B913" s="11">
        <v>42</v>
      </c>
      <c r="C913" s="11" t="s">
        <v>51</v>
      </c>
      <c r="D913" s="11" t="s">
        <v>52</v>
      </c>
      <c r="E913" s="11">
        <v>1.56</v>
      </c>
      <c r="F913" s="11">
        <v>4.7300000000000004</v>
      </c>
      <c r="G913" s="8">
        <f t="shared" si="14"/>
        <v>19.788583509513742</v>
      </c>
    </row>
    <row r="914" spans="1:7" x14ac:dyDescent="0.25">
      <c r="A914" s="10">
        <v>45805.6875</v>
      </c>
      <c r="B914" s="11">
        <v>43</v>
      </c>
      <c r="C914" s="11" t="s">
        <v>52</v>
      </c>
      <c r="D914" s="11" t="s">
        <v>53</v>
      </c>
      <c r="E914" s="11">
        <v>1.51</v>
      </c>
      <c r="F914" s="11">
        <v>3.82</v>
      </c>
      <c r="G914" s="8">
        <f t="shared" si="14"/>
        <v>23.717277486910994</v>
      </c>
    </row>
    <row r="915" spans="1:7" x14ac:dyDescent="0.25">
      <c r="A915" s="10">
        <v>45805.6875</v>
      </c>
      <c r="B915" s="11">
        <v>44</v>
      </c>
      <c r="C915" s="11" t="s">
        <v>54</v>
      </c>
      <c r="D915" s="11" t="s">
        <v>55</v>
      </c>
      <c r="E915" s="11">
        <v>1.51</v>
      </c>
      <c r="F915" s="11">
        <v>4.47</v>
      </c>
      <c r="G915" s="8">
        <f t="shared" si="14"/>
        <v>20.268456375838927</v>
      </c>
    </row>
    <row r="916" spans="1:7" x14ac:dyDescent="0.25">
      <c r="A916" s="10">
        <v>45805.6875</v>
      </c>
      <c r="B916" s="11">
        <v>45</v>
      </c>
      <c r="C916" s="11" t="s">
        <v>55</v>
      </c>
      <c r="D916" s="11" t="s">
        <v>56</v>
      </c>
      <c r="E916" s="11">
        <v>1.49</v>
      </c>
      <c r="F916" s="11">
        <v>3.58</v>
      </c>
      <c r="G916" s="8">
        <f t="shared" si="14"/>
        <v>24.972067039106147</v>
      </c>
    </row>
    <row r="917" spans="1:7" x14ac:dyDescent="0.25">
      <c r="A917" s="10">
        <v>45805.6875</v>
      </c>
      <c r="B917" s="11">
        <v>46</v>
      </c>
      <c r="C917" s="11" t="s">
        <v>56</v>
      </c>
      <c r="D917" s="11" t="s">
        <v>57</v>
      </c>
      <c r="E917" s="11">
        <v>1.52</v>
      </c>
      <c r="F917" s="11">
        <v>3.93</v>
      </c>
      <c r="G917" s="8">
        <f t="shared" si="14"/>
        <v>23.206106870229007</v>
      </c>
    </row>
    <row r="918" spans="1:7" x14ac:dyDescent="0.25">
      <c r="A918" s="10">
        <v>45805.6875</v>
      </c>
      <c r="B918" s="11">
        <v>47</v>
      </c>
      <c r="C918" s="11" t="s">
        <v>58</v>
      </c>
      <c r="D918" s="11" t="s">
        <v>59</v>
      </c>
      <c r="E918" s="11">
        <v>1.52</v>
      </c>
      <c r="F918" s="11">
        <v>4.7699999999999996</v>
      </c>
      <c r="G918" s="8">
        <f t="shared" si="14"/>
        <v>19.119496855345915</v>
      </c>
    </row>
    <row r="919" spans="1:7" x14ac:dyDescent="0.25">
      <c r="A919" s="10">
        <v>45805.6875</v>
      </c>
      <c r="B919" s="11">
        <v>48</v>
      </c>
      <c r="C919" s="11" t="s">
        <v>59</v>
      </c>
      <c r="D919" s="11" t="s">
        <v>60</v>
      </c>
      <c r="E919" s="11">
        <v>1.5</v>
      </c>
      <c r="F919" s="11">
        <v>4.22</v>
      </c>
      <c r="G919" s="8">
        <f t="shared" si="14"/>
        <v>21.327014218009481</v>
      </c>
    </row>
    <row r="920" spans="1:7" x14ac:dyDescent="0.25">
      <c r="A920" s="10">
        <v>45805.6875</v>
      </c>
      <c r="B920" s="11">
        <v>49</v>
      </c>
      <c r="C920" s="11" t="s">
        <v>60</v>
      </c>
      <c r="D920" s="11" t="s">
        <v>61</v>
      </c>
      <c r="E920" s="11">
        <v>1.54</v>
      </c>
      <c r="F920" s="11">
        <v>4.28</v>
      </c>
      <c r="G920" s="8">
        <f t="shared" si="14"/>
        <v>21.588785046728972</v>
      </c>
    </row>
    <row r="921" spans="1:7" x14ac:dyDescent="0.25">
      <c r="A921" s="10">
        <v>45805.6875</v>
      </c>
      <c r="B921" s="11">
        <v>50</v>
      </c>
      <c r="C921" s="11" t="s">
        <v>62</v>
      </c>
      <c r="D921" s="11" t="s">
        <v>63</v>
      </c>
      <c r="E921" s="11">
        <v>1.38</v>
      </c>
      <c r="F921" s="11">
        <v>3.3</v>
      </c>
      <c r="G921" s="8">
        <f t="shared" si="14"/>
        <v>25.09090909090909</v>
      </c>
    </row>
    <row r="922" spans="1:7" x14ac:dyDescent="0.25">
      <c r="A922" s="10">
        <v>45805.6875</v>
      </c>
      <c r="B922" s="11">
        <v>51</v>
      </c>
      <c r="C922" s="11" t="s">
        <v>63</v>
      </c>
      <c r="D922" s="11" t="s">
        <v>64</v>
      </c>
      <c r="E922" s="11">
        <v>2.79</v>
      </c>
      <c r="F922" s="11">
        <v>5.78</v>
      </c>
      <c r="G922" s="8">
        <f t="shared" si="14"/>
        <v>28.961937716262977</v>
      </c>
    </row>
    <row r="923" spans="1:7" x14ac:dyDescent="0.25">
      <c r="A923" s="10">
        <v>45805.6875</v>
      </c>
      <c r="B923" s="11">
        <v>52</v>
      </c>
      <c r="C923" s="11" t="s">
        <v>64</v>
      </c>
      <c r="D923" s="11" t="s">
        <v>65</v>
      </c>
      <c r="E923" s="11">
        <v>1.5</v>
      </c>
      <c r="F923" s="11">
        <v>3.05</v>
      </c>
      <c r="G923" s="8">
        <f t="shared" si="14"/>
        <v>29.508196721311478</v>
      </c>
    </row>
    <row r="924" spans="1:7" x14ac:dyDescent="0.25">
      <c r="A924" s="10">
        <v>45805.6875</v>
      </c>
      <c r="B924" s="11">
        <v>53</v>
      </c>
      <c r="C924" s="11" t="s">
        <v>65</v>
      </c>
      <c r="D924" s="11" t="s">
        <v>66</v>
      </c>
      <c r="E924" s="11">
        <v>1.46</v>
      </c>
      <c r="F924" s="11">
        <v>3.83</v>
      </c>
      <c r="G924" s="8">
        <f t="shared" si="14"/>
        <v>22.872062663185378</v>
      </c>
    </row>
    <row r="925" spans="1:7" x14ac:dyDescent="0.25">
      <c r="A925" s="10">
        <v>45805.6875</v>
      </c>
      <c r="B925" s="11">
        <v>54</v>
      </c>
      <c r="C925" s="11" t="s">
        <v>67</v>
      </c>
      <c r="D925" s="11" t="s">
        <v>68</v>
      </c>
      <c r="E925" s="11">
        <v>1.46</v>
      </c>
      <c r="F925" s="11">
        <v>2.95</v>
      </c>
      <c r="G925" s="8">
        <f t="shared" si="14"/>
        <v>29.694915254237284</v>
      </c>
    </row>
    <row r="926" spans="1:7" x14ac:dyDescent="0.25">
      <c r="A926" s="10">
        <v>45805.6875</v>
      </c>
      <c r="B926" s="11">
        <v>55</v>
      </c>
      <c r="C926" s="11" t="s">
        <v>68</v>
      </c>
      <c r="D926" s="11" t="s">
        <v>69</v>
      </c>
      <c r="E926" s="11">
        <v>1.96</v>
      </c>
      <c r="F926" s="11">
        <v>7.65</v>
      </c>
      <c r="G926" s="8">
        <f t="shared" si="14"/>
        <v>15.372549019607842</v>
      </c>
    </row>
    <row r="927" spans="1:7" x14ac:dyDescent="0.25">
      <c r="A927" s="10">
        <v>45805.6875</v>
      </c>
      <c r="B927" s="11">
        <v>56</v>
      </c>
      <c r="C927" s="11" t="s">
        <v>70</v>
      </c>
      <c r="D927" s="11" t="s">
        <v>71</v>
      </c>
      <c r="E927" s="11">
        <v>1.51</v>
      </c>
      <c r="F927" s="11">
        <v>4.38</v>
      </c>
      <c r="G927" s="8">
        <f t="shared" si="14"/>
        <v>20.684931506849313</v>
      </c>
    </row>
    <row r="928" spans="1:7" x14ac:dyDescent="0.25">
      <c r="A928" s="10">
        <v>45805.6875</v>
      </c>
      <c r="B928" s="11">
        <v>57</v>
      </c>
      <c r="C928" s="11" t="s">
        <v>71</v>
      </c>
      <c r="D928" s="11" t="s">
        <v>72</v>
      </c>
      <c r="E928" s="11">
        <v>1.52</v>
      </c>
      <c r="F928" s="11">
        <v>3.97</v>
      </c>
      <c r="G928" s="8">
        <f t="shared" si="14"/>
        <v>22.972292191435766</v>
      </c>
    </row>
    <row r="929" spans="1:7" x14ac:dyDescent="0.25">
      <c r="A929" s="10">
        <v>45805.6875</v>
      </c>
      <c r="B929" s="11">
        <v>58</v>
      </c>
      <c r="C929" s="11" t="s">
        <v>72</v>
      </c>
      <c r="D929" s="11" t="s">
        <v>73</v>
      </c>
      <c r="E929" s="11">
        <v>1.5</v>
      </c>
      <c r="F929" s="11">
        <v>4.4000000000000004</v>
      </c>
      <c r="G929" s="8">
        <f t="shared" si="14"/>
        <v>20.454545454545453</v>
      </c>
    </row>
    <row r="930" spans="1:7" x14ac:dyDescent="0.25">
      <c r="A930" s="10">
        <v>45805.697916666664</v>
      </c>
      <c r="B930" s="11">
        <v>1</v>
      </c>
      <c r="C930" s="11" t="s">
        <v>6</v>
      </c>
      <c r="D930" s="11" t="s">
        <v>7</v>
      </c>
      <c r="E930" s="11">
        <v>1.53</v>
      </c>
      <c r="F930" s="11">
        <v>3.1</v>
      </c>
      <c r="G930" s="8">
        <f t="shared" si="14"/>
        <v>29.612903225806448</v>
      </c>
    </row>
    <row r="931" spans="1:7" x14ac:dyDescent="0.25">
      <c r="A931" s="10">
        <v>45805.697916666664</v>
      </c>
      <c r="B931" s="11">
        <v>2</v>
      </c>
      <c r="C931" s="11" t="s">
        <v>7</v>
      </c>
      <c r="D931" s="11" t="s">
        <v>8</v>
      </c>
      <c r="E931" s="11">
        <v>1.57</v>
      </c>
      <c r="F931" s="11">
        <v>5.08</v>
      </c>
      <c r="G931" s="8">
        <f t="shared" si="14"/>
        <v>18.543307086614174</v>
      </c>
    </row>
    <row r="932" spans="1:7" x14ac:dyDescent="0.25">
      <c r="A932" s="10">
        <v>45805.697916666664</v>
      </c>
      <c r="B932" s="11">
        <v>3</v>
      </c>
      <c r="C932" s="11" t="s">
        <v>8</v>
      </c>
      <c r="D932" s="11" t="s">
        <v>9</v>
      </c>
      <c r="E932" s="11">
        <v>1.5</v>
      </c>
      <c r="F932" s="11">
        <v>3.35</v>
      </c>
      <c r="G932" s="8">
        <f t="shared" si="14"/>
        <v>26.865671641791042</v>
      </c>
    </row>
    <row r="933" spans="1:7" x14ac:dyDescent="0.25">
      <c r="A933" s="10">
        <v>45805.697916666664</v>
      </c>
      <c r="B933" s="11">
        <v>4</v>
      </c>
      <c r="C933" s="11" t="s">
        <v>9</v>
      </c>
      <c r="D933" s="11" t="s">
        <v>10</v>
      </c>
      <c r="E933" s="11">
        <v>1.5</v>
      </c>
      <c r="F933" s="11">
        <v>3.08</v>
      </c>
      <c r="G933" s="8">
        <f t="shared" si="14"/>
        <v>29.220779220779221</v>
      </c>
    </row>
    <row r="934" spans="1:7" x14ac:dyDescent="0.25">
      <c r="A934" s="10">
        <v>45805.697916666664</v>
      </c>
      <c r="B934" s="11">
        <v>5</v>
      </c>
      <c r="C934" s="11" t="s">
        <v>10</v>
      </c>
      <c r="D934" s="11" t="s">
        <v>11</v>
      </c>
      <c r="E934" s="11">
        <v>1.52</v>
      </c>
      <c r="F934" s="11">
        <v>4.45</v>
      </c>
      <c r="G934" s="8">
        <f t="shared" si="14"/>
        <v>20.49438202247191</v>
      </c>
    </row>
    <row r="935" spans="1:7" x14ac:dyDescent="0.25">
      <c r="A935" s="10">
        <v>45805.697916666664</v>
      </c>
      <c r="B935" s="11">
        <v>6</v>
      </c>
      <c r="C935" s="11" t="s">
        <v>11</v>
      </c>
      <c r="D935" s="11" t="s">
        <v>12</v>
      </c>
      <c r="E935" s="11">
        <v>1.5</v>
      </c>
      <c r="F935" s="11">
        <v>3.4</v>
      </c>
      <c r="G935" s="8">
        <f t="shared" si="14"/>
        <v>26.47058823529412</v>
      </c>
    </row>
    <row r="936" spans="1:7" x14ac:dyDescent="0.25">
      <c r="A936" s="10">
        <v>45805.697916666664</v>
      </c>
      <c r="B936" s="11">
        <v>7</v>
      </c>
      <c r="C936" s="11" t="s">
        <v>12</v>
      </c>
      <c r="D936" s="11" t="s">
        <v>13</v>
      </c>
      <c r="E936" s="11">
        <v>1.54</v>
      </c>
      <c r="F936" s="11">
        <v>2.78</v>
      </c>
      <c r="G936" s="8">
        <f t="shared" si="14"/>
        <v>33.237410071942449</v>
      </c>
    </row>
    <row r="937" spans="1:7" x14ac:dyDescent="0.25">
      <c r="A937" s="10">
        <v>45805.697916666664</v>
      </c>
      <c r="B937" s="11">
        <v>8</v>
      </c>
      <c r="C937" s="11" t="s">
        <v>13</v>
      </c>
      <c r="D937" s="11" t="s">
        <v>14</v>
      </c>
      <c r="E937" s="11">
        <v>1.54</v>
      </c>
      <c r="F937" s="11">
        <v>3.25</v>
      </c>
      <c r="G937" s="8">
        <f t="shared" si="14"/>
        <v>28.430769230769233</v>
      </c>
    </row>
    <row r="938" spans="1:7" x14ac:dyDescent="0.25">
      <c r="A938" s="10">
        <v>45805.697916666664</v>
      </c>
      <c r="B938" s="11">
        <v>9</v>
      </c>
      <c r="C938" s="11" t="s">
        <v>14</v>
      </c>
      <c r="D938" s="11" t="s">
        <v>15</v>
      </c>
      <c r="E938" s="11">
        <v>1.52</v>
      </c>
      <c r="F938" s="11">
        <v>3.42</v>
      </c>
      <c r="G938" s="8">
        <f t="shared" si="14"/>
        <v>26.666666666666668</v>
      </c>
    </row>
    <row r="939" spans="1:7" x14ac:dyDescent="0.25">
      <c r="A939" s="10">
        <v>45805.697916666664</v>
      </c>
      <c r="B939" s="11">
        <v>10</v>
      </c>
      <c r="C939" s="11" t="s">
        <v>15</v>
      </c>
      <c r="D939" s="11" t="s">
        <v>16</v>
      </c>
      <c r="E939" s="11">
        <v>1.5</v>
      </c>
      <c r="F939" s="11">
        <v>4.13</v>
      </c>
      <c r="G939" s="8">
        <f t="shared" si="14"/>
        <v>21.791767554479421</v>
      </c>
    </row>
    <row r="940" spans="1:7" x14ac:dyDescent="0.25">
      <c r="A940" s="10">
        <v>45805.697916666664</v>
      </c>
      <c r="B940" s="11">
        <v>11</v>
      </c>
      <c r="C940" s="11" t="s">
        <v>16</v>
      </c>
      <c r="D940" s="11" t="s">
        <v>17</v>
      </c>
      <c r="E940" s="11">
        <v>1.48</v>
      </c>
      <c r="F940" s="11">
        <v>3</v>
      </c>
      <c r="G940" s="8">
        <f t="shared" si="14"/>
        <v>29.599999999999998</v>
      </c>
    </row>
    <row r="941" spans="1:7" x14ac:dyDescent="0.25">
      <c r="A941" s="10">
        <v>45805.697916666664</v>
      </c>
      <c r="B941" s="11">
        <v>12</v>
      </c>
      <c r="C941" s="11" t="s">
        <v>17</v>
      </c>
      <c r="D941" s="11" t="s">
        <v>18</v>
      </c>
      <c r="E941" s="11">
        <v>1.46</v>
      </c>
      <c r="F941" s="11">
        <v>4.4000000000000004</v>
      </c>
      <c r="G941" s="8">
        <f t="shared" si="14"/>
        <v>19.909090909090907</v>
      </c>
    </row>
    <row r="942" spans="1:7" x14ac:dyDescent="0.25">
      <c r="A942" s="10">
        <v>45805.697916666664</v>
      </c>
      <c r="B942" s="11">
        <v>13</v>
      </c>
      <c r="C942" s="11" t="s">
        <v>18</v>
      </c>
      <c r="D942" s="11" t="s">
        <v>19</v>
      </c>
      <c r="E942" s="11">
        <v>1.52</v>
      </c>
      <c r="F942" s="11">
        <v>4.5199999999999996</v>
      </c>
      <c r="G942" s="8">
        <f t="shared" si="14"/>
        <v>20.176991150442479</v>
      </c>
    </row>
    <row r="943" spans="1:7" x14ac:dyDescent="0.25">
      <c r="A943" s="10">
        <v>45805.697916666664</v>
      </c>
      <c r="B943" s="11">
        <v>14</v>
      </c>
      <c r="C943" s="11" t="s">
        <v>19</v>
      </c>
      <c r="D943" s="11" t="s">
        <v>20</v>
      </c>
      <c r="E943" s="11">
        <v>1.51</v>
      </c>
      <c r="F943" s="11">
        <v>4.55</v>
      </c>
      <c r="G943" s="8">
        <f t="shared" si="14"/>
        <v>19.912087912087912</v>
      </c>
    </row>
    <row r="944" spans="1:7" x14ac:dyDescent="0.25">
      <c r="A944" s="10">
        <v>45805.697916666664</v>
      </c>
      <c r="B944" s="11">
        <v>15</v>
      </c>
      <c r="C944" s="11" t="s">
        <v>20</v>
      </c>
      <c r="D944" s="11" t="s">
        <v>21</v>
      </c>
      <c r="E944" s="11">
        <v>1.47</v>
      </c>
      <c r="F944" s="11">
        <v>2.85</v>
      </c>
      <c r="G944" s="8">
        <f t="shared" si="14"/>
        <v>30.94736842105263</v>
      </c>
    </row>
    <row r="945" spans="1:7" x14ac:dyDescent="0.25">
      <c r="A945" s="10">
        <v>45805.697916666664</v>
      </c>
      <c r="B945" s="11">
        <v>16</v>
      </c>
      <c r="C945" s="11" t="s">
        <v>21</v>
      </c>
      <c r="D945" s="11" t="s">
        <v>22</v>
      </c>
      <c r="E945" s="11">
        <v>1.5</v>
      </c>
      <c r="F945" s="11">
        <v>1.93</v>
      </c>
      <c r="G945" s="8">
        <f t="shared" si="14"/>
        <v>46.632124352331608</v>
      </c>
    </row>
    <row r="946" spans="1:7" x14ac:dyDescent="0.25">
      <c r="A946" s="10">
        <v>45805.697916666664</v>
      </c>
      <c r="B946" s="11">
        <v>17</v>
      </c>
      <c r="C946" s="11" t="s">
        <v>22</v>
      </c>
      <c r="D946" s="11" t="s">
        <v>23</v>
      </c>
      <c r="E946" s="11">
        <v>1.51</v>
      </c>
      <c r="F946" s="11">
        <v>3.27</v>
      </c>
      <c r="G946" s="8">
        <f t="shared" si="14"/>
        <v>27.706422018348622</v>
      </c>
    </row>
    <row r="947" spans="1:7" x14ac:dyDescent="0.25">
      <c r="A947" s="10">
        <v>45805.697916666664</v>
      </c>
      <c r="B947" s="11">
        <v>18</v>
      </c>
      <c r="C947" s="11" t="s">
        <v>23</v>
      </c>
      <c r="D947" s="11" t="s">
        <v>24</v>
      </c>
      <c r="E947" s="11">
        <v>1.51</v>
      </c>
      <c r="F947" s="11">
        <v>4.5</v>
      </c>
      <c r="G947" s="8">
        <f t="shared" si="14"/>
        <v>20.133333333333333</v>
      </c>
    </row>
    <row r="948" spans="1:7" x14ac:dyDescent="0.25">
      <c r="A948" s="10">
        <v>45805.697916666664</v>
      </c>
      <c r="B948" s="11">
        <v>19</v>
      </c>
      <c r="C948" s="11" t="s">
        <v>25</v>
      </c>
      <c r="D948" s="11" t="s">
        <v>26</v>
      </c>
      <c r="E948" s="11">
        <v>1.5</v>
      </c>
      <c r="F948" s="11">
        <v>4.7699999999999996</v>
      </c>
      <c r="G948" s="8">
        <f t="shared" si="14"/>
        <v>18.867924528301888</v>
      </c>
    </row>
    <row r="949" spans="1:7" x14ac:dyDescent="0.25">
      <c r="A949" s="10">
        <v>45805.697916666664</v>
      </c>
      <c r="B949" s="11">
        <v>20</v>
      </c>
      <c r="C949" s="11" t="s">
        <v>26</v>
      </c>
      <c r="D949" s="11" t="s">
        <v>27</v>
      </c>
      <c r="E949" s="11">
        <v>1.48</v>
      </c>
      <c r="F949" s="11">
        <v>3.68</v>
      </c>
      <c r="G949" s="8">
        <f t="shared" si="14"/>
        <v>24.130434782608695</v>
      </c>
    </row>
    <row r="950" spans="1:7" x14ac:dyDescent="0.25">
      <c r="A950" s="10">
        <v>45805.697916666664</v>
      </c>
      <c r="B950" s="11">
        <v>21</v>
      </c>
      <c r="C950" s="11" t="s">
        <v>27</v>
      </c>
      <c r="D950" s="11" t="s">
        <v>28</v>
      </c>
      <c r="E950" s="11">
        <v>1.51</v>
      </c>
      <c r="F950" s="11">
        <v>3.97</v>
      </c>
      <c r="G950" s="8">
        <f t="shared" si="14"/>
        <v>22.821158690176318</v>
      </c>
    </row>
    <row r="951" spans="1:7" x14ac:dyDescent="0.25">
      <c r="A951" s="10">
        <v>45805.697916666664</v>
      </c>
      <c r="B951" s="11">
        <v>22</v>
      </c>
      <c r="C951" s="11" t="s">
        <v>28</v>
      </c>
      <c r="D951" s="11" t="s">
        <v>29</v>
      </c>
      <c r="E951" s="11">
        <v>1.57</v>
      </c>
      <c r="F951" s="11">
        <v>3.98</v>
      </c>
      <c r="G951" s="8">
        <f t="shared" si="14"/>
        <v>23.668341708542716</v>
      </c>
    </row>
    <row r="952" spans="1:7" x14ac:dyDescent="0.25">
      <c r="A952" s="10">
        <v>45805.697916666664</v>
      </c>
      <c r="B952" s="11">
        <v>23</v>
      </c>
      <c r="C952" s="11" t="s">
        <v>29</v>
      </c>
      <c r="D952" s="11" t="s">
        <v>30</v>
      </c>
      <c r="E952" s="11">
        <v>1.43</v>
      </c>
      <c r="F952" s="11">
        <v>4.5199999999999996</v>
      </c>
      <c r="G952" s="8">
        <f t="shared" si="14"/>
        <v>18.982300884955752</v>
      </c>
    </row>
    <row r="953" spans="1:7" x14ac:dyDescent="0.25">
      <c r="A953" s="10">
        <v>45805.697916666664</v>
      </c>
      <c r="B953" s="11">
        <v>24</v>
      </c>
      <c r="C953" s="11" t="s">
        <v>30</v>
      </c>
      <c r="D953" s="11" t="s">
        <v>31</v>
      </c>
      <c r="E953" s="11">
        <v>1.52</v>
      </c>
      <c r="F953" s="11">
        <v>4.4000000000000004</v>
      </c>
      <c r="G953" s="8">
        <f t="shared" si="14"/>
        <v>20.727272727272727</v>
      </c>
    </row>
    <row r="954" spans="1:7" x14ac:dyDescent="0.25">
      <c r="A954" s="10">
        <v>45805.697916666664</v>
      </c>
      <c r="B954" s="11">
        <v>25</v>
      </c>
      <c r="C954" s="11" t="s">
        <v>31</v>
      </c>
      <c r="D954" s="11" t="s">
        <v>32</v>
      </c>
      <c r="E954" s="11">
        <v>1.52</v>
      </c>
      <c r="F954" s="11">
        <v>3.72</v>
      </c>
      <c r="G954" s="8">
        <f t="shared" si="14"/>
        <v>24.516129032258064</v>
      </c>
    </row>
    <row r="955" spans="1:7" x14ac:dyDescent="0.25">
      <c r="A955" s="10">
        <v>45805.697916666664</v>
      </c>
      <c r="B955" s="11">
        <v>26</v>
      </c>
      <c r="C955" s="11" t="s">
        <v>32</v>
      </c>
      <c r="D955" s="11" t="s">
        <v>33</v>
      </c>
      <c r="E955" s="11">
        <v>1.49</v>
      </c>
      <c r="F955" s="11">
        <v>5.58</v>
      </c>
      <c r="G955" s="8">
        <f t="shared" si="14"/>
        <v>16.021505376344088</v>
      </c>
    </row>
    <row r="956" spans="1:7" x14ac:dyDescent="0.25">
      <c r="A956" s="10">
        <v>45805.697916666664</v>
      </c>
      <c r="B956" s="11">
        <v>27</v>
      </c>
      <c r="C956" s="11" t="s">
        <v>33</v>
      </c>
      <c r="D956" s="11" t="s">
        <v>34</v>
      </c>
      <c r="E956" s="11">
        <v>1.53</v>
      </c>
      <c r="F956" s="11">
        <v>4.28</v>
      </c>
      <c r="G956" s="8">
        <f t="shared" si="14"/>
        <v>21.44859813084112</v>
      </c>
    </row>
    <row r="957" spans="1:7" x14ac:dyDescent="0.25">
      <c r="A957" s="10">
        <v>45805.697916666664</v>
      </c>
      <c r="B957" s="11">
        <v>28</v>
      </c>
      <c r="C957" s="11" t="s">
        <v>34</v>
      </c>
      <c r="D957" s="11" t="s">
        <v>35</v>
      </c>
      <c r="E957" s="11">
        <v>1.51</v>
      </c>
      <c r="F957" s="11">
        <v>4.58</v>
      </c>
      <c r="G957" s="8">
        <f t="shared" si="14"/>
        <v>19.781659388646286</v>
      </c>
    </row>
    <row r="958" spans="1:7" x14ac:dyDescent="0.25">
      <c r="A958" s="10">
        <v>45805.697916666664</v>
      </c>
      <c r="B958" s="11">
        <v>29</v>
      </c>
      <c r="C958" s="11" t="s">
        <v>36</v>
      </c>
      <c r="D958" s="11" t="s">
        <v>37</v>
      </c>
      <c r="E958" s="11">
        <v>1.57</v>
      </c>
      <c r="F958" s="11">
        <v>4.37</v>
      </c>
      <c r="G958" s="8">
        <f t="shared" si="14"/>
        <v>21.556064073226544</v>
      </c>
    </row>
    <row r="959" spans="1:7" x14ac:dyDescent="0.25">
      <c r="A959" s="10">
        <v>45805.697916666664</v>
      </c>
      <c r="B959" s="11">
        <v>30</v>
      </c>
      <c r="C959" s="11" t="s">
        <v>37</v>
      </c>
      <c r="D959" s="11" t="s">
        <v>38</v>
      </c>
      <c r="E959" s="11">
        <v>1.57</v>
      </c>
      <c r="F959" s="11">
        <v>4.87</v>
      </c>
      <c r="G959" s="8">
        <f t="shared" si="14"/>
        <v>19.342915811088297</v>
      </c>
    </row>
    <row r="960" spans="1:7" x14ac:dyDescent="0.25">
      <c r="A960" s="10">
        <v>45805.697916666664</v>
      </c>
      <c r="B960" s="11">
        <v>31</v>
      </c>
      <c r="C960" s="11" t="s">
        <v>38</v>
      </c>
      <c r="D960" s="11" t="s">
        <v>39</v>
      </c>
      <c r="E960" s="11">
        <v>1.52</v>
      </c>
      <c r="F960" s="11">
        <v>3.15</v>
      </c>
      <c r="G960" s="8">
        <f t="shared" si="14"/>
        <v>28.952380952380953</v>
      </c>
    </row>
    <row r="961" spans="1:7" x14ac:dyDescent="0.25">
      <c r="A961" s="10">
        <v>45805.697916666664</v>
      </c>
      <c r="B961" s="11">
        <v>32</v>
      </c>
      <c r="C961" s="11" t="s">
        <v>39</v>
      </c>
      <c r="D961" s="11" t="s">
        <v>40</v>
      </c>
      <c r="E961" s="11">
        <v>1.5</v>
      </c>
      <c r="F961" s="11">
        <v>1.93</v>
      </c>
      <c r="G961" s="8">
        <f t="shared" si="14"/>
        <v>46.632124352331608</v>
      </c>
    </row>
    <row r="962" spans="1:7" x14ac:dyDescent="0.25">
      <c r="A962" s="10">
        <v>45805.697916666664</v>
      </c>
      <c r="B962" s="11">
        <v>33</v>
      </c>
      <c r="C962" s="11" t="s">
        <v>40</v>
      </c>
      <c r="D962" s="11" t="s">
        <v>41</v>
      </c>
      <c r="E962" s="11">
        <v>1.51</v>
      </c>
      <c r="F962" s="11">
        <v>2.1800000000000002</v>
      </c>
      <c r="G962" s="8">
        <f t="shared" si="14"/>
        <v>41.559633027522928</v>
      </c>
    </row>
    <row r="963" spans="1:7" x14ac:dyDescent="0.25">
      <c r="A963" s="10">
        <v>45805.697916666664</v>
      </c>
      <c r="B963" s="11">
        <v>34</v>
      </c>
      <c r="C963" s="11" t="s">
        <v>41</v>
      </c>
      <c r="D963" s="11" t="s">
        <v>42</v>
      </c>
      <c r="E963" s="11">
        <v>1.5</v>
      </c>
      <c r="F963" s="11">
        <v>1.95</v>
      </c>
      <c r="G963" s="8">
        <f t="shared" ref="G963:G1026" si="15">E963*60/F963</f>
        <v>46.153846153846153</v>
      </c>
    </row>
    <row r="964" spans="1:7" x14ac:dyDescent="0.25">
      <c r="A964" s="10">
        <v>45805.697916666664</v>
      </c>
      <c r="B964" s="11">
        <v>35</v>
      </c>
      <c r="C964" s="11" t="s">
        <v>43</v>
      </c>
      <c r="D964" s="11" t="s">
        <v>44</v>
      </c>
      <c r="E964" s="11">
        <v>1.55</v>
      </c>
      <c r="F964" s="11">
        <v>3.93</v>
      </c>
      <c r="G964" s="8">
        <f t="shared" si="15"/>
        <v>23.664122137404579</v>
      </c>
    </row>
    <row r="965" spans="1:7" x14ac:dyDescent="0.25">
      <c r="A965" s="10">
        <v>45805.697916666664</v>
      </c>
      <c r="B965" s="11">
        <v>36</v>
      </c>
      <c r="C965" s="11" t="s">
        <v>44</v>
      </c>
      <c r="D965" s="11" t="s">
        <v>45</v>
      </c>
      <c r="E965" s="11">
        <v>1.5</v>
      </c>
      <c r="F965" s="11">
        <v>3.32</v>
      </c>
      <c r="G965" s="8">
        <f t="shared" si="15"/>
        <v>27.108433734939759</v>
      </c>
    </row>
    <row r="966" spans="1:7" x14ac:dyDescent="0.25">
      <c r="A966" s="10">
        <v>45805.697916666664</v>
      </c>
      <c r="B966" s="11">
        <v>37</v>
      </c>
      <c r="C966" s="11" t="s">
        <v>45</v>
      </c>
      <c r="D966" s="11" t="s">
        <v>46</v>
      </c>
      <c r="E966" s="11">
        <v>1.38</v>
      </c>
      <c r="F966" s="11">
        <v>4.87</v>
      </c>
      <c r="G966" s="8">
        <f t="shared" si="15"/>
        <v>17.002053388090349</v>
      </c>
    </row>
    <row r="967" spans="1:7" x14ac:dyDescent="0.25">
      <c r="A967" s="10">
        <v>45805.697916666664</v>
      </c>
      <c r="B967" s="11">
        <v>38</v>
      </c>
      <c r="C967" s="11" t="s">
        <v>46</v>
      </c>
      <c r="D967" s="11" t="s">
        <v>47</v>
      </c>
      <c r="E967" s="11">
        <v>1.61</v>
      </c>
      <c r="F967" s="11">
        <v>4.0999999999999996</v>
      </c>
      <c r="G967" s="8">
        <f t="shared" si="15"/>
        <v>23.560975609756103</v>
      </c>
    </row>
    <row r="968" spans="1:7" x14ac:dyDescent="0.25">
      <c r="A968" s="10">
        <v>45805.697916666664</v>
      </c>
      <c r="B968" s="11">
        <v>39</v>
      </c>
      <c r="C968" s="11" t="s">
        <v>47</v>
      </c>
      <c r="D968" s="11" t="s">
        <v>48</v>
      </c>
      <c r="E968" s="11">
        <v>1.55</v>
      </c>
      <c r="F968" s="11">
        <v>3.78</v>
      </c>
      <c r="G968" s="8">
        <f t="shared" si="15"/>
        <v>24.603174603174605</v>
      </c>
    </row>
    <row r="969" spans="1:7" x14ac:dyDescent="0.25">
      <c r="A969" s="10">
        <v>45805.697916666664</v>
      </c>
      <c r="B969" s="11">
        <v>40</v>
      </c>
      <c r="C969" s="11" t="s">
        <v>48</v>
      </c>
      <c r="D969" s="11" t="s">
        <v>49</v>
      </c>
      <c r="E969" s="11">
        <v>1.39</v>
      </c>
      <c r="F969" s="11">
        <v>3.23</v>
      </c>
      <c r="G969" s="8">
        <f t="shared" si="15"/>
        <v>25.820433436532504</v>
      </c>
    </row>
    <row r="970" spans="1:7" x14ac:dyDescent="0.25">
      <c r="A970" s="10">
        <v>45805.697916666664</v>
      </c>
      <c r="B970" s="11">
        <v>41</v>
      </c>
      <c r="C970" s="11" t="s">
        <v>50</v>
      </c>
      <c r="D970" s="11" t="s">
        <v>51</v>
      </c>
      <c r="E970" s="11">
        <v>1.56</v>
      </c>
      <c r="F970" s="11">
        <v>4.5199999999999996</v>
      </c>
      <c r="G970" s="8">
        <f t="shared" si="15"/>
        <v>20.707964601769916</v>
      </c>
    </row>
    <row r="971" spans="1:7" x14ac:dyDescent="0.25">
      <c r="A971" s="10">
        <v>45805.697916666664</v>
      </c>
      <c r="B971" s="11">
        <v>42</v>
      </c>
      <c r="C971" s="11" t="s">
        <v>51</v>
      </c>
      <c r="D971" s="11" t="s">
        <v>52</v>
      </c>
      <c r="E971" s="11">
        <v>1.56</v>
      </c>
      <c r="F971" s="11">
        <v>4.97</v>
      </c>
      <c r="G971" s="8">
        <f t="shared" si="15"/>
        <v>18.83299798792757</v>
      </c>
    </row>
    <row r="972" spans="1:7" x14ac:dyDescent="0.25">
      <c r="A972" s="10">
        <v>45805.697916666664</v>
      </c>
      <c r="B972" s="11">
        <v>43</v>
      </c>
      <c r="C972" s="11" t="s">
        <v>52</v>
      </c>
      <c r="D972" s="11" t="s">
        <v>53</v>
      </c>
      <c r="E972" s="11">
        <v>1.51</v>
      </c>
      <c r="F972" s="11">
        <v>4.0199999999999996</v>
      </c>
      <c r="G972" s="8">
        <f t="shared" si="15"/>
        <v>22.537313432835823</v>
      </c>
    </row>
    <row r="973" spans="1:7" x14ac:dyDescent="0.25">
      <c r="A973" s="10">
        <v>45805.697916666664</v>
      </c>
      <c r="B973" s="11">
        <v>44</v>
      </c>
      <c r="C973" s="11" t="s">
        <v>54</v>
      </c>
      <c r="D973" s="11" t="s">
        <v>55</v>
      </c>
      <c r="E973" s="11">
        <v>1.51</v>
      </c>
      <c r="F973" s="11">
        <v>4.4800000000000004</v>
      </c>
      <c r="G973" s="8">
        <f t="shared" si="15"/>
        <v>20.223214285714281</v>
      </c>
    </row>
    <row r="974" spans="1:7" x14ac:dyDescent="0.25">
      <c r="A974" s="10">
        <v>45805.697916666664</v>
      </c>
      <c r="B974" s="11">
        <v>45</v>
      </c>
      <c r="C974" s="11" t="s">
        <v>55</v>
      </c>
      <c r="D974" s="11" t="s">
        <v>56</v>
      </c>
      <c r="E974" s="11">
        <v>1.49</v>
      </c>
      <c r="F974" s="11">
        <v>3.78</v>
      </c>
      <c r="G974" s="8">
        <f t="shared" si="15"/>
        <v>23.650793650793652</v>
      </c>
    </row>
    <row r="975" spans="1:7" x14ac:dyDescent="0.25">
      <c r="A975" s="10">
        <v>45805.697916666664</v>
      </c>
      <c r="B975" s="11">
        <v>46</v>
      </c>
      <c r="C975" s="11" t="s">
        <v>56</v>
      </c>
      <c r="D975" s="11" t="s">
        <v>57</v>
      </c>
      <c r="E975" s="11">
        <v>1.52</v>
      </c>
      <c r="F975" s="11">
        <v>4.22</v>
      </c>
      <c r="G975" s="8">
        <f t="shared" si="15"/>
        <v>21.611374407582939</v>
      </c>
    </row>
    <row r="976" spans="1:7" x14ac:dyDescent="0.25">
      <c r="A976" s="10">
        <v>45805.697916666664</v>
      </c>
      <c r="B976" s="11">
        <v>47</v>
      </c>
      <c r="C976" s="11" t="s">
        <v>58</v>
      </c>
      <c r="D976" s="11" t="s">
        <v>59</v>
      </c>
      <c r="E976" s="11">
        <v>1.52</v>
      </c>
      <c r="F976" s="11">
        <v>5.72</v>
      </c>
      <c r="G976" s="8">
        <f t="shared" si="15"/>
        <v>15.944055944055945</v>
      </c>
    </row>
    <row r="977" spans="1:7" x14ac:dyDescent="0.25">
      <c r="A977" s="10">
        <v>45805.697916666664</v>
      </c>
      <c r="B977" s="11">
        <v>48</v>
      </c>
      <c r="C977" s="11" t="s">
        <v>59</v>
      </c>
      <c r="D977" s="11" t="s">
        <v>60</v>
      </c>
      <c r="E977" s="11">
        <v>1.5</v>
      </c>
      <c r="F977" s="11">
        <v>4.0199999999999996</v>
      </c>
      <c r="G977" s="8">
        <f t="shared" si="15"/>
        <v>22.388059701492541</v>
      </c>
    </row>
    <row r="978" spans="1:7" x14ac:dyDescent="0.25">
      <c r="A978" s="10">
        <v>45805.697916666664</v>
      </c>
      <c r="B978" s="11">
        <v>49</v>
      </c>
      <c r="C978" s="11" t="s">
        <v>60</v>
      </c>
      <c r="D978" s="11" t="s">
        <v>61</v>
      </c>
      <c r="E978" s="11">
        <v>1.54</v>
      </c>
      <c r="F978" s="11">
        <v>4.17</v>
      </c>
      <c r="G978" s="8">
        <f t="shared" si="15"/>
        <v>22.158273381294965</v>
      </c>
    </row>
    <row r="979" spans="1:7" x14ac:dyDescent="0.25">
      <c r="A979" s="10">
        <v>45805.697916666664</v>
      </c>
      <c r="B979" s="11">
        <v>50</v>
      </c>
      <c r="C979" s="11" t="s">
        <v>62</v>
      </c>
      <c r="D979" s="11" t="s">
        <v>63</v>
      </c>
      <c r="E979" s="11">
        <v>1.38</v>
      </c>
      <c r="F979" s="11">
        <v>3.38</v>
      </c>
      <c r="G979" s="8">
        <f t="shared" si="15"/>
        <v>24.497041420118343</v>
      </c>
    </row>
    <row r="980" spans="1:7" x14ac:dyDescent="0.25">
      <c r="A980" s="10">
        <v>45805.697916666664</v>
      </c>
      <c r="B980" s="11">
        <v>51</v>
      </c>
      <c r="C980" s="11" t="s">
        <v>63</v>
      </c>
      <c r="D980" s="11" t="s">
        <v>64</v>
      </c>
      <c r="E980" s="11">
        <v>2.79</v>
      </c>
      <c r="F980" s="11">
        <v>5.65</v>
      </c>
      <c r="G980" s="8">
        <f t="shared" si="15"/>
        <v>29.628318584070797</v>
      </c>
    </row>
    <row r="981" spans="1:7" x14ac:dyDescent="0.25">
      <c r="A981" s="10">
        <v>45805.697916666664</v>
      </c>
      <c r="B981" s="11">
        <v>52</v>
      </c>
      <c r="C981" s="11" t="s">
        <v>64</v>
      </c>
      <c r="D981" s="11" t="s">
        <v>65</v>
      </c>
      <c r="E981" s="11">
        <v>1.5</v>
      </c>
      <c r="F981" s="11">
        <v>2.93</v>
      </c>
      <c r="G981" s="8">
        <f t="shared" si="15"/>
        <v>30.716723549488052</v>
      </c>
    </row>
    <row r="982" spans="1:7" x14ac:dyDescent="0.25">
      <c r="A982" s="10">
        <v>45805.697916666664</v>
      </c>
      <c r="B982" s="11">
        <v>53</v>
      </c>
      <c r="C982" s="11" t="s">
        <v>65</v>
      </c>
      <c r="D982" s="11" t="s">
        <v>66</v>
      </c>
      <c r="E982" s="11">
        <v>1.46</v>
      </c>
      <c r="F982" s="11">
        <v>3.87</v>
      </c>
      <c r="G982" s="8">
        <f t="shared" si="15"/>
        <v>22.63565891472868</v>
      </c>
    </row>
    <row r="983" spans="1:7" x14ac:dyDescent="0.25">
      <c r="A983" s="10">
        <v>45805.697916666664</v>
      </c>
      <c r="B983" s="11">
        <v>54</v>
      </c>
      <c r="C983" s="11" t="s">
        <v>67</v>
      </c>
      <c r="D983" s="11" t="s">
        <v>68</v>
      </c>
      <c r="E983" s="11">
        <v>1.46</v>
      </c>
      <c r="F983" s="11">
        <v>2.38</v>
      </c>
      <c r="G983" s="8">
        <f t="shared" si="15"/>
        <v>36.806722689075627</v>
      </c>
    </row>
    <row r="984" spans="1:7" x14ac:dyDescent="0.25">
      <c r="A984" s="10">
        <v>45805.697916666664</v>
      </c>
      <c r="B984" s="11">
        <v>55</v>
      </c>
      <c r="C984" s="11" t="s">
        <v>68</v>
      </c>
      <c r="D984" s="11" t="s">
        <v>69</v>
      </c>
      <c r="E984" s="11">
        <v>1.5</v>
      </c>
      <c r="F984" s="11">
        <v>4.1500000000000004</v>
      </c>
      <c r="G984" s="8">
        <f t="shared" si="15"/>
        <v>21.686746987951807</v>
      </c>
    </row>
    <row r="985" spans="1:7" x14ac:dyDescent="0.25">
      <c r="A985" s="10">
        <v>45805.697916666664</v>
      </c>
      <c r="B985" s="11">
        <v>56</v>
      </c>
      <c r="C985" s="11" t="s">
        <v>70</v>
      </c>
      <c r="D985" s="11" t="s">
        <v>71</v>
      </c>
      <c r="E985" s="11">
        <v>1.51</v>
      </c>
      <c r="F985" s="11">
        <v>5.2</v>
      </c>
      <c r="G985" s="8">
        <f t="shared" si="15"/>
        <v>17.42307692307692</v>
      </c>
    </row>
    <row r="986" spans="1:7" x14ac:dyDescent="0.25">
      <c r="A986" s="10">
        <v>45805.697916666664</v>
      </c>
      <c r="B986" s="11">
        <v>57</v>
      </c>
      <c r="C986" s="11" t="s">
        <v>71</v>
      </c>
      <c r="D986" s="11" t="s">
        <v>72</v>
      </c>
      <c r="E986" s="11">
        <v>1.52</v>
      </c>
      <c r="F986" s="11">
        <v>4.5</v>
      </c>
      <c r="G986" s="8">
        <f t="shared" si="15"/>
        <v>20.266666666666666</v>
      </c>
    </row>
    <row r="987" spans="1:7" x14ac:dyDescent="0.25">
      <c r="A987" s="10">
        <v>45805.697916666664</v>
      </c>
      <c r="B987" s="11">
        <v>58</v>
      </c>
      <c r="C987" s="11" t="s">
        <v>72</v>
      </c>
      <c r="D987" s="11" t="s">
        <v>73</v>
      </c>
      <c r="E987" s="11">
        <v>1.5</v>
      </c>
      <c r="F987" s="11">
        <v>4.28</v>
      </c>
      <c r="G987" s="8">
        <f t="shared" si="15"/>
        <v>21.028037383177569</v>
      </c>
    </row>
    <row r="988" spans="1:7" x14ac:dyDescent="0.25">
      <c r="A988" s="10">
        <v>45805.708333333336</v>
      </c>
      <c r="B988" s="11">
        <v>1</v>
      </c>
      <c r="C988" s="11" t="s">
        <v>6</v>
      </c>
      <c r="D988" s="11" t="s">
        <v>7</v>
      </c>
      <c r="E988" s="11">
        <v>1.53</v>
      </c>
      <c r="F988" s="11">
        <v>3.18</v>
      </c>
      <c r="G988" s="8">
        <f t="shared" si="15"/>
        <v>28.867924528301884</v>
      </c>
    </row>
    <row r="989" spans="1:7" x14ac:dyDescent="0.25">
      <c r="A989" s="10">
        <v>45805.708333333336</v>
      </c>
      <c r="B989" s="11">
        <v>2</v>
      </c>
      <c r="C989" s="11" t="s">
        <v>7</v>
      </c>
      <c r="D989" s="11" t="s">
        <v>8</v>
      </c>
      <c r="E989" s="11">
        <v>1.57</v>
      </c>
      <c r="F989" s="11">
        <v>5.12</v>
      </c>
      <c r="G989" s="8">
        <f t="shared" si="15"/>
        <v>18.3984375</v>
      </c>
    </row>
    <row r="990" spans="1:7" x14ac:dyDescent="0.25">
      <c r="A990" s="10">
        <v>45805.708333333336</v>
      </c>
      <c r="B990" s="11">
        <v>3</v>
      </c>
      <c r="C990" s="11" t="s">
        <v>8</v>
      </c>
      <c r="D990" s="11" t="s">
        <v>9</v>
      </c>
      <c r="E990" s="11">
        <v>1.5</v>
      </c>
      <c r="F990" s="11">
        <v>3.25</v>
      </c>
      <c r="G990" s="8">
        <f t="shared" si="15"/>
        <v>27.692307692307693</v>
      </c>
    </row>
    <row r="991" spans="1:7" x14ac:dyDescent="0.25">
      <c r="A991" s="10">
        <v>45805.708333333336</v>
      </c>
      <c r="B991" s="11">
        <v>4</v>
      </c>
      <c r="C991" s="11" t="s">
        <v>9</v>
      </c>
      <c r="D991" s="11" t="s">
        <v>10</v>
      </c>
      <c r="E991" s="11">
        <v>1.5</v>
      </c>
      <c r="F991" s="11">
        <v>3.13</v>
      </c>
      <c r="G991" s="8">
        <f t="shared" si="15"/>
        <v>28.753993610223642</v>
      </c>
    </row>
    <row r="992" spans="1:7" x14ac:dyDescent="0.25">
      <c r="A992" s="10">
        <v>45805.708333333336</v>
      </c>
      <c r="B992" s="11">
        <v>5</v>
      </c>
      <c r="C992" s="11" t="s">
        <v>10</v>
      </c>
      <c r="D992" s="11" t="s">
        <v>11</v>
      </c>
      <c r="E992" s="11">
        <v>1.52</v>
      </c>
      <c r="F992" s="11">
        <v>4.22</v>
      </c>
      <c r="G992" s="8">
        <f t="shared" si="15"/>
        <v>21.611374407582939</v>
      </c>
    </row>
    <row r="993" spans="1:7" x14ac:dyDescent="0.25">
      <c r="A993" s="10">
        <v>45805.708333333336</v>
      </c>
      <c r="B993" s="11">
        <v>6</v>
      </c>
      <c r="C993" s="11" t="s">
        <v>11</v>
      </c>
      <c r="D993" s="11" t="s">
        <v>12</v>
      </c>
      <c r="E993" s="11">
        <v>1.5</v>
      </c>
      <c r="F993" s="11">
        <v>3.08</v>
      </c>
      <c r="G993" s="8">
        <f t="shared" si="15"/>
        <v>29.220779220779221</v>
      </c>
    </row>
    <row r="994" spans="1:7" x14ac:dyDescent="0.25">
      <c r="A994" s="10">
        <v>45805.708333333336</v>
      </c>
      <c r="B994" s="11">
        <v>7</v>
      </c>
      <c r="C994" s="11" t="s">
        <v>12</v>
      </c>
      <c r="D994" s="11" t="s">
        <v>13</v>
      </c>
      <c r="E994" s="11">
        <v>1.54</v>
      </c>
      <c r="F994" s="11">
        <v>2.5299999999999998</v>
      </c>
      <c r="G994" s="8">
        <f t="shared" si="15"/>
        <v>36.521739130434788</v>
      </c>
    </row>
    <row r="995" spans="1:7" x14ac:dyDescent="0.25">
      <c r="A995" s="10">
        <v>45805.708333333336</v>
      </c>
      <c r="B995" s="11">
        <v>8</v>
      </c>
      <c r="C995" s="11" t="s">
        <v>13</v>
      </c>
      <c r="D995" s="11" t="s">
        <v>14</v>
      </c>
      <c r="E995" s="11">
        <v>1.54</v>
      </c>
      <c r="F995" s="11">
        <v>3.47</v>
      </c>
      <c r="G995" s="8">
        <f t="shared" si="15"/>
        <v>26.628242074927954</v>
      </c>
    </row>
    <row r="996" spans="1:7" x14ac:dyDescent="0.25">
      <c r="A996" s="10">
        <v>45805.708333333336</v>
      </c>
      <c r="B996" s="11">
        <v>9</v>
      </c>
      <c r="C996" s="11" t="s">
        <v>14</v>
      </c>
      <c r="D996" s="11" t="s">
        <v>15</v>
      </c>
      <c r="E996" s="11">
        <v>1.52</v>
      </c>
      <c r="F996" s="11">
        <v>4.5</v>
      </c>
      <c r="G996" s="8">
        <f t="shared" si="15"/>
        <v>20.266666666666666</v>
      </c>
    </row>
    <row r="997" spans="1:7" x14ac:dyDescent="0.25">
      <c r="A997" s="10">
        <v>45805.708333333336</v>
      </c>
      <c r="B997" s="11">
        <v>10</v>
      </c>
      <c r="C997" s="11" t="s">
        <v>15</v>
      </c>
      <c r="D997" s="11" t="s">
        <v>16</v>
      </c>
      <c r="E997" s="11">
        <v>1.5</v>
      </c>
      <c r="F997" s="11">
        <v>3.92</v>
      </c>
      <c r="G997" s="8">
        <f t="shared" si="15"/>
        <v>22.95918367346939</v>
      </c>
    </row>
    <row r="998" spans="1:7" x14ac:dyDescent="0.25">
      <c r="A998" s="10">
        <v>45805.708333333336</v>
      </c>
      <c r="B998" s="11">
        <v>11</v>
      </c>
      <c r="C998" s="11" t="s">
        <v>16</v>
      </c>
      <c r="D998" s="11" t="s">
        <v>17</v>
      </c>
      <c r="E998" s="11">
        <v>1.48</v>
      </c>
      <c r="F998" s="11">
        <v>2.93</v>
      </c>
      <c r="G998" s="8">
        <f t="shared" si="15"/>
        <v>30.307167235494877</v>
      </c>
    </row>
    <row r="999" spans="1:7" x14ac:dyDescent="0.25">
      <c r="A999" s="10">
        <v>45805.708333333336</v>
      </c>
      <c r="B999" s="11">
        <v>12</v>
      </c>
      <c r="C999" s="11" t="s">
        <v>17</v>
      </c>
      <c r="D999" s="11" t="s">
        <v>18</v>
      </c>
      <c r="E999" s="11">
        <v>1.46</v>
      </c>
      <c r="F999" s="11">
        <v>4.5199999999999996</v>
      </c>
      <c r="G999" s="8">
        <f t="shared" si="15"/>
        <v>19.380530973451329</v>
      </c>
    </row>
    <row r="1000" spans="1:7" x14ac:dyDescent="0.25">
      <c r="A1000" s="10">
        <v>45805.708333333336</v>
      </c>
      <c r="B1000" s="11">
        <v>13</v>
      </c>
      <c r="C1000" s="11" t="s">
        <v>18</v>
      </c>
      <c r="D1000" s="11" t="s">
        <v>19</v>
      </c>
      <c r="E1000" s="11">
        <v>1.52</v>
      </c>
      <c r="F1000" s="11">
        <v>4.08</v>
      </c>
      <c r="G1000" s="8">
        <f t="shared" si="15"/>
        <v>22.352941176470587</v>
      </c>
    </row>
    <row r="1001" spans="1:7" x14ac:dyDescent="0.25">
      <c r="A1001" s="10">
        <v>45805.708333333336</v>
      </c>
      <c r="B1001" s="11">
        <v>14</v>
      </c>
      <c r="C1001" s="11" t="s">
        <v>19</v>
      </c>
      <c r="D1001" s="11" t="s">
        <v>20</v>
      </c>
      <c r="E1001" s="11">
        <v>1.51</v>
      </c>
      <c r="F1001" s="11">
        <v>3.82</v>
      </c>
      <c r="G1001" s="8">
        <f t="shared" si="15"/>
        <v>23.717277486910994</v>
      </c>
    </row>
    <row r="1002" spans="1:7" x14ac:dyDescent="0.25">
      <c r="A1002" s="10">
        <v>45805.708333333336</v>
      </c>
      <c r="B1002" s="11">
        <v>15</v>
      </c>
      <c r="C1002" s="11" t="s">
        <v>20</v>
      </c>
      <c r="D1002" s="11" t="s">
        <v>21</v>
      </c>
      <c r="E1002" s="11">
        <v>1.47</v>
      </c>
      <c r="F1002" s="11">
        <v>2.7</v>
      </c>
      <c r="G1002" s="8">
        <f t="shared" si="15"/>
        <v>32.666666666666664</v>
      </c>
    </row>
    <row r="1003" spans="1:7" x14ac:dyDescent="0.25">
      <c r="A1003" s="10">
        <v>45805.708333333336</v>
      </c>
      <c r="B1003" s="11">
        <v>16</v>
      </c>
      <c r="C1003" s="11" t="s">
        <v>21</v>
      </c>
      <c r="D1003" s="11" t="s">
        <v>22</v>
      </c>
      <c r="E1003" s="11">
        <v>1.5</v>
      </c>
      <c r="F1003" s="11">
        <v>1.9</v>
      </c>
      <c r="G1003" s="8">
        <f t="shared" si="15"/>
        <v>47.368421052631582</v>
      </c>
    </row>
    <row r="1004" spans="1:7" x14ac:dyDescent="0.25">
      <c r="A1004" s="10">
        <v>45805.708333333336</v>
      </c>
      <c r="B1004" s="11">
        <v>17</v>
      </c>
      <c r="C1004" s="11" t="s">
        <v>22</v>
      </c>
      <c r="D1004" s="11" t="s">
        <v>23</v>
      </c>
      <c r="E1004" s="11">
        <v>1.51</v>
      </c>
      <c r="F1004" s="11">
        <v>3.43</v>
      </c>
      <c r="G1004" s="8">
        <f t="shared" si="15"/>
        <v>26.413994169096206</v>
      </c>
    </row>
    <row r="1005" spans="1:7" x14ac:dyDescent="0.25">
      <c r="A1005" s="10">
        <v>45805.708333333336</v>
      </c>
      <c r="B1005" s="11">
        <v>18</v>
      </c>
      <c r="C1005" s="11" t="s">
        <v>23</v>
      </c>
      <c r="D1005" s="11" t="s">
        <v>24</v>
      </c>
      <c r="E1005" s="11">
        <v>1.51</v>
      </c>
      <c r="F1005" s="11">
        <v>3.47</v>
      </c>
      <c r="G1005" s="8">
        <f t="shared" si="15"/>
        <v>26.109510086455327</v>
      </c>
    </row>
    <row r="1006" spans="1:7" x14ac:dyDescent="0.25">
      <c r="A1006" s="10">
        <v>45805.708333333336</v>
      </c>
      <c r="B1006" s="11">
        <v>19</v>
      </c>
      <c r="C1006" s="11" t="s">
        <v>25</v>
      </c>
      <c r="D1006" s="11" t="s">
        <v>26</v>
      </c>
      <c r="E1006" s="11">
        <v>1.5</v>
      </c>
      <c r="F1006" s="11">
        <v>3.52</v>
      </c>
      <c r="G1006" s="8">
        <f t="shared" si="15"/>
        <v>25.568181818181817</v>
      </c>
    </row>
    <row r="1007" spans="1:7" x14ac:dyDescent="0.25">
      <c r="A1007" s="10">
        <v>45805.708333333336</v>
      </c>
      <c r="B1007" s="11">
        <v>20</v>
      </c>
      <c r="C1007" s="11" t="s">
        <v>26</v>
      </c>
      <c r="D1007" s="11" t="s">
        <v>27</v>
      </c>
      <c r="E1007" s="11">
        <v>1.48</v>
      </c>
      <c r="F1007" s="11">
        <v>3.7</v>
      </c>
      <c r="G1007" s="8">
        <f t="shared" si="15"/>
        <v>23.999999999999996</v>
      </c>
    </row>
    <row r="1008" spans="1:7" x14ac:dyDescent="0.25">
      <c r="A1008" s="10">
        <v>45805.708333333336</v>
      </c>
      <c r="B1008" s="11">
        <v>21</v>
      </c>
      <c r="C1008" s="11" t="s">
        <v>27</v>
      </c>
      <c r="D1008" s="11" t="s">
        <v>28</v>
      </c>
      <c r="E1008" s="11">
        <v>1.51</v>
      </c>
      <c r="F1008" s="11">
        <v>3.87</v>
      </c>
      <c r="G1008" s="8">
        <f t="shared" si="15"/>
        <v>23.410852713178294</v>
      </c>
    </row>
    <row r="1009" spans="1:7" x14ac:dyDescent="0.25">
      <c r="A1009" s="10">
        <v>45805.708333333336</v>
      </c>
      <c r="B1009" s="11">
        <v>22</v>
      </c>
      <c r="C1009" s="11" t="s">
        <v>28</v>
      </c>
      <c r="D1009" s="11" t="s">
        <v>29</v>
      </c>
      <c r="E1009" s="11">
        <v>1.57</v>
      </c>
      <c r="F1009" s="11">
        <v>3.4</v>
      </c>
      <c r="G1009" s="8">
        <f t="shared" si="15"/>
        <v>27.705882352941178</v>
      </c>
    </row>
    <row r="1010" spans="1:7" x14ac:dyDescent="0.25">
      <c r="A1010" s="10">
        <v>45805.708333333336</v>
      </c>
      <c r="B1010" s="11">
        <v>23</v>
      </c>
      <c r="C1010" s="11" t="s">
        <v>29</v>
      </c>
      <c r="D1010" s="11" t="s">
        <v>30</v>
      </c>
      <c r="E1010" s="11">
        <v>1.43</v>
      </c>
      <c r="F1010" s="11">
        <v>4.8</v>
      </c>
      <c r="G1010" s="8">
        <f t="shared" si="15"/>
        <v>17.875</v>
      </c>
    </row>
    <row r="1011" spans="1:7" x14ac:dyDescent="0.25">
      <c r="A1011" s="10">
        <v>45805.708333333336</v>
      </c>
      <c r="B1011" s="11">
        <v>24</v>
      </c>
      <c r="C1011" s="11" t="s">
        <v>30</v>
      </c>
      <c r="D1011" s="11" t="s">
        <v>31</v>
      </c>
      <c r="E1011" s="11">
        <v>1.52</v>
      </c>
      <c r="F1011" s="11">
        <v>4.28</v>
      </c>
      <c r="G1011" s="8">
        <f t="shared" si="15"/>
        <v>21.308411214953271</v>
      </c>
    </row>
    <row r="1012" spans="1:7" x14ac:dyDescent="0.25">
      <c r="A1012" s="10">
        <v>45805.708333333336</v>
      </c>
      <c r="B1012" s="11">
        <v>25</v>
      </c>
      <c r="C1012" s="11" t="s">
        <v>31</v>
      </c>
      <c r="D1012" s="11" t="s">
        <v>32</v>
      </c>
      <c r="E1012" s="11">
        <v>1.52</v>
      </c>
      <c r="F1012" s="11">
        <v>3.88</v>
      </c>
      <c r="G1012" s="8">
        <f t="shared" si="15"/>
        <v>23.505154639175259</v>
      </c>
    </row>
    <row r="1013" spans="1:7" x14ac:dyDescent="0.25">
      <c r="A1013" s="10">
        <v>45805.708333333336</v>
      </c>
      <c r="B1013" s="11">
        <v>26</v>
      </c>
      <c r="C1013" s="11" t="s">
        <v>32</v>
      </c>
      <c r="D1013" s="11" t="s">
        <v>33</v>
      </c>
      <c r="E1013" s="11">
        <v>1.49</v>
      </c>
      <c r="F1013" s="11">
        <v>5.77</v>
      </c>
      <c r="G1013" s="8">
        <f t="shared" si="15"/>
        <v>15.493934142114387</v>
      </c>
    </row>
    <row r="1014" spans="1:7" x14ac:dyDescent="0.25">
      <c r="A1014" s="10">
        <v>45805.708333333336</v>
      </c>
      <c r="B1014" s="11">
        <v>27</v>
      </c>
      <c r="C1014" s="11" t="s">
        <v>33</v>
      </c>
      <c r="D1014" s="11" t="s">
        <v>34</v>
      </c>
      <c r="E1014" s="11">
        <v>1.53</v>
      </c>
      <c r="F1014" s="11">
        <v>3.93</v>
      </c>
      <c r="G1014" s="8">
        <f t="shared" si="15"/>
        <v>23.358778625954198</v>
      </c>
    </row>
    <row r="1015" spans="1:7" x14ac:dyDescent="0.25">
      <c r="A1015" s="10">
        <v>45805.708333333336</v>
      </c>
      <c r="B1015" s="11">
        <v>28</v>
      </c>
      <c r="C1015" s="11" t="s">
        <v>34</v>
      </c>
      <c r="D1015" s="11" t="s">
        <v>35</v>
      </c>
      <c r="E1015" s="11">
        <v>1.51</v>
      </c>
      <c r="F1015" s="11">
        <v>4.5199999999999996</v>
      </c>
      <c r="G1015" s="8">
        <f t="shared" si="15"/>
        <v>20.044247787610619</v>
      </c>
    </row>
    <row r="1016" spans="1:7" x14ac:dyDescent="0.25">
      <c r="A1016" s="10">
        <v>45805.708333333336</v>
      </c>
      <c r="B1016" s="11">
        <v>29</v>
      </c>
      <c r="C1016" s="11" t="s">
        <v>36</v>
      </c>
      <c r="D1016" s="11" t="s">
        <v>37</v>
      </c>
      <c r="E1016" s="11">
        <v>1.57</v>
      </c>
      <c r="F1016" s="11">
        <v>4.32</v>
      </c>
      <c r="G1016" s="8">
        <f t="shared" si="15"/>
        <v>21.805555555555554</v>
      </c>
    </row>
    <row r="1017" spans="1:7" x14ac:dyDescent="0.25">
      <c r="A1017" s="10">
        <v>45805.708333333336</v>
      </c>
      <c r="B1017" s="11">
        <v>30</v>
      </c>
      <c r="C1017" s="11" t="s">
        <v>37</v>
      </c>
      <c r="D1017" s="11" t="s">
        <v>38</v>
      </c>
      <c r="E1017" s="11">
        <v>1.57</v>
      </c>
      <c r="F1017" s="11">
        <v>4.17</v>
      </c>
      <c r="G1017" s="8">
        <f t="shared" si="15"/>
        <v>22.589928057553958</v>
      </c>
    </row>
    <row r="1018" spans="1:7" x14ac:dyDescent="0.25">
      <c r="A1018" s="10">
        <v>45805.708333333336</v>
      </c>
      <c r="B1018" s="11">
        <v>31</v>
      </c>
      <c r="C1018" s="11" t="s">
        <v>38</v>
      </c>
      <c r="D1018" s="11" t="s">
        <v>39</v>
      </c>
      <c r="E1018" s="11">
        <v>1.52</v>
      </c>
      <c r="F1018" s="11">
        <v>3.4</v>
      </c>
      <c r="G1018" s="8">
        <f t="shared" si="15"/>
        <v>26.823529411764707</v>
      </c>
    </row>
    <row r="1019" spans="1:7" x14ac:dyDescent="0.25">
      <c r="A1019" s="10">
        <v>45805.708333333336</v>
      </c>
      <c r="B1019" s="11">
        <v>32</v>
      </c>
      <c r="C1019" s="11" t="s">
        <v>39</v>
      </c>
      <c r="D1019" s="11" t="s">
        <v>40</v>
      </c>
      <c r="E1019" s="11">
        <v>1.5</v>
      </c>
      <c r="F1019" s="11">
        <v>2.2999999999999998</v>
      </c>
      <c r="G1019" s="8">
        <f t="shared" si="15"/>
        <v>39.130434782608695</v>
      </c>
    </row>
    <row r="1020" spans="1:7" x14ac:dyDescent="0.25">
      <c r="A1020" s="10">
        <v>45805.708333333336</v>
      </c>
      <c r="B1020" s="11">
        <v>33</v>
      </c>
      <c r="C1020" s="11" t="s">
        <v>40</v>
      </c>
      <c r="D1020" s="11" t="s">
        <v>41</v>
      </c>
      <c r="E1020" s="11">
        <v>1.51</v>
      </c>
      <c r="F1020" s="11">
        <v>2.37</v>
      </c>
      <c r="G1020" s="8">
        <f t="shared" si="15"/>
        <v>38.22784810126582</v>
      </c>
    </row>
    <row r="1021" spans="1:7" x14ac:dyDescent="0.25">
      <c r="A1021" s="10">
        <v>45805.708333333336</v>
      </c>
      <c r="B1021" s="11">
        <v>34</v>
      </c>
      <c r="C1021" s="11" t="s">
        <v>41</v>
      </c>
      <c r="D1021" s="11" t="s">
        <v>42</v>
      </c>
      <c r="E1021" s="11">
        <v>1.5</v>
      </c>
      <c r="F1021" s="11">
        <v>1.98</v>
      </c>
      <c r="G1021" s="8">
        <f t="shared" si="15"/>
        <v>45.454545454545453</v>
      </c>
    </row>
    <row r="1022" spans="1:7" x14ac:dyDescent="0.25">
      <c r="A1022" s="10">
        <v>45805.708333333336</v>
      </c>
      <c r="B1022" s="11">
        <v>35</v>
      </c>
      <c r="C1022" s="11" t="s">
        <v>43</v>
      </c>
      <c r="D1022" s="11" t="s">
        <v>44</v>
      </c>
      <c r="E1022" s="11">
        <v>1.55</v>
      </c>
      <c r="F1022" s="11">
        <v>4.13</v>
      </c>
      <c r="G1022" s="8">
        <f t="shared" si="15"/>
        <v>22.518159806295401</v>
      </c>
    </row>
    <row r="1023" spans="1:7" x14ac:dyDescent="0.25">
      <c r="A1023" s="10">
        <v>45805.708333333336</v>
      </c>
      <c r="B1023" s="11">
        <v>36</v>
      </c>
      <c r="C1023" s="11" t="s">
        <v>44</v>
      </c>
      <c r="D1023" s="11" t="s">
        <v>45</v>
      </c>
      <c r="E1023" s="11">
        <v>1.5</v>
      </c>
      <c r="F1023" s="11">
        <v>3.32</v>
      </c>
      <c r="G1023" s="8">
        <f t="shared" si="15"/>
        <v>27.108433734939759</v>
      </c>
    </row>
    <row r="1024" spans="1:7" x14ac:dyDescent="0.25">
      <c r="A1024" s="10">
        <v>45805.708333333336</v>
      </c>
      <c r="B1024" s="11">
        <v>37</v>
      </c>
      <c r="C1024" s="11" t="s">
        <v>45</v>
      </c>
      <c r="D1024" s="11" t="s">
        <v>46</v>
      </c>
      <c r="E1024" s="11">
        <v>1.38</v>
      </c>
      <c r="F1024" s="11">
        <v>5.13</v>
      </c>
      <c r="G1024" s="8">
        <f t="shared" si="15"/>
        <v>16.140350877192983</v>
      </c>
    </row>
    <row r="1025" spans="1:7" x14ac:dyDescent="0.25">
      <c r="A1025" s="10">
        <v>45805.708333333336</v>
      </c>
      <c r="B1025" s="11">
        <v>38</v>
      </c>
      <c r="C1025" s="11" t="s">
        <v>46</v>
      </c>
      <c r="D1025" s="11" t="s">
        <v>47</v>
      </c>
      <c r="E1025" s="11">
        <v>1.61</v>
      </c>
      <c r="F1025" s="11">
        <v>4.47</v>
      </c>
      <c r="G1025" s="8">
        <f t="shared" si="15"/>
        <v>21.61073825503356</v>
      </c>
    </row>
    <row r="1026" spans="1:7" x14ac:dyDescent="0.25">
      <c r="A1026" s="10">
        <v>45805.708333333336</v>
      </c>
      <c r="B1026" s="11">
        <v>39</v>
      </c>
      <c r="C1026" s="11" t="s">
        <v>47</v>
      </c>
      <c r="D1026" s="11" t="s">
        <v>48</v>
      </c>
      <c r="E1026" s="11">
        <v>1.55</v>
      </c>
      <c r="F1026" s="11">
        <v>3.78</v>
      </c>
      <c r="G1026" s="8">
        <f t="shared" si="15"/>
        <v>24.603174603174605</v>
      </c>
    </row>
    <row r="1027" spans="1:7" x14ac:dyDescent="0.25">
      <c r="A1027" s="10">
        <v>45805.708333333336</v>
      </c>
      <c r="B1027" s="11">
        <v>40</v>
      </c>
      <c r="C1027" s="11" t="s">
        <v>48</v>
      </c>
      <c r="D1027" s="11" t="s">
        <v>49</v>
      </c>
      <c r="E1027" s="11">
        <v>1.39</v>
      </c>
      <c r="F1027" s="11">
        <v>3.42</v>
      </c>
      <c r="G1027" s="8">
        <f t="shared" ref="G1027:G1090" si="16">E1027*60/F1027</f>
        <v>24.385964912280699</v>
      </c>
    </row>
    <row r="1028" spans="1:7" x14ac:dyDescent="0.25">
      <c r="A1028" s="10">
        <v>45805.708333333336</v>
      </c>
      <c r="B1028" s="11">
        <v>41</v>
      </c>
      <c r="C1028" s="11" t="s">
        <v>50</v>
      </c>
      <c r="D1028" s="11" t="s">
        <v>51</v>
      </c>
      <c r="E1028" s="11">
        <v>1.56</v>
      </c>
      <c r="F1028" s="11">
        <v>4.62</v>
      </c>
      <c r="G1028" s="8">
        <f t="shared" si="16"/>
        <v>20.259740259740262</v>
      </c>
    </row>
    <row r="1029" spans="1:7" x14ac:dyDescent="0.25">
      <c r="A1029" s="10">
        <v>45805.708333333336</v>
      </c>
      <c r="B1029" s="11">
        <v>42</v>
      </c>
      <c r="C1029" s="11" t="s">
        <v>51</v>
      </c>
      <c r="D1029" s="11" t="s">
        <v>52</v>
      </c>
      <c r="E1029" s="11">
        <v>1.56</v>
      </c>
      <c r="F1029" s="11">
        <v>4.5999999999999996</v>
      </c>
      <c r="G1029" s="8">
        <f t="shared" si="16"/>
        <v>20.347826086956527</v>
      </c>
    </row>
    <row r="1030" spans="1:7" x14ac:dyDescent="0.25">
      <c r="A1030" s="10">
        <v>45805.708333333336</v>
      </c>
      <c r="B1030" s="11">
        <v>43</v>
      </c>
      <c r="C1030" s="11" t="s">
        <v>52</v>
      </c>
      <c r="D1030" s="11" t="s">
        <v>53</v>
      </c>
      <c r="E1030" s="11">
        <v>1.51</v>
      </c>
      <c r="F1030" s="11">
        <v>3.88</v>
      </c>
      <c r="G1030" s="8">
        <f t="shared" si="16"/>
        <v>23.350515463917525</v>
      </c>
    </row>
    <row r="1031" spans="1:7" x14ac:dyDescent="0.25">
      <c r="A1031" s="10">
        <v>45805.708333333336</v>
      </c>
      <c r="B1031" s="11">
        <v>44</v>
      </c>
      <c r="C1031" s="11" t="s">
        <v>54</v>
      </c>
      <c r="D1031" s="11" t="s">
        <v>55</v>
      </c>
      <c r="E1031" s="11">
        <v>1.51</v>
      </c>
      <c r="F1031" s="11">
        <v>4.7300000000000004</v>
      </c>
      <c r="G1031" s="8">
        <f t="shared" si="16"/>
        <v>19.154334038054966</v>
      </c>
    </row>
    <row r="1032" spans="1:7" x14ac:dyDescent="0.25">
      <c r="A1032" s="10">
        <v>45805.708333333336</v>
      </c>
      <c r="B1032" s="11">
        <v>45</v>
      </c>
      <c r="C1032" s="11" t="s">
        <v>55</v>
      </c>
      <c r="D1032" s="11" t="s">
        <v>56</v>
      </c>
      <c r="E1032" s="11">
        <v>1.49</v>
      </c>
      <c r="F1032" s="11">
        <v>3.8</v>
      </c>
      <c r="G1032" s="8">
        <f t="shared" si="16"/>
        <v>23.526315789473689</v>
      </c>
    </row>
    <row r="1033" spans="1:7" x14ac:dyDescent="0.25">
      <c r="A1033" s="10">
        <v>45805.708333333336</v>
      </c>
      <c r="B1033" s="11">
        <v>46</v>
      </c>
      <c r="C1033" s="11" t="s">
        <v>56</v>
      </c>
      <c r="D1033" s="11" t="s">
        <v>57</v>
      </c>
      <c r="E1033" s="11">
        <v>1.52</v>
      </c>
      <c r="F1033" s="11">
        <v>4.03</v>
      </c>
      <c r="G1033" s="8">
        <f t="shared" si="16"/>
        <v>22.630272952853598</v>
      </c>
    </row>
    <row r="1034" spans="1:7" x14ac:dyDescent="0.25">
      <c r="A1034" s="10">
        <v>45805.708333333336</v>
      </c>
      <c r="B1034" s="11">
        <v>47</v>
      </c>
      <c r="C1034" s="11" t="s">
        <v>58</v>
      </c>
      <c r="D1034" s="11" t="s">
        <v>59</v>
      </c>
      <c r="E1034" s="11">
        <v>1.52</v>
      </c>
      <c r="F1034" s="11">
        <v>5.57</v>
      </c>
      <c r="G1034" s="8">
        <f t="shared" si="16"/>
        <v>16.373429084380611</v>
      </c>
    </row>
    <row r="1035" spans="1:7" x14ac:dyDescent="0.25">
      <c r="A1035" s="10">
        <v>45805.708333333336</v>
      </c>
      <c r="B1035" s="11">
        <v>48</v>
      </c>
      <c r="C1035" s="11" t="s">
        <v>59</v>
      </c>
      <c r="D1035" s="11" t="s">
        <v>60</v>
      </c>
      <c r="E1035" s="11">
        <v>1.5</v>
      </c>
      <c r="F1035" s="11">
        <v>4.37</v>
      </c>
      <c r="G1035" s="8">
        <f t="shared" si="16"/>
        <v>20.594965675057207</v>
      </c>
    </row>
    <row r="1036" spans="1:7" x14ac:dyDescent="0.25">
      <c r="A1036" s="10">
        <v>45805.708333333336</v>
      </c>
      <c r="B1036" s="11">
        <v>49</v>
      </c>
      <c r="C1036" s="11" t="s">
        <v>60</v>
      </c>
      <c r="D1036" s="11" t="s">
        <v>61</v>
      </c>
      <c r="E1036" s="11">
        <v>1.54</v>
      </c>
      <c r="F1036" s="11">
        <v>4.3499999999999996</v>
      </c>
      <c r="G1036" s="8">
        <f t="shared" si="16"/>
        <v>21.241379310344829</v>
      </c>
    </row>
    <row r="1037" spans="1:7" x14ac:dyDescent="0.25">
      <c r="A1037" s="10">
        <v>45805.708333333336</v>
      </c>
      <c r="B1037" s="11">
        <v>50</v>
      </c>
      <c r="C1037" s="11" t="s">
        <v>62</v>
      </c>
      <c r="D1037" s="11" t="s">
        <v>63</v>
      </c>
      <c r="E1037" s="11">
        <v>1.38</v>
      </c>
      <c r="F1037" s="11">
        <v>3.53</v>
      </c>
      <c r="G1037" s="8">
        <f t="shared" si="16"/>
        <v>23.456090651558075</v>
      </c>
    </row>
    <row r="1038" spans="1:7" x14ac:dyDescent="0.25">
      <c r="A1038" s="10">
        <v>45805.708333333336</v>
      </c>
      <c r="B1038" s="11">
        <v>51</v>
      </c>
      <c r="C1038" s="11" t="s">
        <v>63</v>
      </c>
      <c r="D1038" s="11" t="s">
        <v>64</v>
      </c>
      <c r="E1038" s="11">
        <v>2.79</v>
      </c>
      <c r="F1038" s="11">
        <v>6.18</v>
      </c>
      <c r="G1038" s="8">
        <f t="shared" si="16"/>
        <v>27.087378640776702</v>
      </c>
    </row>
    <row r="1039" spans="1:7" x14ac:dyDescent="0.25">
      <c r="A1039" s="10">
        <v>45805.708333333336</v>
      </c>
      <c r="B1039" s="11">
        <v>52</v>
      </c>
      <c r="C1039" s="11" t="s">
        <v>64</v>
      </c>
      <c r="D1039" s="11" t="s">
        <v>65</v>
      </c>
      <c r="E1039" s="11">
        <v>1.5</v>
      </c>
      <c r="F1039" s="11">
        <v>3.08</v>
      </c>
      <c r="G1039" s="8">
        <f t="shared" si="16"/>
        <v>29.220779220779221</v>
      </c>
    </row>
    <row r="1040" spans="1:7" x14ac:dyDescent="0.25">
      <c r="A1040" s="10">
        <v>45805.708333333336</v>
      </c>
      <c r="B1040" s="11">
        <v>53</v>
      </c>
      <c r="C1040" s="11" t="s">
        <v>65</v>
      </c>
      <c r="D1040" s="11" t="s">
        <v>66</v>
      </c>
      <c r="E1040" s="11">
        <v>1.46</v>
      </c>
      <c r="F1040" s="11">
        <v>3.93</v>
      </c>
      <c r="G1040" s="8">
        <f t="shared" si="16"/>
        <v>22.29007633587786</v>
      </c>
    </row>
    <row r="1041" spans="1:7" x14ac:dyDescent="0.25">
      <c r="A1041" s="10">
        <v>45805.708333333336</v>
      </c>
      <c r="B1041" s="11">
        <v>54</v>
      </c>
      <c r="C1041" s="11" t="s">
        <v>67</v>
      </c>
      <c r="D1041" s="11" t="s">
        <v>68</v>
      </c>
      <c r="E1041" s="11">
        <v>1.46</v>
      </c>
      <c r="F1041" s="11">
        <v>2.92</v>
      </c>
      <c r="G1041" s="8">
        <f t="shared" si="16"/>
        <v>30</v>
      </c>
    </row>
    <row r="1042" spans="1:7" x14ac:dyDescent="0.25">
      <c r="A1042" s="10">
        <v>45805.708333333336</v>
      </c>
      <c r="B1042" s="11">
        <v>55</v>
      </c>
      <c r="C1042" s="11" t="s">
        <v>68</v>
      </c>
      <c r="D1042" s="11" t="s">
        <v>69</v>
      </c>
      <c r="E1042" s="11">
        <v>1.5</v>
      </c>
      <c r="F1042" s="11">
        <v>2.6</v>
      </c>
      <c r="G1042" s="8">
        <f t="shared" si="16"/>
        <v>34.615384615384613</v>
      </c>
    </row>
    <row r="1043" spans="1:7" x14ac:dyDescent="0.25">
      <c r="A1043" s="10">
        <v>45805.708333333336</v>
      </c>
      <c r="B1043" s="11">
        <v>56</v>
      </c>
      <c r="C1043" s="11" t="s">
        <v>70</v>
      </c>
      <c r="D1043" s="11" t="s">
        <v>71</v>
      </c>
      <c r="E1043" s="11">
        <v>1.51</v>
      </c>
      <c r="F1043" s="11">
        <v>4.7699999999999996</v>
      </c>
      <c r="G1043" s="8">
        <f t="shared" si="16"/>
        <v>18.9937106918239</v>
      </c>
    </row>
    <row r="1044" spans="1:7" x14ac:dyDescent="0.25">
      <c r="A1044" s="10">
        <v>45805.708333333336</v>
      </c>
      <c r="B1044" s="11">
        <v>57</v>
      </c>
      <c r="C1044" s="11" t="s">
        <v>71</v>
      </c>
      <c r="D1044" s="11" t="s">
        <v>72</v>
      </c>
      <c r="E1044" s="11">
        <v>1.52</v>
      </c>
      <c r="F1044" s="11">
        <v>4.5199999999999996</v>
      </c>
      <c r="G1044" s="8">
        <f t="shared" si="16"/>
        <v>20.176991150442479</v>
      </c>
    </row>
    <row r="1045" spans="1:7" x14ac:dyDescent="0.25">
      <c r="A1045" s="10">
        <v>45805.708333333336</v>
      </c>
      <c r="B1045" s="11">
        <v>58</v>
      </c>
      <c r="C1045" s="11" t="s">
        <v>72</v>
      </c>
      <c r="D1045" s="11" t="s">
        <v>73</v>
      </c>
      <c r="E1045" s="11">
        <v>1.5</v>
      </c>
      <c r="F1045" s="11">
        <v>4.6500000000000004</v>
      </c>
      <c r="G1045" s="8">
        <f t="shared" si="16"/>
        <v>19.354838709677416</v>
      </c>
    </row>
    <row r="1046" spans="1:7" x14ac:dyDescent="0.25">
      <c r="A1046" s="10">
        <v>45805.71875</v>
      </c>
      <c r="B1046" s="11">
        <v>1</v>
      </c>
      <c r="C1046" s="11" t="s">
        <v>6</v>
      </c>
      <c r="D1046" s="11" t="s">
        <v>7</v>
      </c>
      <c r="E1046" s="11">
        <v>1.53</v>
      </c>
      <c r="F1046" s="11">
        <v>3.3</v>
      </c>
      <c r="G1046" s="8">
        <f t="shared" si="16"/>
        <v>27.81818181818182</v>
      </c>
    </row>
    <row r="1047" spans="1:7" x14ac:dyDescent="0.25">
      <c r="A1047" s="10">
        <v>45805.71875</v>
      </c>
      <c r="B1047" s="11">
        <v>2</v>
      </c>
      <c r="C1047" s="11" t="s">
        <v>7</v>
      </c>
      <c r="D1047" s="11" t="s">
        <v>8</v>
      </c>
      <c r="E1047" s="11">
        <v>1.57</v>
      </c>
      <c r="F1047" s="11">
        <v>5.53</v>
      </c>
      <c r="G1047" s="8">
        <f t="shared" si="16"/>
        <v>17.034358047016276</v>
      </c>
    </row>
    <row r="1048" spans="1:7" x14ac:dyDescent="0.25">
      <c r="A1048" s="10">
        <v>45805.71875</v>
      </c>
      <c r="B1048" s="11">
        <v>3</v>
      </c>
      <c r="C1048" s="11" t="s">
        <v>8</v>
      </c>
      <c r="D1048" s="11" t="s">
        <v>9</v>
      </c>
      <c r="E1048" s="11">
        <v>1.5</v>
      </c>
      <c r="F1048" s="11">
        <v>3.3</v>
      </c>
      <c r="G1048" s="8">
        <f t="shared" si="16"/>
        <v>27.272727272727273</v>
      </c>
    </row>
    <row r="1049" spans="1:7" x14ac:dyDescent="0.25">
      <c r="A1049" s="10">
        <v>45805.71875</v>
      </c>
      <c r="B1049" s="11">
        <v>4</v>
      </c>
      <c r="C1049" s="11" t="s">
        <v>9</v>
      </c>
      <c r="D1049" s="11" t="s">
        <v>10</v>
      </c>
      <c r="E1049" s="11">
        <v>1.5</v>
      </c>
      <c r="F1049" s="11">
        <v>3.08</v>
      </c>
      <c r="G1049" s="8">
        <f t="shared" si="16"/>
        <v>29.220779220779221</v>
      </c>
    </row>
    <row r="1050" spans="1:7" x14ac:dyDescent="0.25">
      <c r="A1050" s="10">
        <v>45805.71875</v>
      </c>
      <c r="B1050" s="11">
        <v>5</v>
      </c>
      <c r="C1050" s="11" t="s">
        <v>10</v>
      </c>
      <c r="D1050" s="11" t="s">
        <v>11</v>
      </c>
      <c r="E1050" s="11">
        <v>1.52</v>
      </c>
      <c r="F1050" s="11">
        <v>3.93</v>
      </c>
      <c r="G1050" s="8">
        <f t="shared" si="16"/>
        <v>23.206106870229007</v>
      </c>
    </row>
    <row r="1051" spans="1:7" x14ac:dyDescent="0.25">
      <c r="A1051" s="10">
        <v>45805.71875</v>
      </c>
      <c r="B1051" s="11">
        <v>6</v>
      </c>
      <c r="C1051" s="11" t="s">
        <v>11</v>
      </c>
      <c r="D1051" s="11" t="s">
        <v>12</v>
      </c>
      <c r="E1051" s="11">
        <v>1.5</v>
      </c>
      <c r="F1051" s="11">
        <v>3.25</v>
      </c>
      <c r="G1051" s="8">
        <f t="shared" si="16"/>
        <v>27.692307692307693</v>
      </c>
    </row>
    <row r="1052" spans="1:7" x14ac:dyDescent="0.25">
      <c r="A1052" s="10">
        <v>45805.71875</v>
      </c>
      <c r="B1052" s="11">
        <v>7</v>
      </c>
      <c r="C1052" s="11" t="s">
        <v>12</v>
      </c>
      <c r="D1052" s="11" t="s">
        <v>13</v>
      </c>
      <c r="E1052" s="11">
        <v>1.54</v>
      </c>
      <c r="F1052" s="11">
        <v>2.92</v>
      </c>
      <c r="G1052" s="8">
        <f t="shared" si="16"/>
        <v>31.643835616438359</v>
      </c>
    </row>
    <row r="1053" spans="1:7" x14ac:dyDescent="0.25">
      <c r="A1053" s="10">
        <v>45805.71875</v>
      </c>
      <c r="B1053" s="11">
        <v>8</v>
      </c>
      <c r="C1053" s="11" t="s">
        <v>13</v>
      </c>
      <c r="D1053" s="11" t="s">
        <v>14</v>
      </c>
      <c r="E1053" s="11">
        <v>1.54</v>
      </c>
      <c r="F1053" s="11">
        <v>3.33</v>
      </c>
      <c r="G1053" s="8">
        <f t="shared" si="16"/>
        <v>27.747747747747749</v>
      </c>
    </row>
    <row r="1054" spans="1:7" x14ac:dyDescent="0.25">
      <c r="A1054" s="10">
        <v>45805.71875</v>
      </c>
      <c r="B1054" s="11">
        <v>9</v>
      </c>
      <c r="C1054" s="11" t="s">
        <v>14</v>
      </c>
      <c r="D1054" s="11" t="s">
        <v>15</v>
      </c>
      <c r="E1054" s="11">
        <v>1.52</v>
      </c>
      <c r="F1054" s="11">
        <v>3.78</v>
      </c>
      <c r="G1054" s="8">
        <f t="shared" si="16"/>
        <v>24.12698412698413</v>
      </c>
    </row>
    <row r="1055" spans="1:7" x14ac:dyDescent="0.25">
      <c r="A1055" s="10">
        <v>45805.71875</v>
      </c>
      <c r="B1055" s="11">
        <v>10</v>
      </c>
      <c r="C1055" s="11" t="s">
        <v>15</v>
      </c>
      <c r="D1055" s="11" t="s">
        <v>16</v>
      </c>
      <c r="E1055" s="11">
        <v>1.5</v>
      </c>
      <c r="F1055" s="11">
        <v>3.87</v>
      </c>
      <c r="G1055" s="8">
        <f t="shared" si="16"/>
        <v>23.255813953488371</v>
      </c>
    </row>
    <row r="1056" spans="1:7" x14ac:dyDescent="0.25">
      <c r="A1056" s="10">
        <v>45805.71875</v>
      </c>
      <c r="B1056" s="11">
        <v>11</v>
      </c>
      <c r="C1056" s="11" t="s">
        <v>16</v>
      </c>
      <c r="D1056" s="11" t="s">
        <v>17</v>
      </c>
      <c r="E1056" s="11">
        <v>1.48</v>
      </c>
      <c r="F1056" s="11">
        <v>2.92</v>
      </c>
      <c r="G1056" s="8">
        <f t="shared" si="16"/>
        <v>30.410958904109588</v>
      </c>
    </row>
    <row r="1057" spans="1:7" x14ac:dyDescent="0.25">
      <c r="A1057" s="10">
        <v>45805.71875</v>
      </c>
      <c r="B1057" s="11">
        <v>12</v>
      </c>
      <c r="C1057" s="11" t="s">
        <v>17</v>
      </c>
      <c r="D1057" s="11" t="s">
        <v>18</v>
      </c>
      <c r="E1057" s="11">
        <v>1.46</v>
      </c>
      <c r="F1057" s="11">
        <v>4.45</v>
      </c>
      <c r="G1057" s="8">
        <f t="shared" si="16"/>
        <v>19.685393258426963</v>
      </c>
    </row>
    <row r="1058" spans="1:7" x14ac:dyDescent="0.25">
      <c r="A1058" s="10">
        <v>45805.71875</v>
      </c>
      <c r="B1058" s="11">
        <v>13</v>
      </c>
      <c r="C1058" s="11" t="s">
        <v>18</v>
      </c>
      <c r="D1058" s="11" t="s">
        <v>19</v>
      </c>
      <c r="E1058" s="11">
        <v>1.52</v>
      </c>
      <c r="F1058" s="11">
        <v>3.88</v>
      </c>
      <c r="G1058" s="8">
        <f t="shared" si="16"/>
        <v>23.505154639175259</v>
      </c>
    </row>
    <row r="1059" spans="1:7" x14ac:dyDescent="0.25">
      <c r="A1059" s="10">
        <v>45805.71875</v>
      </c>
      <c r="B1059" s="11">
        <v>14</v>
      </c>
      <c r="C1059" s="11" t="s">
        <v>19</v>
      </c>
      <c r="D1059" s="11" t="s">
        <v>20</v>
      </c>
      <c r="E1059" s="11">
        <v>1.51</v>
      </c>
      <c r="F1059" s="11">
        <v>4.0199999999999996</v>
      </c>
      <c r="G1059" s="8">
        <f t="shared" si="16"/>
        <v>22.537313432835823</v>
      </c>
    </row>
    <row r="1060" spans="1:7" x14ac:dyDescent="0.25">
      <c r="A1060" s="10">
        <v>45805.71875</v>
      </c>
      <c r="B1060" s="11">
        <v>15</v>
      </c>
      <c r="C1060" s="11" t="s">
        <v>20</v>
      </c>
      <c r="D1060" s="11" t="s">
        <v>21</v>
      </c>
      <c r="E1060" s="11">
        <v>1.47</v>
      </c>
      <c r="F1060" s="11">
        <v>2.9</v>
      </c>
      <c r="G1060" s="8">
        <f t="shared" si="16"/>
        <v>30.413793103448278</v>
      </c>
    </row>
    <row r="1061" spans="1:7" x14ac:dyDescent="0.25">
      <c r="A1061" s="10">
        <v>45805.71875</v>
      </c>
      <c r="B1061" s="11">
        <v>16</v>
      </c>
      <c r="C1061" s="11" t="s">
        <v>21</v>
      </c>
      <c r="D1061" s="11" t="s">
        <v>22</v>
      </c>
      <c r="E1061" s="11">
        <v>1.5</v>
      </c>
      <c r="F1061" s="11">
        <v>2.5299999999999998</v>
      </c>
      <c r="G1061" s="8">
        <f t="shared" si="16"/>
        <v>35.573122529644273</v>
      </c>
    </row>
    <row r="1062" spans="1:7" x14ac:dyDescent="0.25">
      <c r="A1062" s="10">
        <v>45805.71875</v>
      </c>
      <c r="B1062" s="11">
        <v>17</v>
      </c>
      <c r="C1062" s="11" t="s">
        <v>22</v>
      </c>
      <c r="D1062" s="11" t="s">
        <v>23</v>
      </c>
      <c r="E1062" s="11">
        <v>1.51</v>
      </c>
      <c r="F1062" s="11">
        <v>3.78</v>
      </c>
      <c r="G1062" s="8">
        <f t="shared" si="16"/>
        <v>23.968253968253968</v>
      </c>
    </row>
    <row r="1063" spans="1:7" x14ac:dyDescent="0.25">
      <c r="A1063" s="10">
        <v>45805.71875</v>
      </c>
      <c r="B1063" s="11">
        <v>18</v>
      </c>
      <c r="C1063" s="11" t="s">
        <v>23</v>
      </c>
      <c r="D1063" s="11" t="s">
        <v>24</v>
      </c>
      <c r="E1063" s="11">
        <v>1.51</v>
      </c>
      <c r="F1063" s="11">
        <v>3.42</v>
      </c>
      <c r="G1063" s="8">
        <f t="shared" si="16"/>
        <v>26.491228070175438</v>
      </c>
    </row>
    <row r="1064" spans="1:7" x14ac:dyDescent="0.25">
      <c r="A1064" s="10">
        <v>45805.71875</v>
      </c>
      <c r="B1064" s="11">
        <v>19</v>
      </c>
      <c r="C1064" s="11" t="s">
        <v>25</v>
      </c>
      <c r="D1064" s="11" t="s">
        <v>26</v>
      </c>
      <c r="E1064" s="11">
        <v>1.5</v>
      </c>
      <c r="F1064" s="11">
        <v>4.12</v>
      </c>
      <c r="G1064" s="8">
        <f t="shared" si="16"/>
        <v>21.844660194174757</v>
      </c>
    </row>
    <row r="1065" spans="1:7" x14ac:dyDescent="0.25">
      <c r="A1065" s="10">
        <v>45805.71875</v>
      </c>
      <c r="B1065" s="11">
        <v>20</v>
      </c>
      <c r="C1065" s="11" t="s">
        <v>26</v>
      </c>
      <c r="D1065" s="11" t="s">
        <v>27</v>
      </c>
      <c r="E1065" s="11">
        <v>1.48</v>
      </c>
      <c r="F1065" s="11">
        <v>3.6</v>
      </c>
      <c r="G1065" s="8">
        <f t="shared" si="16"/>
        <v>24.666666666666664</v>
      </c>
    </row>
    <row r="1066" spans="1:7" x14ac:dyDescent="0.25">
      <c r="A1066" s="10">
        <v>45805.71875</v>
      </c>
      <c r="B1066" s="11">
        <v>21</v>
      </c>
      <c r="C1066" s="11" t="s">
        <v>27</v>
      </c>
      <c r="D1066" s="11" t="s">
        <v>28</v>
      </c>
      <c r="E1066" s="11">
        <v>1.51</v>
      </c>
      <c r="F1066" s="11">
        <v>3.55</v>
      </c>
      <c r="G1066" s="8">
        <f t="shared" si="16"/>
        <v>25.52112676056338</v>
      </c>
    </row>
    <row r="1067" spans="1:7" x14ac:dyDescent="0.25">
      <c r="A1067" s="10">
        <v>45805.71875</v>
      </c>
      <c r="B1067" s="11">
        <v>22</v>
      </c>
      <c r="C1067" s="11" t="s">
        <v>28</v>
      </c>
      <c r="D1067" s="11" t="s">
        <v>29</v>
      </c>
      <c r="E1067" s="11">
        <v>1.57</v>
      </c>
      <c r="F1067" s="11">
        <v>3.83</v>
      </c>
      <c r="G1067" s="8">
        <f t="shared" si="16"/>
        <v>24.595300261096607</v>
      </c>
    </row>
    <row r="1068" spans="1:7" x14ac:dyDescent="0.25">
      <c r="A1068" s="10">
        <v>45805.71875</v>
      </c>
      <c r="B1068" s="11">
        <v>23</v>
      </c>
      <c r="C1068" s="11" t="s">
        <v>29</v>
      </c>
      <c r="D1068" s="11" t="s">
        <v>30</v>
      </c>
      <c r="E1068" s="11">
        <v>1.43</v>
      </c>
      <c r="F1068" s="11">
        <v>4.55</v>
      </c>
      <c r="G1068" s="8">
        <f t="shared" si="16"/>
        <v>18.857142857142858</v>
      </c>
    </row>
    <row r="1069" spans="1:7" x14ac:dyDescent="0.25">
      <c r="A1069" s="10">
        <v>45805.71875</v>
      </c>
      <c r="B1069" s="11">
        <v>24</v>
      </c>
      <c r="C1069" s="11" t="s">
        <v>30</v>
      </c>
      <c r="D1069" s="11" t="s">
        <v>31</v>
      </c>
      <c r="E1069" s="11">
        <v>1.52</v>
      </c>
      <c r="F1069" s="11">
        <v>4.0999999999999996</v>
      </c>
      <c r="G1069" s="8">
        <f t="shared" si="16"/>
        <v>22.243902439024392</v>
      </c>
    </row>
    <row r="1070" spans="1:7" x14ac:dyDescent="0.25">
      <c r="A1070" s="10">
        <v>45805.71875</v>
      </c>
      <c r="B1070" s="11">
        <v>25</v>
      </c>
      <c r="C1070" s="11" t="s">
        <v>31</v>
      </c>
      <c r="D1070" s="11" t="s">
        <v>32</v>
      </c>
      <c r="E1070" s="11">
        <v>1.52</v>
      </c>
      <c r="F1070" s="11">
        <v>3.75</v>
      </c>
      <c r="G1070" s="8">
        <f t="shared" si="16"/>
        <v>24.32</v>
      </c>
    </row>
    <row r="1071" spans="1:7" x14ac:dyDescent="0.25">
      <c r="A1071" s="10">
        <v>45805.71875</v>
      </c>
      <c r="B1071" s="11">
        <v>26</v>
      </c>
      <c r="C1071" s="11" t="s">
        <v>32</v>
      </c>
      <c r="D1071" s="11" t="s">
        <v>33</v>
      </c>
      <c r="E1071" s="11">
        <v>1.49</v>
      </c>
      <c r="F1071" s="11">
        <v>5.23</v>
      </c>
      <c r="G1071" s="8">
        <f t="shared" si="16"/>
        <v>17.093690248565967</v>
      </c>
    </row>
    <row r="1072" spans="1:7" x14ac:dyDescent="0.25">
      <c r="A1072" s="10">
        <v>45805.71875</v>
      </c>
      <c r="B1072" s="11">
        <v>27</v>
      </c>
      <c r="C1072" s="11" t="s">
        <v>33</v>
      </c>
      <c r="D1072" s="11" t="s">
        <v>34</v>
      </c>
      <c r="E1072" s="11">
        <v>1.53</v>
      </c>
      <c r="F1072" s="11">
        <v>4.55</v>
      </c>
      <c r="G1072" s="8">
        <f t="shared" si="16"/>
        <v>20.175824175824175</v>
      </c>
    </row>
    <row r="1073" spans="1:7" x14ac:dyDescent="0.25">
      <c r="A1073" s="10">
        <v>45805.71875</v>
      </c>
      <c r="B1073" s="11">
        <v>28</v>
      </c>
      <c r="C1073" s="11" t="s">
        <v>34</v>
      </c>
      <c r="D1073" s="11" t="s">
        <v>35</v>
      </c>
      <c r="E1073" s="11">
        <v>1.51</v>
      </c>
      <c r="F1073" s="11">
        <v>4.5</v>
      </c>
      <c r="G1073" s="8">
        <f t="shared" si="16"/>
        <v>20.133333333333333</v>
      </c>
    </row>
    <row r="1074" spans="1:7" x14ac:dyDescent="0.25">
      <c r="A1074" s="10">
        <v>45805.71875</v>
      </c>
      <c r="B1074" s="11">
        <v>29</v>
      </c>
      <c r="C1074" s="11" t="s">
        <v>36</v>
      </c>
      <c r="D1074" s="11" t="s">
        <v>37</v>
      </c>
      <c r="E1074" s="11">
        <v>1.57</v>
      </c>
      <c r="F1074" s="11">
        <v>4.17</v>
      </c>
      <c r="G1074" s="8">
        <f t="shared" si="16"/>
        <v>22.589928057553958</v>
      </c>
    </row>
    <row r="1075" spans="1:7" x14ac:dyDescent="0.25">
      <c r="A1075" s="10">
        <v>45805.71875</v>
      </c>
      <c r="B1075" s="11">
        <v>30</v>
      </c>
      <c r="C1075" s="11" t="s">
        <v>37</v>
      </c>
      <c r="D1075" s="11" t="s">
        <v>38</v>
      </c>
      <c r="E1075" s="11">
        <v>1.57</v>
      </c>
      <c r="F1075" s="11">
        <v>3.95</v>
      </c>
      <c r="G1075" s="8">
        <f t="shared" si="16"/>
        <v>23.848101265822784</v>
      </c>
    </row>
    <row r="1076" spans="1:7" x14ac:dyDescent="0.25">
      <c r="A1076" s="10">
        <v>45805.71875</v>
      </c>
      <c r="B1076" s="11">
        <v>31</v>
      </c>
      <c r="C1076" s="11" t="s">
        <v>38</v>
      </c>
      <c r="D1076" s="11" t="s">
        <v>39</v>
      </c>
      <c r="E1076" s="11">
        <v>1.52</v>
      </c>
      <c r="F1076" s="11">
        <v>2.78</v>
      </c>
      <c r="G1076" s="8">
        <f t="shared" si="16"/>
        <v>32.805755395683455</v>
      </c>
    </row>
    <row r="1077" spans="1:7" x14ac:dyDescent="0.25">
      <c r="A1077" s="10">
        <v>45805.71875</v>
      </c>
      <c r="B1077" s="11">
        <v>32</v>
      </c>
      <c r="C1077" s="11" t="s">
        <v>39</v>
      </c>
      <c r="D1077" s="11" t="s">
        <v>40</v>
      </c>
      <c r="E1077" s="11">
        <v>1.5</v>
      </c>
      <c r="F1077" s="11">
        <v>2.92</v>
      </c>
      <c r="G1077" s="8">
        <f t="shared" si="16"/>
        <v>30.82191780821918</v>
      </c>
    </row>
    <row r="1078" spans="1:7" x14ac:dyDescent="0.25">
      <c r="A1078" s="10">
        <v>45805.71875</v>
      </c>
      <c r="B1078" s="11">
        <v>33</v>
      </c>
      <c r="C1078" s="11" t="s">
        <v>40</v>
      </c>
      <c r="D1078" s="11" t="s">
        <v>41</v>
      </c>
      <c r="E1078" s="11">
        <v>1.51</v>
      </c>
      <c r="F1078" s="11">
        <v>2.6</v>
      </c>
      <c r="G1078" s="8">
        <f t="shared" si="16"/>
        <v>34.84615384615384</v>
      </c>
    </row>
    <row r="1079" spans="1:7" x14ac:dyDescent="0.25">
      <c r="A1079" s="10">
        <v>45805.71875</v>
      </c>
      <c r="B1079" s="11">
        <v>34</v>
      </c>
      <c r="C1079" s="11" t="s">
        <v>41</v>
      </c>
      <c r="D1079" s="11" t="s">
        <v>42</v>
      </c>
      <c r="E1079" s="11">
        <v>1.5</v>
      </c>
      <c r="F1079" s="11">
        <v>2.12</v>
      </c>
      <c r="G1079" s="8">
        <f t="shared" si="16"/>
        <v>42.452830188679243</v>
      </c>
    </row>
    <row r="1080" spans="1:7" x14ac:dyDescent="0.25">
      <c r="A1080" s="10">
        <v>45805.71875</v>
      </c>
      <c r="B1080" s="11">
        <v>35</v>
      </c>
      <c r="C1080" s="11" t="s">
        <v>43</v>
      </c>
      <c r="D1080" s="11" t="s">
        <v>44</v>
      </c>
      <c r="E1080" s="11">
        <v>1.55</v>
      </c>
      <c r="F1080" s="11">
        <v>4.28</v>
      </c>
      <c r="G1080" s="8">
        <f t="shared" si="16"/>
        <v>21.728971962616821</v>
      </c>
    </row>
    <row r="1081" spans="1:7" x14ac:dyDescent="0.25">
      <c r="A1081" s="10">
        <v>45805.71875</v>
      </c>
      <c r="B1081" s="11">
        <v>36</v>
      </c>
      <c r="C1081" s="11" t="s">
        <v>44</v>
      </c>
      <c r="D1081" s="11" t="s">
        <v>45</v>
      </c>
      <c r="E1081" s="11">
        <v>1.5</v>
      </c>
      <c r="F1081" s="11">
        <v>3.32</v>
      </c>
      <c r="G1081" s="8">
        <f t="shared" si="16"/>
        <v>27.108433734939759</v>
      </c>
    </row>
    <row r="1082" spans="1:7" x14ac:dyDescent="0.25">
      <c r="A1082" s="10">
        <v>45805.71875</v>
      </c>
      <c r="B1082" s="11">
        <v>37</v>
      </c>
      <c r="C1082" s="11" t="s">
        <v>45</v>
      </c>
      <c r="D1082" s="11" t="s">
        <v>46</v>
      </c>
      <c r="E1082" s="11">
        <v>1.38</v>
      </c>
      <c r="F1082" s="11">
        <v>4.5999999999999996</v>
      </c>
      <c r="G1082" s="8">
        <f t="shared" si="16"/>
        <v>18</v>
      </c>
    </row>
    <row r="1083" spans="1:7" x14ac:dyDescent="0.25">
      <c r="A1083" s="10">
        <v>45805.71875</v>
      </c>
      <c r="B1083" s="11">
        <v>38</v>
      </c>
      <c r="C1083" s="11" t="s">
        <v>46</v>
      </c>
      <c r="D1083" s="11" t="s">
        <v>47</v>
      </c>
      <c r="E1083" s="11">
        <v>1.61</v>
      </c>
      <c r="F1083" s="11">
        <v>4.32</v>
      </c>
      <c r="G1083" s="8">
        <f t="shared" si="16"/>
        <v>22.361111111111111</v>
      </c>
    </row>
    <row r="1084" spans="1:7" x14ac:dyDescent="0.25">
      <c r="A1084" s="10">
        <v>45805.71875</v>
      </c>
      <c r="B1084" s="11">
        <v>39</v>
      </c>
      <c r="C1084" s="11" t="s">
        <v>47</v>
      </c>
      <c r="D1084" s="11" t="s">
        <v>48</v>
      </c>
      <c r="E1084" s="11">
        <v>1.55</v>
      </c>
      <c r="F1084" s="11">
        <v>3.75</v>
      </c>
      <c r="G1084" s="8">
        <f t="shared" si="16"/>
        <v>24.8</v>
      </c>
    </row>
    <row r="1085" spans="1:7" x14ac:dyDescent="0.25">
      <c r="A1085" s="10">
        <v>45805.71875</v>
      </c>
      <c r="B1085" s="11">
        <v>40</v>
      </c>
      <c r="C1085" s="11" t="s">
        <v>48</v>
      </c>
      <c r="D1085" s="11" t="s">
        <v>49</v>
      </c>
      <c r="E1085" s="11">
        <v>1.39</v>
      </c>
      <c r="F1085" s="11">
        <v>3.38</v>
      </c>
      <c r="G1085" s="8">
        <f t="shared" si="16"/>
        <v>24.674556213017748</v>
      </c>
    </row>
    <row r="1086" spans="1:7" x14ac:dyDescent="0.25">
      <c r="A1086" s="10">
        <v>45805.71875</v>
      </c>
      <c r="B1086" s="11">
        <v>41</v>
      </c>
      <c r="C1086" s="11" t="s">
        <v>50</v>
      </c>
      <c r="D1086" s="11" t="s">
        <v>51</v>
      </c>
      <c r="E1086" s="11">
        <v>1.56</v>
      </c>
      <c r="F1086" s="11">
        <v>4.5</v>
      </c>
      <c r="G1086" s="8">
        <f t="shared" si="16"/>
        <v>20.8</v>
      </c>
    </row>
    <row r="1087" spans="1:7" x14ac:dyDescent="0.25">
      <c r="A1087" s="10">
        <v>45805.71875</v>
      </c>
      <c r="B1087" s="11">
        <v>42</v>
      </c>
      <c r="C1087" s="11" t="s">
        <v>51</v>
      </c>
      <c r="D1087" s="11" t="s">
        <v>52</v>
      </c>
      <c r="E1087" s="11">
        <v>1.56</v>
      </c>
      <c r="F1087" s="11">
        <v>4.3</v>
      </c>
      <c r="G1087" s="8">
        <f t="shared" si="16"/>
        <v>21.767441860465119</v>
      </c>
    </row>
    <row r="1088" spans="1:7" x14ac:dyDescent="0.25">
      <c r="A1088" s="10">
        <v>45805.71875</v>
      </c>
      <c r="B1088" s="11">
        <v>43</v>
      </c>
      <c r="C1088" s="11" t="s">
        <v>52</v>
      </c>
      <c r="D1088" s="11" t="s">
        <v>53</v>
      </c>
      <c r="E1088" s="11">
        <v>1.51</v>
      </c>
      <c r="F1088" s="11">
        <v>4.08</v>
      </c>
      <c r="G1088" s="8">
        <f t="shared" si="16"/>
        <v>22.205882352941174</v>
      </c>
    </row>
    <row r="1089" spans="1:7" x14ac:dyDescent="0.25">
      <c r="A1089" s="10">
        <v>45805.71875</v>
      </c>
      <c r="B1089" s="11">
        <v>44</v>
      </c>
      <c r="C1089" s="11" t="s">
        <v>54</v>
      </c>
      <c r="D1089" s="11" t="s">
        <v>55</v>
      </c>
      <c r="E1089" s="11">
        <v>1.51</v>
      </c>
      <c r="F1089" s="11">
        <v>4.5</v>
      </c>
      <c r="G1089" s="8">
        <f t="shared" si="16"/>
        <v>20.133333333333333</v>
      </c>
    </row>
    <row r="1090" spans="1:7" x14ac:dyDescent="0.25">
      <c r="A1090" s="10">
        <v>45805.71875</v>
      </c>
      <c r="B1090" s="11">
        <v>45</v>
      </c>
      <c r="C1090" s="11" t="s">
        <v>55</v>
      </c>
      <c r="D1090" s="11" t="s">
        <v>56</v>
      </c>
      <c r="E1090" s="11">
        <v>1.49</v>
      </c>
      <c r="F1090" s="11">
        <v>4.12</v>
      </c>
      <c r="G1090" s="8">
        <f t="shared" si="16"/>
        <v>21.699029126213592</v>
      </c>
    </row>
    <row r="1091" spans="1:7" x14ac:dyDescent="0.25">
      <c r="A1091" s="10">
        <v>45805.71875</v>
      </c>
      <c r="B1091" s="11">
        <v>46</v>
      </c>
      <c r="C1091" s="11" t="s">
        <v>56</v>
      </c>
      <c r="D1091" s="11" t="s">
        <v>57</v>
      </c>
      <c r="E1091" s="11">
        <v>1.52</v>
      </c>
      <c r="F1091" s="11">
        <v>4.07</v>
      </c>
      <c r="G1091" s="8">
        <f t="shared" ref="G1091:G1154" si="17">E1091*60/F1091</f>
        <v>22.407862407862407</v>
      </c>
    </row>
    <row r="1092" spans="1:7" x14ac:dyDescent="0.25">
      <c r="A1092" s="10">
        <v>45805.71875</v>
      </c>
      <c r="B1092" s="11">
        <v>47</v>
      </c>
      <c r="C1092" s="11" t="s">
        <v>58</v>
      </c>
      <c r="D1092" s="11" t="s">
        <v>59</v>
      </c>
      <c r="E1092" s="11">
        <v>1.52</v>
      </c>
      <c r="F1092" s="11">
        <v>5.53</v>
      </c>
      <c r="G1092" s="8">
        <f t="shared" si="17"/>
        <v>16.491862567811935</v>
      </c>
    </row>
    <row r="1093" spans="1:7" x14ac:dyDescent="0.25">
      <c r="A1093" s="10">
        <v>45805.71875</v>
      </c>
      <c r="B1093" s="11">
        <v>48</v>
      </c>
      <c r="C1093" s="11" t="s">
        <v>59</v>
      </c>
      <c r="D1093" s="11" t="s">
        <v>60</v>
      </c>
      <c r="E1093" s="11">
        <v>1.5</v>
      </c>
      <c r="F1093" s="11">
        <v>4.2</v>
      </c>
      <c r="G1093" s="8">
        <f t="shared" si="17"/>
        <v>21.428571428571427</v>
      </c>
    </row>
    <row r="1094" spans="1:7" x14ac:dyDescent="0.25">
      <c r="A1094" s="10">
        <v>45805.71875</v>
      </c>
      <c r="B1094" s="11">
        <v>49</v>
      </c>
      <c r="C1094" s="11" t="s">
        <v>60</v>
      </c>
      <c r="D1094" s="11" t="s">
        <v>61</v>
      </c>
      <c r="E1094" s="11">
        <v>1.54</v>
      </c>
      <c r="F1094" s="11">
        <v>4.6500000000000004</v>
      </c>
      <c r="G1094" s="8">
        <f t="shared" si="17"/>
        <v>19.870967741935484</v>
      </c>
    </row>
    <row r="1095" spans="1:7" x14ac:dyDescent="0.25">
      <c r="A1095" s="10">
        <v>45805.71875</v>
      </c>
      <c r="B1095" s="11">
        <v>50</v>
      </c>
      <c r="C1095" s="11" t="s">
        <v>62</v>
      </c>
      <c r="D1095" s="11" t="s">
        <v>63</v>
      </c>
      <c r="E1095" s="11">
        <v>1.38</v>
      </c>
      <c r="F1095" s="11">
        <v>3.6</v>
      </c>
      <c r="G1095" s="8">
        <f t="shared" si="17"/>
        <v>23</v>
      </c>
    </row>
    <row r="1096" spans="1:7" x14ac:dyDescent="0.25">
      <c r="A1096" s="10">
        <v>45805.71875</v>
      </c>
      <c r="B1096" s="11">
        <v>51</v>
      </c>
      <c r="C1096" s="11" t="s">
        <v>63</v>
      </c>
      <c r="D1096" s="11" t="s">
        <v>64</v>
      </c>
      <c r="E1096" s="11">
        <v>2.79</v>
      </c>
      <c r="F1096" s="11">
        <v>5.87</v>
      </c>
      <c r="G1096" s="8">
        <f t="shared" si="17"/>
        <v>28.517887563884159</v>
      </c>
    </row>
    <row r="1097" spans="1:7" x14ac:dyDescent="0.25">
      <c r="A1097" s="10">
        <v>45805.71875</v>
      </c>
      <c r="B1097" s="11">
        <v>52</v>
      </c>
      <c r="C1097" s="11" t="s">
        <v>64</v>
      </c>
      <c r="D1097" s="11" t="s">
        <v>65</v>
      </c>
      <c r="E1097" s="11">
        <v>1.5</v>
      </c>
      <c r="F1097" s="11">
        <v>2.88</v>
      </c>
      <c r="G1097" s="8">
        <f t="shared" si="17"/>
        <v>31.25</v>
      </c>
    </row>
    <row r="1098" spans="1:7" x14ac:dyDescent="0.25">
      <c r="A1098" s="10">
        <v>45805.71875</v>
      </c>
      <c r="B1098" s="11">
        <v>53</v>
      </c>
      <c r="C1098" s="11" t="s">
        <v>65</v>
      </c>
      <c r="D1098" s="11" t="s">
        <v>66</v>
      </c>
      <c r="E1098" s="11">
        <v>1.46</v>
      </c>
      <c r="F1098" s="11">
        <v>3.73</v>
      </c>
      <c r="G1098" s="8">
        <f t="shared" si="17"/>
        <v>23.485254691689008</v>
      </c>
    </row>
    <row r="1099" spans="1:7" x14ac:dyDescent="0.25">
      <c r="A1099" s="10">
        <v>45805.71875</v>
      </c>
      <c r="B1099" s="11">
        <v>54</v>
      </c>
      <c r="C1099" s="11" t="s">
        <v>67</v>
      </c>
      <c r="D1099" s="11" t="s">
        <v>68</v>
      </c>
      <c r="E1099" s="11">
        <v>1.46</v>
      </c>
      <c r="F1099" s="11">
        <v>3.45</v>
      </c>
      <c r="G1099" s="8">
        <f t="shared" si="17"/>
        <v>25.391304347826082</v>
      </c>
    </row>
    <row r="1100" spans="1:7" x14ac:dyDescent="0.25">
      <c r="A1100" s="10">
        <v>45805.71875</v>
      </c>
      <c r="B1100" s="11">
        <v>55</v>
      </c>
      <c r="C1100" s="11" t="s">
        <v>68</v>
      </c>
      <c r="D1100" s="11" t="s">
        <v>69</v>
      </c>
      <c r="E1100" s="11">
        <v>1.5</v>
      </c>
      <c r="F1100" s="11">
        <v>2.27</v>
      </c>
      <c r="G1100" s="8">
        <f t="shared" si="17"/>
        <v>39.647577092511014</v>
      </c>
    </row>
    <row r="1101" spans="1:7" x14ac:dyDescent="0.25">
      <c r="A1101" s="10">
        <v>45805.71875</v>
      </c>
      <c r="B1101" s="11">
        <v>56</v>
      </c>
      <c r="C1101" s="11" t="s">
        <v>70</v>
      </c>
      <c r="D1101" s="11" t="s">
        <v>71</v>
      </c>
      <c r="E1101" s="11">
        <v>1.51</v>
      </c>
      <c r="F1101" s="11">
        <v>4.55</v>
      </c>
      <c r="G1101" s="8">
        <f t="shared" si="17"/>
        <v>19.912087912087912</v>
      </c>
    </row>
    <row r="1102" spans="1:7" x14ac:dyDescent="0.25">
      <c r="A1102" s="10">
        <v>45805.71875</v>
      </c>
      <c r="B1102" s="11">
        <v>57</v>
      </c>
      <c r="C1102" s="11" t="s">
        <v>71</v>
      </c>
      <c r="D1102" s="11" t="s">
        <v>72</v>
      </c>
      <c r="E1102" s="11">
        <v>1.52</v>
      </c>
      <c r="F1102" s="11">
        <v>4.0999999999999996</v>
      </c>
      <c r="G1102" s="8">
        <f t="shared" si="17"/>
        <v>22.243902439024392</v>
      </c>
    </row>
    <row r="1103" spans="1:7" x14ac:dyDescent="0.25">
      <c r="A1103" s="10">
        <v>45805.71875</v>
      </c>
      <c r="B1103" s="11">
        <v>58</v>
      </c>
      <c r="C1103" s="11" t="s">
        <v>72</v>
      </c>
      <c r="D1103" s="11" t="s">
        <v>73</v>
      </c>
      <c r="E1103" s="11">
        <v>1.5</v>
      </c>
      <c r="F1103" s="11">
        <v>4.32</v>
      </c>
      <c r="G1103" s="8">
        <f t="shared" si="17"/>
        <v>20.833333333333332</v>
      </c>
    </row>
    <row r="1104" spans="1:7" x14ac:dyDescent="0.25">
      <c r="A1104" s="10">
        <v>45805.729166666664</v>
      </c>
      <c r="B1104" s="11">
        <v>1</v>
      </c>
      <c r="C1104" s="11" t="s">
        <v>6</v>
      </c>
      <c r="D1104" s="11" t="s">
        <v>7</v>
      </c>
      <c r="E1104" s="11">
        <v>1.53</v>
      </c>
      <c r="F1104" s="11">
        <v>3.3</v>
      </c>
      <c r="G1104" s="8">
        <f t="shared" si="17"/>
        <v>27.81818181818182</v>
      </c>
    </row>
    <row r="1105" spans="1:7" x14ac:dyDescent="0.25">
      <c r="A1105" s="10">
        <v>45805.729166666664</v>
      </c>
      <c r="B1105" s="11">
        <v>2</v>
      </c>
      <c r="C1105" s="11" t="s">
        <v>7</v>
      </c>
      <c r="D1105" s="11" t="s">
        <v>8</v>
      </c>
      <c r="E1105" s="11">
        <v>1.57</v>
      </c>
      <c r="F1105" s="11">
        <v>6.23</v>
      </c>
      <c r="G1105" s="8">
        <f t="shared" si="17"/>
        <v>15.120385232744782</v>
      </c>
    </row>
    <row r="1106" spans="1:7" x14ac:dyDescent="0.25">
      <c r="A1106" s="10">
        <v>45805.729166666664</v>
      </c>
      <c r="B1106" s="11">
        <v>3</v>
      </c>
      <c r="C1106" s="11" t="s">
        <v>8</v>
      </c>
      <c r="D1106" s="11" t="s">
        <v>9</v>
      </c>
      <c r="E1106" s="11">
        <v>1.5</v>
      </c>
      <c r="F1106" s="11">
        <v>3.57</v>
      </c>
      <c r="G1106" s="8">
        <f t="shared" si="17"/>
        <v>25.210084033613448</v>
      </c>
    </row>
    <row r="1107" spans="1:7" x14ac:dyDescent="0.25">
      <c r="A1107" s="10">
        <v>45805.729166666664</v>
      </c>
      <c r="B1107" s="11">
        <v>4</v>
      </c>
      <c r="C1107" s="11" t="s">
        <v>9</v>
      </c>
      <c r="D1107" s="11" t="s">
        <v>10</v>
      </c>
      <c r="E1107" s="11">
        <v>1.5</v>
      </c>
      <c r="F1107" s="11">
        <v>2.93</v>
      </c>
      <c r="G1107" s="8">
        <f t="shared" si="17"/>
        <v>30.716723549488052</v>
      </c>
    </row>
    <row r="1108" spans="1:7" x14ac:dyDescent="0.25">
      <c r="A1108" s="10">
        <v>45805.729166666664</v>
      </c>
      <c r="B1108" s="11">
        <v>5</v>
      </c>
      <c r="C1108" s="11" t="s">
        <v>10</v>
      </c>
      <c r="D1108" s="11" t="s">
        <v>11</v>
      </c>
      <c r="E1108" s="11">
        <v>1.52</v>
      </c>
      <c r="F1108" s="11">
        <v>3.65</v>
      </c>
      <c r="G1108" s="8">
        <f t="shared" si="17"/>
        <v>24.986301369863014</v>
      </c>
    </row>
    <row r="1109" spans="1:7" x14ac:dyDescent="0.25">
      <c r="A1109" s="10">
        <v>45805.729166666664</v>
      </c>
      <c r="B1109" s="11">
        <v>6</v>
      </c>
      <c r="C1109" s="11" t="s">
        <v>11</v>
      </c>
      <c r="D1109" s="11" t="s">
        <v>12</v>
      </c>
      <c r="E1109" s="11">
        <v>1.5</v>
      </c>
      <c r="F1109" s="11">
        <v>2.93</v>
      </c>
      <c r="G1109" s="8">
        <f t="shared" si="17"/>
        <v>30.716723549488052</v>
      </c>
    </row>
    <row r="1110" spans="1:7" x14ac:dyDescent="0.25">
      <c r="A1110" s="10">
        <v>45805.729166666664</v>
      </c>
      <c r="B1110" s="11">
        <v>7</v>
      </c>
      <c r="C1110" s="11" t="s">
        <v>12</v>
      </c>
      <c r="D1110" s="11" t="s">
        <v>13</v>
      </c>
      <c r="E1110" s="11">
        <v>1.54</v>
      </c>
      <c r="F1110" s="11">
        <v>2.78</v>
      </c>
      <c r="G1110" s="8">
        <f t="shared" si="17"/>
        <v>33.237410071942449</v>
      </c>
    </row>
    <row r="1111" spans="1:7" x14ac:dyDescent="0.25">
      <c r="A1111" s="10">
        <v>45805.729166666664</v>
      </c>
      <c r="B1111" s="11">
        <v>8</v>
      </c>
      <c r="C1111" s="11" t="s">
        <v>13</v>
      </c>
      <c r="D1111" s="11" t="s">
        <v>14</v>
      </c>
      <c r="E1111" s="11">
        <v>1.54</v>
      </c>
      <c r="F1111" s="11">
        <v>3.38</v>
      </c>
      <c r="G1111" s="8">
        <f t="shared" si="17"/>
        <v>27.337278106508879</v>
      </c>
    </row>
    <row r="1112" spans="1:7" x14ac:dyDescent="0.25">
      <c r="A1112" s="10">
        <v>45805.729166666664</v>
      </c>
      <c r="B1112" s="11">
        <v>9</v>
      </c>
      <c r="C1112" s="11" t="s">
        <v>14</v>
      </c>
      <c r="D1112" s="11" t="s">
        <v>15</v>
      </c>
      <c r="E1112" s="11">
        <v>1.52</v>
      </c>
      <c r="F1112" s="11">
        <v>4.2</v>
      </c>
      <c r="G1112" s="8">
        <f t="shared" si="17"/>
        <v>21.714285714285715</v>
      </c>
    </row>
    <row r="1113" spans="1:7" x14ac:dyDescent="0.25">
      <c r="A1113" s="10">
        <v>45805.729166666664</v>
      </c>
      <c r="B1113" s="11">
        <v>10</v>
      </c>
      <c r="C1113" s="11" t="s">
        <v>15</v>
      </c>
      <c r="D1113" s="11" t="s">
        <v>16</v>
      </c>
      <c r="E1113" s="11">
        <v>1.5</v>
      </c>
      <c r="F1113" s="11">
        <v>3.95</v>
      </c>
      <c r="G1113" s="8">
        <f t="shared" si="17"/>
        <v>22.784810126582279</v>
      </c>
    </row>
    <row r="1114" spans="1:7" x14ac:dyDescent="0.25">
      <c r="A1114" s="10">
        <v>45805.729166666664</v>
      </c>
      <c r="B1114" s="11">
        <v>11</v>
      </c>
      <c r="C1114" s="11" t="s">
        <v>16</v>
      </c>
      <c r="D1114" s="11" t="s">
        <v>17</v>
      </c>
      <c r="E1114" s="11">
        <v>1.48</v>
      </c>
      <c r="F1114" s="11">
        <v>3.13</v>
      </c>
      <c r="G1114" s="8">
        <f t="shared" si="17"/>
        <v>28.370607028753994</v>
      </c>
    </row>
    <row r="1115" spans="1:7" x14ac:dyDescent="0.25">
      <c r="A1115" s="10">
        <v>45805.729166666664</v>
      </c>
      <c r="B1115" s="11">
        <v>12</v>
      </c>
      <c r="C1115" s="11" t="s">
        <v>17</v>
      </c>
      <c r="D1115" s="11" t="s">
        <v>18</v>
      </c>
      <c r="E1115" s="11">
        <v>1.46</v>
      </c>
      <c r="F1115" s="11">
        <v>4.53</v>
      </c>
      <c r="G1115" s="8">
        <f t="shared" si="17"/>
        <v>19.337748344370858</v>
      </c>
    </row>
    <row r="1116" spans="1:7" x14ac:dyDescent="0.25">
      <c r="A1116" s="10">
        <v>45805.729166666664</v>
      </c>
      <c r="B1116" s="11">
        <v>13</v>
      </c>
      <c r="C1116" s="11" t="s">
        <v>18</v>
      </c>
      <c r="D1116" s="11" t="s">
        <v>19</v>
      </c>
      <c r="E1116" s="11">
        <v>1.52</v>
      </c>
      <c r="F1116" s="11">
        <v>4.2699999999999996</v>
      </c>
      <c r="G1116" s="8">
        <f t="shared" si="17"/>
        <v>21.358313817330213</v>
      </c>
    </row>
    <row r="1117" spans="1:7" x14ac:dyDescent="0.25">
      <c r="A1117" s="10">
        <v>45805.729166666664</v>
      </c>
      <c r="B1117" s="11">
        <v>14</v>
      </c>
      <c r="C1117" s="11" t="s">
        <v>19</v>
      </c>
      <c r="D1117" s="11" t="s">
        <v>20</v>
      </c>
      <c r="E1117" s="11">
        <v>1.51</v>
      </c>
      <c r="F1117" s="11">
        <v>4.3</v>
      </c>
      <c r="G1117" s="8">
        <f t="shared" si="17"/>
        <v>21.069767441860463</v>
      </c>
    </row>
    <row r="1118" spans="1:7" x14ac:dyDescent="0.25">
      <c r="A1118" s="10">
        <v>45805.729166666664</v>
      </c>
      <c r="B1118" s="11">
        <v>15</v>
      </c>
      <c r="C1118" s="11" t="s">
        <v>20</v>
      </c>
      <c r="D1118" s="11" t="s">
        <v>21</v>
      </c>
      <c r="E1118" s="11">
        <v>1.47</v>
      </c>
      <c r="F1118" s="11">
        <v>3.47</v>
      </c>
      <c r="G1118" s="8">
        <f t="shared" si="17"/>
        <v>25.417867435158502</v>
      </c>
    </row>
    <row r="1119" spans="1:7" x14ac:dyDescent="0.25">
      <c r="A1119" s="10">
        <v>45805.729166666664</v>
      </c>
      <c r="B1119" s="11">
        <v>16</v>
      </c>
      <c r="C1119" s="11" t="s">
        <v>21</v>
      </c>
      <c r="D1119" s="11" t="s">
        <v>22</v>
      </c>
      <c r="E1119" s="11">
        <v>1.5</v>
      </c>
      <c r="F1119" s="11">
        <v>3.38</v>
      </c>
      <c r="G1119" s="8">
        <f t="shared" si="17"/>
        <v>26.627218934911244</v>
      </c>
    </row>
    <row r="1120" spans="1:7" x14ac:dyDescent="0.25">
      <c r="A1120" s="10">
        <v>45805.729166666664</v>
      </c>
      <c r="B1120" s="11">
        <v>17</v>
      </c>
      <c r="C1120" s="11" t="s">
        <v>22</v>
      </c>
      <c r="D1120" s="11" t="s">
        <v>23</v>
      </c>
      <c r="E1120" s="11">
        <v>1.51</v>
      </c>
      <c r="F1120" s="11">
        <v>3.77</v>
      </c>
      <c r="G1120" s="8">
        <f t="shared" si="17"/>
        <v>24.031830238726791</v>
      </c>
    </row>
    <row r="1121" spans="1:7" x14ac:dyDescent="0.25">
      <c r="A1121" s="10">
        <v>45805.729166666664</v>
      </c>
      <c r="B1121" s="11">
        <v>18</v>
      </c>
      <c r="C1121" s="11" t="s">
        <v>23</v>
      </c>
      <c r="D1121" s="11" t="s">
        <v>24</v>
      </c>
      <c r="E1121" s="11">
        <v>1.51</v>
      </c>
      <c r="F1121" s="11">
        <v>3.35</v>
      </c>
      <c r="G1121" s="8">
        <f t="shared" si="17"/>
        <v>27.044776119402982</v>
      </c>
    </row>
    <row r="1122" spans="1:7" x14ac:dyDescent="0.25">
      <c r="A1122" s="10">
        <v>45805.729166666664</v>
      </c>
      <c r="B1122" s="11">
        <v>19</v>
      </c>
      <c r="C1122" s="11" t="s">
        <v>25</v>
      </c>
      <c r="D1122" s="11" t="s">
        <v>26</v>
      </c>
      <c r="E1122" s="11">
        <v>1.5</v>
      </c>
      <c r="F1122" s="11">
        <v>3.48</v>
      </c>
      <c r="G1122" s="8">
        <f t="shared" si="17"/>
        <v>25.862068965517242</v>
      </c>
    </row>
    <row r="1123" spans="1:7" x14ac:dyDescent="0.25">
      <c r="A1123" s="10">
        <v>45805.729166666664</v>
      </c>
      <c r="B1123" s="11">
        <v>20</v>
      </c>
      <c r="C1123" s="11" t="s">
        <v>26</v>
      </c>
      <c r="D1123" s="11" t="s">
        <v>27</v>
      </c>
      <c r="E1123" s="11">
        <v>1.48</v>
      </c>
      <c r="F1123" s="11">
        <v>3.47</v>
      </c>
      <c r="G1123" s="8">
        <f t="shared" si="17"/>
        <v>25.590778097982707</v>
      </c>
    </row>
    <row r="1124" spans="1:7" x14ac:dyDescent="0.25">
      <c r="A1124" s="10">
        <v>45805.729166666664</v>
      </c>
      <c r="B1124" s="11">
        <v>21</v>
      </c>
      <c r="C1124" s="11" t="s">
        <v>27</v>
      </c>
      <c r="D1124" s="11" t="s">
        <v>28</v>
      </c>
      <c r="E1124" s="11">
        <v>1.51</v>
      </c>
      <c r="F1124" s="11">
        <v>3.3</v>
      </c>
      <c r="G1124" s="8">
        <f t="shared" si="17"/>
        <v>27.454545454545453</v>
      </c>
    </row>
    <row r="1125" spans="1:7" x14ac:dyDescent="0.25">
      <c r="A1125" s="10">
        <v>45805.729166666664</v>
      </c>
      <c r="B1125" s="11">
        <v>22</v>
      </c>
      <c r="C1125" s="11" t="s">
        <v>28</v>
      </c>
      <c r="D1125" s="11" t="s">
        <v>29</v>
      </c>
      <c r="E1125" s="11">
        <v>1.57</v>
      </c>
      <c r="F1125" s="11">
        <v>3.73</v>
      </c>
      <c r="G1125" s="8">
        <f t="shared" si="17"/>
        <v>25.254691689008045</v>
      </c>
    </row>
    <row r="1126" spans="1:7" x14ac:dyDescent="0.25">
      <c r="A1126" s="10">
        <v>45805.729166666664</v>
      </c>
      <c r="B1126" s="11">
        <v>23</v>
      </c>
      <c r="C1126" s="11" t="s">
        <v>29</v>
      </c>
      <c r="D1126" s="11" t="s">
        <v>30</v>
      </c>
      <c r="E1126" s="11">
        <v>1.43</v>
      </c>
      <c r="F1126" s="11">
        <v>4.37</v>
      </c>
      <c r="G1126" s="8">
        <f t="shared" si="17"/>
        <v>19.633867276887869</v>
      </c>
    </row>
    <row r="1127" spans="1:7" x14ac:dyDescent="0.25">
      <c r="A1127" s="10">
        <v>45805.729166666664</v>
      </c>
      <c r="B1127" s="11">
        <v>24</v>
      </c>
      <c r="C1127" s="11" t="s">
        <v>30</v>
      </c>
      <c r="D1127" s="11" t="s">
        <v>31</v>
      </c>
      <c r="E1127" s="11">
        <v>1.52</v>
      </c>
      <c r="F1127" s="11">
        <v>3.87</v>
      </c>
      <c r="G1127" s="8">
        <f t="shared" si="17"/>
        <v>23.565891472868216</v>
      </c>
    </row>
    <row r="1128" spans="1:7" x14ac:dyDescent="0.25">
      <c r="A1128" s="10">
        <v>45805.729166666664</v>
      </c>
      <c r="B1128" s="11">
        <v>25</v>
      </c>
      <c r="C1128" s="11" t="s">
        <v>31</v>
      </c>
      <c r="D1128" s="11" t="s">
        <v>32</v>
      </c>
      <c r="E1128" s="11">
        <v>1.52</v>
      </c>
      <c r="F1128" s="11">
        <v>3.47</v>
      </c>
      <c r="G1128" s="8">
        <f t="shared" si="17"/>
        <v>26.282420749279538</v>
      </c>
    </row>
    <row r="1129" spans="1:7" x14ac:dyDescent="0.25">
      <c r="A1129" s="10">
        <v>45805.729166666664</v>
      </c>
      <c r="B1129" s="11">
        <v>26</v>
      </c>
      <c r="C1129" s="11" t="s">
        <v>32</v>
      </c>
      <c r="D1129" s="11" t="s">
        <v>33</v>
      </c>
      <c r="E1129" s="11">
        <v>1.49</v>
      </c>
      <c r="F1129" s="11">
        <v>5.9</v>
      </c>
      <c r="G1129" s="8">
        <f t="shared" si="17"/>
        <v>15.152542372881356</v>
      </c>
    </row>
    <row r="1130" spans="1:7" x14ac:dyDescent="0.25">
      <c r="A1130" s="10">
        <v>45805.729166666664</v>
      </c>
      <c r="B1130" s="11">
        <v>27</v>
      </c>
      <c r="C1130" s="11" t="s">
        <v>33</v>
      </c>
      <c r="D1130" s="11" t="s">
        <v>34</v>
      </c>
      <c r="E1130" s="11">
        <v>1.53</v>
      </c>
      <c r="F1130" s="11">
        <v>4.87</v>
      </c>
      <c r="G1130" s="8">
        <f t="shared" si="17"/>
        <v>18.850102669404517</v>
      </c>
    </row>
    <row r="1131" spans="1:7" x14ac:dyDescent="0.25">
      <c r="A1131" s="10">
        <v>45805.729166666664</v>
      </c>
      <c r="B1131" s="11">
        <v>28</v>
      </c>
      <c r="C1131" s="11" t="s">
        <v>34</v>
      </c>
      <c r="D1131" s="11" t="s">
        <v>35</v>
      </c>
      <c r="E1131" s="11">
        <v>1.51</v>
      </c>
      <c r="F1131" s="11">
        <v>5.2</v>
      </c>
      <c r="G1131" s="8">
        <f t="shared" si="17"/>
        <v>17.42307692307692</v>
      </c>
    </row>
    <row r="1132" spans="1:7" x14ac:dyDescent="0.25">
      <c r="A1132" s="10">
        <v>45805.729166666664</v>
      </c>
      <c r="B1132" s="11">
        <v>29</v>
      </c>
      <c r="C1132" s="11" t="s">
        <v>36</v>
      </c>
      <c r="D1132" s="11" t="s">
        <v>37</v>
      </c>
      <c r="E1132" s="11">
        <v>1.57</v>
      </c>
      <c r="F1132" s="11">
        <v>4.22</v>
      </c>
      <c r="G1132" s="8">
        <f t="shared" si="17"/>
        <v>22.322274881516588</v>
      </c>
    </row>
    <row r="1133" spans="1:7" x14ac:dyDescent="0.25">
      <c r="A1133" s="10">
        <v>45805.729166666664</v>
      </c>
      <c r="B1133" s="11">
        <v>30</v>
      </c>
      <c r="C1133" s="11" t="s">
        <v>37</v>
      </c>
      <c r="D1133" s="11" t="s">
        <v>38</v>
      </c>
      <c r="E1133" s="11">
        <v>1.57</v>
      </c>
      <c r="F1133" s="11">
        <v>3.88</v>
      </c>
      <c r="G1133" s="8">
        <f t="shared" si="17"/>
        <v>24.27835051546392</v>
      </c>
    </row>
    <row r="1134" spans="1:7" x14ac:dyDescent="0.25">
      <c r="A1134" s="10">
        <v>45805.729166666664</v>
      </c>
      <c r="B1134" s="11">
        <v>31</v>
      </c>
      <c r="C1134" s="11" t="s">
        <v>38</v>
      </c>
      <c r="D1134" s="11" t="s">
        <v>39</v>
      </c>
      <c r="E1134" s="11">
        <v>1.52</v>
      </c>
      <c r="F1134" s="11">
        <v>3.12</v>
      </c>
      <c r="G1134" s="8">
        <f t="shared" si="17"/>
        <v>29.23076923076923</v>
      </c>
    </row>
    <row r="1135" spans="1:7" x14ac:dyDescent="0.25">
      <c r="A1135" s="10">
        <v>45805.729166666664</v>
      </c>
      <c r="B1135" s="11">
        <v>32</v>
      </c>
      <c r="C1135" s="11" t="s">
        <v>39</v>
      </c>
      <c r="D1135" s="11" t="s">
        <v>40</v>
      </c>
      <c r="E1135" s="11">
        <v>1.5</v>
      </c>
      <c r="F1135" s="11">
        <v>3.72</v>
      </c>
      <c r="G1135" s="8">
        <f t="shared" si="17"/>
        <v>24.193548387096772</v>
      </c>
    </row>
    <row r="1136" spans="1:7" x14ac:dyDescent="0.25">
      <c r="A1136" s="10">
        <v>45805.729166666664</v>
      </c>
      <c r="B1136" s="11">
        <v>33</v>
      </c>
      <c r="C1136" s="11" t="s">
        <v>40</v>
      </c>
      <c r="D1136" s="11" t="s">
        <v>41</v>
      </c>
      <c r="E1136" s="11">
        <v>1.51</v>
      </c>
      <c r="F1136" s="11">
        <v>2.5299999999999998</v>
      </c>
      <c r="G1136" s="8">
        <f t="shared" si="17"/>
        <v>35.810276679841898</v>
      </c>
    </row>
    <row r="1137" spans="1:7" x14ac:dyDescent="0.25">
      <c r="A1137" s="10">
        <v>45805.729166666664</v>
      </c>
      <c r="B1137" s="11">
        <v>34</v>
      </c>
      <c r="C1137" s="11" t="s">
        <v>41</v>
      </c>
      <c r="D1137" s="11" t="s">
        <v>42</v>
      </c>
      <c r="E1137" s="11">
        <v>1.5</v>
      </c>
      <c r="F1137" s="11">
        <v>2.33</v>
      </c>
      <c r="G1137" s="8">
        <f t="shared" si="17"/>
        <v>38.626609442060087</v>
      </c>
    </row>
    <row r="1138" spans="1:7" x14ac:dyDescent="0.25">
      <c r="A1138" s="10">
        <v>45805.729166666664</v>
      </c>
      <c r="B1138" s="11">
        <v>35</v>
      </c>
      <c r="C1138" s="11" t="s">
        <v>43</v>
      </c>
      <c r="D1138" s="11" t="s">
        <v>44</v>
      </c>
      <c r="E1138" s="11">
        <v>1.55</v>
      </c>
      <c r="F1138" s="11">
        <v>3.98</v>
      </c>
      <c r="G1138" s="8">
        <f t="shared" si="17"/>
        <v>23.366834170854272</v>
      </c>
    </row>
    <row r="1139" spans="1:7" x14ac:dyDescent="0.25">
      <c r="A1139" s="10">
        <v>45805.729166666664</v>
      </c>
      <c r="B1139" s="11">
        <v>36</v>
      </c>
      <c r="C1139" s="11" t="s">
        <v>44</v>
      </c>
      <c r="D1139" s="11" t="s">
        <v>45</v>
      </c>
      <c r="E1139" s="11">
        <v>1.5</v>
      </c>
      <c r="F1139" s="11">
        <v>3.8</v>
      </c>
      <c r="G1139" s="8">
        <f t="shared" si="17"/>
        <v>23.684210526315791</v>
      </c>
    </row>
    <row r="1140" spans="1:7" x14ac:dyDescent="0.25">
      <c r="A1140" s="10">
        <v>45805.729166666664</v>
      </c>
      <c r="B1140" s="11">
        <v>37</v>
      </c>
      <c r="C1140" s="11" t="s">
        <v>45</v>
      </c>
      <c r="D1140" s="11" t="s">
        <v>46</v>
      </c>
      <c r="E1140" s="11">
        <v>1.38</v>
      </c>
      <c r="F1140" s="11">
        <v>4.7300000000000004</v>
      </c>
      <c r="G1140" s="8">
        <f t="shared" si="17"/>
        <v>17.505285412262154</v>
      </c>
    </row>
    <row r="1141" spans="1:7" x14ac:dyDescent="0.25">
      <c r="A1141" s="10">
        <v>45805.729166666664</v>
      </c>
      <c r="B1141" s="11">
        <v>38</v>
      </c>
      <c r="C1141" s="11" t="s">
        <v>46</v>
      </c>
      <c r="D1141" s="11" t="s">
        <v>47</v>
      </c>
      <c r="E1141" s="11">
        <v>1.61</v>
      </c>
      <c r="F1141" s="11">
        <v>4.55</v>
      </c>
      <c r="G1141" s="8">
        <f t="shared" si="17"/>
        <v>21.230769230769234</v>
      </c>
    </row>
    <row r="1142" spans="1:7" x14ac:dyDescent="0.25">
      <c r="A1142" s="10">
        <v>45805.729166666664</v>
      </c>
      <c r="B1142" s="11">
        <v>39</v>
      </c>
      <c r="C1142" s="11" t="s">
        <v>47</v>
      </c>
      <c r="D1142" s="11" t="s">
        <v>48</v>
      </c>
      <c r="E1142" s="11">
        <v>1.55</v>
      </c>
      <c r="F1142" s="11">
        <v>3.6</v>
      </c>
      <c r="G1142" s="8">
        <f t="shared" si="17"/>
        <v>25.833333333333332</v>
      </c>
    </row>
    <row r="1143" spans="1:7" x14ac:dyDescent="0.25">
      <c r="A1143" s="10">
        <v>45805.729166666664</v>
      </c>
      <c r="B1143" s="11">
        <v>40</v>
      </c>
      <c r="C1143" s="11" t="s">
        <v>48</v>
      </c>
      <c r="D1143" s="11" t="s">
        <v>49</v>
      </c>
      <c r="E1143" s="11">
        <v>1.39</v>
      </c>
      <c r="F1143" s="11">
        <v>3.18</v>
      </c>
      <c r="G1143" s="8">
        <f t="shared" si="17"/>
        <v>26.226415094339618</v>
      </c>
    </row>
    <row r="1144" spans="1:7" x14ac:dyDescent="0.25">
      <c r="A1144" s="10">
        <v>45805.729166666664</v>
      </c>
      <c r="B1144" s="11">
        <v>41</v>
      </c>
      <c r="C1144" s="11" t="s">
        <v>50</v>
      </c>
      <c r="D1144" s="11" t="s">
        <v>51</v>
      </c>
      <c r="E1144" s="11">
        <v>1.56</v>
      </c>
      <c r="F1144" s="11">
        <v>4.53</v>
      </c>
      <c r="G1144" s="8">
        <f t="shared" si="17"/>
        <v>20.662251655629142</v>
      </c>
    </row>
    <row r="1145" spans="1:7" x14ac:dyDescent="0.25">
      <c r="A1145" s="10">
        <v>45805.729166666664</v>
      </c>
      <c r="B1145" s="11">
        <v>42</v>
      </c>
      <c r="C1145" s="11" t="s">
        <v>51</v>
      </c>
      <c r="D1145" s="11" t="s">
        <v>52</v>
      </c>
      <c r="E1145" s="11">
        <v>1.56</v>
      </c>
      <c r="F1145" s="11">
        <v>4.4000000000000004</v>
      </c>
      <c r="G1145" s="8">
        <f t="shared" si="17"/>
        <v>21.272727272727273</v>
      </c>
    </row>
    <row r="1146" spans="1:7" x14ac:dyDescent="0.25">
      <c r="A1146" s="10">
        <v>45805.729166666664</v>
      </c>
      <c r="B1146" s="11">
        <v>43</v>
      </c>
      <c r="C1146" s="11" t="s">
        <v>52</v>
      </c>
      <c r="D1146" s="11" t="s">
        <v>53</v>
      </c>
      <c r="E1146" s="11">
        <v>1.51</v>
      </c>
      <c r="F1146" s="11">
        <v>4.0999999999999996</v>
      </c>
      <c r="G1146" s="8">
        <f t="shared" si="17"/>
        <v>22.097560975609756</v>
      </c>
    </row>
    <row r="1147" spans="1:7" x14ac:dyDescent="0.25">
      <c r="A1147" s="10">
        <v>45805.729166666664</v>
      </c>
      <c r="B1147" s="11">
        <v>44</v>
      </c>
      <c r="C1147" s="11" t="s">
        <v>54</v>
      </c>
      <c r="D1147" s="11" t="s">
        <v>55</v>
      </c>
      <c r="E1147" s="11">
        <v>1.51</v>
      </c>
      <c r="F1147" s="11">
        <v>4.68</v>
      </c>
      <c r="G1147" s="8">
        <f t="shared" si="17"/>
        <v>19.358974358974358</v>
      </c>
    </row>
    <row r="1148" spans="1:7" x14ac:dyDescent="0.25">
      <c r="A1148" s="10">
        <v>45805.729166666664</v>
      </c>
      <c r="B1148" s="11">
        <v>45</v>
      </c>
      <c r="C1148" s="11" t="s">
        <v>55</v>
      </c>
      <c r="D1148" s="11" t="s">
        <v>56</v>
      </c>
      <c r="E1148" s="11">
        <v>1.49</v>
      </c>
      <c r="F1148" s="11">
        <v>4.32</v>
      </c>
      <c r="G1148" s="8">
        <f t="shared" si="17"/>
        <v>20.694444444444443</v>
      </c>
    </row>
    <row r="1149" spans="1:7" x14ac:dyDescent="0.25">
      <c r="A1149" s="10">
        <v>45805.729166666664</v>
      </c>
      <c r="B1149" s="11">
        <v>46</v>
      </c>
      <c r="C1149" s="11" t="s">
        <v>56</v>
      </c>
      <c r="D1149" s="11" t="s">
        <v>57</v>
      </c>
      <c r="E1149" s="11">
        <v>1.52</v>
      </c>
      <c r="F1149" s="11">
        <v>4.12</v>
      </c>
      <c r="G1149" s="8">
        <f t="shared" si="17"/>
        <v>22.135922330097088</v>
      </c>
    </row>
    <row r="1150" spans="1:7" x14ac:dyDescent="0.25">
      <c r="A1150" s="10">
        <v>45805.729166666664</v>
      </c>
      <c r="B1150" s="11">
        <v>47</v>
      </c>
      <c r="C1150" s="11" t="s">
        <v>58</v>
      </c>
      <c r="D1150" s="11" t="s">
        <v>59</v>
      </c>
      <c r="E1150" s="11">
        <v>1.52</v>
      </c>
      <c r="F1150" s="11">
        <v>5.57</v>
      </c>
      <c r="G1150" s="8">
        <f t="shared" si="17"/>
        <v>16.373429084380611</v>
      </c>
    </row>
    <row r="1151" spans="1:7" x14ac:dyDescent="0.25">
      <c r="A1151" s="10">
        <v>45805.729166666664</v>
      </c>
      <c r="B1151" s="11">
        <v>48</v>
      </c>
      <c r="C1151" s="11" t="s">
        <v>59</v>
      </c>
      <c r="D1151" s="11" t="s">
        <v>60</v>
      </c>
      <c r="E1151" s="11">
        <v>1.5</v>
      </c>
      <c r="F1151" s="11">
        <v>3.77</v>
      </c>
      <c r="G1151" s="8">
        <f t="shared" si="17"/>
        <v>23.872679045092838</v>
      </c>
    </row>
    <row r="1152" spans="1:7" x14ac:dyDescent="0.25">
      <c r="A1152" s="10">
        <v>45805.729166666664</v>
      </c>
      <c r="B1152" s="11">
        <v>49</v>
      </c>
      <c r="C1152" s="11" t="s">
        <v>60</v>
      </c>
      <c r="D1152" s="11" t="s">
        <v>61</v>
      </c>
      <c r="E1152" s="11">
        <v>1.54</v>
      </c>
      <c r="F1152" s="11">
        <v>4.62</v>
      </c>
      <c r="G1152" s="8">
        <f t="shared" si="17"/>
        <v>20</v>
      </c>
    </row>
    <row r="1153" spans="1:7" x14ac:dyDescent="0.25">
      <c r="A1153" s="10">
        <v>45805.729166666664</v>
      </c>
      <c r="B1153" s="11">
        <v>50</v>
      </c>
      <c r="C1153" s="11" t="s">
        <v>62</v>
      </c>
      <c r="D1153" s="11" t="s">
        <v>63</v>
      </c>
      <c r="E1153" s="11">
        <v>1.38</v>
      </c>
      <c r="F1153" s="11">
        <v>3.52</v>
      </c>
      <c r="G1153" s="8">
        <f t="shared" si="17"/>
        <v>23.522727272727273</v>
      </c>
    </row>
    <row r="1154" spans="1:7" x14ac:dyDescent="0.25">
      <c r="A1154" s="10">
        <v>45805.729166666664</v>
      </c>
      <c r="B1154" s="11">
        <v>51</v>
      </c>
      <c r="C1154" s="11" t="s">
        <v>63</v>
      </c>
      <c r="D1154" s="11" t="s">
        <v>64</v>
      </c>
      <c r="E1154" s="11">
        <v>2.79</v>
      </c>
      <c r="F1154" s="11">
        <v>5.88</v>
      </c>
      <c r="G1154" s="8">
        <f t="shared" si="17"/>
        <v>28.469387755102041</v>
      </c>
    </row>
    <row r="1155" spans="1:7" x14ac:dyDescent="0.25">
      <c r="A1155" s="10">
        <v>45805.729166666664</v>
      </c>
      <c r="B1155" s="11">
        <v>52</v>
      </c>
      <c r="C1155" s="11" t="s">
        <v>64</v>
      </c>
      <c r="D1155" s="11" t="s">
        <v>65</v>
      </c>
      <c r="E1155" s="11">
        <v>1.5</v>
      </c>
      <c r="F1155" s="11">
        <v>2.98</v>
      </c>
      <c r="G1155" s="8">
        <f t="shared" ref="G1155:G1218" si="18">E1155*60/F1155</f>
        <v>30.201342281879196</v>
      </c>
    </row>
    <row r="1156" spans="1:7" x14ac:dyDescent="0.25">
      <c r="A1156" s="10">
        <v>45805.729166666664</v>
      </c>
      <c r="B1156" s="11">
        <v>53</v>
      </c>
      <c r="C1156" s="11" t="s">
        <v>65</v>
      </c>
      <c r="D1156" s="11" t="s">
        <v>66</v>
      </c>
      <c r="E1156" s="11">
        <v>1.46</v>
      </c>
      <c r="F1156" s="11">
        <v>3.8</v>
      </c>
      <c r="G1156" s="8">
        <f t="shared" si="18"/>
        <v>23.052631578947366</v>
      </c>
    </row>
    <row r="1157" spans="1:7" x14ac:dyDescent="0.25">
      <c r="A1157" s="10">
        <v>45805.729166666664</v>
      </c>
      <c r="B1157" s="11">
        <v>54</v>
      </c>
      <c r="C1157" s="11" t="s">
        <v>67</v>
      </c>
      <c r="D1157" s="11" t="s">
        <v>68</v>
      </c>
      <c r="E1157" s="11">
        <v>1.46</v>
      </c>
      <c r="F1157" s="11">
        <v>3.02</v>
      </c>
      <c r="G1157" s="8">
        <f t="shared" si="18"/>
        <v>29.006622516556288</v>
      </c>
    </row>
    <row r="1158" spans="1:7" x14ac:dyDescent="0.25">
      <c r="A1158" s="10">
        <v>45805.729166666664</v>
      </c>
      <c r="B1158" s="11">
        <v>55</v>
      </c>
      <c r="C1158" s="11" t="s">
        <v>68</v>
      </c>
      <c r="D1158" s="11" t="s">
        <v>69</v>
      </c>
      <c r="E1158" s="11">
        <v>1.5</v>
      </c>
      <c r="F1158" s="11">
        <v>2.2999999999999998</v>
      </c>
      <c r="G1158" s="8">
        <f t="shared" si="18"/>
        <v>39.130434782608695</v>
      </c>
    </row>
    <row r="1159" spans="1:7" x14ac:dyDescent="0.25">
      <c r="A1159" s="10">
        <v>45805.729166666664</v>
      </c>
      <c r="B1159" s="11">
        <v>56</v>
      </c>
      <c r="C1159" s="11" t="s">
        <v>70</v>
      </c>
      <c r="D1159" s="11" t="s">
        <v>71</v>
      </c>
      <c r="E1159" s="11">
        <v>1.51</v>
      </c>
      <c r="F1159" s="11">
        <v>4.72</v>
      </c>
      <c r="G1159" s="8">
        <f t="shared" si="18"/>
        <v>19.194915254237287</v>
      </c>
    </row>
    <row r="1160" spans="1:7" x14ac:dyDescent="0.25">
      <c r="A1160" s="10">
        <v>45805.729166666664</v>
      </c>
      <c r="B1160" s="11">
        <v>57</v>
      </c>
      <c r="C1160" s="11" t="s">
        <v>71</v>
      </c>
      <c r="D1160" s="11" t="s">
        <v>72</v>
      </c>
      <c r="E1160" s="11">
        <v>1.52</v>
      </c>
      <c r="F1160" s="11">
        <v>4.03</v>
      </c>
      <c r="G1160" s="8">
        <f t="shared" si="18"/>
        <v>22.630272952853598</v>
      </c>
    </row>
    <row r="1161" spans="1:7" x14ac:dyDescent="0.25">
      <c r="A1161" s="10">
        <v>45805.729166666664</v>
      </c>
      <c r="B1161" s="11">
        <v>58</v>
      </c>
      <c r="C1161" s="11" t="s">
        <v>72</v>
      </c>
      <c r="D1161" s="11" t="s">
        <v>73</v>
      </c>
      <c r="E1161" s="11">
        <v>1.5</v>
      </c>
      <c r="F1161" s="11">
        <v>4.42</v>
      </c>
      <c r="G1161" s="8">
        <f t="shared" si="18"/>
        <v>20.361990950226243</v>
      </c>
    </row>
    <row r="1162" spans="1:7" x14ac:dyDescent="0.25">
      <c r="A1162" s="10">
        <v>45805.739583333336</v>
      </c>
      <c r="B1162" s="11">
        <v>1</v>
      </c>
      <c r="C1162" s="11" t="s">
        <v>6</v>
      </c>
      <c r="D1162" s="11" t="s">
        <v>7</v>
      </c>
      <c r="E1162" s="11">
        <v>1.53</v>
      </c>
      <c r="F1162" s="11">
        <v>3.45</v>
      </c>
      <c r="G1162" s="8">
        <f t="shared" si="18"/>
        <v>26.60869565217391</v>
      </c>
    </row>
    <row r="1163" spans="1:7" x14ac:dyDescent="0.25">
      <c r="A1163" s="10">
        <v>45805.739583333336</v>
      </c>
      <c r="B1163" s="11">
        <v>2</v>
      </c>
      <c r="C1163" s="11" t="s">
        <v>7</v>
      </c>
      <c r="D1163" s="11" t="s">
        <v>8</v>
      </c>
      <c r="E1163" s="11">
        <v>1.57</v>
      </c>
      <c r="F1163" s="11">
        <v>6.65</v>
      </c>
      <c r="G1163" s="8">
        <f t="shared" si="18"/>
        <v>14.165413533834586</v>
      </c>
    </row>
    <row r="1164" spans="1:7" x14ac:dyDescent="0.25">
      <c r="A1164" s="10">
        <v>45805.739583333336</v>
      </c>
      <c r="B1164" s="11">
        <v>3</v>
      </c>
      <c r="C1164" s="11" t="s">
        <v>8</v>
      </c>
      <c r="D1164" s="11" t="s">
        <v>9</v>
      </c>
      <c r="E1164" s="11">
        <v>1.5</v>
      </c>
      <c r="F1164" s="11">
        <v>3.32</v>
      </c>
      <c r="G1164" s="8">
        <f t="shared" si="18"/>
        <v>27.108433734939759</v>
      </c>
    </row>
    <row r="1165" spans="1:7" x14ac:dyDescent="0.25">
      <c r="A1165" s="10">
        <v>45805.739583333336</v>
      </c>
      <c r="B1165" s="11">
        <v>4</v>
      </c>
      <c r="C1165" s="11" t="s">
        <v>9</v>
      </c>
      <c r="D1165" s="11" t="s">
        <v>10</v>
      </c>
      <c r="E1165" s="11">
        <v>1.5</v>
      </c>
      <c r="F1165" s="11">
        <v>2.98</v>
      </c>
      <c r="G1165" s="8">
        <f t="shared" si="18"/>
        <v>30.201342281879196</v>
      </c>
    </row>
    <row r="1166" spans="1:7" x14ac:dyDescent="0.25">
      <c r="A1166" s="10">
        <v>45805.739583333336</v>
      </c>
      <c r="B1166" s="11">
        <v>5</v>
      </c>
      <c r="C1166" s="11" t="s">
        <v>10</v>
      </c>
      <c r="D1166" s="11" t="s">
        <v>11</v>
      </c>
      <c r="E1166" s="11">
        <v>1.52</v>
      </c>
      <c r="F1166" s="11">
        <v>3.75</v>
      </c>
      <c r="G1166" s="8">
        <f t="shared" si="18"/>
        <v>24.32</v>
      </c>
    </row>
    <row r="1167" spans="1:7" x14ac:dyDescent="0.25">
      <c r="A1167" s="10">
        <v>45805.739583333336</v>
      </c>
      <c r="B1167" s="11">
        <v>6</v>
      </c>
      <c r="C1167" s="11" t="s">
        <v>11</v>
      </c>
      <c r="D1167" s="11" t="s">
        <v>12</v>
      </c>
      <c r="E1167" s="11">
        <v>1.5</v>
      </c>
      <c r="F1167" s="11">
        <v>2.73</v>
      </c>
      <c r="G1167" s="8">
        <f t="shared" si="18"/>
        <v>32.967032967032971</v>
      </c>
    </row>
    <row r="1168" spans="1:7" x14ac:dyDescent="0.25">
      <c r="A1168" s="10">
        <v>45805.739583333336</v>
      </c>
      <c r="B1168" s="11">
        <v>7</v>
      </c>
      <c r="C1168" s="11" t="s">
        <v>12</v>
      </c>
      <c r="D1168" s="11" t="s">
        <v>13</v>
      </c>
      <c r="E1168" s="11">
        <v>1.54</v>
      </c>
      <c r="F1168" s="11">
        <v>2.5</v>
      </c>
      <c r="G1168" s="8">
        <f t="shared" si="18"/>
        <v>36.96</v>
      </c>
    </row>
    <row r="1169" spans="1:7" x14ac:dyDescent="0.25">
      <c r="A1169" s="10">
        <v>45805.739583333336</v>
      </c>
      <c r="B1169" s="11">
        <v>8</v>
      </c>
      <c r="C1169" s="11" t="s">
        <v>13</v>
      </c>
      <c r="D1169" s="11" t="s">
        <v>14</v>
      </c>
      <c r="E1169" s="11">
        <v>1.54</v>
      </c>
      <c r="F1169" s="11">
        <v>3.52</v>
      </c>
      <c r="G1169" s="8">
        <f t="shared" si="18"/>
        <v>26.25</v>
      </c>
    </row>
    <row r="1170" spans="1:7" x14ac:dyDescent="0.25">
      <c r="A1170" s="10">
        <v>45805.739583333336</v>
      </c>
      <c r="B1170" s="11">
        <v>9</v>
      </c>
      <c r="C1170" s="11" t="s">
        <v>14</v>
      </c>
      <c r="D1170" s="11" t="s">
        <v>15</v>
      </c>
      <c r="E1170" s="11">
        <v>1.52</v>
      </c>
      <c r="F1170" s="11">
        <v>4.03</v>
      </c>
      <c r="G1170" s="8">
        <f t="shared" si="18"/>
        <v>22.630272952853598</v>
      </c>
    </row>
    <row r="1171" spans="1:7" x14ac:dyDescent="0.25">
      <c r="A1171" s="10">
        <v>45805.739583333336</v>
      </c>
      <c r="B1171" s="11">
        <v>10</v>
      </c>
      <c r="C1171" s="11" t="s">
        <v>15</v>
      </c>
      <c r="D1171" s="11" t="s">
        <v>16</v>
      </c>
      <c r="E1171" s="11">
        <v>1.5</v>
      </c>
      <c r="F1171" s="11">
        <v>4.4800000000000004</v>
      </c>
      <c r="G1171" s="8">
        <f t="shared" si="18"/>
        <v>20.089285714285712</v>
      </c>
    </row>
    <row r="1172" spans="1:7" x14ac:dyDescent="0.25">
      <c r="A1172" s="10">
        <v>45805.739583333336</v>
      </c>
      <c r="B1172" s="11">
        <v>11</v>
      </c>
      <c r="C1172" s="11" t="s">
        <v>16</v>
      </c>
      <c r="D1172" s="11" t="s">
        <v>17</v>
      </c>
      <c r="E1172" s="11">
        <v>1.48</v>
      </c>
      <c r="F1172" s="11">
        <v>3.52</v>
      </c>
      <c r="G1172" s="8">
        <f t="shared" si="18"/>
        <v>25.227272727272727</v>
      </c>
    </row>
    <row r="1173" spans="1:7" x14ac:dyDescent="0.25">
      <c r="A1173" s="10">
        <v>45805.739583333336</v>
      </c>
      <c r="B1173" s="11">
        <v>12</v>
      </c>
      <c r="C1173" s="11" t="s">
        <v>17</v>
      </c>
      <c r="D1173" s="11" t="s">
        <v>18</v>
      </c>
      <c r="E1173" s="11">
        <v>1.46</v>
      </c>
      <c r="F1173" s="11">
        <v>4.95</v>
      </c>
      <c r="G1173" s="8">
        <f t="shared" si="18"/>
        <v>17.696969696969695</v>
      </c>
    </row>
    <row r="1174" spans="1:7" x14ac:dyDescent="0.25">
      <c r="A1174" s="10">
        <v>45805.739583333336</v>
      </c>
      <c r="B1174" s="11">
        <v>13</v>
      </c>
      <c r="C1174" s="11" t="s">
        <v>18</v>
      </c>
      <c r="D1174" s="11" t="s">
        <v>19</v>
      </c>
      <c r="E1174" s="11">
        <v>1.52</v>
      </c>
      <c r="F1174" s="11">
        <v>5.22</v>
      </c>
      <c r="G1174" s="8">
        <f t="shared" si="18"/>
        <v>17.471264367816094</v>
      </c>
    </row>
    <row r="1175" spans="1:7" x14ac:dyDescent="0.25">
      <c r="A1175" s="10">
        <v>45805.739583333336</v>
      </c>
      <c r="B1175" s="11">
        <v>14</v>
      </c>
      <c r="C1175" s="11" t="s">
        <v>19</v>
      </c>
      <c r="D1175" s="11" t="s">
        <v>20</v>
      </c>
      <c r="E1175" s="11">
        <v>1.51</v>
      </c>
      <c r="F1175" s="11">
        <v>4.87</v>
      </c>
      <c r="G1175" s="8">
        <f t="shared" si="18"/>
        <v>18.603696098562626</v>
      </c>
    </row>
    <row r="1176" spans="1:7" x14ac:dyDescent="0.25">
      <c r="A1176" s="10">
        <v>45805.739583333336</v>
      </c>
      <c r="B1176" s="11">
        <v>15</v>
      </c>
      <c r="C1176" s="11" t="s">
        <v>20</v>
      </c>
      <c r="D1176" s="11" t="s">
        <v>21</v>
      </c>
      <c r="E1176" s="11">
        <v>1.47</v>
      </c>
      <c r="F1176" s="11">
        <v>2.78</v>
      </c>
      <c r="G1176" s="8">
        <f t="shared" si="18"/>
        <v>31.726618705035975</v>
      </c>
    </row>
    <row r="1177" spans="1:7" x14ac:dyDescent="0.25">
      <c r="A1177" s="10">
        <v>45805.739583333336</v>
      </c>
      <c r="B1177" s="11">
        <v>16</v>
      </c>
      <c r="C1177" s="11" t="s">
        <v>21</v>
      </c>
      <c r="D1177" s="11" t="s">
        <v>22</v>
      </c>
      <c r="E1177" s="11">
        <v>1.5</v>
      </c>
      <c r="F1177" s="11">
        <v>2.8</v>
      </c>
      <c r="G1177" s="8">
        <f t="shared" si="18"/>
        <v>32.142857142857146</v>
      </c>
    </row>
    <row r="1178" spans="1:7" x14ac:dyDescent="0.25">
      <c r="A1178" s="10">
        <v>45805.739583333336</v>
      </c>
      <c r="B1178" s="11">
        <v>17</v>
      </c>
      <c r="C1178" s="11" t="s">
        <v>22</v>
      </c>
      <c r="D1178" s="11" t="s">
        <v>23</v>
      </c>
      <c r="E1178" s="11">
        <v>1.51</v>
      </c>
      <c r="F1178" s="11">
        <v>4.18</v>
      </c>
      <c r="G1178" s="8">
        <f t="shared" si="18"/>
        <v>21.67464114832536</v>
      </c>
    </row>
    <row r="1179" spans="1:7" x14ac:dyDescent="0.25">
      <c r="A1179" s="10">
        <v>45805.739583333336</v>
      </c>
      <c r="B1179" s="11">
        <v>18</v>
      </c>
      <c r="C1179" s="11" t="s">
        <v>23</v>
      </c>
      <c r="D1179" s="11" t="s">
        <v>24</v>
      </c>
      <c r="E1179" s="11">
        <v>1.51</v>
      </c>
      <c r="F1179" s="11">
        <v>4.12</v>
      </c>
      <c r="G1179" s="8">
        <f t="shared" si="18"/>
        <v>21.990291262135919</v>
      </c>
    </row>
    <row r="1180" spans="1:7" x14ac:dyDescent="0.25">
      <c r="A1180" s="10">
        <v>45805.739583333336</v>
      </c>
      <c r="B1180" s="11">
        <v>19</v>
      </c>
      <c r="C1180" s="11" t="s">
        <v>25</v>
      </c>
      <c r="D1180" s="11" t="s">
        <v>26</v>
      </c>
      <c r="E1180" s="11">
        <v>1.5</v>
      </c>
      <c r="F1180" s="11">
        <v>4.18</v>
      </c>
      <c r="G1180" s="8">
        <f t="shared" si="18"/>
        <v>21.5311004784689</v>
      </c>
    </row>
    <row r="1181" spans="1:7" x14ac:dyDescent="0.25">
      <c r="A1181" s="10">
        <v>45805.739583333336</v>
      </c>
      <c r="B1181" s="11">
        <v>20</v>
      </c>
      <c r="C1181" s="11" t="s">
        <v>26</v>
      </c>
      <c r="D1181" s="11" t="s">
        <v>27</v>
      </c>
      <c r="E1181" s="11">
        <v>1.48</v>
      </c>
      <c r="F1181" s="11">
        <v>3.58</v>
      </c>
      <c r="G1181" s="8">
        <f t="shared" si="18"/>
        <v>24.804469273743017</v>
      </c>
    </row>
    <row r="1182" spans="1:7" x14ac:dyDescent="0.25">
      <c r="A1182" s="10">
        <v>45805.739583333336</v>
      </c>
      <c r="B1182" s="11">
        <v>21</v>
      </c>
      <c r="C1182" s="11" t="s">
        <v>27</v>
      </c>
      <c r="D1182" s="11" t="s">
        <v>28</v>
      </c>
      <c r="E1182" s="11">
        <v>1.51</v>
      </c>
      <c r="F1182" s="11">
        <v>3.92</v>
      </c>
      <c r="G1182" s="8">
        <f t="shared" si="18"/>
        <v>23.112244897959183</v>
      </c>
    </row>
    <row r="1183" spans="1:7" x14ac:dyDescent="0.25">
      <c r="A1183" s="10">
        <v>45805.739583333336</v>
      </c>
      <c r="B1183" s="11">
        <v>22</v>
      </c>
      <c r="C1183" s="11" t="s">
        <v>28</v>
      </c>
      <c r="D1183" s="11" t="s">
        <v>29</v>
      </c>
      <c r="E1183" s="11">
        <v>1.57</v>
      </c>
      <c r="F1183" s="11">
        <v>4.13</v>
      </c>
      <c r="G1183" s="8">
        <f t="shared" si="18"/>
        <v>22.808716707021794</v>
      </c>
    </row>
    <row r="1184" spans="1:7" x14ac:dyDescent="0.25">
      <c r="A1184" s="10">
        <v>45805.739583333336</v>
      </c>
      <c r="B1184" s="11">
        <v>23</v>
      </c>
      <c r="C1184" s="11" t="s">
        <v>29</v>
      </c>
      <c r="D1184" s="11" t="s">
        <v>30</v>
      </c>
      <c r="E1184" s="11">
        <v>1.43</v>
      </c>
      <c r="F1184" s="11">
        <v>6.93</v>
      </c>
      <c r="G1184" s="8">
        <f t="shared" si="18"/>
        <v>12.380952380952381</v>
      </c>
    </row>
    <row r="1185" spans="1:7" x14ac:dyDescent="0.25">
      <c r="A1185" s="10">
        <v>45805.739583333336</v>
      </c>
      <c r="B1185" s="11">
        <v>24</v>
      </c>
      <c r="C1185" s="11" t="s">
        <v>30</v>
      </c>
      <c r="D1185" s="11" t="s">
        <v>31</v>
      </c>
      <c r="E1185" s="11">
        <v>1.52</v>
      </c>
      <c r="F1185" s="11">
        <v>4.55</v>
      </c>
      <c r="G1185" s="8">
        <f t="shared" si="18"/>
        <v>20.043956043956044</v>
      </c>
    </row>
    <row r="1186" spans="1:7" x14ac:dyDescent="0.25">
      <c r="A1186" s="10">
        <v>45805.739583333336</v>
      </c>
      <c r="B1186" s="11">
        <v>25</v>
      </c>
      <c r="C1186" s="11" t="s">
        <v>31</v>
      </c>
      <c r="D1186" s="11" t="s">
        <v>32</v>
      </c>
      <c r="E1186" s="11">
        <v>1.52</v>
      </c>
      <c r="F1186" s="11">
        <v>3.98</v>
      </c>
      <c r="G1186" s="8">
        <f t="shared" si="18"/>
        <v>22.91457286432161</v>
      </c>
    </row>
    <row r="1187" spans="1:7" x14ac:dyDescent="0.25">
      <c r="A1187" s="10">
        <v>45805.739583333336</v>
      </c>
      <c r="B1187" s="11">
        <v>26</v>
      </c>
      <c r="C1187" s="11" t="s">
        <v>32</v>
      </c>
      <c r="D1187" s="11" t="s">
        <v>33</v>
      </c>
      <c r="E1187" s="11">
        <v>1.49</v>
      </c>
      <c r="F1187" s="11">
        <v>7.35</v>
      </c>
      <c r="G1187" s="8">
        <f t="shared" si="18"/>
        <v>12.163265306122451</v>
      </c>
    </row>
    <row r="1188" spans="1:7" x14ac:dyDescent="0.25">
      <c r="A1188" s="10">
        <v>45805.739583333336</v>
      </c>
      <c r="B1188" s="11">
        <v>27</v>
      </c>
      <c r="C1188" s="11" t="s">
        <v>33</v>
      </c>
      <c r="D1188" s="11" t="s">
        <v>34</v>
      </c>
      <c r="E1188" s="11">
        <v>1.53</v>
      </c>
      <c r="F1188" s="11">
        <v>4.37</v>
      </c>
      <c r="G1188" s="8">
        <f t="shared" si="18"/>
        <v>21.006864988558352</v>
      </c>
    </row>
    <row r="1189" spans="1:7" x14ac:dyDescent="0.25">
      <c r="A1189" s="10">
        <v>45805.739583333336</v>
      </c>
      <c r="B1189" s="11">
        <v>28</v>
      </c>
      <c r="C1189" s="11" t="s">
        <v>34</v>
      </c>
      <c r="D1189" s="11" t="s">
        <v>35</v>
      </c>
      <c r="E1189" s="11">
        <v>1.51</v>
      </c>
      <c r="F1189" s="11">
        <v>4.8</v>
      </c>
      <c r="G1189" s="8">
        <f t="shared" si="18"/>
        <v>18.875</v>
      </c>
    </row>
    <row r="1190" spans="1:7" x14ac:dyDescent="0.25">
      <c r="A1190" s="10">
        <v>45805.739583333336</v>
      </c>
      <c r="B1190" s="11">
        <v>29</v>
      </c>
      <c r="C1190" s="11" t="s">
        <v>36</v>
      </c>
      <c r="D1190" s="11" t="s">
        <v>37</v>
      </c>
      <c r="E1190" s="11">
        <v>1.57</v>
      </c>
      <c r="F1190" s="11">
        <v>4.2300000000000004</v>
      </c>
      <c r="G1190" s="8">
        <f t="shared" si="18"/>
        <v>22.269503546099291</v>
      </c>
    </row>
    <row r="1191" spans="1:7" x14ac:dyDescent="0.25">
      <c r="A1191" s="10">
        <v>45805.739583333336</v>
      </c>
      <c r="B1191" s="11">
        <v>30</v>
      </c>
      <c r="C1191" s="11" t="s">
        <v>37</v>
      </c>
      <c r="D1191" s="11" t="s">
        <v>38</v>
      </c>
      <c r="E1191" s="11">
        <v>1.57</v>
      </c>
      <c r="F1191" s="11">
        <v>4.0199999999999996</v>
      </c>
      <c r="G1191" s="8">
        <f t="shared" si="18"/>
        <v>23.432835820895527</v>
      </c>
    </row>
    <row r="1192" spans="1:7" x14ac:dyDescent="0.25">
      <c r="A1192" s="10">
        <v>45805.739583333336</v>
      </c>
      <c r="B1192" s="11">
        <v>31</v>
      </c>
      <c r="C1192" s="11" t="s">
        <v>38</v>
      </c>
      <c r="D1192" s="11" t="s">
        <v>39</v>
      </c>
      <c r="E1192" s="11">
        <v>1.52</v>
      </c>
      <c r="F1192" s="11">
        <v>3.2</v>
      </c>
      <c r="G1192" s="8">
        <f t="shared" si="18"/>
        <v>28.5</v>
      </c>
    </row>
    <row r="1193" spans="1:7" x14ac:dyDescent="0.25">
      <c r="A1193" s="10">
        <v>45805.739583333336</v>
      </c>
      <c r="B1193" s="11">
        <v>32</v>
      </c>
      <c r="C1193" s="11" t="s">
        <v>39</v>
      </c>
      <c r="D1193" s="11" t="s">
        <v>40</v>
      </c>
      <c r="E1193" s="11">
        <v>1.5</v>
      </c>
      <c r="F1193" s="11">
        <v>1.98</v>
      </c>
      <c r="G1193" s="8">
        <f t="shared" si="18"/>
        <v>45.454545454545453</v>
      </c>
    </row>
    <row r="1194" spans="1:7" x14ac:dyDescent="0.25">
      <c r="A1194" s="10">
        <v>45805.739583333336</v>
      </c>
      <c r="B1194" s="11">
        <v>33</v>
      </c>
      <c r="C1194" s="11" t="s">
        <v>40</v>
      </c>
      <c r="D1194" s="11" t="s">
        <v>41</v>
      </c>
      <c r="E1194" s="11">
        <v>1.51</v>
      </c>
      <c r="F1194" s="11">
        <v>2.4</v>
      </c>
      <c r="G1194" s="8">
        <f t="shared" si="18"/>
        <v>37.75</v>
      </c>
    </row>
    <row r="1195" spans="1:7" x14ac:dyDescent="0.25">
      <c r="A1195" s="10">
        <v>45805.739583333336</v>
      </c>
      <c r="B1195" s="11">
        <v>34</v>
      </c>
      <c r="C1195" s="11" t="s">
        <v>41</v>
      </c>
      <c r="D1195" s="11" t="s">
        <v>42</v>
      </c>
      <c r="E1195" s="11">
        <v>1.5</v>
      </c>
      <c r="F1195" s="11">
        <v>2.23</v>
      </c>
      <c r="G1195" s="8">
        <f t="shared" si="18"/>
        <v>40.358744394618832</v>
      </c>
    </row>
    <row r="1196" spans="1:7" x14ac:dyDescent="0.25">
      <c r="A1196" s="10">
        <v>45805.739583333336</v>
      </c>
      <c r="B1196" s="11">
        <v>35</v>
      </c>
      <c r="C1196" s="11" t="s">
        <v>43</v>
      </c>
      <c r="D1196" s="11" t="s">
        <v>44</v>
      </c>
      <c r="E1196" s="11">
        <v>1.55</v>
      </c>
      <c r="F1196" s="11">
        <v>4.0199999999999996</v>
      </c>
      <c r="G1196" s="8">
        <f t="shared" si="18"/>
        <v>23.134328358208958</v>
      </c>
    </row>
    <row r="1197" spans="1:7" x14ac:dyDescent="0.25">
      <c r="A1197" s="10">
        <v>45805.739583333336</v>
      </c>
      <c r="B1197" s="11">
        <v>36</v>
      </c>
      <c r="C1197" s="11" t="s">
        <v>44</v>
      </c>
      <c r="D1197" s="11" t="s">
        <v>45</v>
      </c>
      <c r="E1197" s="11">
        <v>1.5</v>
      </c>
      <c r="F1197" s="11">
        <v>4</v>
      </c>
      <c r="G1197" s="8">
        <f t="shared" si="18"/>
        <v>22.5</v>
      </c>
    </row>
    <row r="1198" spans="1:7" x14ac:dyDescent="0.25">
      <c r="A1198" s="10">
        <v>45805.739583333336</v>
      </c>
      <c r="B1198" s="11">
        <v>37</v>
      </c>
      <c r="C1198" s="11" t="s">
        <v>45</v>
      </c>
      <c r="D1198" s="11" t="s">
        <v>46</v>
      </c>
      <c r="E1198" s="11">
        <v>1.38</v>
      </c>
      <c r="F1198" s="11">
        <v>6.3</v>
      </c>
      <c r="G1198" s="8">
        <f t="shared" si="18"/>
        <v>13.142857142857142</v>
      </c>
    </row>
    <row r="1199" spans="1:7" x14ac:dyDescent="0.25">
      <c r="A1199" s="10">
        <v>45805.739583333336</v>
      </c>
      <c r="B1199" s="11">
        <v>38</v>
      </c>
      <c r="C1199" s="11" t="s">
        <v>46</v>
      </c>
      <c r="D1199" s="11" t="s">
        <v>47</v>
      </c>
      <c r="E1199" s="11">
        <v>1.61</v>
      </c>
      <c r="F1199" s="11">
        <v>4.7699999999999996</v>
      </c>
      <c r="G1199" s="8">
        <f t="shared" si="18"/>
        <v>20.25157232704403</v>
      </c>
    </row>
    <row r="1200" spans="1:7" x14ac:dyDescent="0.25">
      <c r="A1200" s="10">
        <v>45805.739583333336</v>
      </c>
      <c r="B1200" s="11">
        <v>39</v>
      </c>
      <c r="C1200" s="11" t="s">
        <v>47</v>
      </c>
      <c r="D1200" s="11" t="s">
        <v>48</v>
      </c>
      <c r="E1200" s="11">
        <v>1.55</v>
      </c>
      <c r="F1200" s="11">
        <v>3.68</v>
      </c>
      <c r="G1200" s="8">
        <f t="shared" si="18"/>
        <v>25.271739130434781</v>
      </c>
    </row>
    <row r="1201" spans="1:7" x14ac:dyDescent="0.25">
      <c r="A1201" s="10">
        <v>45805.739583333336</v>
      </c>
      <c r="B1201" s="11">
        <v>40</v>
      </c>
      <c r="C1201" s="11" t="s">
        <v>48</v>
      </c>
      <c r="D1201" s="11" t="s">
        <v>49</v>
      </c>
      <c r="E1201" s="11">
        <v>1.39</v>
      </c>
      <c r="F1201" s="11">
        <v>3.28</v>
      </c>
      <c r="G1201" s="8">
        <f t="shared" si="18"/>
        <v>25.426829268292682</v>
      </c>
    </row>
    <row r="1202" spans="1:7" x14ac:dyDescent="0.25">
      <c r="A1202" s="10">
        <v>45805.739583333336</v>
      </c>
      <c r="B1202" s="11">
        <v>41</v>
      </c>
      <c r="C1202" s="11" t="s">
        <v>50</v>
      </c>
      <c r="D1202" s="11" t="s">
        <v>51</v>
      </c>
      <c r="E1202" s="11">
        <v>1.56</v>
      </c>
      <c r="F1202" s="11">
        <v>5.15</v>
      </c>
      <c r="G1202" s="8">
        <f t="shared" si="18"/>
        <v>18.174757281553397</v>
      </c>
    </row>
    <row r="1203" spans="1:7" x14ac:dyDescent="0.25">
      <c r="A1203" s="10">
        <v>45805.739583333336</v>
      </c>
      <c r="B1203" s="11">
        <v>42</v>
      </c>
      <c r="C1203" s="11" t="s">
        <v>51</v>
      </c>
      <c r="D1203" s="11" t="s">
        <v>52</v>
      </c>
      <c r="E1203" s="11">
        <v>1.56</v>
      </c>
      <c r="F1203" s="11">
        <v>5.0199999999999996</v>
      </c>
      <c r="G1203" s="8">
        <f t="shared" si="18"/>
        <v>18.645418326693232</v>
      </c>
    </row>
    <row r="1204" spans="1:7" x14ac:dyDescent="0.25">
      <c r="A1204" s="10">
        <v>45805.739583333336</v>
      </c>
      <c r="B1204" s="11">
        <v>43</v>
      </c>
      <c r="C1204" s="11" t="s">
        <v>52</v>
      </c>
      <c r="D1204" s="11" t="s">
        <v>53</v>
      </c>
      <c r="E1204" s="11">
        <v>1.51</v>
      </c>
      <c r="F1204" s="11">
        <v>4.3499999999999996</v>
      </c>
      <c r="G1204" s="8">
        <f t="shared" si="18"/>
        <v>20.827586206896552</v>
      </c>
    </row>
    <row r="1205" spans="1:7" x14ac:dyDescent="0.25">
      <c r="A1205" s="10">
        <v>45805.739583333336</v>
      </c>
      <c r="B1205" s="11">
        <v>44</v>
      </c>
      <c r="C1205" s="11" t="s">
        <v>54</v>
      </c>
      <c r="D1205" s="11" t="s">
        <v>55</v>
      </c>
      <c r="E1205" s="11">
        <v>1.51</v>
      </c>
      <c r="F1205" s="11">
        <v>4.87</v>
      </c>
      <c r="G1205" s="8">
        <f t="shared" si="18"/>
        <v>18.603696098562626</v>
      </c>
    </row>
    <row r="1206" spans="1:7" x14ac:dyDescent="0.25">
      <c r="A1206" s="10">
        <v>45805.739583333336</v>
      </c>
      <c r="B1206" s="11">
        <v>45</v>
      </c>
      <c r="C1206" s="11" t="s">
        <v>55</v>
      </c>
      <c r="D1206" s="11" t="s">
        <v>56</v>
      </c>
      <c r="E1206" s="11">
        <v>1.49</v>
      </c>
      <c r="F1206" s="11">
        <v>4.62</v>
      </c>
      <c r="G1206" s="8">
        <f t="shared" si="18"/>
        <v>19.350649350649352</v>
      </c>
    </row>
    <row r="1207" spans="1:7" x14ac:dyDescent="0.25">
      <c r="A1207" s="10">
        <v>45805.739583333336</v>
      </c>
      <c r="B1207" s="11">
        <v>46</v>
      </c>
      <c r="C1207" s="11" t="s">
        <v>56</v>
      </c>
      <c r="D1207" s="11" t="s">
        <v>57</v>
      </c>
      <c r="E1207" s="11">
        <v>1.52</v>
      </c>
      <c r="F1207" s="11">
        <v>4.97</v>
      </c>
      <c r="G1207" s="8">
        <f t="shared" si="18"/>
        <v>18.350100603621733</v>
      </c>
    </row>
    <row r="1208" spans="1:7" x14ac:dyDescent="0.25">
      <c r="A1208" s="10">
        <v>45805.739583333336</v>
      </c>
      <c r="B1208" s="11">
        <v>47</v>
      </c>
      <c r="C1208" s="11" t="s">
        <v>58</v>
      </c>
      <c r="D1208" s="11" t="s">
        <v>59</v>
      </c>
      <c r="E1208" s="11">
        <v>1.52</v>
      </c>
      <c r="F1208" s="11">
        <v>5.05</v>
      </c>
      <c r="G1208" s="8">
        <f t="shared" si="18"/>
        <v>18.059405940594061</v>
      </c>
    </row>
    <row r="1209" spans="1:7" x14ac:dyDescent="0.25">
      <c r="A1209" s="10">
        <v>45805.739583333336</v>
      </c>
      <c r="B1209" s="11">
        <v>48</v>
      </c>
      <c r="C1209" s="11" t="s">
        <v>59</v>
      </c>
      <c r="D1209" s="11" t="s">
        <v>60</v>
      </c>
      <c r="E1209" s="11">
        <v>1.5</v>
      </c>
      <c r="F1209" s="11">
        <v>4.87</v>
      </c>
      <c r="G1209" s="8">
        <f t="shared" si="18"/>
        <v>18.480492813141684</v>
      </c>
    </row>
    <row r="1210" spans="1:7" x14ac:dyDescent="0.25">
      <c r="A1210" s="10">
        <v>45805.739583333336</v>
      </c>
      <c r="B1210" s="11">
        <v>49</v>
      </c>
      <c r="C1210" s="11" t="s">
        <v>60</v>
      </c>
      <c r="D1210" s="11" t="s">
        <v>61</v>
      </c>
      <c r="E1210" s="11">
        <v>1.54</v>
      </c>
      <c r="F1210" s="11">
        <v>4.62</v>
      </c>
      <c r="G1210" s="8">
        <f t="shared" si="18"/>
        <v>20</v>
      </c>
    </row>
    <row r="1211" spans="1:7" x14ac:dyDescent="0.25">
      <c r="A1211" s="10">
        <v>45805.739583333336</v>
      </c>
      <c r="B1211" s="11">
        <v>50</v>
      </c>
      <c r="C1211" s="11" t="s">
        <v>62</v>
      </c>
      <c r="D1211" s="11" t="s">
        <v>63</v>
      </c>
      <c r="E1211" s="11">
        <v>1.38</v>
      </c>
      <c r="F1211" s="11">
        <v>3.45</v>
      </c>
      <c r="G1211" s="8">
        <f t="shared" si="18"/>
        <v>23.999999999999996</v>
      </c>
    </row>
    <row r="1212" spans="1:7" x14ac:dyDescent="0.25">
      <c r="A1212" s="10">
        <v>45805.739583333336</v>
      </c>
      <c r="B1212" s="11">
        <v>51</v>
      </c>
      <c r="C1212" s="11" t="s">
        <v>63</v>
      </c>
      <c r="D1212" s="11" t="s">
        <v>64</v>
      </c>
      <c r="E1212" s="11">
        <v>2.79</v>
      </c>
      <c r="F1212" s="11">
        <v>5.95</v>
      </c>
      <c r="G1212" s="8">
        <f t="shared" si="18"/>
        <v>28.134453781512605</v>
      </c>
    </row>
    <row r="1213" spans="1:7" x14ac:dyDescent="0.25">
      <c r="A1213" s="10">
        <v>45805.739583333336</v>
      </c>
      <c r="B1213" s="11">
        <v>52</v>
      </c>
      <c r="C1213" s="11" t="s">
        <v>64</v>
      </c>
      <c r="D1213" s="11" t="s">
        <v>65</v>
      </c>
      <c r="E1213" s="11">
        <v>1.5</v>
      </c>
      <c r="F1213" s="11">
        <v>2.87</v>
      </c>
      <c r="G1213" s="8">
        <f t="shared" si="18"/>
        <v>31.358885017421603</v>
      </c>
    </row>
    <row r="1214" spans="1:7" x14ac:dyDescent="0.25">
      <c r="A1214" s="10">
        <v>45805.739583333336</v>
      </c>
      <c r="B1214" s="11">
        <v>53</v>
      </c>
      <c r="C1214" s="11" t="s">
        <v>65</v>
      </c>
      <c r="D1214" s="11" t="s">
        <v>66</v>
      </c>
      <c r="E1214" s="11">
        <v>1.46</v>
      </c>
      <c r="F1214" s="11">
        <v>3.75</v>
      </c>
      <c r="G1214" s="8">
        <f t="shared" si="18"/>
        <v>23.36</v>
      </c>
    </row>
    <row r="1215" spans="1:7" x14ac:dyDescent="0.25">
      <c r="A1215" s="10">
        <v>45805.739583333336</v>
      </c>
      <c r="B1215" s="11">
        <v>54</v>
      </c>
      <c r="C1215" s="11" t="s">
        <v>67</v>
      </c>
      <c r="D1215" s="11" t="s">
        <v>68</v>
      </c>
      <c r="E1215" s="11">
        <v>1.46</v>
      </c>
      <c r="F1215" s="11">
        <v>3.23</v>
      </c>
      <c r="G1215" s="8">
        <f t="shared" si="18"/>
        <v>27.120743034055725</v>
      </c>
    </row>
    <row r="1216" spans="1:7" x14ac:dyDescent="0.25">
      <c r="A1216" s="10">
        <v>45805.739583333336</v>
      </c>
      <c r="B1216" s="11">
        <v>55</v>
      </c>
      <c r="C1216" s="11" t="s">
        <v>68</v>
      </c>
      <c r="D1216" s="11" t="s">
        <v>69</v>
      </c>
      <c r="E1216" s="11">
        <v>1.5</v>
      </c>
      <c r="F1216" s="11">
        <v>2.27</v>
      </c>
      <c r="G1216" s="8">
        <f t="shared" si="18"/>
        <v>39.647577092511014</v>
      </c>
    </row>
    <row r="1217" spans="1:7" x14ac:dyDescent="0.25">
      <c r="A1217" s="10">
        <v>45805.739583333336</v>
      </c>
      <c r="B1217" s="11">
        <v>56</v>
      </c>
      <c r="C1217" s="11" t="s">
        <v>70</v>
      </c>
      <c r="D1217" s="11" t="s">
        <v>71</v>
      </c>
      <c r="E1217" s="11">
        <v>1.51</v>
      </c>
      <c r="F1217" s="11">
        <v>5.47</v>
      </c>
      <c r="G1217" s="8">
        <f t="shared" si="18"/>
        <v>16.56307129798903</v>
      </c>
    </row>
    <row r="1218" spans="1:7" x14ac:dyDescent="0.25">
      <c r="A1218" s="10">
        <v>45805.739583333336</v>
      </c>
      <c r="B1218" s="11">
        <v>57</v>
      </c>
      <c r="C1218" s="11" t="s">
        <v>71</v>
      </c>
      <c r="D1218" s="11" t="s">
        <v>72</v>
      </c>
      <c r="E1218" s="11">
        <v>1.52</v>
      </c>
      <c r="F1218" s="11">
        <v>5.65</v>
      </c>
      <c r="G1218" s="8">
        <f t="shared" si="18"/>
        <v>16.141592920353983</v>
      </c>
    </row>
    <row r="1219" spans="1:7" x14ac:dyDescent="0.25">
      <c r="A1219" s="10">
        <v>45805.739583333336</v>
      </c>
      <c r="B1219" s="11">
        <v>58</v>
      </c>
      <c r="C1219" s="11" t="s">
        <v>72</v>
      </c>
      <c r="D1219" s="11" t="s">
        <v>73</v>
      </c>
      <c r="E1219" s="11">
        <v>1.5</v>
      </c>
      <c r="F1219" s="11">
        <v>5.18</v>
      </c>
      <c r="G1219" s="8">
        <f t="shared" ref="G1219:G1282" si="19">E1219*60/F1219</f>
        <v>17.374517374517374</v>
      </c>
    </row>
    <row r="1220" spans="1:7" x14ac:dyDescent="0.25">
      <c r="A1220" s="10">
        <v>45805.75</v>
      </c>
      <c r="B1220" s="11">
        <v>1</v>
      </c>
      <c r="C1220" s="11" t="s">
        <v>6</v>
      </c>
      <c r="D1220" s="11" t="s">
        <v>7</v>
      </c>
      <c r="E1220" s="11">
        <v>1.53</v>
      </c>
      <c r="F1220" s="11">
        <v>3.68</v>
      </c>
      <c r="G1220" s="8">
        <f t="shared" si="19"/>
        <v>24.945652173913043</v>
      </c>
    </row>
    <row r="1221" spans="1:7" x14ac:dyDescent="0.25">
      <c r="A1221" s="10">
        <v>45805.75</v>
      </c>
      <c r="B1221" s="11">
        <v>2</v>
      </c>
      <c r="C1221" s="11" t="s">
        <v>7</v>
      </c>
      <c r="D1221" s="11" t="s">
        <v>8</v>
      </c>
      <c r="E1221" s="11">
        <v>1.57</v>
      </c>
      <c r="F1221" s="11">
        <v>7.57</v>
      </c>
      <c r="G1221" s="8">
        <f t="shared" si="19"/>
        <v>12.443857331571994</v>
      </c>
    </row>
    <row r="1222" spans="1:7" x14ac:dyDescent="0.25">
      <c r="A1222" s="10">
        <v>45805.75</v>
      </c>
      <c r="B1222" s="11">
        <v>3</v>
      </c>
      <c r="C1222" s="11" t="s">
        <v>8</v>
      </c>
      <c r="D1222" s="11" t="s">
        <v>9</v>
      </c>
      <c r="E1222" s="11">
        <v>1.5</v>
      </c>
      <c r="F1222" s="11">
        <v>3.73</v>
      </c>
      <c r="G1222" s="8">
        <f t="shared" si="19"/>
        <v>24.128686327077748</v>
      </c>
    </row>
    <row r="1223" spans="1:7" x14ac:dyDescent="0.25">
      <c r="A1223" s="10">
        <v>45805.75</v>
      </c>
      <c r="B1223" s="11">
        <v>4</v>
      </c>
      <c r="C1223" s="11" t="s">
        <v>9</v>
      </c>
      <c r="D1223" s="11" t="s">
        <v>10</v>
      </c>
      <c r="E1223" s="11">
        <v>1.5</v>
      </c>
      <c r="F1223" s="11">
        <v>3.05</v>
      </c>
      <c r="G1223" s="8">
        <f t="shared" si="19"/>
        <v>29.508196721311478</v>
      </c>
    </row>
    <row r="1224" spans="1:7" x14ac:dyDescent="0.25">
      <c r="A1224" s="10">
        <v>45805.75</v>
      </c>
      <c r="B1224" s="11">
        <v>5</v>
      </c>
      <c r="C1224" s="11" t="s">
        <v>10</v>
      </c>
      <c r="D1224" s="11" t="s">
        <v>11</v>
      </c>
      <c r="E1224" s="11">
        <v>1.52</v>
      </c>
      <c r="F1224" s="11">
        <v>4.17</v>
      </c>
      <c r="G1224" s="8">
        <f t="shared" si="19"/>
        <v>21.870503597122305</v>
      </c>
    </row>
    <row r="1225" spans="1:7" x14ac:dyDescent="0.25">
      <c r="A1225" s="10">
        <v>45805.75</v>
      </c>
      <c r="B1225" s="11">
        <v>6</v>
      </c>
      <c r="C1225" s="11" t="s">
        <v>11</v>
      </c>
      <c r="D1225" s="11" t="s">
        <v>12</v>
      </c>
      <c r="E1225" s="11">
        <v>1.5</v>
      </c>
      <c r="F1225" s="11">
        <v>2.8</v>
      </c>
      <c r="G1225" s="8">
        <f t="shared" si="19"/>
        <v>32.142857142857146</v>
      </c>
    </row>
    <row r="1226" spans="1:7" x14ac:dyDescent="0.25">
      <c r="A1226" s="10">
        <v>45805.75</v>
      </c>
      <c r="B1226" s="11">
        <v>7</v>
      </c>
      <c r="C1226" s="11" t="s">
        <v>12</v>
      </c>
      <c r="D1226" s="11" t="s">
        <v>13</v>
      </c>
      <c r="E1226" s="11">
        <v>1.54</v>
      </c>
      <c r="F1226" s="11">
        <v>2.75</v>
      </c>
      <c r="G1226" s="8">
        <f t="shared" si="19"/>
        <v>33.6</v>
      </c>
    </row>
    <row r="1227" spans="1:7" x14ac:dyDescent="0.25">
      <c r="A1227" s="10">
        <v>45805.75</v>
      </c>
      <c r="B1227" s="11">
        <v>8</v>
      </c>
      <c r="C1227" s="11" t="s">
        <v>13</v>
      </c>
      <c r="D1227" s="11" t="s">
        <v>14</v>
      </c>
      <c r="E1227" s="11">
        <v>1.54</v>
      </c>
      <c r="F1227" s="11">
        <v>2.97</v>
      </c>
      <c r="G1227" s="8">
        <f t="shared" si="19"/>
        <v>31.111111111111111</v>
      </c>
    </row>
    <row r="1228" spans="1:7" x14ac:dyDescent="0.25">
      <c r="A1228" s="10">
        <v>45805.75</v>
      </c>
      <c r="B1228" s="11">
        <v>9</v>
      </c>
      <c r="C1228" s="11" t="s">
        <v>14</v>
      </c>
      <c r="D1228" s="11" t="s">
        <v>15</v>
      </c>
      <c r="E1228" s="11">
        <v>1.52</v>
      </c>
      <c r="F1228" s="11">
        <v>4.0199999999999996</v>
      </c>
      <c r="G1228" s="8">
        <f t="shared" si="19"/>
        <v>22.686567164179106</v>
      </c>
    </row>
    <row r="1229" spans="1:7" x14ac:dyDescent="0.25">
      <c r="A1229" s="10">
        <v>45805.75</v>
      </c>
      <c r="B1229" s="11">
        <v>10</v>
      </c>
      <c r="C1229" s="11" t="s">
        <v>15</v>
      </c>
      <c r="D1229" s="11" t="s">
        <v>16</v>
      </c>
      <c r="E1229" s="11">
        <v>1.5</v>
      </c>
      <c r="F1229" s="11">
        <v>5.17</v>
      </c>
      <c r="G1229" s="8">
        <f t="shared" si="19"/>
        <v>17.408123791102515</v>
      </c>
    </row>
    <row r="1230" spans="1:7" x14ac:dyDescent="0.25">
      <c r="A1230" s="10">
        <v>45805.75</v>
      </c>
      <c r="B1230" s="11">
        <v>11</v>
      </c>
      <c r="C1230" s="11" t="s">
        <v>16</v>
      </c>
      <c r="D1230" s="11" t="s">
        <v>17</v>
      </c>
      <c r="E1230" s="11">
        <v>1.48</v>
      </c>
      <c r="F1230" s="11">
        <v>4.3499999999999996</v>
      </c>
      <c r="G1230" s="8">
        <f t="shared" si="19"/>
        <v>20.413793103448278</v>
      </c>
    </row>
    <row r="1231" spans="1:7" x14ac:dyDescent="0.25">
      <c r="A1231" s="10">
        <v>45805.75</v>
      </c>
      <c r="B1231" s="11">
        <v>12</v>
      </c>
      <c r="C1231" s="11" t="s">
        <v>17</v>
      </c>
      <c r="D1231" s="11" t="s">
        <v>18</v>
      </c>
      <c r="E1231" s="11">
        <v>1.46</v>
      </c>
      <c r="F1231" s="11">
        <v>5.12</v>
      </c>
      <c r="G1231" s="8">
        <f t="shared" si="19"/>
        <v>17.109375</v>
      </c>
    </row>
    <row r="1232" spans="1:7" x14ac:dyDescent="0.25">
      <c r="A1232" s="10">
        <v>45805.75</v>
      </c>
      <c r="B1232" s="11">
        <v>13</v>
      </c>
      <c r="C1232" s="11" t="s">
        <v>18</v>
      </c>
      <c r="D1232" s="11" t="s">
        <v>19</v>
      </c>
      <c r="E1232" s="11">
        <v>1.52</v>
      </c>
      <c r="F1232" s="11">
        <v>6.15</v>
      </c>
      <c r="G1232" s="8">
        <f t="shared" si="19"/>
        <v>14.829268292682926</v>
      </c>
    </row>
    <row r="1233" spans="1:7" x14ac:dyDescent="0.25">
      <c r="A1233" s="10">
        <v>45805.75</v>
      </c>
      <c r="B1233" s="11">
        <v>14</v>
      </c>
      <c r="C1233" s="11" t="s">
        <v>19</v>
      </c>
      <c r="D1233" s="11" t="s">
        <v>20</v>
      </c>
      <c r="E1233" s="11">
        <v>1.51</v>
      </c>
      <c r="F1233" s="11">
        <v>3.92</v>
      </c>
      <c r="G1233" s="8">
        <f t="shared" si="19"/>
        <v>23.112244897959183</v>
      </c>
    </row>
    <row r="1234" spans="1:7" x14ac:dyDescent="0.25">
      <c r="A1234" s="10">
        <v>45805.75</v>
      </c>
      <c r="B1234" s="11">
        <v>15</v>
      </c>
      <c r="C1234" s="11" t="s">
        <v>20</v>
      </c>
      <c r="D1234" s="11" t="s">
        <v>21</v>
      </c>
      <c r="E1234" s="11">
        <v>1.47</v>
      </c>
      <c r="F1234" s="11">
        <v>2.9</v>
      </c>
      <c r="G1234" s="8">
        <f t="shared" si="19"/>
        <v>30.413793103448278</v>
      </c>
    </row>
    <row r="1235" spans="1:7" x14ac:dyDescent="0.25">
      <c r="A1235" s="10">
        <v>45805.75</v>
      </c>
      <c r="B1235" s="11">
        <v>16</v>
      </c>
      <c r="C1235" s="11" t="s">
        <v>21</v>
      </c>
      <c r="D1235" s="11" t="s">
        <v>22</v>
      </c>
      <c r="E1235" s="11">
        <v>1.5</v>
      </c>
      <c r="F1235" s="11">
        <v>3.82</v>
      </c>
      <c r="G1235" s="8">
        <f t="shared" si="19"/>
        <v>23.560209424083769</v>
      </c>
    </row>
    <row r="1236" spans="1:7" x14ac:dyDescent="0.25">
      <c r="A1236" s="10">
        <v>45805.75</v>
      </c>
      <c r="B1236" s="11">
        <v>17</v>
      </c>
      <c r="C1236" s="11" t="s">
        <v>22</v>
      </c>
      <c r="D1236" s="11" t="s">
        <v>23</v>
      </c>
      <c r="E1236" s="11">
        <v>1.51</v>
      </c>
      <c r="F1236" s="11">
        <v>4.75</v>
      </c>
      <c r="G1236" s="8">
        <f t="shared" si="19"/>
        <v>19.073684210526313</v>
      </c>
    </row>
    <row r="1237" spans="1:7" x14ac:dyDescent="0.25">
      <c r="A1237" s="10">
        <v>45805.75</v>
      </c>
      <c r="B1237" s="11">
        <v>18</v>
      </c>
      <c r="C1237" s="11" t="s">
        <v>23</v>
      </c>
      <c r="D1237" s="11" t="s">
        <v>24</v>
      </c>
      <c r="E1237" s="11">
        <v>1.51</v>
      </c>
      <c r="F1237" s="11">
        <v>4.33</v>
      </c>
      <c r="G1237" s="8">
        <f t="shared" si="19"/>
        <v>20.92378752886836</v>
      </c>
    </row>
    <row r="1238" spans="1:7" x14ac:dyDescent="0.25">
      <c r="A1238" s="10">
        <v>45805.75</v>
      </c>
      <c r="B1238" s="11">
        <v>19</v>
      </c>
      <c r="C1238" s="11" t="s">
        <v>25</v>
      </c>
      <c r="D1238" s="11" t="s">
        <v>26</v>
      </c>
      <c r="E1238" s="11">
        <v>1.5</v>
      </c>
      <c r="F1238" s="11">
        <v>4.18</v>
      </c>
      <c r="G1238" s="8">
        <f t="shared" si="19"/>
        <v>21.5311004784689</v>
      </c>
    </row>
    <row r="1239" spans="1:7" x14ac:dyDescent="0.25">
      <c r="A1239" s="10">
        <v>45805.75</v>
      </c>
      <c r="B1239" s="11">
        <v>20</v>
      </c>
      <c r="C1239" s="11" t="s">
        <v>26</v>
      </c>
      <c r="D1239" s="11" t="s">
        <v>27</v>
      </c>
      <c r="E1239" s="11">
        <v>1.48</v>
      </c>
      <c r="F1239" s="11">
        <v>3.8</v>
      </c>
      <c r="G1239" s="8">
        <f t="shared" si="19"/>
        <v>23.368421052631579</v>
      </c>
    </row>
    <row r="1240" spans="1:7" x14ac:dyDescent="0.25">
      <c r="A1240" s="10">
        <v>45805.75</v>
      </c>
      <c r="B1240" s="11">
        <v>21</v>
      </c>
      <c r="C1240" s="11" t="s">
        <v>27</v>
      </c>
      <c r="D1240" s="11" t="s">
        <v>28</v>
      </c>
      <c r="E1240" s="11">
        <v>1.51</v>
      </c>
      <c r="F1240" s="11">
        <v>4.07</v>
      </c>
      <c r="G1240" s="8">
        <f t="shared" si="19"/>
        <v>22.260442260442257</v>
      </c>
    </row>
    <row r="1241" spans="1:7" x14ac:dyDescent="0.25">
      <c r="A1241" s="10">
        <v>45805.75</v>
      </c>
      <c r="B1241" s="11">
        <v>22</v>
      </c>
      <c r="C1241" s="11" t="s">
        <v>28</v>
      </c>
      <c r="D1241" s="11" t="s">
        <v>29</v>
      </c>
      <c r="E1241" s="11">
        <v>1.57</v>
      </c>
      <c r="F1241" s="11">
        <v>5.68</v>
      </c>
      <c r="G1241" s="8">
        <f t="shared" si="19"/>
        <v>16.584507042253524</v>
      </c>
    </row>
    <row r="1242" spans="1:7" x14ac:dyDescent="0.25">
      <c r="A1242" s="10">
        <v>45805.75</v>
      </c>
      <c r="B1242" s="11">
        <v>23</v>
      </c>
      <c r="C1242" s="11" t="s">
        <v>29</v>
      </c>
      <c r="D1242" s="11" t="s">
        <v>30</v>
      </c>
      <c r="E1242" s="11">
        <v>1.43</v>
      </c>
      <c r="F1242" s="11">
        <v>7.03</v>
      </c>
      <c r="G1242" s="8">
        <f t="shared" si="19"/>
        <v>12.204836415362731</v>
      </c>
    </row>
    <row r="1243" spans="1:7" x14ac:dyDescent="0.25">
      <c r="A1243" s="10">
        <v>45805.75</v>
      </c>
      <c r="B1243" s="11">
        <v>24</v>
      </c>
      <c r="C1243" s="11" t="s">
        <v>30</v>
      </c>
      <c r="D1243" s="11" t="s">
        <v>31</v>
      </c>
      <c r="E1243" s="11">
        <v>1.52</v>
      </c>
      <c r="F1243" s="11">
        <v>4.72</v>
      </c>
      <c r="G1243" s="8">
        <f t="shared" si="19"/>
        <v>19.322033898305087</v>
      </c>
    </row>
    <row r="1244" spans="1:7" x14ac:dyDescent="0.25">
      <c r="A1244" s="10">
        <v>45805.75</v>
      </c>
      <c r="B1244" s="11">
        <v>25</v>
      </c>
      <c r="C1244" s="11" t="s">
        <v>31</v>
      </c>
      <c r="D1244" s="11" t="s">
        <v>32</v>
      </c>
      <c r="E1244" s="11">
        <v>1.52</v>
      </c>
      <c r="F1244" s="11">
        <v>4.68</v>
      </c>
      <c r="G1244" s="8">
        <f t="shared" si="19"/>
        <v>19.487179487179489</v>
      </c>
    </row>
    <row r="1245" spans="1:7" x14ac:dyDescent="0.25">
      <c r="A1245" s="10">
        <v>45805.75</v>
      </c>
      <c r="B1245" s="11">
        <v>26</v>
      </c>
      <c r="C1245" s="11" t="s">
        <v>32</v>
      </c>
      <c r="D1245" s="11" t="s">
        <v>33</v>
      </c>
      <c r="E1245" s="11">
        <v>1.49</v>
      </c>
      <c r="F1245" s="11">
        <v>6.85</v>
      </c>
      <c r="G1245" s="8">
        <f t="shared" si="19"/>
        <v>13.051094890510951</v>
      </c>
    </row>
    <row r="1246" spans="1:7" x14ac:dyDescent="0.25">
      <c r="A1246" s="10">
        <v>45805.75</v>
      </c>
      <c r="B1246" s="11">
        <v>27</v>
      </c>
      <c r="C1246" s="11" t="s">
        <v>33</v>
      </c>
      <c r="D1246" s="11" t="s">
        <v>34</v>
      </c>
      <c r="E1246" s="11">
        <v>1.53</v>
      </c>
      <c r="F1246" s="11">
        <v>4.6500000000000004</v>
      </c>
      <c r="G1246" s="8">
        <f t="shared" si="19"/>
        <v>19.741935483870964</v>
      </c>
    </row>
    <row r="1247" spans="1:7" x14ac:dyDescent="0.25">
      <c r="A1247" s="10">
        <v>45805.75</v>
      </c>
      <c r="B1247" s="11">
        <v>28</v>
      </c>
      <c r="C1247" s="11" t="s">
        <v>34</v>
      </c>
      <c r="D1247" s="11" t="s">
        <v>35</v>
      </c>
      <c r="E1247" s="11">
        <v>1.51</v>
      </c>
      <c r="F1247" s="11">
        <v>4.82</v>
      </c>
      <c r="G1247" s="8">
        <f t="shared" si="19"/>
        <v>18.796680497925308</v>
      </c>
    </row>
    <row r="1248" spans="1:7" x14ac:dyDescent="0.25">
      <c r="A1248" s="10">
        <v>45805.75</v>
      </c>
      <c r="B1248" s="11">
        <v>29</v>
      </c>
      <c r="C1248" s="11" t="s">
        <v>36</v>
      </c>
      <c r="D1248" s="11" t="s">
        <v>37</v>
      </c>
      <c r="E1248" s="11">
        <v>1.57</v>
      </c>
      <c r="F1248" s="11">
        <v>4.37</v>
      </c>
      <c r="G1248" s="8">
        <f t="shared" si="19"/>
        <v>21.556064073226544</v>
      </c>
    </row>
    <row r="1249" spans="1:7" x14ac:dyDescent="0.25">
      <c r="A1249" s="10">
        <v>45805.75</v>
      </c>
      <c r="B1249" s="11">
        <v>30</v>
      </c>
      <c r="C1249" s="11" t="s">
        <v>37</v>
      </c>
      <c r="D1249" s="11" t="s">
        <v>38</v>
      </c>
      <c r="E1249" s="11">
        <v>1.57</v>
      </c>
      <c r="F1249" s="11">
        <v>3.9</v>
      </c>
      <c r="G1249" s="8">
        <f t="shared" si="19"/>
        <v>24.153846153846157</v>
      </c>
    </row>
    <row r="1250" spans="1:7" x14ac:dyDescent="0.25">
      <c r="A1250" s="10">
        <v>45805.75</v>
      </c>
      <c r="B1250" s="11">
        <v>31</v>
      </c>
      <c r="C1250" s="11" t="s">
        <v>38</v>
      </c>
      <c r="D1250" s="11" t="s">
        <v>39</v>
      </c>
      <c r="E1250" s="11">
        <v>1.52</v>
      </c>
      <c r="F1250" s="11">
        <v>4.08</v>
      </c>
      <c r="G1250" s="8">
        <f t="shared" si="19"/>
        <v>22.352941176470587</v>
      </c>
    </row>
    <row r="1251" spans="1:7" x14ac:dyDescent="0.25">
      <c r="A1251" s="10">
        <v>45805.75</v>
      </c>
      <c r="B1251" s="11">
        <v>32</v>
      </c>
      <c r="C1251" s="11" t="s">
        <v>39</v>
      </c>
      <c r="D1251" s="11" t="s">
        <v>40</v>
      </c>
      <c r="E1251" s="11">
        <v>1.5</v>
      </c>
      <c r="F1251" s="11">
        <v>2.23</v>
      </c>
      <c r="G1251" s="8">
        <f t="shared" si="19"/>
        <v>40.358744394618832</v>
      </c>
    </row>
    <row r="1252" spans="1:7" x14ac:dyDescent="0.25">
      <c r="A1252" s="10">
        <v>45805.75</v>
      </c>
      <c r="B1252" s="11">
        <v>33</v>
      </c>
      <c r="C1252" s="11" t="s">
        <v>40</v>
      </c>
      <c r="D1252" s="11" t="s">
        <v>41</v>
      </c>
      <c r="E1252" s="11">
        <v>1.51</v>
      </c>
      <c r="F1252" s="11">
        <v>2.5</v>
      </c>
      <c r="G1252" s="8">
        <f t="shared" si="19"/>
        <v>36.239999999999995</v>
      </c>
    </row>
    <row r="1253" spans="1:7" x14ac:dyDescent="0.25">
      <c r="A1253" s="10">
        <v>45805.75</v>
      </c>
      <c r="B1253" s="11">
        <v>34</v>
      </c>
      <c r="C1253" s="11" t="s">
        <v>41</v>
      </c>
      <c r="D1253" s="11" t="s">
        <v>42</v>
      </c>
      <c r="E1253" s="11">
        <v>1.5</v>
      </c>
      <c r="F1253" s="11">
        <v>3.45</v>
      </c>
      <c r="G1253" s="8">
        <f t="shared" si="19"/>
        <v>26.086956521739129</v>
      </c>
    </row>
    <row r="1254" spans="1:7" x14ac:dyDescent="0.25">
      <c r="A1254" s="10">
        <v>45805.75</v>
      </c>
      <c r="B1254" s="11">
        <v>35</v>
      </c>
      <c r="C1254" s="11" t="s">
        <v>43</v>
      </c>
      <c r="D1254" s="11" t="s">
        <v>44</v>
      </c>
      <c r="E1254" s="11">
        <v>1.55</v>
      </c>
      <c r="F1254" s="11">
        <v>4.3499999999999996</v>
      </c>
      <c r="G1254" s="8">
        <f t="shared" si="19"/>
        <v>21.379310344827587</v>
      </c>
    </row>
    <row r="1255" spans="1:7" x14ac:dyDescent="0.25">
      <c r="A1255" s="10">
        <v>45805.75</v>
      </c>
      <c r="B1255" s="11">
        <v>36</v>
      </c>
      <c r="C1255" s="11" t="s">
        <v>44</v>
      </c>
      <c r="D1255" s="11" t="s">
        <v>45</v>
      </c>
      <c r="E1255" s="11">
        <v>1.5</v>
      </c>
      <c r="F1255" s="11">
        <v>4.82</v>
      </c>
      <c r="G1255" s="8">
        <f t="shared" si="19"/>
        <v>18.672199170124479</v>
      </c>
    </row>
    <row r="1256" spans="1:7" x14ac:dyDescent="0.25">
      <c r="A1256" s="10">
        <v>45805.75</v>
      </c>
      <c r="B1256" s="11">
        <v>37</v>
      </c>
      <c r="C1256" s="11" t="s">
        <v>45</v>
      </c>
      <c r="D1256" s="11" t="s">
        <v>46</v>
      </c>
      <c r="E1256" s="11">
        <v>1.38</v>
      </c>
      <c r="F1256" s="11">
        <v>7.85</v>
      </c>
      <c r="G1256" s="8">
        <f t="shared" si="19"/>
        <v>10.547770700636942</v>
      </c>
    </row>
    <row r="1257" spans="1:7" x14ac:dyDescent="0.25">
      <c r="A1257" s="10">
        <v>45805.75</v>
      </c>
      <c r="B1257" s="11">
        <v>38</v>
      </c>
      <c r="C1257" s="11" t="s">
        <v>46</v>
      </c>
      <c r="D1257" s="11" t="s">
        <v>47</v>
      </c>
      <c r="E1257" s="11">
        <v>1.61</v>
      </c>
      <c r="F1257" s="11">
        <v>4.7300000000000004</v>
      </c>
      <c r="G1257" s="8">
        <f t="shared" si="19"/>
        <v>20.422832980972515</v>
      </c>
    </row>
    <row r="1258" spans="1:7" x14ac:dyDescent="0.25">
      <c r="A1258" s="10">
        <v>45805.75</v>
      </c>
      <c r="B1258" s="11">
        <v>39</v>
      </c>
      <c r="C1258" s="11" t="s">
        <v>47</v>
      </c>
      <c r="D1258" s="11" t="s">
        <v>48</v>
      </c>
      <c r="E1258" s="11">
        <v>1.55</v>
      </c>
      <c r="F1258" s="11">
        <v>3.88</v>
      </c>
      <c r="G1258" s="8">
        <f t="shared" si="19"/>
        <v>23.969072164948454</v>
      </c>
    </row>
    <row r="1259" spans="1:7" x14ac:dyDescent="0.25">
      <c r="A1259" s="10">
        <v>45805.75</v>
      </c>
      <c r="B1259" s="11">
        <v>40</v>
      </c>
      <c r="C1259" s="11" t="s">
        <v>48</v>
      </c>
      <c r="D1259" s="11" t="s">
        <v>49</v>
      </c>
      <c r="E1259" s="11">
        <v>1.39</v>
      </c>
      <c r="F1259" s="11">
        <v>3.23</v>
      </c>
      <c r="G1259" s="8">
        <f t="shared" si="19"/>
        <v>25.820433436532504</v>
      </c>
    </row>
    <row r="1260" spans="1:7" x14ac:dyDescent="0.25">
      <c r="A1260" s="10">
        <v>45805.75</v>
      </c>
      <c r="B1260" s="11">
        <v>41</v>
      </c>
      <c r="C1260" s="11" t="s">
        <v>50</v>
      </c>
      <c r="D1260" s="11" t="s">
        <v>51</v>
      </c>
      <c r="E1260" s="11">
        <v>1.56</v>
      </c>
      <c r="F1260" s="11">
        <v>6.85</v>
      </c>
      <c r="G1260" s="8">
        <f t="shared" si="19"/>
        <v>13.664233576642337</v>
      </c>
    </row>
    <row r="1261" spans="1:7" x14ac:dyDescent="0.25">
      <c r="A1261" s="10">
        <v>45805.75</v>
      </c>
      <c r="B1261" s="11">
        <v>42</v>
      </c>
      <c r="C1261" s="11" t="s">
        <v>51</v>
      </c>
      <c r="D1261" s="11" t="s">
        <v>52</v>
      </c>
      <c r="E1261" s="11">
        <v>1.56</v>
      </c>
      <c r="F1261" s="11">
        <v>6.7</v>
      </c>
      <c r="G1261" s="8">
        <f t="shared" si="19"/>
        <v>13.970149253731345</v>
      </c>
    </row>
    <row r="1262" spans="1:7" x14ac:dyDescent="0.25">
      <c r="A1262" s="10">
        <v>45805.75</v>
      </c>
      <c r="B1262" s="11">
        <v>43</v>
      </c>
      <c r="C1262" s="11" t="s">
        <v>52</v>
      </c>
      <c r="D1262" s="11" t="s">
        <v>53</v>
      </c>
      <c r="E1262" s="11">
        <v>1.51</v>
      </c>
      <c r="F1262" s="11">
        <v>4.8</v>
      </c>
      <c r="G1262" s="8">
        <f t="shared" si="19"/>
        <v>18.875</v>
      </c>
    </row>
    <row r="1263" spans="1:7" x14ac:dyDescent="0.25">
      <c r="A1263" s="10">
        <v>45805.75</v>
      </c>
      <c r="B1263" s="11">
        <v>44</v>
      </c>
      <c r="C1263" s="11" t="s">
        <v>54</v>
      </c>
      <c r="D1263" s="11" t="s">
        <v>55</v>
      </c>
      <c r="E1263" s="11">
        <v>1.51</v>
      </c>
      <c r="F1263" s="11">
        <v>4.83</v>
      </c>
      <c r="G1263" s="8">
        <f t="shared" si="19"/>
        <v>18.757763975155278</v>
      </c>
    </row>
    <row r="1264" spans="1:7" x14ac:dyDescent="0.25">
      <c r="A1264" s="10">
        <v>45805.75</v>
      </c>
      <c r="B1264" s="11">
        <v>45</v>
      </c>
      <c r="C1264" s="11" t="s">
        <v>55</v>
      </c>
      <c r="D1264" s="11" t="s">
        <v>56</v>
      </c>
      <c r="E1264" s="11">
        <v>1.49</v>
      </c>
      <c r="F1264" s="11">
        <v>6.15</v>
      </c>
      <c r="G1264" s="8">
        <f t="shared" si="19"/>
        <v>14.536585365853659</v>
      </c>
    </row>
    <row r="1265" spans="1:7" x14ac:dyDescent="0.25">
      <c r="A1265" s="10">
        <v>45805.75</v>
      </c>
      <c r="B1265" s="11">
        <v>46</v>
      </c>
      <c r="C1265" s="11" t="s">
        <v>56</v>
      </c>
      <c r="D1265" s="11" t="s">
        <v>57</v>
      </c>
      <c r="E1265" s="11">
        <v>1.52</v>
      </c>
      <c r="F1265" s="11">
        <v>6.33</v>
      </c>
      <c r="G1265" s="8">
        <f t="shared" si="19"/>
        <v>14.407582938388625</v>
      </c>
    </row>
    <row r="1266" spans="1:7" x14ac:dyDescent="0.25">
      <c r="A1266" s="10">
        <v>45805.75</v>
      </c>
      <c r="B1266" s="11">
        <v>47</v>
      </c>
      <c r="C1266" s="11" t="s">
        <v>58</v>
      </c>
      <c r="D1266" s="11" t="s">
        <v>59</v>
      </c>
      <c r="E1266" s="11">
        <v>1.52</v>
      </c>
      <c r="F1266" s="11">
        <v>6.03</v>
      </c>
      <c r="G1266" s="8">
        <f t="shared" si="19"/>
        <v>15.124378109452737</v>
      </c>
    </row>
    <row r="1267" spans="1:7" x14ac:dyDescent="0.25">
      <c r="A1267" s="10">
        <v>45805.75</v>
      </c>
      <c r="B1267" s="11">
        <v>48</v>
      </c>
      <c r="C1267" s="11" t="s">
        <v>59</v>
      </c>
      <c r="D1267" s="11" t="s">
        <v>60</v>
      </c>
      <c r="E1267" s="11">
        <v>1.5</v>
      </c>
      <c r="F1267" s="11">
        <v>6.42</v>
      </c>
      <c r="G1267" s="8">
        <f t="shared" si="19"/>
        <v>14.018691588785046</v>
      </c>
    </row>
    <row r="1268" spans="1:7" x14ac:dyDescent="0.25">
      <c r="A1268" s="10">
        <v>45805.75</v>
      </c>
      <c r="B1268" s="11">
        <v>49</v>
      </c>
      <c r="C1268" s="11" t="s">
        <v>60</v>
      </c>
      <c r="D1268" s="11" t="s">
        <v>61</v>
      </c>
      <c r="E1268" s="11">
        <v>1.54</v>
      </c>
      <c r="F1268" s="11">
        <v>5.33</v>
      </c>
      <c r="G1268" s="8">
        <f t="shared" si="19"/>
        <v>17.335834896810507</v>
      </c>
    </row>
    <row r="1269" spans="1:7" x14ac:dyDescent="0.25">
      <c r="A1269" s="10">
        <v>45805.75</v>
      </c>
      <c r="B1269" s="11">
        <v>50</v>
      </c>
      <c r="C1269" s="11" t="s">
        <v>62</v>
      </c>
      <c r="D1269" s="11" t="s">
        <v>63</v>
      </c>
      <c r="E1269" s="11">
        <v>1.38</v>
      </c>
      <c r="F1269" s="11">
        <v>3.42</v>
      </c>
      <c r="G1269" s="8">
        <f t="shared" si="19"/>
        <v>24.210526315789473</v>
      </c>
    </row>
    <row r="1270" spans="1:7" x14ac:dyDescent="0.25">
      <c r="A1270" s="10">
        <v>45805.75</v>
      </c>
      <c r="B1270" s="11">
        <v>51</v>
      </c>
      <c r="C1270" s="11" t="s">
        <v>63</v>
      </c>
      <c r="D1270" s="11" t="s">
        <v>64</v>
      </c>
      <c r="E1270" s="11">
        <v>2.79</v>
      </c>
      <c r="F1270" s="11">
        <v>6.08</v>
      </c>
      <c r="G1270" s="8">
        <f t="shared" si="19"/>
        <v>27.532894736842106</v>
      </c>
    </row>
    <row r="1271" spans="1:7" x14ac:dyDescent="0.25">
      <c r="A1271" s="10">
        <v>45805.75</v>
      </c>
      <c r="B1271" s="11">
        <v>52</v>
      </c>
      <c r="C1271" s="11" t="s">
        <v>64</v>
      </c>
      <c r="D1271" s="11" t="s">
        <v>65</v>
      </c>
      <c r="E1271" s="11">
        <v>1.5</v>
      </c>
      <c r="F1271" s="11">
        <v>2.87</v>
      </c>
      <c r="G1271" s="8">
        <f t="shared" si="19"/>
        <v>31.358885017421603</v>
      </c>
    </row>
    <row r="1272" spans="1:7" x14ac:dyDescent="0.25">
      <c r="A1272" s="10">
        <v>45805.75</v>
      </c>
      <c r="B1272" s="11">
        <v>53</v>
      </c>
      <c r="C1272" s="11" t="s">
        <v>65</v>
      </c>
      <c r="D1272" s="11" t="s">
        <v>66</v>
      </c>
      <c r="E1272" s="11">
        <v>1.46</v>
      </c>
      <c r="F1272" s="11">
        <v>4.03</v>
      </c>
      <c r="G1272" s="8">
        <f t="shared" si="19"/>
        <v>21.736972704714638</v>
      </c>
    </row>
    <row r="1273" spans="1:7" x14ac:dyDescent="0.25">
      <c r="A1273" s="10">
        <v>45805.75</v>
      </c>
      <c r="B1273" s="11">
        <v>54</v>
      </c>
      <c r="C1273" s="11" t="s">
        <v>67</v>
      </c>
      <c r="D1273" s="11" t="s">
        <v>68</v>
      </c>
      <c r="E1273" s="11">
        <v>1.46</v>
      </c>
      <c r="F1273" s="11">
        <v>3.83</v>
      </c>
      <c r="G1273" s="8">
        <f t="shared" si="19"/>
        <v>22.872062663185378</v>
      </c>
    </row>
    <row r="1274" spans="1:7" x14ac:dyDescent="0.25">
      <c r="A1274" s="10">
        <v>45805.75</v>
      </c>
      <c r="B1274" s="11">
        <v>55</v>
      </c>
      <c r="C1274" s="11" t="s">
        <v>68</v>
      </c>
      <c r="D1274" s="11" t="s">
        <v>69</v>
      </c>
      <c r="E1274" s="11">
        <v>1.5</v>
      </c>
      <c r="F1274" s="11">
        <v>2.27</v>
      </c>
      <c r="G1274" s="8">
        <f t="shared" si="19"/>
        <v>39.647577092511014</v>
      </c>
    </row>
    <row r="1275" spans="1:7" x14ac:dyDescent="0.25">
      <c r="A1275" s="10">
        <v>45805.75</v>
      </c>
      <c r="B1275" s="11">
        <v>56</v>
      </c>
      <c r="C1275" s="11" t="s">
        <v>70</v>
      </c>
      <c r="D1275" s="11" t="s">
        <v>71</v>
      </c>
      <c r="E1275" s="11">
        <v>1.51</v>
      </c>
      <c r="F1275" s="11">
        <v>6.55</v>
      </c>
      <c r="G1275" s="8">
        <f t="shared" si="19"/>
        <v>13.83206106870229</v>
      </c>
    </row>
    <row r="1276" spans="1:7" x14ac:dyDescent="0.25">
      <c r="A1276" s="10">
        <v>45805.75</v>
      </c>
      <c r="B1276" s="11">
        <v>57</v>
      </c>
      <c r="C1276" s="11" t="s">
        <v>71</v>
      </c>
      <c r="D1276" s="11" t="s">
        <v>72</v>
      </c>
      <c r="E1276" s="11">
        <v>1.52</v>
      </c>
      <c r="F1276" s="11">
        <v>6.68</v>
      </c>
      <c r="G1276" s="8">
        <f t="shared" si="19"/>
        <v>13.652694610778443</v>
      </c>
    </row>
    <row r="1277" spans="1:7" x14ac:dyDescent="0.25">
      <c r="A1277" s="10">
        <v>45805.75</v>
      </c>
      <c r="B1277" s="11">
        <v>58</v>
      </c>
      <c r="C1277" s="11" t="s">
        <v>72</v>
      </c>
      <c r="D1277" s="11" t="s">
        <v>73</v>
      </c>
      <c r="E1277" s="11">
        <v>1.5</v>
      </c>
      <c r="F1277" s="11">
        <v>6.27</v>
      </c>
      <c r="G1277" s="8">
        <f t="shared" si="19"/>
        <v>14.354066985645934</v>
      </c>
    </row>
    <row r="1278" spans="1:7" x14ac:dyDescent="0.25">
      <c r="A1278" s="10">
        <v>45805.760416666664</v>
      </c>
      <c r="B1278" s="11">
        <v>1</v>
      </c>
      <c r="C1278" s="11" t="s">
        <v>6</v>
      </c>
      <c r="D1278" s="11" t="s">
        <v>7</v>
      </c>
      <c r="E1278" s="11">
        <v>1.53</v>
      </c>
      <c r="F1278" s="11">
        <v>3.95</v>
      </c>
      <c r="G1278" s="8">
        <f t="shared" si="19"/>
        <v>23.240506329113924</v>
      </c>
    </row>
    <row r="1279" spans="1:7" x14ac:dyDescent="0.25">
      <c r="A1279" s="10">
        <v>45805.760416666664</v>
      </c>
      <c r="B1279" s="11">
        <v>2</v>
      </c>
      <c r="C1279" s="11" t="s">
        <v>7</v>
      </c>
      <c r="D1279" s="11" t="s">
        <v>8</v>
      </c>
      <c r="E1279" s="11">
        <v>1.57</v>
      </c>
      <c r="F1279" s="11">
        <v>7.53</v>
      </c>
      <c r="G1279" s="8">
        <f t="shared" si="19"/>
        <v>12.509960159362549</v>
      </c>
    </row>
    <row r="1280" spans="1:7" x14ac:dyDescent="0.25">
      <c r="A1280" s="10">
        <v>45805.760416666664</v>
      </c>
      <c r="B1280" s="11">
        <v>3</v>
      </c>
      <c r="C1280" s="11" t="s">
        <v>8</v>
      </c>
      <c r="D1280" s="11" t="s">
        <v>9</v>
      </c>
      <c r="E1280" s="11">
        <v>1.5</v>
      </c>
      <c r="F1280" s="11">
        <v>3.7</v>
      </c>
      <c r="G1280" s="8">
        <f t="shared" si="19"/>
        <v>24.324324324324323</v>
      </c>
    </row>
    <row r="1281" spans="1:7" x14ac:dyDescent="0.25">
      <c r="A1281" s="10">
        <v>45805.760416666664</v>
      </c>
      <c r="B1281" s="11">
        <v>4</v>
      </c>
      <c r="C1281" s="11" t="s">
        <v>9</v>
      </c>
      <c r="D1281" s="11" t="s">
        <v>10</v>
      </c>
      <c r="E1281" s="11">
        <v>1.5</v>
      </c>
      <c r="F1281" s="11">
        <v>3.07</v>
      </c>
      <c r="G1281" s="8">
        <f t="shared" si="19"/>
        <v>29.31596091205212</v>
      </c>
    </row>
    <row r="1282" spans="1:7" x14ac:dyDescent="0.25">
      <c r="A1282" s="10">
        <v>45805.760416666664</v>
      </c>
      <c r="B1282" s="11">
        <v>5</v>
      </c>
      <c r="C1282" s="11" t="s">
        <v>10</v>
      </c>
      <c r="D1282" s="11" t="s">
        <v>11</v>
      </c>
      <c r="E1282" s="11">
        <v>1.52</v>
      </c>
      <c r="F1282" s="11">
        <v>5.07</v>
      </c>
      <c r="G1282" s="8">
        <f t="shared" si="19"/>
        <v>17.988165680473372</v>
      </c>
    </row>
    <row r="1283" spans="1:7" x14ac:dyDescent="0.25">
      <c r="A1283" s="10">
        <v>45805.760416666664</v>
      </c>
      <c r="B1283" s="11">
        <v>6</v>
      </c>
      <c r="C1283" s="11" t="s">
        <v>11</v>
      </c>
      <c r="D1283" s="11" t="s">
        <v>12</v>
      </c>
      <c r="E1283" s="11">
        <v>1.5</v>
      </c>
      <c r="F1283" s="11">
        <v>2.77</v>
      </c>
      <c r="G1283" s="8">
        <f t="shared" ref="G1283:G1346" si="20">E1283*60/F1283</f>
        <v>32.490974729241877</v>
      </c>
    </row>
    <row r="1284" spans="1:7" x14ac:dyDescent="0.25">
      <c r="A1284" s="10">
        <v>45805.760416666664</v>
      </c>
      <c r="B1284" s="11">
        <v>7</v>
      </c>
      <c r="C1284" s="11" t="s">
        <v>12</v>
      </c>
      <c r="D1284" s="11" t="s">
        <v>13</v>
      </c>
      <c r="E1284" s="11">
        <v>1.54</v>
      </c>
      <c r="F1284" s="11">
        <v>2.73</v>
      </c>
      <c r="G1284" s="8">
        <f t="shared" si="20"/>
        <v>33.846153846153847</v>
      </c>
    </row>
    <row r="1285" spans="1:7" x14ac:dyDescent="0.25">
      <c r="A1285" s="10">
        <v>45805.760416666664</v>
      </c>
      <c r="B1285" s="11">
        <v>8</v>
      </c>
      <c r="C1285" s="11" t="s">
        <v>13</v>
      </c>
      <c r="D1285" s="11" t="s">
        <v>14</v>
      </c>
      <c r="E1285" s="11">
        <v>1.54</v>
      </c>
      <c r="F1285" s="11">
        <v>3.47</v>
      </c>
      <c r="G1285" s="8">
        <f t="shared" si="20"/>
        <v>26.628242074927954</v>
      </c>
    </row>
    <row r="1286" spans="1:7" x14ac:dyDescent="0.25">
      <c r="A1286" s="10">
        <v>45805.760416666664</v>
      </c>
      <c r="B1286" s="11">
        <v>9</v>
      </c>
      <c r="C1286" s="11" t="s">
        <v>14</v>
      </c>
      <c r="D1286" s="11" t="s">
        <v>15</v>
      </c>
      <c r="E1286" s="11">
        <v>1.52</v>
      </c>
      <c r="F1286" s="11">
        <v>4.45</v>
      </c>
      <c r="G1286" s="8">
        <f t="shared" si="20"/>
        <v>20.49438202247191</v>
      </c>
    </row>
    <row r="1287" spans="1:7" x14ac:dyDescent="0.25">
      <c r="A1287" s="10">
        <v>45805.760416666664</v>
      </c>
      <c r="B1287" s="11">
        <v>10</v>
      </c>
      <c r="C1287" s="11" t="s">
        <v>15</v>
      </c>
      <c r="D1287" s="11" t="s">
        <v>16</v>
      </c>
      <c r="E1287" s="11">
        <v>1.5</v>
      </c>
      <c r="F1287" s="11">
        <v>5.03</v>
      </c>
      <c r="G1287" s="8">
        <f t="shared" si="20"/>
        <v>17.892644135188867</v>
      </c>
    </row>
    <row r="1288" spans="1:7" x14ac:dyDescent="0.25">
      <c r="A1288" s="10">
        <v>45805.760416666664</v>
      </c>
      <c r="B1288" s="11">
        <v>11</v>
      </c>
      <c r="C1288" s="11" t="s">
        <v>16</v>
      </c>
      <c r="D1288" s="11" t="s">
        <v>17</v>
      </c>
      <c r="E1288" s="11">
        <v>1.48</v>
      </c>
      <c r="F1288" s="11">
        <v>5.85</v>
      </c>
      <c r="G1288" s="8">
        <f t="shared" si="20"/>
        <v>15.179487179487181</v>
      </c>
    </row>
    <row r="1289" spans="1:7" x14ac:dyDescent="0.25">
      <c r="A1289" s="10">
        <v>45805.760416666664</v>
      </c>
      <c r="B1289" s="11">
        <v>12</v>
      </c>
      <c r="C1289" s="11" t="s">
        <v>17</v>
      </c>
      <c r="D1289" s="11" t="s">
        <v>18</v>
      </c>
      <c r="E1289" s="11">
        <v>1.46</v>
      </c>
      <c r="F1289" s="11">
        <v>4.6500000000000004</v>
      </c>
      <c r="G1289" s="8">
        <f t="shared" si="20"/>
        <v>18.838709677419352</v>
      </c>
    </row>
    <row r="1290" spans="1:7" x14ac:dyDescent="0.25">
      <c r="A1290" s="10">
        <v>45805.760416666664</v>
      </c>
      <c r="B1290" s="11">
        <v>13</v>
      </c>
      <c r="C1290" s="11" t="s">
        <v>18</v>
      </c>
      <c r="D1290" s="11" t="s">
        <v>19</v>
      </c>
      <c r="E1290" s="11">
        <v>1.52</v>
      </c>
      <c r="F1290" s="11">
        <v>6.27</v>
      </c>
      <c r="G1290" s="8">
        <f t="shared" si="20"/>
        <v>14.545454545454547</v>
      </c>
    </row>
    <row r="1291" spans="1:7" x14ac:dyDescent="0.25">
      <c r="A1291" s="10">
        <v>45805.760416666664</v>
      </c>
      <c r="B1291" s="11">
        <v>14</v>
      </c>
      <c r="C1291" s="11" t="s">
        <v>19</v>
      </c>
      <c r="D1291" s="11" t="s">
        <v>20</v>
      </c>
      <c r="E1291" s="11">
        <v>1.51</v>
      </c>
      <c r="F1291" s="11">
        <v>4.58</v>
      </c>
      <c r="G1291" s="8">
        <f t="shared" si="20"/>
        <v>19.781659388646286</v>
      </c>
    </row>
    <row r="1292" spans="1:7" x14ac:dyDescent="0.25">
      <c r="A1292" s="10">
        <v>45805.760416666664</v>
      </c>
      <c r="B1292" s="11">
        <v>15</v>
      </c>
      <c r="C1292" s="11" t="s">
        <v>20</v>
      </c>
      <c r="D1292" s="11" t="s">
        <v>21</v>
      </c>
      <c r="E1292" s="11">
        <v>1.47</v>
      </c>
      <c r="F1292" s="11">
        <v>2.72</v>
      </c>
      <c r="G1292" s="8">
        <f t="shared" si="20"/>
        <v>32.42647058823529</v>
      </c>
    </row>
    <row r="1293" spans="1:7" x14ac:dyDescent="0.25">
      <c r="A1293" s="10">
        <v>45805.760416666664</v>
      </c>
      <c r="B1293" s="11">
        <v>16</v>
      </c>
      <c r="C1293" s="11" t="s">
        <v>21</v>
      </c>
      <c r="D1293" s="11" t="s">
        <v>22</v>
      </c>
      <c r="E1293" s="11">
        <v>1.5</v>
      </c>
      <c r="F1293" s="11">
        <v>6.48</v>
      </c>
      <c r="G1293" s="8">
        <f t="shared" si="20"/>
        <v>13.888888888888888</v>
      </c>
    </row>
    <row r="1294" spans="1:7" x14ac:dyDescent="0.25">
      <c r="A1294" s="10">
        <v>45805.760416666664</v>
      </c>
      <c r="B1294" s="11">
        <v>17</v>
      </c>
      <c r="C1294" s="11" t="s">
        <v>22</v>
      </c>
      <c r="D1294" s="11" t="s">
        <v>23</v>
      </c>
      <c r="E1294" s="11">
        <v>1.51</v>
      </c>
      <c r="F1294" s="11">
        <v>4.28</v>
      </c>
      <c r="G1294" s="8">
        <f t="shared" si="20"/>
        <v>21.168224299065418</v>
      </c>
    </row>
    <row r="1295" spans="1:7" x14ac:dyDescent="0.25">
      <c r="A1295" s="10">
        <v>45805.760416666664</v>
      </c>
      <c r="B1295" s="11">
        <v>18</v>
      </c>
      <c r="C1295" s="11" t="s">
        <v>23</v>
      </c>
      <c r="D1295" s="11" t="s">
        <v>24</v>
      </c>
      <c r="E1295" s="11">
        <v>1.51</v>
      </c>
      <c r="F1295" s="11">
        <v>4.5</v>
      </c>
      <c r="G1295" s="8">
        <f t="shared" si="20"/>
        <v>20.133333333333333</v>
      </c>
    </row>
    <row r="1296" spans="1:7" x14ac:dyDescent="0.25">
      <c r="A1296" s="10">
        <v>45805.760416666664</v>
      </c>
      <c r="B1296" s="11">
        <v>19</v>
      </c>
      <c r="C1296" s="11" t="s">
        <v>25</v>
      </c>
      <c r="D1296" s="11" t="s">
        <v>26</v>
      </c>
      <c r="E1296" s="11">
        <v>1.5</v>
      </c>
      <c r="F1296" s="11">
        <v>3.8</v>
      </c>
      <c r="G1296" s="8">
        <f t="shared" si="20"/>
        <v>23.684210526315791</v>
      </c>
    </row>
    <row r="1297" spans="1:7" x14ac:dyDescent="0.25">
      <c r="A1297" s="10">
        <v>45805.760416666664</v>
      </c>
      <c r="B1297" s="11">
        <v>20</v>
      </c>
      <c r="C1297" s="11" t="s">
        <v>26</v>
      </c>
      <c r="D1297" s="11" t="s">
        <v>27</v>
      </c>
      <c r="E1297" s="11">
        <v>1.48</v>
      </c>
      <c r="F1297" s="11">
        <v>3.48</v>
      </c>
      <c r="G1297" s="8">
        <f t="shared" si="20"/>
        <v>25.517241379310345</v>
      </c>
    </row>
    <row r="1298" spans="1:7" x14ac:dyDescent="0.25">
      <c r="A1298" s="10">
        <v>45805.760416666664</v>
      </c>
      <c r="B1298" s="11">
        <v>21</v>
      </c>
      <c r="C1298" s="11" t="s">
        <v>27</v>
      </c>
      <c r="D1298" s="11" t="s">
        <v>28</v>
      </c>
      <c r="E1298" s="11">
        <v>1.51</v>
      </c>
      <c r="F1298" s="11">
        <v>3.75</v>
      </c>
      <c r="G1298" s="8">
        <f t="shared" si="20"/>
        <v>24.16</v>
      </c>
    </row>
    <row r="1299" spans="1:7" x14ac:dyDescent="0.25">
      <c r="A1299" s="10">
        <v>45805.760416666664</v>
      </c>
      <c r="B1299" s="11">
        <v>22</v>
      </c>
      <c r="C1299" s="11" t="s">
        <v>28</v>
      </c>
      <c r="D1299" s="11" t="s">
        <v>29</v>
      </c>
      <c r="E1299" s="11">
        <v>1.57</v>
      </c>
      <c r="F1299" s="11">
        <v>5.65</v>
      </c>
      <c r="G1299" s="8">
        <f t="shared" si="20"/>
        <v>16.672566371681416</v>
      </c>
    </row>
    <row r="1300" spans="1:7" x14ac:dyDescent="0.25">
      <c r="A1300" s="10">
        <v>45805.760416666664</v>
      </c>
      <c r="B1300" s="11">
        <v>23</v>
      </c>
      <c r="C1300" s="11" t="s">
        <v>29</v>
      </c>
      <c r="D1300" s="11" t="s">
        <v>30</v>
      </c>
      <c r="E1300" s="11">
        <v>1.43</v>
      </c>
      <c r="F1300" s="11">
        <v>6.03</v>
      </c>
      <c r="G1300" s="8">
        <f t="shared" si="20"/>
        <v>14.228855721393034</v>
      </c>
    </row>
    <row r="1301" spans="1:7" x14ac:dyDescent="0.25">
      <c r="A1301" s="10">
        <v>45805.760416666664</v>
      </c>
      <c r="B1301" s="11">
        <v>24</v>
      </c>
      <c r="C1301" s="11" t="s">
        <v>30</v>
      </c>
      <c r="D1301" s="11" t="s">
        <v>31</v>
      </c>
      <c r="E1301" s="11">
        <v>1.52</v>
      </c>
      <c r="F1301" s="11">
        <v>4.53</v>
      </c>
      <c r="G1301" s="8">
        <f t="shared" si="20"/>
        <v>20.132450331125828</v>
      </c>
    </row>
    <row r="1302" spans="1:7" x14ac:dyDescent="0.25">
      <c r="A1302" s="10">
        <v>45805.760416666664</v>
      </c>
      <c r="B1302" s="11">
        <v>25</v>
      </c>
      <c r="C1302" s="11" t="s">
        <v>31</v>
      </c>
      <c r="D1302" s="11" t="s">
        <v>32</v>
      </c>
      <c r="E1302" s="11">
        <v>1.52</v>
      </c>
      <c r="F1302" s="11">
        <v>3.83</v>
      </c>
      <c r="G1302" s="8">
        <f t="shared" si="20"/>
        <v>23.812010443864231</v>
      </c>
    </row>
    <row r="1303" spans="1:7" x14ac:dyDescent="0.25">
      <c r="A1303" s="10">
        <v>45805.760416666664</v>
      </c>
      <c r="B1303" s="11">
        <v>26</v>
      </c>
      <c r="C1303" s="11" t="s">
        <v>32</v>
      </c>
      <c r="D1303" s="11" t="s">
        <v>33</v>
      </c>
      <c r="E1303" s="11">
        <v>1.49</v>
      </c>
      <c r="F1303" s="11">
        <v>9.3699999999999992</v>
      </c>
      <c r="G1303" s="8">
        <f t="shared" si="20"/>
        <v>9.541088580576309</v>
      </c>
    </row>
    <row r="1304" spans="1:7" x14ac:dyDescent="0.25">
      <c r="A1304" s="10">
        <v>45805.760416666664</v>
      </c>
      <c r="B1304" s="11">
        <v>27</v>
      </c>
      <c r="C1304" s="11" t="s">
        <v>33</v>
      </c>
      <c r="D1304" s="11" t="s">
        <v>34</v>
      </c>
      <c r="E1304" s="11">
        <v>1.53</v>
      </c>
      <c r="F1304" s="11">
        <v>4.57</v>
      </c>
      <c r="G1304" s="8">
        <f t="shared" si="20"/>
        <v>20.087527352297592</v>
      </c>
    </row>
    <row r="1305" spans="1:7" x14ac:dyDescent="0.25">
      <c r="A1305" s="10">
        <v>45805.760416666664</v>
      </c>
      <c r="B1305" s="11">
        <v>28</v>
      </c>
      <c r="C1305" s="11" t="s">
        <v>34</v>
      </c>
      <c r="D1305" s="11" t="s">
        <v>35</v>
      </c>
      <c r="E1305" s="11">
        <v>1.51</v>
      </c>
      <c r="F1305" s="11">
        <v>5.28</v>
      </c>
      <c r="G1305" s="8">
        <f t="shared" si="20"/>
        <v>17.159090909090907</v>
      </c>
    </row>
    <row r="1306" spans="1:7" x14ac:dyDescent="0.25">
      <c r="A1306" s="10">
        <v>45805.760416666664</v>
      </c>
      <c r="B1306" s="11">
        <v>29</v>
      </c>
      <c r="C1306" s="11" t="s">
        <v>36</v>
      </c>
      <c r="D1306" s="11" t="s">
        <v>37</v>
      </c>
      <c r="E1306" s="11">
        <v>1.57</v>
      </c>
      <c r="F1306" s="11">
        <v>4.05</v>
      </c>
      <c r="G1306" s="8">
        <f t="shared" si="20"/>
        <v>23.25925925925926</v>
      </c>
    </row>
    <row r="1307" spans="1:7" x14ac:dyDescent="0.25">
      <c r="A1307" s="10">
        <v>45805.760416666664</v>
      </c>
      <c r="B1307" s="11">
        <v>30</v>
      </c>
      <c r="C1307" s="11" t="s">
        <v>37</v>
      </c>
      <c r="D1307" s="11" t="s">
        <v>38</v>
      </c>
      <c r="E1307" s="11">
        <v>1.57</v>
      </c>
      <c r="F1307" s="11">
        <v>4.7</v>
      </c>
      <c r="G1307" s="8">
        <f t="shared" si="20"/>
        <v>20.042553191489361</v>
      </c>
    </row>
    <row r="1308" spans="1:7" x14ac:dyDescent="0.25">
      <c r="A1308" s="10">
        <v>45805.760416666664</v>
      </c>
      <c r="B1308" s="11">
        <v>31</v>
      </c>
      <c r="C1308" s="11" t="s">
        <v>38</v>
      </c>
      <c r="D1308" s="11" t="s">
        <v>39</v>
      </c>
      <c r="E1308" s="11">
        <v>1.52</v>
      </c>
      <c r="F1308" s="11">
        <v>3.72</v>
      </c>
      <c r="G1308" s="8">
        <f t="shared" si="20"/>
        <v>24.516129032258064</v>
      </c>
    </row>
    <row r="1309" spans="1:7" x14ac:dyDescent="0.25">
      <c r="A1309" s="10">
        <v>45805.760416666664</v>
      </c>
      <c r="B1309" s="11">
        <v>32</v>
      </c>
      <c r="C1309" s="11" t="s">
        <v>39</v>
      </c>
      <c r="D1309" s="11" t="s">
        <v>40</v>
      </c>
      <c r="E1309" s="11">
        <v>1.5</v>
      </c>
      <c r="F1309" s="11">
        <v>2.38</v>
      </c>
      <c r="G1309" s="8">
        <f t="shared" si="20"/>
        <v>37.815126050420169</v>
      </c>
    </row>
    <row r="1310" spans="1:7" x14ac:dyDescent="0.25">
      <c r="A1310" s="10">
        <v>45805.760416666664</v>
      </c>
      <c r="B1310" s="11">
        <v>33</v>
      </c>
      <c r="C1310" s="11" t="s">
        <v>40</v>
      </c>
      <c r="D1310" s="11" t="s">
        <v>41</v>
      </c>
      <c r="E1310" s="11">
        <v>1.51</v>
      </c>
      <c r="F1310" s="11">
        <v>2.68</v>
      </c>
      <c r="G1310" s="8">
        <f t="shared" si="20"/>
        <v>33.805970149253724</v>
      </c>
    </row>
    <row r="1311" spans="1:7" x14ac:dyDescent="0.25">
      <c r="A1311" s="10">
        <v>45805.760416666664</v>
      </c>
      <c r="B1311" s="11">
        <v>34</v>
      </c>
      <c r="C1311" s="11" t="s">
        <v>41</v>
      </c>
      <c r="D1311" s="11" t="s">
        <v>42</v>
      </c>
      <c r="E1311" s="11">
        <v>1.5</v>
      </c>
      <c r="F1311" s="11">
        <v>4.5199999999999996</v>
      </c>
      <c r="G1311" s="8">
        <f t="shared" si="20"/>
        <v>19.911504424778762</v>
      </c>
    </row>
    <row r="1312" spans="1:7" x14ac:dyDescent="0.25">
      <c r="A1312" s="10">
        <v>45805.760416666664</v>
      </c>
      <c r="B1312" s="11">
        <v>35</v>
      </c>
      <c r="C1312" s="11" t="s">
        <v>43</v>
      </c>
      <c r="D1312" s="11" t="s">
        <v>44</v>
      </c>
      <c r="E1312" s="11">
        <v>1.55</v>
      </c>
      <c r="F1312" s="11">
        <v>4.3</v>
      </c>
      <c r="G1312" s="8">
        <f t="shared" si="20"/>
        <v>21.627906976744185</v>
      </c>
    </row>
    <row r="1313" spans="1:7" x14ac:dyDescent="0.25">
      <c r="A1313" s="10">
        <v>45805.760416666664</v>
      </c>
      <c r="B1313" s="11">
        <v>36</v>
      </c>
      <c r="C1313" s="11" t="s">
        <v>44</v>
      </c>
      <c r="D1313" s="11" t="s">
        <v>45</v>
      </c>
      <c r="E1313" s="11">
        <v>1.5</v>
      </c>
      <c r="F1313" s="11">
        <v>4.63</v>
      </c>
      <c r="G1313" s="8">
        <f t="shared" si="20"/>
        <v>19.438444924406049</v>
      </c>
    </row>
    <row r="1314" spans="1:7" x14ac:dyDescent="0.25">
      <c r="A1314" s="10">
        <v>45805.760416666664</v>
      </c>
      <c r="B1314" s="11">
        <v>37</v>
      </c>
      <c r="C1314" s="11" t="s">
        <v>45</v>
      </c>
      <c r="D1314" s="11" t="s">
        <v>46</v>
      </c>
      <c r="E1314" s="11">
        <v>1.38</v>
      </c>
      <c r="F1314" s="11">
        <v>6.62</v>
      </c>
      <c r="G1314" s="8">
        <f t="shared" si="20"/>
        <v>12.507552870090635</v>
      </c>
    </row>
    <row r="1315" spans="1:7" x14ac:dyDescent="0.25">
      <c r="A1315" s="10">
        <v>45805.760416666664</v>
      </c>
      <c r="B1315" s="11">
        <v>38</v>
      </c>
      <c r="C1315" s="11" t="s">
        <v>46</v>
      </c>
      <c r="D1315" s="11" t="s">
        <v>47</v>
      </c>
      <c r="E1315" s="11">
        <v>1.61</v>
      </c>
      <c r="F1315" s="11">
        <v>5.45</v>
      </c>
      <c r="G1315" s="8">
        <f t="shared" si="20"/>
        <v>17.724770642201836</v>
      </c>
    </row>
    <row r="1316" spans="1:7" x14ac:dyDescent="0.25">
      <c r="A1316" s="10">
        <v>45805.760416666664</v>
      </c>
      <c r="B1316" s="11">
        <v>39</v>
      </c>
      <c r="C1316" s="11" t="s">
        <v>47</v>
      </c>
      <c r="D1316" s="11" t="s">
        <v>48</v>
      </c>
      <c r="E1316" s="11">
        <v>1.55</v>
      </c>
      <c r="F1316" s="11">
        <v>3.85</v>
      </c>
      <c r="G1316" s="8">
        <f t="shared" si="20"/>
        <v>24.155844155844154</v>
      </c>
    </row>
    <row r="1317" spans="1:7" x14ac:dyDescent="0.25">
      <c r="A1317" s="10">
        <v>45805.760416666664</v>
      </c>
      <c r="B1317" s="11">
        <v>40</v>
      </c>
      <c r="C1317" s="11" t="s">
        <v>48</v>
      </c>
      <c r="D1317" s="11" t="s">
        <v>49</v>
      </c>
      <c r="E1317" s="11">
        <v>1.39</v>
      </c>
      <c r="F1317" s="11">
        <v>3.22</v>
      </c>
      <c r="G1317" s="8">
        <f t="shared" si="20"/>
        <v>25.900621118012417</v>
      </c>
    </row>
    <row r="1318" spans="1:7" x14ac:dyDescent="0.25">
      <c r="A1318" s="10">
        <v>45805.760416666664</v>
      </c>
      <c r="B1318" s="11">
        <v>41</v>
      </c>
      <c r="C1318" s="11" t="s">
        <v>50</v>
      </c>
      <c r="D1318" s="11" t="s">
        <v>51</v>
      </c>
      <c r="E1318" s="11">
        <v>1.56</v>
      </c>
      <c r="F1318" s="11">
        <v>6.18</v>
      </c>
      <c r="G1318" s="8">
        <f t="shared" si="20"/>
        <v>15.145631067961167</v>
      </c>
    </row>
    <row r="1319" spans="1:7" x14ac:dyDescent="0.25">
      <c r="A1319" s="10">
        <v>45805.760416666664</v>
      </c>
      <c r="B1319" s="11">
        <v>42</v>
      </c>
      <c r="C1319" s="11" t="s">
        <v>51</v>
      </c>
      <c r="D1319" s="11" t="s">
        <v>52</v>
      </c>
      <c r="E1319" s="11">
        <v>1.56</v>
      </c>
      <c r="F1319" s="11">
        <v>6.33</v>
      </c>
      <c r="G1319" s="8">
        <f t="shared" si="20"/>
        <v>14.786729857819907</v>
      </c>
    </row>
    <row r="1320" spans="1:7" x14ac:dyDescent="0.25">
      <c r="A1320" s="10">
        <v>45805.760416666664</v>
      </c>
      <c r="B1320" s="11">
        <v>43</v>
      </c>
      <c r="C1320" s="11" t="s">
        <v>52</v>
      </c>
      <c r="D1320" s="11" t="s">
        <v>53</v>
      </c>
      <c r="E1320" s="11">
        <v>1.51</v>
      </c>
      <c r="F1320" s="11">
        <v>4.25</v>
      </c>
      <c r="G1320" s="8">
        <f t="shared" si="20"/>
        <v>21.317647058823528</v>
      </c>
    </row>
    <row r="1321" spans="1:7" x14ac:dyDescent="0.25">
      <c r="A1321" s="10">
        <v>45805.760416666664</v>
      </c>
      <c r="B1321" s="11">
        <v>44</v>
      </c>
      <c r="C1321" s="11" t="s">
        <v>54</v>
      </c>
      <c r="D1321" s="11" t="s">
        <v>55</v>
      </c>
      <c r="E1321" s="11">
        <v>1.51</v>
      </c>
      <c r="F1321" s="11">
        <v>4.63</v>
      </c>
      <c r="G1321" s="8">
        <f t="shared" si="20"/>
        <v>19.568034557235421</v>
      </c>
    </row>
    <row r="1322" spans="1:7" x14ac:dyDescent="0.25">
      <c r="A1322" s="10">
        <v>45805.760416666664</v>
      </c>
      <c r="B1322" s="11">
        <v>45</v>
      </c>
      <c r="C1322" s="11" t="s">
        <v>55</v>
      </c>
      <c r="D1322" s="11" t="s">
        <v>56</v>
      </c>
      <c r="E1322" s="11">
        <v>1.49</v>
      </c>
      <c r="F1322" s="11">
        <v>6.3</v>
      </c>
      <c r="G1322" s="8">
        <f t="shared" si="20"/>
        <v>14.190476190476192</v>
      </c>
    </row>
    <row r="1323" spans="1:7" x14ac:dyDescent="0.25">
      <c r="A1323" s="10">
        <v>45805.760416666664</v>
      </c>
      <c r="B1323" s="11">
        <v>46</v>
      </c>
      <c r="C1323" s="11" t="s">
        <v>56</v>
      </c>
      <c r="D1323" s="11" t="s">
        <v>57</v>
      </c>
      <c r="E1323" s="11">
        <v>1.52</v>
      </c>
      <c r="F1323" s="11">
        <v>5.25</v>
      </c>
      <c r="G1323" s="8">
        <f t="shared" si="20"/>
        <v>17.371428571428574</v>
      </c>
    </row>
    <row r="1324" spans="1:7" x14ac:dyDescent="0.25">
      <c r="A1324" s="10">
        <v>45805.760416666664</v>
      </c>
      <c r="B1324" s="11">
        <v>47</v>
      </c>
      <c r="C1324" s="11" t="s">
        <v>58</v>
      </c>
      <c r="D1324" s="11" t="s">
        <v>59</v>
      </c>
      <c r="E1324" s="11">
        <v>1.52</v>
      </c>
      <c r="F1324" s="11">
        <v>6.03</v>
      </c>
      <c r="G1324" s="8">
        <f t="shared" si="20"/>
        <v>15.124378109452737</v>
      </c>
    </row>
    <row r="1325" spans="1:7" x14ac:dyDescent="0.25">
      <c r="A1325" s="10">
        <v>45805.760416666664</v>
      </c>
      <c r="B1325" s="11">
        <v>48</v>
      </c>
      <c r="C1325" s="11" t="s">
        <v>59</v>
      </c>
      <c r="D1325" s="11" t="s">
        <v>60</v>
      </c>
      <c r="E1325" s="11">
        <v>1.5</v>
      </c>
      <c r="F1325" s="11">
        <v>4.2</v>
      </c>
      <c r="G1325" s="8">
        <f t="shared" si="20"/>
        <v>21.428571428571427</v>
      </c>
    </row>
    <row r="1326" spans="1:7" x14ac:dyDescent="0.25">
      <c r="A1326" s="10">
        <v>45805.760416666664</v>
      </c>
      <c r="B1326" s="11">
        <v>49</v>
      </c>
      <c r="C1326" s="11" t="s">
        <v>60</v>
      </c>
      <c r="D1326" s="11" t="s">
        <v>61</v>
      </c>
      <c r="E1326" s="11">
        <v>1.54</v>
      </c>
      <c r="F1326" s="11">
        <v>6.87</v>
      </c>
      <c r="G1326" s="8">
        <f t="shared" si="20"/>
        <v>13.449781659388647</v>
      </c>
    </row>
    <row r="1327" spans="1:7" x14ac:dyDescent="0.25">
      <c r="A1327" s="10">
        <v>45805.760416666664</v>
      </c>
      <c r="B1327" s="11">
        <v>50</v>
      </c>
      <c r="C1327" s="11" t="s">
        <v>62</v>
      </c>
      <c r="D1327" s="11" t="s">
        <v>63</v>
      </c>
      <c r="E1327" s="11">
        <v>1.38</v>
      </c>
      <c r="F1327" s="11">
        <v>3.52</v>
      </c>
      <c r="G1327" s="8">
        <f t="shared" si="20"/>
        <v>23.522727272727273</v>
      </c>
    </row>
    <row r="1328" spans="1:7" x14ac:dyDescent="0.25">
      <c r="A1328" s="10">
        <v>45805.760416666664</v>
      </c>
      <c r="B1328" s="11">
        <v>51</v>
      </c>
      <c r="C1328" s="11" t="s">
        <v>63</v>
      </c>
      <c r="D1328" s="11" t="s">
        <v>64</v>
      </c>
      <c r="E1328" s="11">
        <v>2.79</v>
      </c>
      <c r="F1328" s="11">
        <v>6.08</v>
      </c>
      <c r="G1328" s="8">
        <f t="shared" si="20"/>
        <v>27.532894736842106</v>
      </c>
    </row>
    <row r="1329" spans="1:7" x14ac:dyDescent="0.25">
      <c r="A1329" s="10">
        <v>45805.760416666664</v>
      </c>
      <c r="B1329" s="11">
        <v>52</v>
      </c>
      <c r="C1329" s="11" t="s">
        <v>64</v>
      </c>
      <c r="D1329" s="11" t="s">
        <v>65</v>
      </c>
      <c r="E1329" s="11">
        <v>1.5</v>
      </c>
      <c r="F1329" s="11">
        <v>2.83</v>
      </c>
      <c r="G1329" s="8">
        <f t="shared" si="20"/>
        <v>31.802120141342755</v>
      </c>
    </row>
    <row r="1330" spans="1:7" x14ac:dyDescent="0.25">
      <c r="A1330" s="10">
        <v>45805.760416666664</v>
      </c>
      <c r="B1330" s="11">
        <v>53</v>
      </c>
      <c r="C1330" s="11" t="s">
        <v>65</v>
      </c>
      <c r="D1330" s="11" t="s">
        <v>66</v>
      </c>
      <c r="E1330" s="11">
        <v>1.46</v>
      </c>
      <c r="F1330" s="11">
        <v>4.12</v>
      </c>
      <c r="G1330" s="8">
        <f t="shared" si="20"/>
        <v>21.262135922330096</v>
      </c>
    </row>
    <row r="1331" spans="1:7" x14ac:dyDescent="0.25">
      <c r="A1331" s="10">
        <v>45805.760416666664</v>
      </c>
      <c r="B1331" s="11">
        <v>54</v>
      </c>
      <c r="C1331" s="11" t="s">
        <v>67</v>
      </c>
      <c r="D1331" s="11" t="s">
        <v>68</v>
      </c>
      <c r="E1331" s="11">
        <v>1.46</v>
      </c>
      <c r="F1331" s="11">
        <v>3.73</v>
      </c>
      <c r="G1331" s="8">
        <f t="shared" si="20"/>
        <v>23.485254691689008</v>
      </c>
    </row>
    <row r="1332" spans="1:7" x14ac:dyDescent="0.25">
      <c r="A1332" s="10">
        <v>45805.760416666664</v>
      </c>
      <c r="B1332" s="11">
        <v>55</v>
      </c>
      <c r="C1332" s="11" t="s">
        <v>68</v>
      </c>
      <c r="D1332" s="11" t="s">
        <v>69</v>
      </c>
      <c r="E1332" s="11">
        <v>1.5</v>
      </c>
      <c r="F1332" s="11">
        <v>2.37</v>
      </c>
      <c r="G1332" s="8">
        <f t="shared" si="20"/>
        <v>37.974683544303794</v>
      </c>
    </row>
    <row r="1333" spans="1:7" x14ac:dyDescent="0.25">
      <c r="A1333" s="10">
        <v>45805.760416666664</v>
      </c>
      <c r="B1333" s="11">
        <v>56</v>
      </c>
      <c r="C1333" s="11" t="s">
        <v>70</v>
      </c>
      <c r="D1333" s="11" t="s">
        <v>71</v>
      </c>
      <c r="E1333" s="11">
        <v>1.51</v>
      </c>
      <c r="F1333" s="11">
        <v>6.72</v>
      </c>
      <c r="G1333" s="8">
        <f t="shared" si="20"/>
        <v>13.482142857142858</v>
      </c>
    </row>
    <row r="1334" spans="1:7" x14ac:dyDescent="0.25">
      <c r="A1334" s="10">
        <v>45805.760416666664</v>
      </c>
      <c r="B1334" s="11">
        <v>57</v>
      </c>
      <c r="C1334" s="11" t="s">
        <v>71</v>
      </c>
      <c r="D1334" s="11" t="s">
        <v>72</v>
      </c>
      <c r="E1334" s="11">
        <v>2</v>
      </c>
      <c r="F1334" s="11">
        <v>6.68</v>
      </c>
      <c r="G1334" s="8">
        <f t="shared" si="20"/>
        <v>17.964071856287426</v>
      </c>
    </row>
    <row r="1335" spans="1:7" x14ac:dyDescent="0.25">
      <c r="A1335" s="10">
        <v>45805.760416666664</v>
      </c>
      <c r="B1335" s="11">
        <v>58</v>
      </c>
      <c r="C1335" s="11" t="s">
        <v>72</v>
      </c>
      <c r="D1335" s="11" t="s">
        <v>73</v>
      </c>
      <c r="E1335" s="11">
        <v>1.5</v>
      </c>
      <c r="F1335" s="11">
        <v>5.63</v>
      </c>
      <c r="G1335" s="8">
        <f t="shared" si="20"/>
        <v>15.985790408525755</v>
      </c>
    </row>
    <row r="1336" spans="1:7" x14ac:dyDescent="0.25">
      <c r="A1336" s="10">
        <v>45805.770833333336</v>
      </c>
      <c r="B1336" s="11">
        <v>1</v>
      </c>
      <c r="C1336" s="11" t="s">
        <v>6</v>
      </c>
      <c r="D1336" s="11" t="s">
        <v>7</v>
      </c>
      <c r="E1336" s="11">
        <v>1.53</v>
      </c>
      <c r="F1336" s="11">
        <v>3.68</v>
      </c>
      <c r="G1336" s="8">
        <f t="shared" si="20"/>
        <v>24.945652173913043</v>
      </c>
    </row>
    <row r="1337" spans="1:7" x14ac:dyDescent="0.25">
      <c r="A1337" s="10">
        <v>45805.770833333336</v>
      </c>
      <c r="B1337" s="11">
        <v>2</v>
      </c>
      <c r="C1337" s="11" t="s">
        <v>7</v>
      </c>
      <c r="D1337" s="11" t="s">
        <v>8</v>
      </c>
      <c r="E1337" s="11">
        <v>1.57</v>
      </c>
      <c r="F1337" s="11">
        <v>7.32</v>
      </c>
      <c r="G1337" s="8">
        <f t="shared" si="20"/>
        <v>12.868852459016393</v>
      </c>
    </row>
    <row r="1338" spans="1:7" x14ac:dyDescent="0.25">
      <c r="A1338" s="10">
        <v>45805.770833333336</v>
      </c>
      <c r="B1338" s="11">
        <v>3</v>
      </c>
      <c r="C1338" s="11" t="s">
        <v>8</v>
      </c>
      <c r="D1338" s="11" t="s">
        <v>9</v>
      </c>
      <c r="E1338" s="11">
        <v>1.5</v>
      </c>
      <c r="F1338" s="11">
        <v>4.18</v>
      </c>
      <c r="G1338" s="8">
        <f t="shared" si="20"/>
        <v>21.5311004784689</v>
      </c>
    </row>
    <row r="1339" spans="1:7" x14ac:dyDescent="0.25">
      <c r="A1339" s="10">
        <v>45805.770833333336</v>
      </c>
      <c r="B1339" s="11">
        <v>4</v>
      </c>
      <c r="C1339" s="11" t="s">
        <v>9</v>
      </c>
      <c r="D1339" s="11" t="s">
        <v>10</v>
      </c>
      <c r="E1339" s="11">
        <v>1.5</v>
      </c>
      <c r="F1339" s="11">
        <v>3.28</v>
      </c>
      <c r="G1339" s="8">
        <f t="shared" si="20"/>
        <v>27.439024390243905</v>
      </c>
    </row>
    <row r="1340" spans="1:7" x14ac:dyDescent="0.25">
      <c r="A1340" s="10">
        <v>45805.770833333336</v>
      </c>
      <c r="B1340" s="11">
        <v>5</v>
      </c>
      <c r="C1340" s="11" t="s">
        <v>10</v>
      </c>
      <c r="D1340" s="11" t="s">
        <v>11</v>
      </c>
      <c r="E1340" s="11">
        <v>1.52</v>
      </c>
      <c r="F1340" s="11">
        <v>4.67</v>
      </c>
      <c r="G1340" s="8">
        <f t="shared" si="20"/>
        <v>19.528907922912207</v>
      </c>
    </row>
    <row r="1341" spans="1:7" x14ac:dyDescent="0.25">
      <c r="A1341" s="10">
        <v>45805.770833333336</v>
      </c>
      <c r="B1341" s="11">
        <v>6</v>
      </c>
      <c r="C1341" s="11" t="s">
        <v>11</v>
      </c>
      <c r="D1341" s="11" t="s">
        <v>12</v>
      </c>
      <c r="E1341" s="11">
        <v>1.5</v>
      </c>
      <c r="F1341" s="11">
        <v>2.67</v>
      </c>
      <c r="G1341" s="8">
        <f t="shared" si="20"/>
        <v>33.707865168539328</v>
      </c>
    </row>
    <row r="1342" spans="1:7" x14ac:dyDescent="0.25">
      <c r="A1342" s="10">
        <v>45805.770833333336</v>
      </c>
      <c r="B1342" s="11">
        <v>7</v>
      </c>
      <c r="C1342" s="11" t="s">
        <v>12</v>
      </c>
      <c r="D1342" s="11" t="s">
        <v>13</v>
      </c>
      <c r="E1342" s="11">
        <v>1.54</v>
      </c>
      <c r="F1342" s="11">
        <v>2.57</v>
      </c>
      <c r="G1342" s="8">
        <f t="shared" si="20"/>
        <v>35.953307392996116</v>
      </c>
    </row>
    <row r="1343" spans="1:7" x14ac:dyDescent="0.25">
      <c r="A1343" s="10">
        <v>45805.770833333336</v>
      </c>
      <c r="B1343" s="11">
        <v>8</v>
      </c>
      <c r="C1343" s="11" t="s">
        <v>13</v>
      </c>
      <c r="D1343" s="11" t="s">
        <v>14</v>
      </c>
      <c r="E1343" s="11">
        <v>1.54</v>
      </c>
      <c r="F1343" s="11">
        <v>3.05</v>
      </c>
      <c r="G1343" s="8">
        <f t="shared" si="20"/>
        <v>30.295081967213118</v>
      </c>
    </row>
    <row r="1344" spans="1:7" x14ac:dyDescent="0.25">
      <c r="A1344" s="10">
        <v>45805.770833333336</v>
      </c>
      <c r="B1344" s="11">
        <v>9</v>
      </c>
      <c r="C1344" s="11" t="s">
        <v>14</v>
      </c>
      <c r="D1344" s="11" t="s">
        <v>15</v>
      </c>
      <c r="E1344" s="11">
        <v>1.52</v>
      </c>
      <c r="F1344" s="11">
        <v>3.85</v>
      </c>
      <c r="G1344" s="8">
        <f t="shared" si="20"/>
        <v>23.688311688311689</v>
      </c>
    </row>
    <row r="1345" spans="1:7" x14ac:dyDescent="0.25">
      <c r="A1345" s="10">
        <v>45805.770833333336</v>
      </c>
      <c r="B1345" s="11">
        <v>10</v>
      </c>
      <c r="C1345" s="11" t="s">
        <v>15</v>
      </c>
      <c r="D1345" s="11" t="s">
        <v>16</v>
      </c>
      <c r="E1345" s="11">
        <v>1.5</v>
      </c>
      <c r="F1345" s="11">
        <v>4.07</v>
      </c>
      <c r="G1345" s="8">
        <f t="shared" si="20"/>
        <v>22.113022113022112</v>
      </c>
    </row>
    <row r="1346" spans="1:7" x14ac:dyDescent="0.25">
      <c r="A1346" s="10">
        <v>45805.770833333336</v>
      </c>
      <c r="B1346" s="11">
        <v>11</v>
      </c>
      <c r="C1346" s="11" t="s">
        <v>16</v>
      </c>
      <c r="D1346" s="11" t="s">
        <v>17</v>
      </c>
      <c r="E1346" s="11">
        <v>1.48</v>
      </c>
      <c r="F1346" s="11">
        <v>5.98</v>
      </c>
      <c r="G1346" s="8">
        <f t="shared" si="20"/>
        <v>14.849498327759196</v>
      </c>
    </row>
    <row r="1347" spans="1:7" x14ac:dyDescent="0.25">
      <c r="A1347" s="10">
        <v>45805.770833333336</v>
      </c>
      <c r="B1347" s="11">
        <v>12</v>
      </c>
      <c r="C1347" s="11" t="s">
        <v>17</v>
      </c>
      <c r="D1347" s="11" t="s">
        <v>18</v>
      </c>
      <c r="E1347" s="11">
        <v>1.46</v>
      </c>
      <c r="F1347" s="11">
        <v>3.93</v>
      </c>
      <c r="G1347" s="8">
        <f t="shared" ref="G1347:G1410" si="21">E1347*60/F1347</f>
        <v>22.29007633587786</v>
      </c>
    </row>
    <row r="1348" spans="1:7" x14ac:dyDescent="0.25">
      <c r="A1348" s="10">
        <v>45805.770833333336</v>
      </c>
      <c r="B1348" s="11">
        <v>13</v>
      </c>
      <c r="C1348" s="11" t="s">
        <v>18</v>
      </c>
      <c r="D1348" s="11" t="s">
        <v>19</v>
      </c>
      <c r="E1348" s="11">
        <v>1.52</v>
      </c>
      <c r="F1348" s="11">
        <v>5.57</v>
      </c>
      <c r="G1348" s="8">
        <f t="shared" si="21"/>
        <v>16.373429084380611</v>
      </c>
    </row>
    <row r="1349" spans="1:7" x14ac:dyDescent="0.25">
      <c r="A1349" s="10">
        <v>45805.770833333336</v>
      </c>
      <c r="B1349" s="11">
        <v>14</v>
      </c>
      <c r="C1349" s="11" t="s">
        <v>19</v>
      </c>
      <c r="D1349" s="11" t="s">
        <v>20</v>
      </c>
      <c r="E1349" s="11">
        <v>1.51</v>
      </c>
      <c r="F1349" s="11">
        <v>4.9000000000000004</v>
      </c>
      <c r="G1349" s="8">
        <f t="shared" si="21"/>
        <v>18.489795918367346</v>
      </c>
    </row>
    <row r="1350" spans="1:7" x14ac:dyDescent="0.25">
      <c r="A1350" s="10">
        <v>45805.770833333336</v>
      </c>
      <c r="B1350" s="11">
        <v>15</v>
      </c>
      <c r="C1350" s="11" t="s">
        <v>20</v>
      </c>
      <c r="D1350" s="11" t="s">
        <v>21</v>
      </c>
      <c r="E1350" s="11">
        <v>1.47</v>
      </c>
      <c r="F1350" s="11">
        <v>3.05</v>
      </c>
      <c r="G1350" s="8">
        <f t="shared" si="21"/>
        <v>28.918032786885249</v>
      </c>
    </row>
    <row r="1351" spans="1:7" x14ac:dyDescent="0.25">
      <c r="A1351" s="10">
        <v>45805.770833333336</v>
      </c>
      <c r="B1351" s="11">
        <v>16</v>
      </c>
      <c r="C1351" s="11" t="s">
        <v>21</v>
      </c>
      <c r="D1351" s="11" t="s">
        <v>22</v>
      </c>
      <c r="E1351" s="11">
        <v>1.5</v>
      </c>
      <c r="F1351" s="11">
        <v>4.4800000000000004</v>
      </c>
      <c r="G1351" s="8">
        <f t="shared" si="21"/>
        <v>20.089285714285712</v>
      </c>
    </row>
    <row r="1352" spans="1:7" x14ac:dyDescent="0.25">
      <c r="A1352" s="10">
        <v>45805.770833333336</v>
      </c>
      <c r="B1352" s="11">
        <v>17</v>
      </c>
      <c r="C1352" s="11" t="s">
        <v>22</v>
      </c>
      <c r="D1352" s="11" t="s">
        <v>23</v>
      </c>
      <c r="E1352" s="11">
        <v>1.51</v>
      </c>
      <c r="F1352" s="11">
        <v>4.57</v>
      </c>
      <c r="G1352" s="8">
        <f t="shared" si="21"/>
        <v>19.824945295404813</v>
      </c>
    </row>
    <row r="1353" spans="1:7" x14ac:dyDescent="0.25">
      <c r="A1353" s="10">
        <v>45805.770833333336</v>
      </c>
      <c r="B1353" s="11">
        <v>18</v>
      </c>
      <c r="C1353" s="11" t="s">
        <v>23</v>
      </c>
      <c r="D1353" s="11" t="s">
        <v>24</v>
      </c>
      <c r="E1353" s="11">
        <v>1.51</v>
      </c>
      <c r="F1353" s="11">
        <v>4.07</v>
      </c>
      <c r="G1353" s="8">
        <f t="shared" si="21"/>
        <v>22.260442260442257</v>
      </c>
    </row>
    <row r="1354" spans="1:7" x14ac:dyDescent="0.25">
      <c r="A1354" s="10">
        <v>45805.770833333336</v>
      </c>
      <c r="B1354" s="11">
        <v>19</v>
      </c>
      <c r="C1354" s="11" t="s">
        <v>25</v>
      </c>
      <c r="D1354" s="11" t="s">
        <v>26</v>
      </c>
      <c r="E1354" s="11">
        <v>1.5</v>
      </c>
      <c r="F1354" s="11">
        <v>3.5</v>
      </c>
      <c r="G1354" s="8">
        <f t="shared" si="21"/>
        <v>25.714285714285715</v>
      </c>
    </row>
    <row r="1355" spans="1:7" x14ac:dyDescent="0.25">
      <c r="A1355" s="10">
        <v>45805.770833333336</v>
      </c>
      <c r="B1355" s="11">
        <v>20</v>
      </c>
      <c r="C1355" s="11" t="s">
        <v>26</v>
      </c>
      <c r="D1355" s="11" t="s">
        <v>27</v>
      </c>
      <c r="E1355" s="11">
        <v>1.48</v>
      </c>
      <c r="F1355" s="11">
        <v>3.43</v>
      </c>
      <c r="G1355" s="8">
        <f t="shared" si="21"/>
        <v>25.889212827988334</v>
      </c>
    </row>
    <row r="1356" spans="1:7" x14ac:dyDescent="0.25">
      <c r="A1356" s="10">
        <v>45805.770833333336</v>
      </c>
      <c r="B1356" s="11">
        <v>21</v>
      </c>
      <c r="C1356" s="11" t="s">
        <v>27</v>
      </c>
      <c r="D1356" s="11" t="s">
        <v>28</v>
      </c>
      <c r="E1356" s="11">
        <v>1.51</v>
      </c>
      <c r="F1356" s="11">
        <v>3.73</v>
      </c>
      <c r="G1356" s="8">
        <f t="shared" si="21"/>
        <v>24.289544235924932</v>
      </c>
    </row>
    <row r="1357" spans="1:7" x14ac:dyDescent="0.25">
      <c r="A1357" s="10">
        <v>45805.770833333336</v>
      </c>
      <c r="B1357" s="11">
        <v>22</v>
      </c>
      <c r="C1357" s="11" t="s">
        <v>28</v>
      </c>
      <c r="D1357" s="11" t="s">
        <v>29</v>
      </c>
      <c r="E1357" s="11">
        <v>1.57</v>
      </c>
      <c r="F1357" s="11">
        <v>6.02</v>
      </c>
      <c r="G1357" s="8">
        <f t="shared" si="21"/>
        <v>15.647840531561464</v>
      </c>
    </row>
    <row r="1358" spans="1:7" x14ac:dyDescent="0.25">
      <c r="A1358" s="10">
        <v>45805.770833333336</v>
      </c>
      <c r="B1358" s="11">
        <v>23</v>
      </c>
      <c r="C1358" s="11" t="s">
        <v>29</v>
      </c>
      <c r="D1358" s="11" t="s">
        <v>30</v>
      </c>
      <c r="E1358" s="11">
        <v>1.43</v>
      </c>
      <c r="F1358" s="11">
        <v>6.22</v>
      </c>
      <c r="G1358" s="8">
        <f t="shared" si="21"/>
        <v>13.794212218649518</v>
      </c>
    </row>
    <row r="1359" spans="1:7" x14ac:dyDescent="0.25">
      <c r="A1359" s="10">
        <v>45805.770833333336</v>
      </c>
      <c r="B1359" s="11">
        <v>24</v>
      </c>
      <c r="C1359" s="11" t="s">
        <v>30</v>
      </c>
      <c r="D1359" s="11" t="s">
        <v>31</v>
      </c>
      <c r="E1359" s="11">
        <v>1.52</v>
      </c>
      <c r="F1359" s="11">
        <v>5.42</v>
      </c>
      <c r="G1359" s="8">
        <f t="shared" si="21"/>
        <v>16.826568265682656</v>
      </c>
    </row>
    <row r="1360" spans="1:7" x14ac:dyDescent="0.25">
      <c r="A1360" s="10">
        <v>45805.770833333336</v>
      </c>
      <c r="B1360" s="11">
        <v>25</v>
      </c>
      <c r="C1360" s="11" t="s">
        <v>31</v>
      </c>
      <c r="D1360" s="11" t="s">
        <v>32</v>
      </c>
      <c r="E1360" s="11">
        <v>1.52</v>
      </c>
      <c r="F1360" s="11">
        <v>3.88</v>
      </c>
      <c r="G1360" s="8">
        <f t="shared" si="21"/>
        <v>23.505154639175259</v>
      </c>
    </row>
    <row r="1361" spans="1:7" x14ac:dyDescent="0.25">
      <c r="A1361" s="10">
        <v>45805.770833333336</v>
      </c>
      <c r="B1361" s="11">
        <v>26</v>
      </c>
      <c r="C1361" s="11" t="s">
        <v>32</v>
      </c>
      <c r="D1361" s="11" t="s">
        <v>33</v>
      </c>
      <c r="E1361" s="11">
        <v>2.68</v>
      </c>
      <c r="F1361" s="11">
        <v>8.1</v>
      </c>
      <c r="G1361" s="8">
        <f t="shared" si="21"/>
        <v>19.851851851851855</v>
      </c>
    </row>
    <row r="1362" spans="1:7" x14ac:dyDescent="0.25">
      <c r="A1362" s="10">
        <v>45805.770833333336</v>
      </c>
      <c r="B1362" s="11">
        <v>27</v>
      </c>
      <c r="C1362" s="11" t="s">
        <v>33</v>
      </c>
      <c r="D1362" s="11" t="s">
        <v>34</v>
      </c>
      <c r="E1362" s="11">
        <v>1.53</v>
      </c>
      <c r="F1362" s="11">
        <v>5.68</v>
      </c>
      <c r="G1362" s="8">
        <f t="shared" si="21"/>
        <v>16.161971830985916</v>
      </c>
    </row>
    <row r="1363" spans="1:7" x14ac:dyDescent="0.25">
      <c r="A1363" s="10">
        <v>45805.770833333336</v>
      </c>
      <c r="B1363" s="11">
        <v>28</v>
      </c>
      <c r="C1363" s="11" t="s">
        <v>34</v>
      </c>
      <c r="D1363" s="11" t="s">
        <v>35</v>
      </c>
      <c r="E1363" s="11">
        <v>1.51</v>
      </c>
      <c r="F1363" s="11">
        <v>4.97</v>
      </c>
      <c r="G1363" s="8">
        <f t="shared" si="21"/>
        <v>18.229376257545272</v>
      </c>
    </row>
    <row r="1364" spans="1:7" x14ac:dyDescent="0.25">
      <c r="A1364" s="10">
        <v>45805.770833333336</v>
      </c>
      <c r="B1364" s="11">
        <v>29</v>
      </c>
      <c r="C1364" s="11" t="s">
        <v>36</v>
      </c>
      <c r="D1364" s="11" t="s">
        <v>37</v>
      </c>
      <c r="E1364" s="11">
        <v>1.57</v>
      </c>
      <c r="F1364" s="11">
        <v>3.98</v>
      </c>
      <c r="G1364" s="8">
        <f t="shared" si="21"/>
        <v>23.668341708542716</v>
      </c>
    </row>
    <row r="1365" spans="1:7" x14ac:dyDescent="0.25">
      <c r="A1365" s="10">
        <v>45805.770833333336</v>
      </c>
      <c r="B1365" s="11">
        <v>30</v>
      </c>
      <c r="C1365" s="11" t="s">
        <v>37</v>
      </c>
      <c r="D1365" s="11" t="s">
        <v>38</v>
      </c>
      <c r="E1365" s="11">
        <v>1.57</v>
      </c>
      <c r="F1365" s="11">
        <v>4.17</v>
      </c>
      <c r="G1365" s="8">
        <f t="shared" si="21"/>
        <v>22.589928057553958</v>
      </c>
    </row>
    <row r="1366" spans="1:7" x14ac:dyDescent="0.25">
      <c r="A1366" s="10">
        <v>45805.770833333336</v>
      </c>
      <c r="B1366" s="11">
        <v>31</v>
      </c>
      <c r="C1366" s="11" t="s">
        <v>38</v>
      </c>
      <c r="D1366" s="11" t="s">
        <v>39</v>
      </c>
      <c r="E1366" s="11">
        <v>1.52</v>
      </c>
      <c r="F1366" s="11">
        <v>3.77</v>
      </c>
      <c r="G1366" s="8">
        <f t="shared" si="21"/>
        <v>24.190981432360743</v>
      </c>
    </row>
    <row r="1367" spans="1:7" x14ac:dyDescent="0.25">
      <c r="A1367" s="10">
        <v>45805.770833333336</v>
      </c>
      <c r="B1367" s="11">
        <v>32</v>
      </c>
      <c r="C1367" s="11" t="s">
        <v>39</v>
      </c>
      <c r="D1367" s="11" t="s">
        <v>40</v>
      </c>
      <c r="E1367" s="11">
        <v>1.5</v>
      </c>
      <c r="F1367" s="11">
        <v>2.95</v>
      </c>
      <c r="G1367" s="8">
        <f t="shared" si="21"/>
        <v>30.508474576271183</v>
      </c>
    </row>
    <row r="1368" spans="1:7" x14ac:dyDescent="0.25">
      <c r="A1368" s="10">
        <v>45805.770833333336</v>
      </c>
      <c r="B1368" s="11">
        <v>33</v>
      </c>
      <c r="C1368" s="11" t="s">
        <v>40</v>
      </c>
      <c r="D1368" s="11" t="s">
        <v>41</v>
      </c>
      <c r="E1368" s="11">
        <v>1.51</v>
      </c>
      <c r="F1368" s="11">
        <v>2.68</v>
      </c>
      <c r="G1368" s="8">
        <f t="shared" si="21"/>
        <v>33.805970149253724</v>
      </c>
    </row>
    <row r="1369" spans="1:7" x14ac:dyDescent="0.25">
      <c r="A1369" s="10">
        <v>45805.770833333336</v>
      </c>
      <c r="B1369" s="11">
        <v>34</v>
      </c>
      <c r="C1369" s="11" t="s">
        <v>41</v>
      </c>
      <c r="D1369" s="11" t="s">
        <v>42</v>
      </c>
      <c r="E1369" s="11">
        <v>1.5</v>
      </c>
      <c r="F1369" s="11">
        <v>2.5299999999999998</v>
      </c>
      <c r="G1369" s="8">
        <f t="shared" si="21"/>
        <v>35.573122529644273</v>
      </c>
    </row>
    <row r="1370" spans="1:7" x14ac:dyDescent="0.25">
      <c r="A1370" s="10">
        <v>45805.770833333336</v>
      </c>
      <c r="B1370" s="11">
        <v>35</v>
      </c>
      <c r="C1370" s="11" t="s">
        <v>43</v>
      </c>
      <c r="D1370" s="11" t="s">
        <v>44</v>
      </c>
      <c r="E1370" s="11">
        <v>1.55</v>
      </c>
      <c r="F1370" s="11">
        <v>3.97</v>
      </c>
      <c r="G1370" s="8">
        <f t="shared" si="21"/>
        <v>23.425692695214103</v>
      </c>
    </row>
    <row r="1371" spans="1:7" x14ac:dyDescent="0.25">
      <c r="A1371" s="10">
        <v>45805.770833333336</v>
      </c>
      <c r="B1371" s="11">
        <v>36</v>
      </c>
      <c r="C1371" s="11" t="s">
        <v>44</v>
      </c>
      <c r="D1371" s="11" t="s">
        <v>45</v>
      </c>
      <c r="E1371" s="11">
        <v>1.5</v>
      </c>
      <c r="F1371" s="11">
        <v>4.0199999999999996</v>
      </c>
      <c r="G1371" s="8">
        <f t="shared" si="21"/>
        <v>22.388059701492541</v>
      </c>
    </row>
    <row r="1372" spans="1:7" x14ac:dyDescent="0.25">
      <c r="A1372" s="10">
        <v>45805.770833333336</v>
      </c>
      <c r="B1372" s="11">
        <v>37</v>
      </c>
      <c r="C1372" s="11" t="s">
        <v>45</v>
      </c>
      <c r="D1372" s="11" t="s">
        <v>46</v>
      </c>
      <c r="E1372" s="11">
        <v>1.38</v>
      </c>
      <c r="F1372" s="11">
        <v>5.67</v>
      </c>
      <c r="G1372" s="8">
        <f t="shared" si="21"/>
        <v>14.603174603174603</v>
      </c>
    </row>
    <row r="1373" spans="1:7" x14ac:dyDescent="0.25">
      <c r="A1373" s="10">
        <v>45805.770833333336</v>
      </c>
      <c r="B1373" s="11">
        <v>38</v>
      </c>
      <c r="C1373" s="11" t="s">
        <v>46</v>
      </c>
      <c r="D1373" s="11" t="s">
        <v>47</v>
      </c>
      <c r="E1373" s="11">
        <v>1.61</v>
      </c>
      <c r="F1373" s="11">
        <v>5.72</v>
      </c>
      <c r="G1373" s="8">
        <f t="shared" si="21"/>
        <v>16.88811188811189</v>
      </c>
    </row>
    <row r="1374" spans="1:7" x14ac:dyDescent="0.25">
      <c r="A1374" s="10">
        <v>45805.770833333336</v>
      </c>
      <c r="B1374" s="11">
        <v>39</v>
      </c>
      <c r="C1374" s="11" t="s">
        <v>47</v>
      </c>
      <c r="D1374" s="11" t="s">
        <v>48</v>
      </c>
      <c r="E1374" s="11">
        <v>1.55</v>
      </c>
      <c r="F1374" s="11">
        <v>3.83</v>
      </c>
      <c r="G1374" s="8">
        <f t="shared" si="21"/>
        <v>24.281984334203656</v>
      </c>
    </row>
    <row r="1375" spans="1:7" x14ac:dyDescent="0.25">
      <c r="A1375" s="10">
        <v>45805.770833333336</v>
      </c>
      <c r="B1375" s="11">
        <v>40</v>
      </c>
      <c r="C1375" s="11" t="s">
        <v>48</v>
      </c>
      <c r="D1375" s="11" t="s">
        <v>49</v>
      </c>
      <c r="E1375" s="11">
        <v>1.39</v>
      </c>
      <c r="F1375" s="11">
        <v>3.25</v>
      </c>
      <c r="G1375" s="8">
        <f t="shared" si="21"/>
        <v>25.661538461538459</v>
      </c>
    </row>
    <row r="1376" spans="1:7" x14ac:dyDescent="0.25">
      <c r="A1376" s="10">
        <v>45805.770833333336</v>
      </c>
      <c r="B1376" s="11">
        <v>41</v>
      </c>
      <c r="C1376" s="11" t="s">
        <v>50</v>
      </c>
      <c r="D1376" s="11" t="s">
        <v>51</v>
      </c>
      <c r="E1376" s="11">
        <v>1.56</v>
      </c>
      <c r="F1376" s="11">
        <v>5.67</v>
      </c>
      <c r="G1376" s="8">
        <f t="shared" si="21"/>
        <v>16.50793650793651</v>
      </c>
    </row>
    <row r="1377" spans="1:7" x14ac:dyDescent="0.25">
      <c r="A1377" s="10">
        <v>45805.770833333336</v>
      </c>
      <c r="B1377" s="11">
        <v>42</v>
      </c>
      <c r="C1377" s="11" t="s">
        <v>51</v>
      </c>
      <c r="D1377" s="11" t="s">
        <v>52</v>
      </c>
      <c r="E1377" s="11">
        <v>1.56</v>
      </c>
      <c r="F1377" s="11">
        <v>4.97</v>
      </c>
      <c r="G1377" s="8">
        <f t="shared" si="21"/>
        <v>18.83299798792757</v>
      </c>
    </row>
    <row r="1378" spans="1:7" x14ac:dyDescent="0.25">
      <c r="A1378" s="10">
        <v>45805.770833333336</v>
      </c>
      <c r="B1378" s="11">
        <v>43</v>
      </c>
      <c r="C1378" s="11" t="s">
        <v>52</v>
      </c>
      <c r="D1378" s="11" t="s">
        <v>53</v>
      </c>
      <c r="E1378" s="11">
        <v>1.51</v>
      </c>
      <c r="F1378" s="11">
        <v>3.95</v>
      </c>
      <c r="G1378" s="8">
        <f t="shared" si="21"/>
        <v>22.936708860759492</v>
      </c>
    </row>
    <row r="1379" spans="1:7" x14ac:dyDescent="0.25">
      <c r="A1379" s="10">
        <v>45805.770833333336</v>
      </c>
      <c r="B1379" s="11">
        <v>44</v>
      </c>
      <c r="C1379" s="11" t="s">
        <v>54</v>
      </c>
      <c r="D1379" s="11" t="s">
        <v>55</v>
      </c>
      <c r="E1379" s="11">
        <v>1.51</v>
      </c>
      <c r="F1379" s="11">
        <v>4.88</v>
      </c>
      <c r="G1379" s="8">
        <f t="shared" si="21"/>
        <v>18.565573770491802</v>
      </c>
    </row>
    <row r="1380" spans="1:7" x14ac:dyDescent="0.25">
      <c r="A1380" s="10">
        <v>45805.770833333336</v>
      </c>
      <c r="B1380" s="11">
        <v>45</v>
      </c>
      <c r="C1380" s="11" t="s">
        <v>55</v>
      </c>
      <c r="D1380" s="11" t="s">
        <v>56</v>
      </c>
      <c r="E1380" s="11">
        <v>1.49</v>
      </c>
      <c r="F1380" s="11">
        <v>5.4</v>
      </c>
      <c r="G1380" s="8">
        <f t="shared" si="21"/>
        <v>16.555555555555557</v>
      </c>
    </row>
    <row r="1381" spans="1:7" x14ac:dyDescent="0.25">
      <c r="A1381" s="10">
        <v>45805.770833333336</v>
      </c>
      <c r="B1381" s="11">
        <v>46</v>
      </c>
      <c r="C1381" s="11" t="s">
        <v>56</v>
      </c>
      <c r="D1381" s="11" t="s">
        <v>57</v>
      </c>
      <c r="E1381" s="11">
        <v>1.52</v>
      </c>
      <c r="F1381" s="11">
        <v>5.63</v>
      </c>
      <c r="G1381" s="8">
        <f t="shared" si="21"/>
        <v>16.198934280639431</v>
      </c>
    </row>
    <row r="1382" spans="1:7" x14ac:dyDescent="0.25">
      <c r="A1382" s="10">
        <v>45805.770833333336</v>
      </c>
      <c r="B1382" s="11">
        <v>47</v>
      </c>
      <c r="C1382" s="11" t="s">
        <v>58</v>
      </c>
      <c r="D1382" s="11" t="s">
        <v>59</v>
      </c>
      <c r="E1382" s="11">
        <v>1.52</v>
      </c>
      <c r="F1382" s="11">
        <v>5.5</v>
      </c>
      <c r="G1382" s="8">
        <f t="shared" si="21"/>
        <v>16.581818181818182</v>
      </c>
    </row>
    <row r="1383" spans="1:7" x14ac:dyDescent="0.25">
      <c r="A1383" s="10">
        <v>45805.770833333336</v>
      </c>
      <c r="B1383" s="11">
        <v>48</v>
      </c>
      <c r="C1383" s="11" t="s">
        <v>59</v>
      </c>
      <c r="D1383" s="11" t="s">
        <v>60</v>
      </c>
      <c r="E1383" s="11">
        <v>1.5</v>
      </c>
      <c r="F1383" s="11">
        <v>3.97</v>
      </c>
      <c r="G1383" s="8">
        <f t="shared" si="21"/>
        <v>22.670025188916874</v>
      </c>
    </row>
    <row r="1384" spans="1:7" x14ac:dyDescent="0.25">
      <c r="A1384" s="10">
        <v>45805.770833333336</v>
      </c>
      <c r="B1384" s="11">
        <v>49</v>
      </c>
      <c r="C1384" s="11" t="s">
        <v>60</v>
      </c>
      <c r="D1384" s="11" t="s">
        <v>61</v>
      </c>
      <c r="E1384" s="11">
        <v>1.54</v>
      </c>
      <c r="F1384" s="11">
        <v>6.22</v>
      </c>
      <c r="G1384" s="8">
        <f t="shared" si="21"/>
        <v>14.855305466237944</v>
      </c>
    </row>
    <row r="1385" spans="1:7" x14ac:dyDescent="0.25">
      <c r="A1385" s="10">
        <v>45805.770833333336</v>
      </c>
      <c r="B1385" s="11">
        <v>50</v>
      </c>
      <c r="C1385" s="11" t="s">
        <v>62</v>
      </c>
      <c r="D1385" s="11" t="s">
        <v>63</v>
      </c>
      <c r="E1385" s="11">
        <v>1.38</v>
      </c>
      <c r="F1385" s="11">
        <v>3.5</v>
      </c>
      <c r="G1385" s="8">
        <f t="shared" si="21"/>
        <v>23.657142857142855</v>
      </c>
    </row>
    <row r="1386" spans="1:7" x14ac:dyDescent="0.25">
      <c r="A1386" s="10">
        <v>45805.770833333336</v>
      </c>
      <c r="B1386" s="11">
        <v>51</v>
      </c>
      <c r="C1386" s="11" t="s">
        <v>63</v>
      </c>
      <c r="D1386" s="11" t="s">
        <v>64</v>
      </c>
      <c r="E1386" s="11">
        <v>2.79</v>
      </c>
      <c r="F1386" s="11">
        <v>5.93</v>
      </c>
      <c r="G1386" s="8">
        <f t="shared" si="21"/>
        <v>28.229342327150086</v>
      </c>
    </row>
    <row r="1387" spans="1:7" x14ac:dyDescent="0.25">
      <c r="A1387" s="10">
        <v>45805.770833333336</v>
      </c>
      <c r="B1387" s="11">
        <v>52</v>
      </c>
      <c r="C1387" s="11" t="s">
        <v>64</v>
      </c>
      <c r="D1387" s="11" t="s">
        <v>65</v>
      </c>
      <c r="E1387" s="11">
        <v>1.5</v>
      </c>
      <c r="F1387" s="11">
        <v>2.87</v>
      </c>
      <c r="G1387" s="8">
        <f t="shared" si="21"/>
        <v>31.358885017421603</v>
      </c>
    </row>
    <row r="1388" spans="1:7" x14ac:dyDescent="0.25">
      <c r="A1388" s="10">
        <v>45805.770833333336</v>
      </c>
      <c r="B1388" s="11">
        <v>53</v>
      </c>
      <c r="C1388" s="11" t="s">
        <v>65</v>
      </c>
      <c r="D1388" s="11" t="s">
        <v>66</v>
      </c>
      <c r="E1388" s="11">
        <v>1.46</v>
      </c>
      <c r="F1388" s="11">
        <v>4.05</v>
      </c>
      <c r="G1388" s="8">
        <f t="shared" si="21"/>
        <v>21.62962962962963</v>
      </c>
    </row>
    <row r="1389" spans="1:7" x14ac:dyDescent="0.25">
      <c r="A1389" s="10">
        <v>45805.770833333336</v>
      </c>
      <c r="B1389" s="11">
        <v>54</v>
      </c>
      <c r="C1389" s="11" t="s">
        <v>67</v>
      </c>
      <c r="D1389" s="11" t="s">
        <v>68</v>
      </c>
      <c r="E1389" s="11">
        <v>1.46</v>
      </c>
      <c r="F1389" s="11">
        <v>3.17</v>
      </c>
      <c r="G1389" s="8">
        <f t="shared" si="21"/>
        <v>27.634069400630914</v>
      </c>
    </row>
    <row r="1390" spans="1:7" x14ac:dyDescent="0.25">
      <c r="A1390" s="10">
        <v>45805.770833333336</v>
      </c>
      <c r="B1390" s="11">
        <v>55</v>
      </c>
      <c r="C1390" s="11" t="s">
        <v>68</v>
      </c>
      <c r="D1390" s="11" t="s">
        <v>69</v>
      </c>
      <c r="E1390" s="11">
        <v>1.5</v>
      </c>
      <c r="F1390" s="11">
        <v>2.33</v>
      </c>
      <c r="G1390" s="8">
        <f t="shared" si="21"/>
        <v>38.626609442060087</v>
      </c>
    </row>
    <row r="1391" spans="1:7" x14ac:dyDescent="0.25">
      <c r="A1391" s="10">
        <v>45805.770833333336</v>
      </c>
      <c r="B1391" s="11">
        <v>56</v>
      </c>
      <c r="C1391" s="11" t="s">
        <v>70</v>
      </c>
      <c r="D1391" s="11" t="s">
        <v>71</v>
      </c>
      <c r="E1391" s="11">
        <v>1.51</v>
      </c>
      <c r="F1391" s="11">
        <v>4.7300000000000004</v>
      </c>
      <c r="G1391" s="8">
        <f t="shared" si="21"/>
        <v>19.154334038054966</v>
      </c>
    </row>
    <row r="1392" spans="1:7" x14ac:dyDescent="0.25">
      <c r="A1392" s="10">
        <v>45805.770833333336</v>
      </c>
      <c r="B1392" s="11">
        <v>57</v>
      </c>
      <c r="C1392" s="11" t="s">
        <v>71</v>
      </c>
      <c r="D1392" s="11" t="s">
        <v>72</v>
      </c>
      <c r="E1392" s="11">
        <v>1.94</v>
      </c>
      <c r="F1392" s="11">
        <v>6.98</v>
      </c>
      <c r="G1392" s="8">
        <f t="shared" si="21"/>
        <v>16.676217765042978</v>
      </c>
    </row>
    <row r="1393" spans="1:7" x14ac:dyDescent="0.25">
      <c r="A1393" s="10">
        <v>45805.770833333336</v>
      </c>
      <c r="B1393" s="11">
        <v>58</v>
      </c>
      <c r="C1393" s="11" t="s">
        <v>72</v>
      </c>
      <c r="D1393" s="11" t="s">
        <v>73</v>
      </c>
      <c r="E1393" s="11">
        <v>1.5</v>
      </c>
      <c r="F1393" s="11">
        <v>4.7300000000000004</v>
      </c>
      <c r="G1393" s="8">
        <f t="shared" si="21"/>
        <v>19.027484143763211</v>
      </c>
    </row>
    <row r="1394" spans="1:7" x14ac:dyDescent="0.25">
      <c r="A1394" s="10">
        <v>45805.78125</v>
      </c>
      <c r="B1394" s="11">
        <v>1</v>
      </c>
      <c r="C1394" s="11" t="s">
        <v>6</v>
      </c>
      <c r="D1394" s="11" t="s">
        <v>7</v>
      </c>
      <c r="E1394" s="11">
        <v>1.53</v>
      </c>
      <c r="F1394" s="11">
        <v>3.48</v>
      </c>
      <c r="G1394" s="8">
        <f t="shared" si="21"/>
        <v>26.379310344827587</v>
      </c>
    </row>
    <row r="1395" spans="1:7" x14ac:dyDescent="0.25">
      <c r="A1395" s="10">
        <v>45805.78125</v>
      </c>
      <c r="B1395" s="11">
        <v>2</v>
      </c>
      <c r="C1395" s="11" t="s">
        <v>7</v>
      </c>
      <c r="D1395" s="11" t="s">
        <v>8</v>
      </c>
      <c r="E1395" s="11">
        <v>1.57</v>
      </c>
      <c r="F1395" s="11">
        <v>6.22</v>
      </c>
      <c r="G1395" s="8">
        <f t="shared" si="21"/>
        <v>15.14469453376206</v>
      </c>
    </row>
    <row r="1396" spans="1:7" x14ac:dyDescent="0.25">
      <c r="A1396" s="10">
        <v>45805.78125</v>
      </c>
      <c r="B1396" s="11">
        <v>3</v>
      </c>
      <c r="C1396" s="11" t="s">
        <v>8</v>
      </c>
      <c r="D1396" s="11" t="s">
        <v>9</v>
      </c>
      <c r="E1396" s="11">
        <v>1.5</v>
      </c>
      <c r="F1396" s="11">
        <v>4.25</v>
      </c>
      <c r="G1396" s="8">
        <f t="shared" si="21"/>
        <v>21.176470588235293</v>
      </c>
    </row>
    <row r="1397" spans="1:7" x14ac:dyDescent="0.25">
      <c r="A1397" s="10">
        <v>45805.78125</v>
      </c>
      <c r="B1397" s="11">
        <v>4</v>
      </c>
      <c r="C1397" s="11" t="s">
        <v>9</v>
      </c>
      <c r="D1397" s="11" t="s">
        <v>10</v>
      </c>
      <c r="E1397" s="11">
        <v>1.5</v>
      </c>
      <c r="F1397" s="11">
        <v>3.27</v>
      </c>
      <c r="G1397" s="8">
        <f t="shared" si="21"/>
        <v>27.522935779816514</v>
      </c>
    </row>
    <row r="1398" spans="1:7" x14ac:dyDescent="0.25">
      <c r="A1398" s="10">
        <v>45805.78125</v>
      </c>
      <c r="B1398" s="11">
        <v>5</v>
      </c>
      <c r="C1398" s="11" t="s">
        <v>10</v>
      </c>
      <c r="D1398" s="11" t="s">
        <v>11</v>
      </c>
      <c r="E1398" s="11">
        <v>1.52</v>
      </c>
      <c r="F1398" s="11">
        <v>4.5</v>
      </c>
      <c r="G1398" s="8">
        <f t="shared" si="21"/>
        <v>20.266666666666666</v>
      </c>
    </row>
    <row r="1399" spans="1:7" x14ac:dyDescent="0.25">
      <c r="A1399" s="10">
        <v>45805.78125</v>
      </c>
      <c r="B1399" s="11">
        <v>6</v>
      </c>
      <c r="C1399" s="11" t="s">
        <v>11</v>
      </c>
      <c r="D1399" s="11" t="s">
        <v>12</v>
      </c>
      <c r="E1399" s="11">
        <v>1.5</v>
      </c>
      <c r="F1399" s="11">
        <v>2.73</v>
      </c>
      <c r="G1399" s="8">
        <f t="shared" si="21"/>
        <v>32.967032967032971</v>
      </c>
    </row>
    <row r="1400" spans="1:7" x14ac:dyDescent="0.25">
      <c r="A1400" s="10">
        <v>45805.78125</v>
      </c>
      <c r="B1400" s="11">
        <v>7</v>
      </c>
      <c r="C1400" s="11" t="s">
        <v>12</v>
      </c>
      <c r="D1400" s="11" t="s">
        <v>13</v>
      </c>
      <c r="E1400" s="11">
        <v>1.54</v>
      </c>
      <c r="F1400" s="11">
        <v>2.63</v>
      </c>
      <c r="G1400" s="8">
        <f t="shared" si="21"/>
        <v>35.133079847908746</v>
      </c>
    </row>
    <row r="1401" spans="1:7" x14ac:dyDescent="0.25">
      <c r="A1401" s="10">
        <v>45805.78125</v>
      </c>
      <c r="B1401" s="11">
        <v>8</v>
      </c>
      <c r="C1401" s="11" t="s">
        <v>13</v>
      </c>
      <c r="D1401" s="11" t="s">
        <v>14</v>
      </c>
      <c r="E1401" s="11">
        <v>1.54</v>
      </c>
      <c r="F1401" s="11">
        <v>3.18</v>
      </c>
      <c r="G1401" s="8">
        <f t="shared" si="21"/>
        <v>29.056603773584907</v>
      </c>
    </row>
    <row r="1402" spans="1:7" x14ac:dyDescent="0.25">
      <c r="A1402" s="10">
        <v>45805.78125</v>
      </c>
      <c r="B1402" s="11">
        <v>9</v>
      </c>
      <c r="C1402" s="11" t="s">
        <v>14</v>
      </c>
      <c r="D1402" s="11" t="s">
        <v>15</v>
      </c>
      <c r="E1402" s="11">
        <v>1.52</v>
      </c>
      <c r="F1402" s="11">
        <v>4.2</v>
      </c>
      <c r="G1402" s="8">
        <f t="shared" si="21"/>
        <v>21.714285714285715</v>
      </c>
    </row>
    <row r="1403" spans="1:7" x14ac:dyDescent="0.25">
      <c r="A1403" s="10">
        <v>45805.78125</v>
      </c>
      <c r="B1403" s="11">
        <v>10</v>
      </c>
      <c r="C1403" s="11" t="s">
        <v>15</v>
      </c>
      <c r="D1403" s="11" t="s">
        <v>16</v>
      </c>
      <c r="E1403" s="11">
        <v>1.5</v>
      </c>
      <c r="F1403" s="11">
        <v>4.42</v>
      </c>
      <c r="G1403" s="8">
        <f t="shared" si="21"/>
        <v>20.361990950226243</v>
      </c>
    </row>
    <row r="1404" spans="1:7" x14ac:dyDescent="0.25">
      <c r="A1404" s="10">
        <v>45805.78125</v>
      </c>
      <c r="B1404" s="11">
        <v>11</v>
      </c>
      <c r="C1404" s="11" t="s">
        <v>16</v>
      </c>
      <c r="D1404" s="11" t="s">
        <v>17</v>
      </c>
      <c r="E1404" s="11">
        <v>1.48</v>
      </c>
      <c r="F1404" s="11">
        <v>4.7699999999999996</v>
      </c>
      <c r="G1404" s="8">
        <f t="shared" si="21"/>
        <v>18.616352201257861</v>
      </c>
    </row>
    <row r="1405" spans="1:7" x14ac:dyDescent="0.25">
      <c r="A1405" s="10">
        <v>45805.78125</v>
      </c>
      <c r="B1405" s="11">
        <v>12</v>
      </c>
      <c r="C1405" s="11" t="s">
        <v>17</v>
      </c>
      <c r="D1405" s="11" t="s">
        <v>18</v>
      </c>
      <c r="E1405" s="11">
        <v>1.46</v>
      </c>
      <c r="F1405" s="11">
        <v>4.5</v>
      </c>
      <c r="G1405" s="8">
        <f t="shared" si="21"/>
        <v>19.466666666666665</v>
      </c>
    </row>
    <row r="1406" spans="1:7" x14ac:dyDescent="0.25">
      <c r="A1406" s="10">
        <v>45805.78125</v>
      </c>
      <c r="B1406" s="11">
        <v>13</v>
      </c>
      <c r="C1406" s="11" t="s">
        <v>18</v>
      </c>
      <c r="D1406" s="11" t="s">
        <v>19</v>
      </c>
      <c r="E1406" s="11">
        <v>1.52</v>
      </c>
      <c r="F1406" s="11">
        <v>5.2</v>
      </c>
      <c r="G1406" s="8">
        <f t="shared" si="21"/>
        <v>17.53846153846154</v>
      </c>
    </row>
    <row r="1407" spans="1:7" x14ac:dyDescent="0.25">
      <c r="A1407" s="10">
        <v>45805.78125</v>
      </c>
      <c r="B1407" s="11">
        <v>14</v>
      </c>
      <c r="C1407" s="11" t="s">
        <v>19</v>
      </c>
      <c r="D1407" s="11" t="s">
        <v>20</v>
      </c>
      <c r="E1407" s="11">
        <v>1.51</v>
      </c>
      <c r="F1407" s="11">
        <v>4.62</v>
      </c>
      <c r="G1407" s="8">
        <f t="shared" si="21"/>
        <v>19.61038961038961</v>
      </c>
    </row>
    <row r="1408" spans="1:7" x14ac:dyDescent="0.25">
      <c r="A1408" s="10">
        <v>45805.78125</v>
      </c>
      <c r="B1408" s="11">
        <v>15</v>
      </c>
      <c r="C1408" s="11" t="s">
        <v>20</v>
      </c>
      <c r="D1408" s="11" t="s">
        <v>21</v>
      </c>
      <c r="E1408" s="11">
        <v>1.47</v>
      </c>
      <c r="F1408" s="11">
        <v>3.18</v>
      </c>
      <c r="G1408" s="8">
        <f t="shared" si="21"/>
        <v>27.735849056603772</v>
      </c>
    </row>
    <row r="1409" spans="1:7" x14ac:dyDescent="0.25">
      <c r="A1409" s="10">
        <v>45805.78125</v>
      </c>
      <c r="B1409" s="11">
        <v>16</v>
      </c>
      <c r="C1409" s="11" t="s">
        <v>21</v>
      </c>
      <c r="D1409" s="11" t="s">
        <v>22</v>
      </c>
      <c r="E1409" s="11">
        <v>1.5</v>
      </c>
      <c r="F1409" s="11">
        <v>3.02</v>
      </c>
      <c r="G1409" s="8">
        <f t="shared" si="21"/>
        <v>29.801324503311257</v>
      </c>
    </row>
    <row r="1410" spans="1:7" x14ac:dyDescent="0.25">
      <c r="A1410" s="10">
        <v>45805.78125</v>
      </c>
      <c r="B1410" s="11">
        <v>17</v>
      </c>
      <c r="C1410" s="11" t="s">
        <v>22</v>
      </c>
      <c r="D1410" s="11" t="s">
        <v>23</v>
      </c>
      <c r="E1410" s="11">
        <v>1.51</v>
      </c>
      <c r="F1410" s="11">
        <v>4.22</v>
      </c>
      <c r="G1410" s="8">
        <f t="shared" si="21"/>
        <v>21.469194312796208</v>
      </c>
    </row>
    <row r="1411" spans="1:7" x14ac:dyDescent="0.25">
      <c r="A1411" s="10">
        <v>45805.78125</v>
      </c>
      <c r="B1411" s="11">
        <v>18</v>
      </c>
      <c r="C1411" s="11" t="s">
        <v>23</v>
      </c>
      <c r="D1411" s="11" t="s">
        <v>24</v>
      </c>
      <c r="E1411" s="11">
        <v>1.51</v>
      </c>
      <c r="F1411" s="11">
        <v>4.17</v>
      </c>
      <c r="G1411" s="8">
        <f t="shared" ref="G1411:G1474" si="22">E1411*60/F1411</f>
        <v>21.726618705035971</v>
      </c>
    </row>
    <row r="1412" spans="1:7" x14ac:dyDescent="0.25">
      <c r="A1412" s="10">
        <v>45805.78125</v>
      </c>
      <c r="B1412" s="11">
        <v>19</v>
      </c>
      <c r="C1412" s="11" t="s">
        <v>25</v>
      </c>
      <c r="D1412" s="11" t="s">
        <v>26</v>
      </c>
      <c r="E1412" s="11">
        <v>1.5</v>
      </c>
      <c r="F1412" s="11">
        <v>3.68</v>
      </c>
      <c r="G1412" s="8">
        <f t="shared" si="22"/>
        <v>24.456521739130434</v>
      </c>
    </row>
    <row r="1413" spans="1:7" x14ac:dyDescent="0.25">
      <c r="A1413" s="10">
        <v>45805.78125</v>
      </c>
      <c r="B1413" s="11">
        <v>20</v>
      </c>
      <c r="C1413" s="11" t="s">
        <v>26</v>
      </c>
      <c r="D1413" s="11" t="s">
        <v>27</v>
      </c>
      <c r="E1413" s="11">
        <v>1.48</v>
      </c>
      <c r="F1413" s="11">
        <v>3.3</v>
      </c>
      <c r="G1413" s="8">
        <f t="shared" si="22"/>
        <v>26.90909090909091</v>
      </c>
    </row>
    <row r="1414" spans="1:7" x14ac:dyDescent="0.25">
      <c r="A1414" s="10">
        <v>45805.78125</v>
      </c>
      <c r="B1414" s="11">
        <v>21</v>
      </c>
      <c r="C1414" s="11" t="s">
        <v>27</v>
      </c>
      <c r="D1414" s="11" t="s">
        <v>28</v>
      </c>
      <c r="E1414" s="11">
        <v>1.51</v>
      </c>
      <c r="F1414" s="11">
        <v>3.92</v>
      </c>
      <c r="G1414" s="8">
        <f t="shared" si="22"/>
        <v>23.112244897959183</v>
      </c>
    </row>
    <row r="1415" spans="1:7" x14ac:dyDescent="0.25">
      <c r="A1415" s="10">
        <v>45805.78125</v>
      </c>
      <c r="B1415" s="11">
        <v>22</v>
      </c>
      <c r="C1415" s="11" t="s">
        <v>28</v>
      </c>
      <c r="D1415" s="11" t="s">
        <v>29</v>
      </c>
      <c r="E1415" s="11">
        <v>1.57</v>
      </c>
      <c r="F1415" s="11">
        <v>7.15</v>
      </c>
      <c r="G1415" s="8">
        <f t="shared" si="22"/>
        <v>13.174825174825175</v>
      </c>
    </row>
    <row r="1416" spans="1:7" x14ac:dyDescent="0.25">
      <c r="A1416" s="10">
        <v>45805.78125</v>
      </c>
      <c r="B1416" s="11">
        <v>23</v>
      </c>
      <c r="C1416" s="11" t="s">
        <v>29</v>
      </c>
      <c r="D1416" s="11" t="s">
        <v>30</v>
      </c>
      <c r="E1416" s="11">
        <v>1.43</v>
      </c>
      <c r="F1416" s="11">
        <v>5.53</v>
      </c>
      <c r="G1416" s="8">
        <f t="shared" si="22"/>
        <v>15.515370705244122</v>
      </c>
    </row>
    <row r="1417" spans="1:7" x14ac:dyDescent="0.25">
      <c r="A1417" s="10">
        <v>45805.78125</v>
      </c>
      <c r="B1417" s="11">
        <v>24</v>
      </c>
      <c r="C1417" s="11" t="s">
        <v>30</v>
      </c>
      <c r="D1417" s="11" t="s">
        <v>31</v>
      </c>
      <c r="E1417" s="11">
        <v>1.52</v>
      </c>
      <c r="F1417" s="11">
        <v>3.95</v>
      </c>
      <c r="G1417" s="8">
        <f t="shared" si="22"/>
        <v>23.088607594936708</v>
      </c>
    </row>
    <row r="1418" spans="1:7" x14ac:dyDescent="0.25">
      <c r="A1418" s="10">
        <v>45805.78125</v>
      </c>
      <c r="B1418" s="11">
        <v>25</v>
      </c>
      <c r="C1418" s="11" t="s">
        <v>31</v>
      </c>
      <c r="D1418" s="11" t="s">
        <v>32</v>
      </c>
      <c r="E1418" s="11">
        <v>1.52</v>
      </c>
      <c r="F1418" s="11">
        <v>3.98</v>
      </c>
      <c r="G1418" s="8">
        <f t="shared" si="22"/>
        <v>22.91457286432161</v>
      </c>
    </row>
    <row r="1419" spans="1:7" x14ac:dyDescent="0.25">
      <c r="A1419" s="10">
        <v>45805.78125</v>
      </c>
      <c r="B1419" s="11">
        <v>26</v>
      </c>
      <c r="C1419" s="11" t="s">
        <v>32</v>
      </c>
      <c r="D1419" s="11" t="s">
        <v>33</v>
      </c>
      <c r="E1419" s="11">
        <v>1.49</v>
      </c>
      <c r="F1419" s="11">
        <v>6.92</v>
      </c>
      <c r="G1419" s="8">
        <f t="shared" si="22"/>
        <v>12.919075144508671</v>
      </c>
    </row>
    <row r="1420" spans="1:7" x14ac:dyDescent="0.25">
      <c r="A1420" s="10">
        <v>45805.78125</v>
      </c>
      <c r="B1420" s="11">
        <v>27</v>
      </c>
      <c r="C1420" s="11" t="s">
        <v>33</v>
      </c>
      <c r="D1420" s="11" t="s">
        <v>34</v>
      </c>
      <c r="E1420" s="11">
        <v>1.53</v>
      </c>
      <c r="F1420" s="11">
        <v>5.92</v>
      </c>
      <c r="G1420" s="8">
        <f t="shared" si="22"/>
        <v>15.506756756756756</v>
      </c>
    </row>
    <row r="1421" spans="1:7" x14ac:dyDescent="0.25">
      <c r="A1421" s="10">
        <v>45805.78125</v>
      </c>
      <c r="B1421" s="11">
        <v>28</v>
      </c>
      <c r="C1421" s="11" t="s">
        <v>34</v>
      </c>
      <c r="D1421" s="11" t="s">
        <v>35</v>
      </c>
      <c r="E1421" s="11">
        <v>1.51</v>
      </c>
      <c r="F1421" s="11">
        <v>5.38</v>
      </c>
      <c r="G1421" s="8">
        <f t="shared" si="22"/>
        <v>16.840148698884757</v>
      </c>
    </row>
    <row r="1422" spans="1:7" x14ac:dyDescent="0.25">
      <c r="A1422" s="10">
        <v>45805.78125</v>
      </c>
      <c r="B1422" s="11">
        <v>29</v>
      </c>
      <c r="C1422" s="11" t="s">
        <v>36</v>
      </c>
      <c r="D1422" s="11" t="s">
        <v>37</v>
      </c>
      <c r="E1422" s="11">
        <v>1.57</v>
      </c>
      <c r="F1422" s="11">
        <v>3.75</v>
      </c>
      <c r="G1422" s="8">
        <f t="shared" si="22"/>
        <v>25.12</v>
      </c>
    </row>
    <row r="1423" spans="1:7" x14ac:dyDescent="0.25">
      <c r="A1423" s="10">
        <v>45805.78125</v>
      </c>
      <c r="B1423" s="11">
        <v>30</v>
      </c>
      <c r="C1423" s="11" t="s">
        <v>37</v>
      </c>
      <c r="D1423" s="11" t="s">
        <v>38</v>
      </c>
      <c r="E1423" s="11">
        <v>1.57</v>
      </c>
      <c r="F1423" s="11">
        <v>3.83</v>
      </c>
      <c r="G1423" s="8">
        <f t="shared" si="22"/>
        <v>24.595300261096607</v>
      </c>
    </row>
    <row r="1424" spans="1:7" x14ac:dyDescent="0.25">
      <c r="A1424" s="10">
        <v>45805.78125</v>
      </c>
      <c r="B1424" s="11">
        <v>31</v>
      </c>
      <c r="C1424" s="11" t="s">
        <v>38</v>
      </c>
      <c r="D1424" s="11" t="s">
        <v>39</v>
      </c>
      <c r="E1424" s="11">
        <v>1.52</v>
      </c>
      <c r="F1424" s="11">
        <v>4</v>
      </c>
      <c r="G1424" s="8">
        <f t="shared" si="22"/>
        <v>22.8</v>
      </c>
    </row>
    <row r="1425" spans="1:7" x14ac:dyDescent="0.25">
      <c r="A1425" s="10">
        <v>45805.78125</v>
      </c>
      <c r="B1425" s="11">
        <v>32</v>
      </c>
      <c r="C1425" s="11" t="s">
        <v>39</v>
      </c>
      <c r="D1425" s="11" t="s">
        <v>40</v>
      </c>
      <c r="E1425" s="11">
        <v>1.5</v>
      </c>
      <c r="F1425" s="11">
        <v>2.62</v>
      </c>
      <c r="G1425" s="8">
        <f t="shared" si="22"/>
        <v>34.351145038167935</v>
      </c>
    </row>
    <row r="1426" spans="1:7" x14ac:dyDescent="0.25">
      <c r="A1426" s="10">
        <v>45805.78125</v>
      </c>
      <c r="B1426" s="11">
        <v>33</v>
      </c>
      <c r="C1426" s="11" t="s">
        <v>40</v>
      </c>
      <c r="D1426" s="11" t="s">
        <v>41</v>
      </c>
      <c r="E1426" s="11">
        <v>1.51</v>
      </c>
      <c r="F1426" s="11">
        <v>2.5499999999999998</v>
      </c>
      <c r="G1426" s="8">
        <f t="shared" si="22"/>
        <v>35.529411764705884</v>
      </c>
    </row>
    <row r="1427" spans="1:7" x14ac:dyDescent="0.25">
      <c r="A1427" s="10">
        <v>45805.78125</v>
      </c>
      <c r="B1427" s="11">
        <v>34</v>
      </c>
      <c r="C1427" s="11" t="s">
        <v>41</v>
      </c>
      <c r="D1427" s="11" t="s">
        <v>42</v>
      </c>
      <c r="E1427" s="11">
        <v>1.5</v>
      </c>
      <c r="F1427" s="11">
        <v>2.2000000000000002</v>
      </c>
      <c r="G1427" s="8">
        <f t="shared" si="22"/>
        <v>40.909090909090907</v>
      </c>
    </row>
    <row r="1428" spans="1:7" x14ac:dyDescent="0.25">
      <c r="A1428" s="10">
        <v>45805.78125</v>
      </c>
      <c r="B1428" s="11">
        <v>35</v>
      </c>
      <c r="C1428" s="11" t="s">
        <v>43</v>
      </c>
      <c r="D1428" s="11" t="s">
        <v>44</v>
      </c>
      <c r="E1428" s="11">
        <v>1.55</v>
      </c>
      <c r="F1428" s="11">
        <v>4.4000000000000004</v>
      </c>
      <c r="G1428" s="8">
        <f t="shared" si="22"/>
        <v>21.136363636363633</v>
      </c>
    </row>
    <row r="1429" spans="1:7" x14ac:dyDescent="0.25">
      <c r="A1429" s="10">
        <v>45805.78125</v>
      </c>
      <c r="B1429" s="11">
        <v>36</v>
      </c>
      <c r="C1429" s="11" t="s">
        <v>44</v>
      </c>
      <c r="D1429" s="11" t="s">
        <v>45</v>
      </c>
      <c r="E1429" s="11">
        <v>1.5</v>
      </c>
      <c r="F1429" s="11">
        <v>3.77</v>
      </c>
      <c r="G1429" s="8">
        <f t="shared" si="22"/>
        <v>23.872679045092838</v>
      </c>
    </row>
    <row r="1430" spans="1:7" x14ac:dyDescent="0.25">
      <c r="A1430" s="10">
        <v>45805.78125</v>
      </c>
      <c r="B1430" s="11">
        <v>37</v>
      </c>
      <c r="C1430" s="11" t="s">
        <v>45</v>
      </c>
      <c r="D1430" s="11" t="s">
        <v>46</v>
      </c>
      <c r="E1430" s="11">
        <v>1.38</v>
      </c>
      <c r="F1430" s="11">
        <v>5.42</v>
      </c>
      <c r="G1430" s="8">
        <f t="shared" si="22"/>
        <v>15.276752767527675</v>
      </c>
    </row>
    <row r="1431" spans="1:7" x14ac:dyDescent="0.25">
      <c r="A1431" s="10">
        <v>45805.78125</v>
      </c>
      <c r="B1431" s="11">
        <v>38</v>
      </c>
      <c r="C1431" s="11" t="s">
        <v>46</v>
      </c>
      <c r="D1431" s="11" t="s">
        <v>47</v>
      </c>
      <c r="E1431" s="11">
        <v>1.61</v>
      </c>
      <c r="F1431" s="11">
        <v>5.77</v>
      </c>
      <c r="G1431" s="8">
        <f t="shared" si="22"/>
        <v>16.741767764298096</v>
      </c>
    </row>
    <row r="1432" spans="1:7" x14ac:dyDescent="0.25">
      <c r="A1432" s="10">
        <v>45805.78125</v>
      </c>
      <c r="B1432" s="11">
        <v>39</v>
      </c>
      <c r="C1432" s="11" t="s">
        <v>47</v>
      </c>
      <c r="D1432" s="11" t="s">
        <v>48</v>
      </c>
      <c r="E1432" s="11">
        <v>1.55</v>
      </c>
      <c r="F1432" s="11">
        <v>3.75</v>
      </c>
      <c r="G1432" s="8">
        <f t="shared" si="22"/>
        <v>24.8</v>
      </c>
    </row>
    <row r="1433" spans="1:7" x14ac:dyDescent="0.25">
      <c r="A1433" s="10">
        <v>45805.78125</v>
      </c>
      <c r="B1433" s="11">
        <v>40</v>
      </c>
      <c r="C1433" s="11" t="s">
        <v>48</v>
      </c>
      <c r="D1433" s="11" t="s">
        <v>49</v>
      </c>
      <c r="E1433" s="11">
        <v>1.39</v>
      </c>
      <c r="F1433" s="11">
        <v>3.32</v>
      </c>
      <c r="G1433" s="8">
        <f t="shared" si="22"/>
        <v>25.120481927710841</v>
      </c>
    </row>
    <row r="1434" spans="1:7" x14ac:dyDescent="0.25">
      <c r="A1434" s="10">
        <v>45805.78125</v>
      </c>
      <c r="B1434" s="11">
        <v>41</v>
      </c>
      <c r="C1434" s="11" t="s">
        <v>50</v>
      </c>
      <c r="D1434" s="11" t="s">
        <v>51</v>
      </c>
      <c r="E1434" s="11">
        <v>1.56</v>
      </c>
      <c r="F1434" s="11">
        <v>5.38</v>
      </c>
      <c r="G1434" s="8">
        <f t="shared" si="22"/>
        <v>17.397769516728626</v>
      </c>
    </row>
    <row r="1435" spans="1:7" x14ac:dyDescent="0.25">
      <c r="A1435" s="10">
        <v>45805.78125</v>
      </c>
      <c r="B1435" s="11">
        <v>42</v>
      </c>
      <c r="C1435" s="11" t="s">
        <v>51</v>
      </c>
      <c r="D1435" s="11" t="s">
        <v>52</v>
      </c>
      <c r="E1435" s="11">
        <v>1.56</v>
      </c>
      <c r="F1435" s="11">
        <v>4.55</v>
      </c>
      <c r="G1435" s="8">
        <f t="shared" si="22"/>
        <v>20.571428571428573</v>
      </c>
    </row>
    <row r="1436" spans="1:7" x14ac:dyDescent="0.25">
      <c r="A1436" s="10">
        <v>45805.78125</v>
      </c>
      <c r="B1436" s="11">
        <v>43</v>
      </c>
      <c r="C1436" s="11" t="s">
        <v>52</v>
      </c>
      <c r="D1436" s="11" t="s">
        <v>53</v>
      </c>
      <c r="E1436" s="11">
        <v>1.51</v>
      </c>
      <c r="F1436" s="11">
        <v>3.8</v>
      </c>
      <c r="G1436" s="8">
        <f t="shared" si="22"/>
        <v>23.842105263157894</v>
      </c>
    </row>
    <row r="1437" spans="1:7" x14ac:dyDescent="0.25">
      <c r="A1437" s="10">
        <v>45805.78125</v>
      </c>
      <c r="B1437" s="11">
        <v>44</v>
      </c>
      <c r="C1437" s="11" t="s">
        <v>54</v>
      </c>
      <c r="D1437" s="11" t="s">
        <v>55</v>
      </c>
      <c r="E1437" s="11">
        <v>1.51</v>
      </c>
      <c r="F1437" s="11">
        <v>4.4800000000000004</v>
      </c>
      <c r="G1437" s="8">
        <f t="shared" si="22"/>
        <v>20.223214285714281</v>
      </c>
    </row>
    <row r="1438" spans="1:7" x14ac:dyDescent="0.25">
      <c r="A1438" s="10">
        <v>45805.78125</v>
      </c>
      <c r="B1438" s="11">
        <v>45</v>
      </c>
      <c r="C1438" s="11" t="s">
        <v>55</v>
      </c>
      <c r="D1438" s="11" t="s">
        <v>56</v>
      </c>
      <c r="E1438" s="11">
        <v>1.49</v>
      </c>
      <c r="F1438" s="11">
        <v>4.45</v>
      </c>
      <c r="G1438" s="8">
        <f t="shared" si="22"/>
        <v>20.08988764044944</v>
      </c>
    </row>
    <row r="1439" spans="1:7" x14ac:dyDescent="0.25">
      <c r="A1439" s="10">
        <v>45805.78125</v>
      </c>
      <c r="B1439" s="11">
        <v>46</v>
      </c>
      <c r="C1439" s="11" t="s">
        <v>56</v>
      </c>
      <c r="D1439" s="11" t="s">
        <v>57</v>
      </c>
      <c r="E1439" s="11">
        <v>1.52</v>
      </c>
      <c r="F1439" s="11">
        <v>5.0199999999999996</v>
      </c>
      <c r="G1439" s="8">
        <f t="shared" si="22"/>
        <v>18.167330677290838</v>
      </c>
    </row>
    <row r="1440" spans="1:7" x14ac:dyDescent="0.25">
      <c r="A1440" s="10">
        <v>45805.78125</v>
      </c>
      <c r="B1440" s="11">
        <v>47</v>
      </c>
      <c r="C1440" s="11" t="s">
        <v>58</v>
      </c>
      <c r="D1440" s="11" t="s">
        <v>59</v>
      </c>
      <c r="E1440" s="11">
        <v>1.52</v>
      </c>
      <c r="F1440" s="11">
        <v>4.53</v>
      </c>
      <c r="G1440" s="8">
        <f t="shared" si="22"/>
        <v>20.132450331125828</v>
      </c>
    </row>
    <row r="1441" spans="1:7" x14ac:dyDescent="0.25">
      <c r="A1441" s="10">
        <v>45805.78125</v>
      </c>
      <c r="B1441" s="11">
        <v>48</v>
      </c>
      <c r="C1441" s="11" t="s">
        <v>59</v>
      </c>
      <c r="D1441" s="11" t="s">
        <v>60</v>
      </c>
      <c r="E1441" s="11">
        <v>1.5</v>
      </c>
      <c r="F1441" s="11">
        <v>4.2699999999999996</v>
      </c>
      <c r="G1441" s="8">
        <f t="shared" si="22"/>
        <v>21.077283372365343</v>
      </c>
    </row>
    <row r="1442" spans="1:7" x14ac:dyDescent="0.25">
      <c r="A1442" s="10">
        <v>45805.78125</v>
      </c>
      <c r="B1442" s="11">
        <v>49</v>
      </c>
      <c r="C1442" s="11" t="s">
        <v>60</v>
      </c>
      <c r="D1442" s="11" t="s">
        <v>61</v>
      </c>
      <c r="E1442" s="11">
        <v>1.57</v>
      </c>
      <c r="F1442" s="11">
        <v>4.55</v>
      </c>
      <c r="G1442" s="8">
        <f t="shared" si="22"/>
        <v>20.703296703296704</v>
      </c>
    </row>
    <row r="1443" spans="1:7" x14ac:dyDescent="0.25">
      <c r="A1443" s="10">
        <v>45805.78125</v>
      </c>
      <c r="B1443" s="11">
        <v>50</v>
      </c>
      <c r="C1443" s="11" t="s">
        <v>62</v>
      </c>
      <c r="D1443" s="11" t="s">
        <v>63</v>
      </c>
      <c r="E1443" s="11">
        <v>1.38</v>
      </c>
      <c r="F1443" s="11">
        <v>3.2</v>
      </c>
      <c r="G1443" s="8">
        <f t="shared" si="22"/>
        <v>25.874999999999996</v>
      </c>
    </row>
    <row r="1444" spans="1:7" x14ac:dyDescent="0.25">
      <c r="A1444" s="10">
        <v>45805.78125</v>
      </c>
      <c r="B1444" s="11">
        <v>51</v>
      </c>
      <c r="C1444" s="11" t="s">
        <v>63</v>
      </c>
      <c r="D1444" s="11" t="s">
        <v>64</v>
      </c>
      <c r="E1444" s="11">
        <v>2.79</v>
      </c>
      <c r="F1444" s="11">
        <v>5.97</v>
      </c>
      <c r="G1444" s="8">
        <f t="shared" si="22"/>
        <v>28.040201005025128</v>
      </c>
    </row>
    <row r="1445" spans="1:7" x14ac:dyDescent="0.25">
      <c r="A1445" s="10">
        <v>45805.78125</v>
      </c>
      <c r="B1445" s="11">
        <v>52</v>
      </c>
      <c r="C1445" s="11" t="s">
        <v>64</v>
      </c>
      <c r="D1445" s="11" t="s">
        <v>65</v>
      </c>
      <c r="E1445" s="11">
        <v>1.5</v>
      </c>
      <c r="F1445" s="11">
        <v>2.85</v>
      </c>
      <c r="G1445" s="8">
        <f t="shared" si="22"/>
        <v>31.578947368421051</v>
      </c>
    </row>
    <row r="1446" spans="1:7" x14ac:dyDescent="0.25">
      <c r="A1446" s="10">
        <v>45805.78125</v>
      </c>
      <c r="B1446" s="11">
        <v>53</v>
      </c>
      <c r="C1446" s="11" t="s">
        <v>65</v>
      </c>
      <c r="D1446" s="11" t="s">
        <v>66</v>
      </c>
      <c r="E1446" s="11">
        <v>1.46</v>
      </c>
      <c r="F1446" s="11">
        <v>3.93</v>
      </c>
      <c r="G1446" s="8">
        <f t="shared" si="22"/>
        <v>22.29007633587786</v>
      </c>
    </row>
    <row r="1447" spans="1:7" x14ac:dyDescent="0.25">
      <c r="A1447" s="10">
        <v>45805.78125</v>
      </c>
      <c r="B1447" s="11">
        <v>54</v>
      </c>
      <c r="C1447" s="11" t="s">
        <v>67</v>
      </c>
      <c r="D1447" s="11" t="s">
        <v>68</v>
      </c>
      <c r="E1447" s="11">
        <v>1.46</v>
      </c>
      <c r="F1447" s="11">
        <v>2.52</v>
      </c>
      <c r="G1447" s="8">
        <f t="shared" si="22"/>
        <v>34.761904761904759</v>
      </c>
    </row>
    <row r="1448" spans="1:7" x14ac:dyDescent="0.25">
      <c r="A1448" s="10">
        <v>45805.78125</v>
      </c>
      <c r="B1448" s="11">
        <v>55</v>
      </c>
      <c r="C1448" s="11" t="s">
        <v>68</v>
      </c>
      <c r="D1448" s="11" t="s">
        <v>69</v>
      </c>
      <c r="E1448" s="11">
        <v>1.5</v>
      </c>
      <c r="F1448" s="11">
        <v>2.17</v>
      </c>
      <c r="G1448" s="8">
        <f t="shared" si="22"/>
        <v>41.474654377880185</v>
      </c>
    </row>
    <row r="1449" spans="1:7" x14ac:dyDescent="0.25">
      <c r="A1449" s="10">
        <v>45805.78125</v>
      </c>
      <c r="B1449" s="11">
        <v>56</v>
      </c>
      <c r="C1449" s="11" t="s">
        <v>70</v>
      </c>
      <c r="D1449" s="11" t="s">
        <v>71</v>
      </c>
      <c r="E1449" s="11">
        <v>1.51</v>
      </c>
      <c r="F1449" s="11">
        <v>6.75</v>
      </c>
      <c r="G1449" s="8">
        <f t="shared" si="22"/>
        <v>13.422222222222221</v>
      </c>
    </row>
    <row r="1450" spans="1:7" x14ac:dyDescent="0.25">
      <c r="A1450" s="10">
        <v>45805.78125</v>
      </c>
      <c r="B1450" s="11">
        <v>57</v>
      </c>
      <c r="C1450" s="11" t="s">
        <v>71</v>
      </c>
      <c r="D1450" s="11" t="s">
        <v>72</v>
      </c>
      <c r="E1450" s="11">
        <v>2</v>
      </c>
      <c r="F1450" s="11">
        <v>6.65</v>
      </c>
      <c r="G1450" s="8">
        <f t="shared" si="22"/>
        <v>18.045112781954888</v>
      </c>
    </row>
    <row r="1451" spans="1:7" x14ac:dyDescent="0.25">
      <c r="A1451" s="10">
        <v>45805.78125</v>
      </c>
      <c r="B1451" s="11">
        <v>58</v>
      </c>
      <c r="C1451" s="11" t="s">
        <v>72</v>
      </c>
      <c r="D1451" s="11" t="s">
        <v>73</v>
      </c>
      <c r="E1451" s="11">
        <v>1.5</v>
      </c>
      <c r="F1451" s="11">
        <v>4.68</v>
      </c>
      <c r="G1451" s="8">
        <f t="shared" si="22"/>
        <v>19.230769230769234</v>
      </c>
    </row>
    <row r="1452" spans="1:7" x14ac:dyDescent="0.25">
      <c r="A1452" s="10">
        <v>45805.791666666664</v>
      </c>
      <c r="B1452" s="11">
        <v>1</v>
      </c>
      <c r="C1452" s="11" t="s">
        <v>6</v>
      </c>
      <c r="D1452" s="11" t="s">
        <v>7</v>
      </c>
      <c r="E1452" s="11">
        <v>1.53</v>
      </c>
      <c r="F1452" s="11">
        <v>3.13</v>
      </c>
      <c r="G1452" s="8">
        <f t="shared" si="22"/>
        <v>29.329073482428115</v>
      </c>
    </row>
    <row r="1453" spans="1:7" x14ac:dyDescent="0.25">
      <c r="A1453" s="10">
        <v>45805.791666666664</v>
      </c>
      <c r="B1453" s="11">
        <v>2</v>
      </c>
      <c r="C1453" s="11" t="s">
        <v>7</v>
      </c>
      <c r="D1453" s="11" t="s">
        <v>8</v>
      </c>
      <c r="E1453" s="11">
        <v>1.57</v>
      </c>
      <c r="F1453" s="11">
        <v>5.7</v>
      </c>
      <c r="G1453" s="8">
        <f t="shared" si="22"/>
        <v>16.526315789473685</v>
      </c>
    </row>
    <row r="1454" spans="1:7" x14ac:dyDescent="0.25">
      <c r="A1454" s="10">
        <v>45805.791666666664</v>
      </c>
      <c r="B1454" s="11">
        <v>3</v>
      </c>
      <c r="C1454" s="11" t="s">
        <v>8</v>
      </c>
      <c r="D1454" s="11" t="s">
        <v>9</v>
      </c>
      <c r="E1454" s="11">
        <v>1.5</v>
      </c>
      <c r="F1454" s="11">
        <v>4.25</v>
      </c>
      <c r="G1454" s="8">
        <f t="shared" si="22"/>
        <v>21.176470588235293</v>
      </c>
    </row>
    <row r="1455" spans="1:7" x14ac:dyDescent="0.25">
      <c r="A1455" s="10">
        <v>45805.791666666664</v>
      </c>
      <c r="B1455" s="11">
        <v>4</v>
      </c>
      <c r="C1455" s="11" t="s">
        <v>9</v>
      </c>
      <c r="D1455" s="11" t="s">
        <v>10</v>
      </c>
      <c r="E1455" s="11">
        <v>1.5</v>
      </c>
      <c r="F1455" s="11">
        <v>3.38</v>
      </c>
      <c r="G1455" s="8">
        <f t="shared" si="22"/>
        <v>26.627218934911244</v>
      </c>
    </row>
    <row r="1456" spans="1:7" x14ac:dyDescent="0.25">
      <c r="A1456" s="10">
        <v>45805.791666666664</v>
      </c>
      <c r="B1456" s="11">
        <v>5</v>
      </c>
      <c r="C1456" s="11" t="s">
        <v>10</v>
      </c>
      <c r="D1456" s="11" t="s">
        <v>11</v>
      </c>
      <c r="E1456" s="11">
        <v>1.52</v>
      </c>
      <c r="F1456" s="11">
        <v>3.92</v>
      </c>
      <c r="G1456" s="8">
        <f t="shared" si="22"/>
        <v>23.26530612244898</v>
      </c>
    </row>
    <row r="1457" spans="1:7" x14ac:dyDescent="0.25">
      <c r="A1457" s="10">
        <v>45805.791666666664</v>
      </c>
      <c r="B1457" s="11">
        <v>6</v>
      </c>
      <c r="C1457" s="11" t="s">
        <v>11</v>
      </c>
      <c r="D1457" s="11" t="s">
        <v>12</v>
      </c>
      <c r="E1457" s="11">
        <v>1.5</v>
      </c>
      <c r="F1457" s="11">
        <v>2.8</v>
      </c>
      <c r="G1457" s="8">
        <f t="shared" si="22"/>
        <v>32.142857142857146</v>
      </c>
    </row>
    <row r="1458" spans="1:7" x14ac:dyDescent="0.25">
      <c r="A1458" s="10">
        <v>45805.791666666664</v>
      </c>
      <c r="B1458" s="11">
        <v>7</v>
      </c>
      <c r="C1458" s="11" t="s">
        <v>12</v>
      </c>
      <c r="D1458" s="11" t="s">
        <v>13</v>
      </c>
      <c r="E1458" s="11">
        <v>1.54</v>
      </c>
      <c r="F1458" s="11">
        <v>2.85</v>
      </c>
      <c r="G1458" s="8">
        <f t="shared" si="22"/>
        <v>32.421052631578945</v>
      </c>
    </row>
    <row r="1459" spans="1:7" x14ac:dyDescent="0.25">
      <c r="A1459" s="10">
        <v>45805.791666666664</v>
      </c>
      <c r="B1459" s="11">
        <v>8</v>
      </c>
      <c r="C1459" s="11" t="s">
        <v>13</v>
      </c>
      <c r="D1459" s="11" t="s">
        <v>14</v>
      </c>
      <c r="E1459" s="11">
        <v>1.54</v>
      </c>
      <c r="F1459" s="11">
        <v>3.12</v>
      </c>
      <c r="G1459" s="8">
        <f t="shared" si="22"/>
        <v>29.615384615384617</v>
      </c>
    </row>
    <row r="1460" spans="1:7" x14ac:dyDescent="0.25">
      <c r="A1460" s="10">
        <v>45805.791666666664</v>
      </c>
      <c r="B1460" s="11">
        <v>9</v>
      </c>
      <c r="C1460" s="11" t="s">
        <v>14</v>
      </c>
      <c r="D1460" s="11" t="s">
        <v>15</v>
      </c>
      <c r="E1460" s="11">
        <v>1.52</v>
      </c>
      <c r="F1460" s="11">
        <v>4.2</v>
      </c>
      <c r="G1460" s="8">
        <f t="shared" si="22"/>
        <v>21.714285714285715</v>
      </c>
    </row>
    <row r="1461" spans="1:7" x14ac:dyDescent="0.25">
      <c r="A1461" s="10">
        <v>45805.791666666664</v>
      </c>
      <c r="B1461" s="11">
        <v>10</v>
      </c>
      <c r="C1461" s="11" t="s">
        <v>15</v>
      </c>
      <c r="D1461" s="11" t="s">
        <v>16</v>
      </c>
      <c r="E1461" s="11">
        <v>1.5</v>
      </c>
      <c r="F1461" s="11">
        <v>3.9</v>
      </c>
      <c r="G1461" s="8">
        <f t="shared" si="22"/>
        <v>23.076923076923077</v>
      </c>
    </row>
    <row r="1462" spans="1:7" x14ac:dyDescent="0.25">
      <c r="A1462" s="10">
        <v>45805.791666666664</v>
      </c>
      <c r="B1462" s="11">
        <v>11</v>
      </c>
      <c r="C1462" s="11" t="s">
        <v>16</v>
      </c>
      <c r="D1462" s="11" t="s">
        <v>17</v>
      </c>
      <c r="E1462" s="11">
        <v>1.48</v>
      </c>
      <c r="F1462" s="11">
        <v>5.92</v>
      </c>
      <c r="G1462" s="8">
        <f t="shared" si="22"/>
        <v>15</v>
      </c>
    </row>
    <row r="1463" spans="1:7" x14ac:dyDescent="0.25">
      <c r="A1463" s="10">
        <v>45805.791666666664</v>
      </c>
      <c r="B1463" s="11">
        <v>12</v>
      </c>
      <c r="C1463" s="11" t="s">
        <v>17</v>
      </c>
      <c r="D1463" s="11" t="s">
        <v>18</v>
      </c>
      <c r="E1463" s="11">
        <v>1.46</v>
      </c>
      <c r="F1463" s="11">
        <v>4.12</v>
      </c>
      <c r="G1463" s="8">
        <f t="shared" si="22"/>
        <v>21.262135922330096</v>
      </c>
    </row>
    <row r="1464" spans="1:7" x14ac:dyDescent="0.25">
      <c r="A1464" s="10">
        <v>45805.791666666664</v>
      </c>
      <c r="B1464" s="11">
        <v>13</v>
      </c>
      <c r="C1464" s="11" t="s">
        <v>18</v>
      </c>
      <c r="D1464" s="11" t="s">
        <v>19</v>
      </c>
      <c r="E1464" s="11">
        <v>1.52</v>
      </c>
      <c r="F1464" s="11">
        <v>4.3499999999999996</v>
      </c>
      <c r="G1464" s="8">
        <f t="shared" si="22"/>
        <v>20.965517241379313</v>
      </c>
    </row>
    <row r="1465" spans="1:7" x14ac:dyDescent="0.25">
      <c r="A1465" s="10">
        <v>45805.791666666664</v>
      </c>
      <c r="B1465" s="11">
        <v>14</v>
      </c>
      <c r="C1465" s="11" t="s">
        <v>19</v>
      </c>
      <c r="D1465" s="11" t="s">
        <v>20</v>
      </c>
      <c r="E1465" s="11">
        <v>1.51</v>
      </c>
      <c r="F1465" s="11">
        <v>4.13</v>
      </c>
      <c r="G1465" s="8">
        <f t="shared" si="22"/>
        <v>21.937046004842614</v>
      </c>
    </row>
    <row r="1466" spans="1:7" x14ac:dyDescent="0.25">
      <c r="A1466" s="10">
        <v>45805.791666666664</v>
      </c>
      <c r="B1466" s="11">
        <v>15</v>
      </c>
      <c r="C1466" s="11" t="s">
        <v>20</v>
      </c>
      <c r="D1466" s="11" t="s">
        <v>21</v>
      </c>
      <c r="E1466" s="11">
        <v>1.47</v>
      </c>
      <c r="F1466" s="11">
        <v>3.37</v>
      </c>
      <c r="G1466" s="8">
        <f t="shared" si="22"/>
        <v>26.172106824925816</v>
      </c>
    </row>
    <row r="1467" spans="1:7" x14ac:dyDescent="0.25">
      <c r="A1467" s="10">
        <v>45805.791666666664</v>
      </c>
      <c r="B1467" s="11">
        <v>16</v>
      </c>
      <c r="C1467" s="11" t="s">
        <v>21</v>
      </c>
      <c r="D1467" s="11" t="s">
        <v>22</v>
      </c>
      <c r="E1467" s="11">
        <v>1.5</v>
      </c>
      <c r="F1467" s="11">
        <v>2.38</v>
      </c>
      <c r="G1467" s="8">
        <f t="shared" si="22"/>
        <v>37.815126050420169</v>
      </c>
    </row>
    <row r="1468" spans="1:7" x14ac:dyDescent="0.25">
      <c r="A1468" s="10">
        <v>45805.791666666664</v>
      </c>
      <c r="B1468" s="11">
        <v>17</v>
      </c>
      <c r="C1468" s="11" t="s">
        <v>22</v>
      </c>
      <c r="D1468" s="11" t="s">
        <v>23</v>
      </c>
      <c r="E1468" s="11">
        <v>1.51</v>
      </c>
      <c r="F1468" s="11">
        <v>3.68</v>
      </c>
      <c r="G1468" s="8">
        <f t="shared" si="22"/>
        <v>24.619565217391301</v>
      </c>
    </row>
    <row r="1469" spans="1:7" x14ac:dyDescent="0.25">
      <c r="A1469" s="10">
        <v>45805.791666666664</v>
      </c>
      <c r="B1469" s="11">
        <v>18</v>
      </c>
      <c r="C1469" s="11" t="s">
        <v>23</v>
      </c>
      <c r="D1469" s="11" t="s">
        <v>24</v>
      </c>
      <c r="E1469" s="11">
        <v>1.51</v>
      </c>
      <c r="F1469" s="11">
        <v>4.5</v>
      </c>
      <c r="G1469" s="8">
        <f t="shared" si="22"/>
        <v>20.133333333333333</v>
      </c>
    </row>
    <row r="1470" spans="1:7" x14ac:dyDescent="0.25">
      <c r="A1470" s="10">
        <v>45805.791666666664</v>
      </c>
      <c r="B1470" s="11">
        <v>19</v>
      </c>
      <c r="C1470" s="11" t="s">
        <v>25</v>
      </c>
      <c r="D1470" s="11" t="s">
        <v>26</v>
      </c>
      <c r="E1470" s="11">
        <v>1.5</v>
      </c>
      <c r="F1470" s="11">
        <v>3.47</v>
      </c>
      <c r="G1470" s="8">
        <f t="shared" si="22"/>
        <v>25.936599423631122</v>
      </c>
    </row>
    <row r="1471" spans="1:7" x14ac:dyDescent="0.25">
      <c r="A1471" s="10">
        <v>45805.791666666664</v>
      </c>
      <c r="B1471" s="11">
        <v>20</v>
      </c>
      <c r="C1471" s="11" t="s">
        <v>26</v>
      </c>
      <c r="D1471" s="11" t="s">
        <v>27</v>
      </c>
      <c r="E1471" s="11">
        <v>1.48</v>
      </c>
      <c r="F1471" s="11">
        <v>3.33</v>
      </c>
      <c r="G1471" s="8">
        <f t="shared" si="22"/>
        <v>26.666666666666664</v>
      </c>
    </row>
    <row r="1472" spans="1:7" x14ac:dyDescent="0.25">
      <c r="A1472" s="10">
        <v>45805.791666666664</v>
      </c>
      <c r="B1472" s="11">
        <v>21</v>
      </c>
      <c r="C1472" s="11" t="s">
        <v>27</v>
      </c>
      <c r="D1472" s="11" t="s">
        <v>28</v>
      </c>
      <c r="E1472" s="11">
        <v>1.51</v>
      </c>
      <c r="F1472" s="11">
        <v>3.65</v>
      </c>
      <c r="G1472" s="8">
        <f t="shared" si="22"/>
        <v>24.821917808219176</v>
      </c>
    </row>
    <row r="1473" spans="1:7" x14ac:dyDescent="0.25">
      <c r="A1473" s="10">
        <v>45805.791666666664</v>
      </c>
      <c r="B1473" s="11">
        <v>22</v>
      </c>
      <c r="C1473" s="11" t="s">
        <v>28</v>
      </c>
      <c r="D1473" s="11" t="s">
        <v>29</v>
      </c>
      <c r="E1473" s="11">
        <v>2.4300000000000002</v>
      </c>
      <c r="F1473" s="11">
        <v>7.62</v>
      </c>
      <c r="G1473" s="8">
        <f t="shared" si="22"/>
        <v>19.133858267716537</v>
      </c>
    </row>
    <row r="1474" spans="1:7" x14ac:dyDescent="0.25">
      <c r="A1474" s="10">
        <v>45805.791666666664</v>
      </c>
      <c r="B1474" s="11">
        <v>23</v>
      </c>
      <c r="C1474" s="11" t="s">
        <v>29</v>
      </c>
      <c r="D1474" s="11" t="s">
        <v>30</v>
      </c>
      <c r="E1474" s="11">
        <v>1.43</v>
      </c>
      <c r="F1474" s="11">
        <v>5.28</v>
      </c>
      <c r="G1474" s="8">
        <f t="shared" si="22"/>
        <v>16.25</v>
      </c>
    </row>
    <row r="1475" spans="1:7" x14ac:dyDescent="0.25">
      <c r="A1475" s="10">
        <v>45805.791666666664</v>
      </c>
      <c r="B1475" s="11">
        <v>24</v>
      </c>
      <c r="C1475" s="11" t="s">
        <v>30</v>
      </c>
      <c r="D1475" s="11" t="s">
        <v>31</v>
      </c>
      <c r="E1475" s="11">
        <v>1.52</v>
      </c>
      <c r="F1475" s="11">
        <v>3.72</v>
      </c>
      <c r="G1475" s="8">
        <f t="shared" ref="G1475:G1509" si="23">E1475*60/F1475</f>
        <v>24.516129032258064</v>
      </c>
    </row>
    <row r="1476" spans="1:7" x14ac:dyDescent="0.25">
      <c r="A1476" s="10">
        <v>45805.791666666664</v>
      </c>
      <c r="B1476" s="11">
        <v>25</v>
      </c>
      <c r="C1476" s="11" t="s">
        <v>31</v>
      </c>
      <c r="D1476" s="11" t="s">
        <v>32</v>
      </c>
      <c r="E1476" s="11">
        <v>1.52</v>
      </c>
      <c r="F1476" s="11">
        <v>3.5</v>
      </c>
      <c r="G1476" s="8">
        <f t="shared" si="23"/>
        <v>26.057142857142857</v>
      </c>
    </row>
    <row r="1477" spans="1:7" x14ac:dyDescent="0.25">
      <c r="A1477" s="10">
        <v>45805.791666666664</v>
      </c>
      <c r="B1477" s="11">
        <v>26</v>
      </c>
      <c r="C1477" s="11" t="s">
        <v>32</v>
      </c>
      <c r="D1477" s="11" t="s">
        <v>33</v>
      </c>
      <c r="E1477" s="11">
        <v>1.49</v>
      </c>
      <c r="F1477" s="11">
        <v>5.57</v>
      </c>
      <c r="G1477" s="8">
        <f t="shared" si="23"/>
        <v>16.050269299820467</v>
      </c>
    </row>
    <row r="1478" spans="1:7" x14ac:dyDescent="0.25">
      <c r="A1478" s="10">
        <v>45805.791666666664</v>
      </c>
      <c r="B1478" s="11">
        <v>27</v>
      </c>
      <c r="C1478" s="11" t="s">
        <v>33</v>
      </c>
      <c r="D1478" s="11" t="s">
        <v>34</v>
      </c>
      <c r="E1478" s="11">
        <v>1.53</v>
      </c>
      <c r="F1478" s="11">
        <v>4.33</v>
      </c>
      <c r="G1478" s="8">
        <f t="shared" si="23"/>
        <v>21.200923787528868</v>
      </c>
    </row>
    <row r="1479" spans="1:7" x14ac:dyDescent="0.25">
      <c r="A1479" s="10">
        <v>45805.791666666664</v>
      </c>
      <c r="B1479" s="11">
        <v>28</v>
      </c>
      <c r="C1479" s="11" t="s">
        <v>34</v>
      </c>
      <c r="D1479" s="11" t="s">
        <v>35</v>
      </c>
      <c r="E1479" s="11">
        <v>1.51</v>
      </c>
      <c r="F1479" s="11">
        <v>6.22</v>
      </c>
      <c r="G1479" s="8">
        <f t="shared" si="23"/>
        <v>14.565916398713826</v>
      </c>
    </row>
    <row r="1480" spans="1:7" x14ac:dyDescent="0.25">
      <c r="A1480" s="10">
        <v>45805.791666666664</v>
      </c>
      <c r="B1480" s="11">
        <v>29</v>
      </c>
      <c r="C1480" s="11" t="s">
        <v>36</v>
      </c>
      <c r="D1480" s="11" t="s">
        <v>37</v>
      </c>
      <c r="E1480" s="11">
        <v>1.57</v>
      </c>
      <c r="F1480" s="11">
        <v>3.87</v>
      </c>
      <c r="G1480" s="8">
        <f t="shared" si="23"/>
        <v>24.34108527131783</v>
      </c>
    </row>
    <row r="1481" spans="1:7" x14ac:dyDescent="0.25">
      <c r="A1481" s="10">
        <v>45805.791666666664</v>
      </c>
      <c r="B1481" s="11">
        <v>30</v>
      </c>
      <c r="C1481" s="11" t="s">
        <v>37</v>
      </c>
      <c r="D1481" s="11" t="s">
        <v>38</v>
      </c>
      <c r="E1481" s="11">
        <v>1.57</v>
      </c>
      <c r="F1481" s="11">
        <v>3.67</v>
      </c>
      <c r="G1481" s="8">
        <f t="shared" si="23"/>
        <v>25.667574931880111</v>
      </c>
    </row>
    <row r="1482" spans="1:7" x14ac:dyDescent="0.25">
      <c r="A1482" s="10">
        <v>45805.791666666664</v>
      </c>
      <c r="B1482" s="11">
        <v>31</v>
      </c>
      <c r="C1482" s="11" t="s">
        <v>38</v>
      </c>
      <c r="D1482" s="11" t="s">
        <v>39</v>
      </c>
      <c r="E1482" s="11">
        <v>1.52</v>
      </c>
      <c r="F1482" s="11">
        <v>2.78</v>
      </c>
      <c r="G1482" s="8">
        <f t="shared" si="23"/>
        <v>32.805755395683455</v>
      </c>
    </row>
    <row r="1483" spans="1:7" x14ac:dyDescent="0.25">
      <c r="A1483" s="10">
        <v>45805.791666666664</v>
      </c>
      <c r="B1483" s="11">
        <v>32</v>
      </c>
      <c r="C1483" s="11" t="s">
        <v>39</v>
      </c>
      <c r="D1483" s="11" t="s">
        <v>40</v>
      </c>
      <c r="E1483" s="11">
        <v>1.5</v>
      </c>
      <c r="F1483" s="11">
        <v>1.97</v>
      </c>
      <c r="G1483" s="8">
        <f t="shared" si="23"/>
        <v>45.685279187817258</v>
      </c>
    </row>
    <row r="1484" spans="1:7" x14ac:dyDescent="0.25">
      <c r="A1484" s="10">
        <v>45805.791666666664</v>
      </c>
      <c r="B1484" s="11">
        <v>33</v>
      </c>
      <c r="C1484" s="11" t="s">
        <v>40</v>
      </c>
      <c r="D1484" s="11" t="s">
        <v>41</v>
      </c>
      <c r="E1484" s="11">
        <v>1.51</v>
      </c>
      <c r="F1484" s="11">
        <v>2.48</v>
      </c>
      <c r="G1484" s="8">
        <f t="shared" si="23"/>
        <v>36.532258064516128</v>
      </c>
    </row>
    <row r="1485" spans="1:7" x14ac:dyDescent="0.25">
      <c r="A1485" s="10">
        <v>45805.791666666664</v>
      </c>
      <c r="B1485" s="11">
        <v>34</v>
      </c>
      <c r="C1485" s="11" t="s">
        <v>41</v>
      </c>
      <c r="D1485" s="11" t="s">
        <v>42</v>
      </c>
      <c r="E1485" s="11">
        <v>1.5</v>
      </c>
      <c r="F1485" s="11">
        <v>1.97</v>
      </c>
      <c r="G1485" s="8">
        <f t="shared" si="23"/>
        <v>45.685279187817258</v>
      </c>
    </row>
    <row r="1486" spans="1:7" x14ac:dyDescent="0.25">
      <c r="A1486" s="10">
        <v>45805.791666666664</v>
      </c>
      <c r="B1486" s="11">
        <v>35</v>
      </c>
      <c r="C1486" s="11" t="s">
        <v>43</v>
      </c>
      <c r="D1486" s="11" t="s">
        <v>44</v>
      </c>
      <c r="E1486" s="11">
        <v>1.55</v>
      </c>
      <c r="F1486" s="11">
        <v>4.0199999999999996</v>
      </c>
      <c r="G1486" s="8">
        <f t="shared" si="23"/>
        <v>23.134328358208958</v>
      </c>
    </row>
    <row r="1487" spans="1:7" x14ac:dyDescent="0.25">
      <c r="A1487" s="10">
        <v>45805.791666666664</v>
      </c>
      <c r="B1487" s="11">
        <v>36</v>
      </c>
      <c r="C1487" s="11" t="s">
        <v>44</v>
      </c>
      <c r="D1487" s="11" t="s">
        <v>45</v>
      </c>
      <c r="E1487" s="11">
        <v>1.5</v>
      </c>
      <c r="F1487" s="11">
        <v>3.68</v>
      </c>
      <c r="G1487" s="8">
        <f t="shared" si="23"/>
        <v>24.456521739130434</v>
      </c>
    </row>
    <row r="1488" spans="1:7" x14ac:dyDescent="0.25">
      <c r="A1488" s="10">
        <v>45805.791666666664</v>
      </c>
      <c r="B1488" s="11">
        <v>37</v>
      </c>
      <c r="C1488" s="11" t="s">
        <v>45</v>
      </c>
      <c r="D1488" s="11" t="s">
        <v>46</v>
      </c>
      <c r="E1488" s="11">
        <v>1.38</v>
      </c>
      <c r="F1488" s="11">
        <v>6.08</v>
      </c>
      <c r="G1488" s="8">
        <f t="shared" si="23"/>
        <v>13.618421052631579</v>
      </c>
    </row>
    <row r="1489" spans="1:7" x14ac:dyDescent="0.25">
      <c r="A1489" s="10">
        <v>45805.791666666664</v>
      </c>
      <c r="B1489" s="11">
        <v>38</v>
      </c>
      <c r="C1489" s="11" t="s">
        <v>46</v>
      </c>
      <c r="D1489" s="11" t="s">
        <v>47</v>
      </c>
      <c r="E1489" s="11">
        <v>1.61</v>
      </c>
      <c r="F1489" s="11">
        <v>5.27</v>
      </c>
      <c r="G1489" s="8">
        <f t="shared" si="23"/>
        <v>18.330170777988616</v>
      </c>
    </row>
    <row r="1490" spans="1:7" x14ac:dyDescent="0.25">
      <c r="A1490" s="10">
        <v>45805.791666666664</v>
      </c>
      <c r="B1490" s="11">
        <v>39</v>
      </c>
      <c r="C1490" s="11" t="s">
        <v>47</v>
      </c>
      <c r="D1490" s="11" t="s">
        <v>48</v>
      </c>
      <c r="E1490" s="11">
        <v>1.55</v>
      </c>
      <c r="F1490" s="11">
        <v>3.87</v>
      </c>
      <c r="G1490" s="8">
        <f t="shared" si="23"/>
        <v>24.031007751937985</v>
      </c>
    </row>
    <row r="1491" spans="1:7" x14ac:dyDescent="0.25">
      <c r="A1491" s="10">
        <v>45805.791666666664</v>
      </c>
      <c r="B1491" s="11">
        <v>40</v>
      </c>
      <c r="C1491" s="11" t="s">
        <v>48</v>
      </c>
      <c r="D1491" s="11" t="s">
        <v>49</v>
      </c>
      <c r="E1491" s="11">
        <v>1.39</v>
      </c>
      <c r="F1491" s="11">
        <v>3.33</v>
      </c>
      <c r="G1491" s="8">
        <f t="shared" si="23"/>
        <v>25.045045045045043</v>
      </c>
    </row>
    <row r="1492" spans="1:7" x14ac:dyDescent="0.25">
      <c r="A1492" s="10">
        <v>45805.791666666664</v>
      </c>
      <c r="B1492" s="11">
        <v>41</v>
      </c>
      <c r="C1492" s="11" t="s">
        <v>50</v>
      </c>
      <c r="D1492" s="11" t="s">
        <v>51</v>
      </c>
      <c r="E1492" s="11">
        <v>1.56</v>
      </c>
      <c r="F1492" s="11">
        <v>4.95</v>
      </c>
      <c r="G1492" s="8">
        <f t="shared" si="23"/>
        <v>18.90909090909091</v>
      </c>
    </row>
    <row r="1493" spans="1:7" x14ac:dyDescent="0.25">
      <c r="A1493" s="10">
        <v>45805.791666666664</v>
      </c>
      <c r="B1493" s="11">
        <v>42</v>
      </c>
      <c r="C1493" s="11" t="s">
        <v>51</v>
      </c>
      <c r="D1493" s="11" t="s">
        <v>52</v>
      </c>
      <c r="E1493" s="11">
        <v>1.56</v>
      </c>
      <c r="F1493" s="11">
        <v>4.4000000000000004</v>
      </c>
      <c r="G1493" s="8">
        <f t="shared" si="23"/>
        <v>21.272727272727273</v>
      </c>
    </row>
    <row r="1494" spans="1:7" x14ac:dyDescent="0.25">
      <c r="A1494" s="10">
        <v>45805.791666666664</v>
      </c>
      <c r="B1494" s="11">
        <v>43</v>
      </c>
      <c r="C1494" s="11" t="s">
        <v>52</v>
      </c>
      <c r="D1494" s="11" t="s">
        <v>53</v>
      </c>
      <c r="E1494" s="11">
        <v>1.51</v>
      </c>
      <c r="F1494" s="11">
        <v>3.62</v>
      </c>
      <c r="G1494" s="8">
        <f t="shared" si="23"/>
        <v>25.027624309392262</v>
      </c>
    </row>
    <row r="1495" spans="1:7" x14ac:dyDescent="0.25">
      <c r="A1495" s="10">
        <v>45805.791666666664</v>
      </c>
      <c r="B1495" s="11">
        <v>44</v>
      </c>
      <c r="C1495" s="11" t="s">
        <v>54</v>
      </c>
      <c r="D1495" s="11" t="s">
        <v>55</v>
      </c>
      <c r="E1495" s="11">
        <v>1.51</v>
      </c>
      <c r="F1495" s="11">
        <v>4.75</v>
      </c>
      <c r="G1495" s="8">
        <f t="shared" si="23"/>
        <v>19.073684210526313</v>
      </c>
    </row>
    <row r="1496" spans="1:7" x14ac:dyDescent="0.25">
      <c r="A1496" s="10">
        <v>45805.791666666664</v>
      </c>
      <c r="B1496" s="11">
        <v>45</v>
      </c>
      <c r="C1496" s="11" t="s">
        <v>55</v>
      </c>
      <c r="D1496" s="11" t="s">
        <v>56</v>
      </c>
      <c r="E1496" s="11">
        <v>1.49</v>
      </c>
      <c r="F1496" s="11">
        <v>4.5999999999999996</v>
      </c>
      <c r="G1496" s="8">
        <f t="shared" si="23"/>
        <v>19.434782608695656</v>
      </c>
    </row>
    <row r="1497" spans="1:7" x14ac:dyDescent="0.25">
      <c r="A1497" s="10">
        <v>45805.791666666664</v>
      </c>
      <c r="B1497" s="11">
        <v>46</v>
      </c>
      <c r="C1497" s="11" t="s">
        <v>56</v>
      </c>
      <c r="D1497" s="11" t="s">
        <v>57</v>
      </c>
      <c r="E1497" s="11">
        <v>1.52</v>
      </c>
      <c r="F1497" s="11">
        <v>5.13</v>
      </c>
      <c r="G1497" s="8">
        <f t="shared" si="23"/>
        <v>17.777777777777779</v>
      </c>
    </row>
    <row r="1498" spans="1:7" x14ac:dyDescent="0.25">
      <c r="A1498" s="10">
        <v>45805.791666666664</v>
      </c>
      <c r="B1498" s="11">
        <v>47</v>
      </c>
      <c r="C1498" s="11" t="s">
        <v>58</v>
      </c>
      <c r="D1498" s="11" t="s">
        <v>59</v>
      </c>
      <c r="E1498" s="11">
        <v>1.52</v>
      </c>
      <c r="F1498" s="11">
        <v>5.7</v>
      </c>
      <c r="G1498" s="8">
        <f t="shared" si="23"/>
        <v>16</v>
      </c>
    </row>
    <row r="1499" spans="1:7" x14ac:dyDescent="0.25">
      <c r="A1499" s="10">
        <v>45805.791666666664</v>
      </c>
      <c r="B1499" s="11">
        <v>48</v>
      </c>
      <c r="C1499" s="11" t="s">
        <v>59</v>
      </c>
      <c r="D1499" s="11" t="s">
        <v>60</v>
      </c>
      <c r="E1499" s="11">
        <v>1.5</v>
      </c>
      <c r="F1499" s="11">
        <v>3.93</v>
      </c>
      <c r="G1499" s="8">
        <f t="shared" si="23"/>
        <v>22.900763358778626</v>
      </c>
    </row>
    <row r="1500" spans="1:7" x14ac:dyDescent="0.25">
      <c r="A1500" s="10">
        <v>45805.791666666664</v>
      </c>
      <c r="B1500" s="11">
        <v>49</v>
      </c>
      <c r="C1500" s="11" t="s">
        <v>60</v>
      </c>
      <c r="D1500" s="11" t="s">
        <v>61</v>
      </c>
      <c r="E1500" s="11">
        <v>1.54</v>
      </c>
      <c r="F1500" s="11">
        <v>4.47</v>
      </c>
      <c r="G1500" s="8">
        <f t="shared" si="23"/>
        <v>20.671140939597318</v>
      </c>
    </row>
    <row r="1501" spans="1:7" x14ac:dyDescent="0.25">
      <c r="A1501" s="10">
        <v>45805.791666666664</v>
      </c>
      <c r="B1501" s="11">
        <v>50</v>
      </c>
      <c r="C1501" s="11" t="s">
        <v>62</v>
      </c>
      <c r="D1501" s="11" t="s">
        <v>63</v>
      </c>
      <c r="E1501" s="11">
        <v>1.38</v>
      </c>
      <c r="F1501" s="11">
        <v>3.18</v>
      </c>
      <c r="G1501" s="8">
        <f t="shared" si="23"/>
        <v>26.037735849056602</v>
      </c>
    </row>
    <row r="1502" spans="1:7" x14ac:dyDescent="0.25">
      <c r="A1502" s="10">
        <v>45805.791666666664</v>
      </c>
      <c r="B1502" s="11">
        <v>51</v>
      </c>
      <c r="C1502" s="11" t="s">
        <v>63</v>
      </c>
      <c r="D1502" s="11" t="s">
        <v>64</v>
      </c>
      <c r="E1502" s="11">
        <v>2.79</v>
      </c>
      <c r="F1502" s="11">
        <v>5.67</v>
      </c>
      <c r="G1502" s="8">
        <f t="shared" si="23"/>
        <v>29.523809523809526</v>
      </c>
    </row>
    <row r="1503" spans="1:7" x14ac:dyDescent="0.25">
      <c r="A1503" s="10">
        <v>45805.791666666664</v>
      </c>
      <c r="B1503" s="11">
        <v>52</v>
      </c>
      <c r="C1503" s="11" t="s">
        <v>64</v>
      </c>
      <c r="D1503" s="11" t="s">
        <v>65</v>
      </c>
      <c r="E1503" s="11">
        <v>1.5</v>
      </c>
      <c r="F1503" s="11">
        <v>2.83</v>
      </c>
      <c r="G1503" s="8">
        <f t="shared" si="23"/>
        <v>31.802120141342755</v>
      </c>
    </row>
    <row r="1504" spans="1:7" x14ac:dyDescent="0.25">
      <c r="A1504" s="10">
        <v>45805.791666666664</v>
      </c>
      <c r="B1504" s="11">
        <v>53</v>
      </c>
      <c r="C1504" s="11" t="s">
        <v>65</v>
      </c>
      <c r="D1504" s="11" t="s">
        <v>66</v>
      </c>
      <c r="E1504" s="11">
        <v>1.46</v>
      </c>
      <c r="F1504" s="11">
        <v>3.78</v>
      </c>
      <c r="G1504" s="8">
        <f t="shared" si="23"/>
        <v>23.174603174603174</v>
      </c>
    </row>
    <row r="1505" spans="1:7" x14ac:dyDescent="0.25">
      <c r="A1505" s="10">
        <v>45805.791666666664</v>
      </c>
      <c r="B1505" s="11">
        <v>54</v>
      </c>
      <c r="C1505" s="11" t="s">
        <v>67</v>
      </c>
      <c r="D1505" s="11" t="s">
        <v>68</v>
      </c>
      <c r="E1505" s="11">
        <v>1.46</v>
      </c>
      <c r="F1505" s="11">
        <v>2.77</v>
      </c>
      <c r="G1505" s="8">
        <f t="shared" si="23"/>
        <v>31.624548736462092</v>
      </c>
    </row>
    <row r="1506" spans="1:7" x14ac:dyDescent="0.25">
      <c r="A1506" s="10">
        <v>45805.791666666664</v>
      </c>
      <c r="B1506" s="11">
        <v>55</v>
      </c>
      <c r="C1506" s="11" t="s">
        <v>68</v>
      </c>
      <c r="D1506" s="11" t="s">
        <v>69</v>
      </c>
      <c r="E1506" s="11">
        <v>1.5</v>
      </c>
      <c r="F1506" s="11">
        <v>2.17</v>
      </c>
      <c r="G1506" s="8">
        <f t="shared" si="23"/>
        <v>41.474654377880185</v>
      </c>
    </row>
    <row r="1507" spans="1:7" x14ac:dyDescent="0.25">
      <c r="A1507" s="10">
        <v>45805.791666666664</v>
      </c>
      <c r="B1507" s="11">
        <v>56</v>
      </c>
      <c r="C1507" s="11" t="s">
        <v>70</v>
      </c>
      <c r="D1507" s="11" t="s">
        <v>71</v>
      </c>
      <c r="E1507" s="11">
        <v>1.51</v>
      </c>
      <c r="F1507" s="11">
        <v>6.83</v>
      </c>
      <c r="G1507" s="8">
        <f t="shared" si="23"/>
        <v>13.265007320644216</v>
      </c>
    </row>
    <row r="1508" spans="1:7" x14ac:dyDescent="0.25">
      <c r="A1508" s="10">
        <v>45805.791666666664</v>
      </c>
      <c r="B1508" s="11">
        <v>57</v>
      </c>
      <c r="C1508" s="11" t="s">
        <v>71</v>
      </c>
      <c r="D1508" s="11" t="s">
        <v>72</v>
      </c>
      <c r="E1508" s="11">
        <v>2</v>
      </c>
      <c r="F1508" s="11">
        <v>6.58</v>
      </c>
      <c r="G1508" s="8">
        <f t="shared" si="23"/>
        <v>18.237082066869302</v>
      </c>
    </row>
    <row r="1509" spans="1:7" x14ac:dyDescent="0.25">
      <c r="A1509" s="10">
        <v>45805.791666666664</v>
      </c>
      <c r="B1509" s="11">
        <v>58</v>
      </c>
      <c r="C1509" s="11" t="s">
        <v>72</v>
      </c>
      <c r="D1509" s="11" t="s">
        <v>73</v>
      </c>
      <c r="E1509" s="11">
        <v>1.5</v>
      </c>
      <c r="F1509" s="11">
        <v>5.07</v>
      </c>
      <c r="G1509" s="8">
        <f t="shared" si="23"/>
        <v>17.751479289940828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9"/>
  <sheetViews>
    <sheetView topLeftCell="A1481" workbookViewId="0">
      <selection activeCell="A1501" sqref="A1501"/>
    </sheetView>
  </sheetViews>
  <sheetFormatPr defaultRowHeight="15" x14ac:dyDescent="0.25"/>
  <cols>
    <col min="1" max="1" width="11" style="5" customWidth="1"/>
    <col min="3" max="3" width="38" customWidth="1"/>
    <col min="4" max="4" width="35.85546875" customWidth="1"/>
    <col min="5" max="5" width="17.85546875" customWidth="1"/>
    <col min="6" max="6" width="21.5703125" customWidth="1"/>
    <col min="7" max="7" width="11.5703125" customWidth="1"/>
  </cols>
  <sheetData>
    <row r="1" spans="1:7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74</v>
      </c>
    </row>
    <row r="2" spans="1:7" x14ac:dyDescent="0.25">
      <c r="A2" s="5">
        <v>45806.291666666664</v>
      </c>
      <c r="B2">
        <v>1</v>
      </c>
      <c r="C2" t="s">
        <v>6</v>
      </c>
      <c r="D2" t="s">
        <v>7</v>
      </c>
      <c r="E2">
        <v>1.53</v>
      </c>
      <c r="F2">
        <v>2.88</v>
      </c>
      <c r="G2" s="8">
        <f>E2*60/F2</f>
        <v>31.875</v>
      </c>
    </row>
    <row r="3" spans="1:7" x14ac:dyDescent="0.25">
      <c r="A3" s="5">
        <v>45806.291666666664</v>
      </c>
      <c r="B3">
        <v>2</v>
      </c>
      <c r="C3" t="s">
        <v>7</v>
      </c>
      <c r="D3" t="s">
        <v>8</v>
      </c>
      <c r="E3">
        <v>1.57</v>
      </c>
      <c r="F3">
        <v>3.75</v>
      </c>
      <c r="G3" s="8">
        <f t="shared" ref="G3:G66" si="0">E3*60/F3</f>
        <v>25.12</v>
      </c>
    </row>
    <row r="4" spans="1:7" x14ac:dyDescent="0.25">
      <c r="A4" s="5">
        <v>45806.291666666664</v>
      </c>
      <c r="B4">
        <v>3</v>
      </c>
      <c r="C4" t="s">
        <v>8</v>
      </c>
      <c r="D4" t="s">
        <v>9</v>
      </c>
      <c r="E4">
        <v>1.5</v>
      </c>
      <c r="F4">
        <v>2.67</v>
      </c>
      <c r="G4" s="8">
        <f t="shared" si="0"/>
        <v>33.707865168539328</v>
      </c>
    </row>
    <row r="5" spans="1:7" x14ac:dyDescent="0.25">
      <c r="A5" s="5">
        <v>45806.291666666664</v>
      </c>
      <c r="B5">
        <v>4</v>
      </c>
      <c r="C5" t="s">
        <v>9</v>
      </c>
      <c r="D5" t="s">
        <v>10</v>
      </c>
      <c r="E5">
        <v>1.5</v>
      </c>
      <c r="F5">
        <v>2.4300000000000002</v>
      </c>
      <c r="G5" s="8">
        <f t="shared" si="0"/>
        <v>37.037037037037038</v>
      </c>
    </row>
    <row r="6" spans="1:7" x14ac:dyDescent="0.25">
      <c r="A6" s="5">
        <v>45806.291666666664</v>
      </c>
      <c r="B6">
        <v>5</v>
      </c>
      <c r="C6" t="s">
        <v>10</v>
      </c>
      <c r="D6" t="s">
        <v>11</v>
      </c>
      <c r="E6">
        <v>1.52</v>
      </c>
      <c r="F6">
        <v>2.78</v>
      </c>
      <c r="G6" s="8">
        <f t="shared" si="0"/>
        <v>32.805755395683455</v>
      </c>
    </row>
    <row r="7" spans="1:7" x14ac:dyDescent="0.25">
      <c r="A7" s="5">
        <v>45806.291666666664</v>
      </c>
      <c r="B7">
        <v>6</v>
      </c>
      <c r="C7" t="s">
        <v>11</v>
      </c>
      <c r="D7" t="s">
        <v>12</v>
      </c>
      <c r="E7">
        <v>1.5</v>
      </c>
      <c r="F7">
        <v>2.4500000000000002</v>
      </c>
      <c r="G7" s="8">
        <f t="shared" si="0"/>
        <v>36.734693877551017</v>
      </c>
    </row>
    <row r="8" spans="1:7" x14ac:dyDescent="0.25">
      <c r="A8" s="5">
        <v>45806.291666666664</v>
      </c>
      <c r="B8">
        <v>7</v>
      </c>
      <c r="C8" t="s">
        <v>12</v>
      </c>
      <c r="D8" t="s">
        <v>13</v>
      </c>
      <c r="E8">
        <v>1.54</v>
      </c>
      <c r="F8">
        <v>2.4500000000000002</v>
      </c>
      <c r="G8" s="8">
        <f t="shared" si="0"/>
        <v>37.714285714285715</v>
      </c>
    </row>
    <row r="9" spans="1:7" x14ac:dyDescent="0.25">
      <c r="A9" s="5">
        <v>45806.291666666664</v>
      </c>
      <c r="B9">
        <v>8</v>
      </c>
      <c r="C9" t="s">
        <v>13</v>
      </c>
      <c r="D9" t="s">
        <v>14</v>
      </c>
      <c r="E9">
        <v>1.54</v>
      </c>
      <c r="F9">
        <v>2.8</v>
      </c>
      <c r="G9" s="8">
        <f t="shared" si="0"/>
        <v>33.000000000000007</v>
      </c>
    </row>
    <row r="10" spans="1:7" x14ac:dyDescent="0.25">
      <c r="A10" s="5">
        <v>45806.291666666664</v>
      </c>
      <c r="B10">
        <v>9</v>
      </c>
      <c r="C10" t="s">
        <v>14</v>
      </c>
      <c r="D10" t="s">
        <v>15</v>
      </c>
      <c r="E10">
        <v>1.52</v>
      </c>
      <c r="F10">
        <v>2.67</v>
      </c>
      <c r="G10" s="8">
        <f t="shared" si="0"/>
        <v>34.157303370786522</v>
      </c>
    </row>
    <row r="11" spans="1:7" x14ac:dyDescent="0.25">
      <c r="A11" s="5">
        <v>45806.291666666664</v>
      </c>
      <c r="B11">
        <v>10</v>
      </c>
      <c r="C11" t="s">
        <v>15</v>
      </c>
      <c r="D11" t="s">
        <v>16</v>
      </c>
      <c r="E11">
        <v>1.5</v>
      </c>
      <c r="F11">
        <v>2.77</v>
      </c>
      <c r="G11" s="8">
        <f t="shared" si="0"/>
        <v>32.490974729241877</v>
      </c>
    </row>
    <row r="12" spans="1:7" x14ac:dyDescent="0.25">
      <c r="A12" s="5">
        <v>45806.291666666664</v>
      </c>
      <c r="B12">
        <v>11</v>
      </c>
      <c r="C12" t="s">
        <v>16</v>
      </c>
      <c r="D12" t="s">
        <v>17</v>
      </c>
      <c r="E12">
        <v>1.48</v>
      </c>
      <c r="F12">
        <v>2.27</v>
      </c>
      <c r="G12" s="8">
        <f t="shared" si="0"/>
        <v>39.118942731277528</v>
      </c>
    </row>
    <row r="13" spans="1:7" x14ac:dyDescent="0.25">
      <c r="A13" s="5">
        <v>45806.291666666664</v>
      </c>
      <c r="B13">
        <v>12</v>
      </c>
      <c r="C13" t="s">
        <v>17</v>
      </c>
      <c r="D13" t="s">
        <v>18</v>
      </c>
      <c r="E13">
        <v>1.46</v>
      </c>
      <c r="F13">
        <v>2.65</v>
      </c>
      <c r="G13" s="8">
        <f t="shared" si="0"/>
        <v>33.056603773584904</v>
      </c>
    </row>
    <row r="14" spans="1:7" x14ac:dyDescent="0.25">
      <c r="A14" s="5">
        <v>45806.291666666664</v>
      </c>
      <c r="B14">
        <v>13</v>
      </c>
      <c r="C14" t="s">
        <v>18</v>
      </c>
      <c r="D14" t="s">
        <v>19</v>
      </c>
      <c r="E14">
        <v>1.52</v>
      </c>
      <c r="F14">
        <v>3.13</v>
      </c>
      <c r="G14" s="8">
        <f t="shared" si="0"/>
        <v>29.137380191693293</v>
      </c>
    </row>
    <row r="15" spans="1:7" x14ac:dyDescent="0.25">
      <c r="A15" s="5">
        <v>45806.291666666664</v>
      </c>
      <c r="B15">
        <v>14</v>
      </c>
      <c r="C15" t="s">
        <v>19</v>
      </c>
      <c r="D15" t="s">
        <v>20</v>
      </c>
      <c r="E15">
        <v>1.51</v>
      </c>
      <c r="F15">
        <v>2.83</v>
      </c>
      <c r="G15" s="8">
        <f t="shared" si="0"/>
        <v>32.014134275618375</v>
      </c>
    </row>
    <row r="16" spans="1:7" x14ac:dyDescent="0.25">
      <c r="A16" s="5">
        <v>45806.291666666664</v>
      </c>
      <c r="B16">
        <v>15</v>
      </c>
      <c r="C16" t="s">
        <v>20</v>
      </c>
      <c r="D16" t="s">
        <v>21</v>
      </c>
      <c r="E16">
        <v>1.47</v>
      </c>
      <c r="F16">
        <v>1.98</v>
      </c>
      <c r="G16" s="8">
        <f t="shared" si="0"/>
        <v>44.545454545454547</v>
      </c>
    </row>
    <row r="17" spans="1:7" x14ac:dyDescent="0.25">
      <c r="A17" s="5">
        <v>45806.291666666664</v>
      </c>
      <c r="B17">
        <v>16</v>
      </c>
      <c r="C17" t="s">
        <v>21</v>
      </c>
      <c r="D17" t="s">
        <v>22</v>
      </c>
      <c r="E17">
        <v>1.5</v>
      </c>
      <c r="F17">
        <v>1.73</v>
      </c>
      <c r="G17" s="8">
        <f t="shared" si="0"/>
        <v>52.02312138728324</v>
      </c>
    </row>
    <row r="18" spans="1:7" x14ac:dyDescent="0.25">
      <c r="A18" s="5">
        <v>45806.291666666664</v>
      </c>
      <c r="B18">
        <v>17</v>
      </c>
      <c r="C18" t="s">
        <v>22</v>
      </c>
      <c r="D18" t="s">
        <v>23</v>
      </c>
      <c r="E18">
        <v>1.51</v>
      </c>
      <c r="F18">
        <v>2.4</v>
      </c>
      <c r="G18" s="8">
        <f t="shared" si="0"/>
        <v>37.75</v>
      </c>
    </row>
    <row r="19" spans="1:7" x14ac:dyDescent="0.25">
      <c r="A19" s="5">
        <v>45806.291666666664</v>
      </c>
      <c r="B19">
        <v>18</v>
      </c>
      <c r="C19" t="s">
        <v>23</v>
      </c>
      <c r="D19" t="s">
        <v>24</v>
      </c>
      <c r="E19">
        <v>1.51</v>
      </c>
      <c r="F19">
        <v>2.5499999999999998</v>
      </c>
      <c r="G19" s="8">
        <f t="shared" si="0"/>
        <v>35.529411764705884</v>
      </c>
    </row>
    <row r="20" spans="1:7" x14ac:dyDescent="0.25">
      <c r="A20" s="5">
        <v>45806.291666666664</v>
      </c>
      <c r="B20">
        <v>19</v>
      </c>
      <c r="C20" t="s">
        <v>25</v>
      </c>
      <c r="D20" t="s">
        <v>26</v>
      </c>
      <c r="E20">
        <v>1.5</v>
      </c>
      <c r="F20">
        <v>2.9</v>
      </c>
      <c r="G20" s="8">
        <f t="shared" si="0"/>
        <v>31.03448275862069</v>
      </c>
    </row>
    <row r="21" spans="1:7" x14ac:dyDescent="0.25">
      <c r="A21" s="5">
        <v>45806.291666666664</v>
      </c>
      <c r="B21">
        <v>20</v>
      </c>
      <c r="C21" t="s">
        <v>26</v>
      </c>
      <c r="D21" t="s">
        <v>27</v>
      </c>
      <c r="E21">
        <v>1.48</v>
      </c>
      <c r="F21">
        <v>3.18</v>
      </c>
      <c r="G21" s="8">
        <f t="shared" si="0"/>
        <v>27.924528301886792</v>
      </c>
    </row>
    <row r="22" spans="1:7" x14ac:dyDescent="0.25">
      <c r="A22" s="5">
        <v>45806.291666666664</v>
      </c>
      <c r="B22">
        <v>21</v>
      </c>
      <c r="C22" t="s">
        <v>27</v>
      </c>
      <c r="D22" t="s">
        <v>28</v>
      </c>
      <c r="E22">
        <v>1.51</v>
      </c>
      <c r="F22">
        <v>2.63</v>
      </c>
      <c r="G22" s="8">
        <f t="shared" si="0"/>
        <v>34.448669201520914</v>
      </c>
    </row>
    <row r="23" spans="1:7" x14ac:dyDescent="0.25">
      <c r="A23" s="5">
        <v>45806.291666666664</v>
      </c>
      <c r="B23">
        <v>22</v>
      </c>
      <c r="C23" t="s">
        <v>28</v>
      </c>
      <c r="D23" t="s">
        <v>29</v>
      </c>
      <c r="E23">
        <v>1.57</v>
      </c>
      <c r="F23">
        <v>2.9</v>
      </c>
      <c r="G23" s="8">
        <f t="shared" si="0"/>
        <v>32.482758620689658</v>
      </c>
    </row>
    <row r="24" spans="1:7" x14ac:dyDescent="0.25">
      <c r="A24" s="5">
        <v>45806.291666666664</v>
      </c>
      <c r="B24">
        <v>23</v>
      </c>
      <c r="C24" t="s">
        <v>29</v>
      </c>
      <c r="D24" t="s">
        <v>30</v>
      </c>
      <c r="E24">
        <v>1.43</v>
      </c>
      <c r="F24">
        <v>2.87</v>
      </c>
      <c r="G24" s="8">
        <f t="shared" si="0"/>
        <v>29.89547038327526</v>
      </c>
    </row>
    <row r="25" spans="1:7" x14ac:dyDescent="0.25">
      <c r="A25" s="5">
        <v>45806.291666666664</v>
      </c>
      <c r="B25">
        <v>24</v>
      </c>
      <c r="C25" t="s">
        <v>30</v>
      </c>
      <c r="D25" t="s">
        <v>31</v>
      </c>
      <c r="E25">
        <v>1.52</v>
      </c>
      <c r="F25">
        <v>3.08</v>
      </c>
      <c r="G25" s="8">
        <f t="shared" si="0"/>
        <v>29.61038961038961</v>
      </c>
    </row>
    <row r="26" spans="1:7" x14ac:dyDescent="0.25">
      <c r="A26" s="5">
        <v>45806.291666666664</v>
      </c>
      <c r="B26">
        <v>25</v>
      </c>
      <c r="C26" t="s">
        <v>31</v>
      </c>
      <c r="D26" t="s">
        <v>32</v>
      </c>
      <c r="E26">
        <v>1.52</v>
      </c>
      <c r="F26">
        <v>3.12</v>
      </c>
      <c r="G26" s="8">
        <f t="shared" si="0"/>
        <v>29.23076923076923</v>
      </c>
    </row>
    <row r="27" spans="1:7" x14ac:dyDescent="0.25">
      <c r="A27" s="5">
        <v>45806.291666666664</v>
      </c>
      <c r="B27">
        <v>26</v>
      </c>
      <c r="C27" t="s">
        <v>32</v>
      </c>
      <c r="D27" t="s">
        <v>33</v>
      </c>
      <c r="E27">
        <v>1.49</v>
      </c>
      <c r="F27">
        <v>2.98</v>
      </c>
      <c r="G27" s="8">
        <f t="shared" si="0"/>
        <v>30.000000000000004</v>
      </c>
    </row>
    <row r="28" spans="1:7" x14ac:dyDescent="0.25">
      <c r="A28" s="5">
        <v>45806.291666666664</v>
      </c>
      <c r="B28">
        <v>27</v>
      </c>
      <c r="C28" t="s">
        <v>33</v>
      </c>
      <c r="D28" t="s">
        <v>34</v>
      </c>
      <c r="E28">
        <v>1.53</v>
      </c>
      <c r="F28">
        <v>2.88</v>
      </c>
      <c r="G28" s="8">
        <f t="shared" si="0"/>
        <v>31.875</v>
      </c>
    </row>
    <row r="29" spans="1:7" x14ac:dyDescent="0.25">
      <c r="A29" s="5">
        <v>45806.291666666664</v>
      </c>
      <c r="B29">
        <v>28</v>
      </c>
      <c r="C29" t="s">
        <v>34</v>
      </c>
      <c r="D29" t="s">
        <v>35</v>
      </c>
      <c r="E29">
        <v>1.51</v>
      </c>
      <c r="F29">
        <v>3.43</v>
      </c>
      <c r="G29" s="8">
        <f t="shared" si="0"/>
        <v>26.413994169096206</v>
      </c>
    </row>
    <row r="30" spans="1:7" x14ac:dyDescent="0.25">
      <c r="A30" s="5">
        <v>45806.291666666664</v>
      </c>
      <c r="B30">
        <v>29</v>
      </c>
      <c r="C30" t="s">
        <v>36</v>
      </c>
      <c r="D30" t="s">
        <v>37</v>
      </c>
      <c r="E30">
        <v>1.57</v>
      </c>
      <c r="F30">
        <v>3</v>
      </c>
      <c r="G30" s="8">
        <f t="shared" si="0"/>
        <v>31.400000000000002</v>
      </c>
    </row>
    <row r="31" spans="1:7" x14ac:dyDescent="0.25">
      <c r="A31" s="5">
        <v>45806.291666666664</v>
      </c>
      <c r="B31">
        <v>30</v>
      </c>
      <c r="C31" t="s">
        <v>37</v>
      </c>
      <c r="D31" t="s">
        <v>38</v>
      </c>
      <c r="E31">
        <v>1.57</v>
      </c>
      <c r="F31">
        <v>3.6</v>
      </c>
      <c r="G31" s="8">
        <f t="shared" si="0"/>
        <v>26.166666666666668</v>
      </c>
    </row>
    <row r="32" spans="1:7" x14ac:dyDescent="0.25">
      <c r="A32" s="5">
        <v>45806.291666666664</v>
      </c>
      <c r="B32">
        <v>31</v>
      </c>
      <c r="C32" t="s">
        <v>38</v>
      </c>
      <c r="D32" t="s">
        <v>39</v>
      </c>
      <c r="E32">
        <v>1.52</v>
      </c>
      <c r="F32">
        <v>2.4500000000000002</v>
      </c>
      <c r="G32" s="8">
        <f t="shared" si="0"/>
        <v>37.224489795918366</v>
      </c>
    </row>
    <row r="33" spans="1:7" x14ac:dyDescent="0.25">
      <c r="A33" s="5">
        <v>45806.291666666664</v>
      </c>
      <c r="B33">
        <v>32</v>
      </c>
      <c r="C33" t="s">
        <v>39</v>
      </c>
      <c r="D33" t="s">
        <v>40</v>
      </c>
      <c r="E33">
        <v>1.5</v>
      </c>
      <c r="F33">
        <v>1.63</v>
      </c>
      <c r="G33" s="8">
        <f t="shared" si="0"/>
        <v>55.214723926380373</v>
      </c>
    </row>
    <row r="34" spans="1:7" x14ac:dyDescent="0.25">
      <c r="A34" s="5">
        <v>45806.291666666664</v>
      </c>
      <c r="B34">
        <v>33</v>
      </c>
      <c r="C34" t="s">
        <v>40</v>
      </c>
      <c r="D34" t="s">
        <v>41</v>
      </c>
      <c r="E34">
        <v>1.51</v>
      </c>
      <c r="F34">
        <v>1.62</v>
      </c>
      <c r="G34" s="8">
        <f t="shared" si="0"/>
        <v>55.925925925925917</v>
      </c>
    </row>
    <row r="35" spans="1:7" x14ac:dyDescent="0.25">
      <c r="A35" s="5">
        <v>45806.291666666664</v>
      </c>
      <c r="B35">
        <v>34</v>
      </c>
      <c r="C35" t="s">
        <v>41</v>
      </c>
      <c r="D35" t="s">
        <v>42</v>
      </c>
      <c r="E35">
        <v>1.5</v>
      </c>
      <c r="F35">
        <v>1.68</v>
      </c>
      <c r="G35" s="8">
        <f t="shared" si="0"/>
        <v>53.571428571428577</v>
      </c>
    </row>
    <row r="36" spans="1:7" x14ac:dyDescent="0.25">
      <c r="A36" s="5">
        <v>45806.291666666664</v>
      </c>
      <c r="B36">
        <v>35</v>
      </c>
      <c r="C36" t="s">
        <v>43</v>
      </c>
      <c r="D36" t="s">
        <v>44</v>
      </c>
      <c r="E36">
        <v>1.55</v>
      </c>
      <c r="F36">
        <v>3.17</v>
      </c>
      <c r="G36" s="8">
        <f t="shared" si="0"/>
        <v>29.337539432176658</v>
      </c>
    </row>
    <row r="37" spans="1:7" x14ac:dyDescent="0.25">
      <c r="A37" s="5">
        <v>45806.291666666664</v>
      </c>
      <c r="B37">
        <v>36</v>
      </c>
      <c r="C37" t="s">
        <v>44</v>
      </c>
      <c r="D37" t="s">
        <v>45</v>
      </c>
      <c r="E37">
        <v>1.5</v>
      </c>
      <c r="F37">
        <v>2.57</v>
      </c>
      <c r="G37" s="8">
        <f t="shared" si="0"/>
        <v>35.019455252918291</v>
      </c>
    </row>
    <row r="38" spans="1:7" x14ac:dyDescent="0.25">
      <c r="A38" s="5">
        <v>45806.291666666664</v>
      </c>
      <c r="B38">
        <v>37</v>
      </c>
      <c r="C38" t="s">
        <v>45</v>
      </c>
      <c r="D38" t="s">
        <v>46</v>
      </c>
      <c r="E38">
        <v>1.38</v>
      </c>
      <c r="F38">
        <v>3.17</v>
      </c>
      <c r="G38" s="8">
        <f t="shared" si="0"/>
        <v>26.119873817034701</v>
      </c>
    </row>
    <row r="39" spans="1:7" x14ac:dyDescent="0.25">
      <c r="A39" s="5">
        <v>45806.291666666664</v>
      </c>
      <c r="B39">
        <v>38</v>
      </c>
      <c r="C39" t="s">
        <v>46</v>
      </c>
      <c r="D39" t="s">
        <v>47</v>
      </c>
      <c r="E39">
        <v>1.61</v>
      </c>
      <c r="F39">
        <v>3.32</v>
      </c>
      <c r="G39" s="8">
        <f t="shared" si="0"/>
        <v>29.096385542168679</v>
      </c>
    </row>
    <row r="40" spans="1:7" x14ac:dyDescent="0.25">
      <c r="A40" s="5">
        <v>45806.291666666664</v>
      </c>
      <c r="B40">
        <v>39</v>
      </c>
      <c r="C40" t="s">
        <v>47</v>
      </c>
      <c r="D40" t="s">
        <v>48</v>
      </c>
      <c r="E40">
        <v>1.55</v>
      </c>
      <c r="F40">
        <v>3.25</v>
      </c>
      <c r="G40" s="8">
        <f t="shared" si="0"/>
        <v>28.615384615384617</v>
      </c>
    </row>
    <row r="41" spans="1:7" x14ac:dyDescent="0.25">
      <c r="A41" s="5">
        <v>45806.291666666664</v>
      </c>
      <c r="B41">
        <v>40</v>
      </c>
      <c r="C41" t="s">
        <v>48</v>
      </c>
      <c r="D41" t="s">
        <v>49</v>
      </c>
      <c r="E41">
        <v>1.39</v>
      </c>
      <c r="F41">
        <v>2.63</v>
      </c>
      <c r="G41" s="8">
        <f t="shared" si="0"/>
        <v>31.71102661596958</v>
      </c>
    </row>
    <row r="42" spans="1:7" x14ac:dyDescent="0.25">
      <c r="A42" s="5">
        <v>45806.291666666664</v>
      </c>
      <c r="B42">
        <v>41</v>
      </c>
      <c r="C42" t="s">
        <v>50</v>
      </c>
      <c r="D42" t="s">
        <v>51</v>
      </c>
      <c r="E42">
        <v>1.56</v>
      </c>
      <c r="F42">
        <v>3.15</v>
      </c>
      <c r="G42" s="8">
        <f t="shared" si="0"/>
        <v>29.714285714285719</v>
      </c>
    </row>
    <row r="43" spans="1:7" x14ac:dyDescent="0.25">
      <c r="A43" s="5">
        <v>45806.291666666664</v>
      </c>
      <c r="B43">
        <v>42</v>
      </c>
      <c r="C43" t="s">
        <v>51</v>
      </c>
      <c r="D43" t="s">
        <v>52</v>
      </c>
      <c r="E43">
        <v>1.56</v>
      </c>
      <c r="F43">
        <v>3.22</v>
      </c>
      <c r="G43" s="8">
        <f t="shared" si="0"/>
        <v>29.06832298136646</v>
      </c>
    </row>
    <row r="44" spans="1:7" x14ac:dyDescent="0.25">
      <c r="A44" s="5">
        <v>45806.291666666664</v>
      </c>
      <c r="B44">
        <v>43</v>
      </c>
      <c r="C44" t="s">
        <v>52</v>
      </c>
      <c r="D44" t="s">
        <v>53</v>
      </c>
      <c r="E44">
        <v>1.51</v>
      </c>
      <c r="F44">
        <v>2.9</v>
      </c>
      <c r="G44" s="8">
        <f t="shared" si="0"/>
        <v>31.241379310344826</v>
      </c>
    </row>
    <row r="45" spans="1:7" x14ac:dyDescent="0.25">
      <c r="A45" s="5">
        <v>45806.291666666664</v>
      </c>
      <c r="B45">
        <v>44</v>
      </c>
      <c r="C45" t="s">
        <v>54</v>
      </c>
      <c r="D45" t="s">
        <v>55</v>
      </c>
      <c r="E45">
        <v>1.51</v>
      </c>
      <c r="F45">
        <v>3.78</v>
      </c>
      <c r="G45" s="8">
        <f t="shared" si="0"/>
        <v>23.968253968253968</v>
      </c>
    </row>
    <row r="46" spans="1:7" x14ac:dyDescent="0.25">
      <c r="A46" s="5">
        <v>45806.291666666664</v>
      </c>
      <c r="B46">
        <v>45</v>
      </c>
      <c r="C46" t="s">
        <v>55</v>
      </c>
      <c r="D46" t="s">
        <v>56</v>
      </c>
      <c r="E46">
        <v>1.49</v>
      </c>
      <c r="F46">
        <v>3.08</v>
      </c>
      <c r="G46" s="8">
        <f t="shared" si="0"/>
        <v>29.025974025974026</v>
      </c>
    </row>
    <row r="47" spans="1:7" x14ac:dyDescent="0.25">
      <c r="A47" s="5">
        <v>45806.291666666664</v>
      </c>
      <c r="B47">
        <v>46</v>
      </c>
      <c r="C47" t="s">
        <v>56</v>
      </c>
      <c r="D47" t="s">
        <v>57</v>
      </c>
      <c r="E47">
        <v>1.52</v>
      </c>
      <c r="F47">
        <v>3.33</v>
      </c>
      <c r="G47" s="8">
        <f t="shared" si="0"/>
        <v>27.387387387387388</v>
      </c>
    </row>
    <row r="48" spans="1:7" x14ac:dyDescent="0.25">
      <c r="A48" s="5">
        <v>45806.291666666664</v>
      </c>
      <c r="B48">
        <v>47</v>
      </c>
      <c r="C48" t="s">
        <v>58</v>
      </c>
      <c r="D48" t="s">
        <v>59</v>
      </c>
      <c r="E48">
        <v>1.52</v>
      </c>
      <c r="F48">
        <v>3.2</v>
      </c>
      <c r="G48" s="8">
        <f t="shared" si="0"/>
        <v>28.5</v>
      </c>
    </row>
    <row r="49" spans="1:7" x14ac:dyDescent="0.25">
      <c r="A49" s="5">
        <v>45806.291666666664</v>
      </c>
      <c r="B49">
        <v>48</v>
      </c>
      <c r="C49" t="s">
        <v>59</v>
      </c>
      <c r="D49" t="s">
        <v>60</v>
      </c>
      <c r="E49">
        <v>1.5</v>
      </c>
      <c r="F49">
        <v>3</v>
      </c>
      <c r="G49" s="8">
        <f t="shared" si="0"/>
        <v>30</v>
      </c>
    </row>
    <row r="50" spans="1:7" x14ac:dyDescent="0.25">
      <c r="A50" s="5">
        <v>45806.291666666664</v>
      </c>
      <c r="B50">
        <v>49</v>
      </c>
      <c r="C50" t="s">
        <v>60</v>
      </c>
      <c r="D50" t="s">
        <v>61</v>
      </c>
      <c r="E50">
        <v>1.54</v>
      </c>
      <c r="F50">
        <v>3.33</v>
      </c>
      <c r="G50" s="8">
        <f t="shared" si="0"/>
        <v>27.747747747747749</v>
      </c>
    </row>
    <row r="51" spans="1:7" x14ac:dyDescent="0.25">
      <c r="A51" s="5">
        <v>45806.291666666664</v>
      </c>
      <c r="B51">
        <v>50</v>
      </c>
      <c r="C51" t="s">
        <v>62</v>
      </c>
      <c r="D51" t="s">
        <v>63</v>
      </c>
      <c r="E51">
        <v>1.38</v>
      </c>
      <c r="F51">
        <v>2.95</v>
      </c>
      <c r="G51" s="8">
        <f t="shared" si="0"/>
        <v>28.067796610169488</v>
      </c>
    </row>
    <row r="52" spans="1:7" x14ac:dyDescent="0.25">
      <c r="A52" s="5">
        <v>45806.291666666664</v>
      </c>
      <c r="B52">
        <v>51</v>
      </c>
      <c r="C52" t="s">
        <v>63</v>
      </c>
      <c r="D52" t="s">
        <v>64</v>
      </c>
      <c r="E52">
        <v>2.79</v>
      </c>
      <c r="F52">
        <v>4.93</v>
      </c>
      <c r="G52" s="8">
        <f t="shared" si="0"/>
        <v>33.955375253549697</v>
      </c>
    </row>
    <row r="53" spans="1:7" x14ac:dyDescent="0.25">
      <c r="A53" s="5">
        <v>45806.291666666664</v>
      </c>
      <c r="B53">
        <v>52</v>
      </c>
      <c r="C53" t="s">
        <v>64</v>
      </c>
      <c r="D53" t="s">
        <v>65</v>
      </c>
      <c r="E53">
        <v>1.5</v>
      </c>
      <c r="F53">
        <v>2.67</v>
      </c>
      <c r="G53" s="8">
        <f t="shared" si="0"/>
        <v>33.707865168539328</v>
      </c>
    </row>
    <row r="54" spans="1:7" x14ac:dyDescent="0.25">
      <c r="A54" s="5">
        <v>45806.291666666664</v>
      </c>
      <c r="B54">
        <v>53</v>
      </c>
      <c r="C54" t="s">
        <v>65</v>
      </c>
      <c r="D54" t="s">
        <v>66</v>
      </c>
      <c r="E54">
        <v>1.46</v>
      </c>
      <c r="F54">
        <v>3.22</v>
      </c>
      <c r="G54" s="8">
        <f t="shared" si="0"/>
        <v>27.204968944099374</v>
      </c>
    </row>
    <row r="55" spans="1:7" x14ac:dyDescent="0.25">
      <c r="A55" s="5">
        <v>45806.291666666664</v>
      </c>
      <c r="B55">
        <v>54</v>
      </c>
      <c r="C55" t="s">
        <v>67</v>
      </c>
      <c r="D55" t="s">
        <v>68</v>
      </c>
      <c r="E55">
        <v>1.46</v>
      </c>
      <c r="F55">
        <v>2.27</v>
      </c>
      <c r="G55" s="8">
        <f t="shared" si="0"/>
        <v>38.590308370044049</v>
      </c>
    </row>
    <row r="56" spans="1:7" x14ac:dyDescent="0.25">
      <c r="A56" s="5">
        <v>45806.291666666664</v>
      </c>
      <c r="B56">
        <v>55</v>
      </c>
      <c r="C56" t="s">
        <v>68</v>
      </c>
      <c r="D56" t="s">
        <v>69</v>
      </c>
      <c r="E56">
        <v>1.5</v>
      </c>
      <c r="F56">
        <v>1.82</v>
      </c>
      <c r="G56" s="8">
        <f t="shared" si="0"/>
        <v>49.450549450549445</v>
      </c>
    </row>
    <row r="57" spans="1:7" x14ac:dyDescent="0.25">
      <c r="A57" s="5">
        <v>45806.291666666664</v>
      </c>
      <c r="B57">
        <v>56</v>
      </c>
      <c r="C57" t="s">
        <v>70</v>
      </c>
      <c r="D57" t="s">
        <v>71</v>
      </c>
      <c r="E57">
        <v>1.51</v>
      </c>
      <c r="F57">
        <v>3.32</v>
      </c>
      <c r="G57" s="8">
        <f t="shared" si="0"/>
        <v>27.289156626506024</v>
      </c>
    </row>
    <row r="58" spans="1:7" x14ac:dyDescent="0.25">
      <c r="A58" s="5">
        <v>45806.291666666664</v>
      </c>
      <c r="B58">
        <v>57</v>
      </c>
      <c r="C58" t="s">
        <v>71</v>
      </c>
      <c r="D58" t="s">
        <v>72</v>
      </c>
      <c r="E58">
        <v>1.52</v>
      </c>
      <c r="F58">
        <v>3.37</v>
      </c>
      <c r="G58" s="8">
        <f t="shared" si="0"/>
        <v>27.062314540059347</v>
      </c>
    </row>
    <row r="59" spans="1:7" x14ac:dyDescent="0.25">
      <c r="A59" s="5">
        <v>45806.291666666664</v>
      </c>
      <c r="B59">
        <v>58</v>
      </c>
      <c r="C59" t="s">
        <v>72</v>
      </c>
      <c r="D59" t="s">
        <v>73</v>
      </c>
      <c r="E59">
        <v>1.5</v>
      </c>
      <c r="F59">
        <v>3.02</v>
      </c>
      <c r="G59" s="8">
        <f t="shared" si="0"/>
        <v>29.801324503311257</v>
      </c>
    </row>
    <row r="60" spans="1:7" x14ac:dyDescent="0.25">
      <c r="A60" s="5">
        <v>45806.302083333336</v>
      </c>
      <c r="B60">
        <v>1</v>
      </c>
      <c r="C60" t="s">
        <v>6</v>
      </c>
      <c r="D60" t="s">
        <v>7</v>
      </c>
      <c r="E60">
        <v>1.53</v>
      </c>
      <c r="F60">
        <v>2.88</v>
      </c>
      <c r="G60" s="8">
        <f t="shared" si="0"/>
        <v>31.875</v>
      </c>
    </row>
    <row r="61" spans="1:7" x14ac:dyDescent="0.25">
      <c r="A61" s="5">
        <v>45806.302083333336</v>
      </c>
      <c r="B61">
        <v>2</v>
      </c>
      <c r="C61" t="s">
        <v>7</v>
      </c>
      <c r="D61" t="s">
        <v>8</v>
      </c>
      <c r="E61">
        <v>1.57</v>
      </c>
      <c r="F61">
        <v>3.93</v>
      </c>
      <c r="G61" s="8">
        <f t="shared" si="0"/>
        <v>23.96946564885496</v>
      </c>
    </row>
    <row r="62" spans="1:7" x14ac:dyDescent="0.25">
      <c r="A62" s="5">
        <v>45806.302083333336</v>
      </c>
      <c r="B62">
        <v>3</v>
      </c>
      <c r="C62" t="s">
        <v>8</v>
      </c>
      <c r="D62" t="s">
        <v>9</v>
      </c>
      <c r="E62">
        <v>1.5</v>
      </c>
      <c r="F62">
        <v>2.73</v>
      </c>
      <c r="G62" s="8">
        <f t="shared" si="0"/>
        <v>32.967032967032971</v>
      </c>
    </row>
    <row r="63" spans="1:7" x14ac:dyDescent="0.25">
      <c r="A63" s="5">
        <v>45806.302083333336</v>
      </c>
      <c r="B63">
        <v>4</v>
      </c>
      <c r="C63" t="s">
        <v>9</v>
      </c>
      <c r="D63" t="s">
        <v>10</v>
      </c>
      <c r="E63">
        <v>1.5</v>
      </c>
      <c r="F63">
        <v>2.6</v>
      </c>
      <c r="G63" s="8">
        <f t="shared" si="0"/>
        <v>34.615384615384613</v>
      </c>
    </row>
    <row r="64" spans="1:7" x14ac:dyDescent="0.25">
      <c r="A64" s="5">
        <v>45806.302083333336</v>
      </c>
      <c r="B64">
        <v>5</v>
      </c>
      <c r="C64" t="s">
        <v>10</v>
      </c>
      <c r="D64" t="s">
        <v>11</v>
      </c>
      <c r="E64">
        <v>1.52</v>
      </c>
      <c r="F64">
        <v>2.97</v>
      </c>
      <c r="G64" s="8">
        <f t="shared" si="0"/>
        <v>30.707070707070706</v>
      </c>
    </row>
    <row r="65" spans="1:7" x14ac:dyDescent="0.25">
      <c r="A65" s="5">
        <v>45806.302083333336</v>
      </c>
      <c r="B65">
        <v>6</v>
      </c>
      <c r="C65" t="s">
        <v>11</v>
      </c>
      <c r="D65" t="s">
        <v>12</v>
      </c>
      <c r="E65">
        <v>1.5</v>
      </c>
      <c r="F65">
        <v>2.42</v>
      </c>
      <c r="G65" s="8">
        <f t="shared" si="0"/>
        <v>37.190082644628099</v>
      </c>
    </row>
    <row r="66" spans="1:7" x14ac:dyDescent="0.25">
      <c r="A66" s="5">
        <v>45806.302083333336</v>
      </c>
      <c r="B66">
        <v>7</v>
      </c>
      <c r="C66" t="s">
        <v>12</v>
      </c>
      <c r="D66" t="s">
        <v>13</v>
      </c>
      <c r="E66">
        <v>1.54</v>
      </c>
      <c r="F66">
        <v>2.52</v>
      </c>
      <c r="G66" s="8">
        <f t="shared" si="0"/>
        <v>36.666666666666671</v>
      </c>
    </row>
    <row r="67" spans="1:7" x14ac:dyDescent="0.25">
      <c r="A67" s="5">
        <v>45806.302083333336</v>
      </c>
      <c r="B67">
        <v>8</v>
      </c>
      <c r="C67" t="s">
        <v>13</v>
      </c>
      <c r="D67" t="s">
        <v>14</v>
      </c>
      <c r="E67">
        <v>1.54</v>
      </c>
      <c r="F67">
        <v>2.77</v>
      </c>
      <c r="G67" s="8">
        <f t="shared" ref="G67:G130" si="1">E67*60/F67</f>
        <v>33.357400722021666</v>
      </c>
    </row>
    <row r="68" spans="1:7" x14ac:dyDescent="0.25">
      <c r="A68" s="5">
        <v>45806.302083333336</v>
      </c>
      <c r="B68">
        <v>9</v>
      </c>
      <c r="C68" t="s">
        <v>14</v>
      </c>
      <c r="D68" t="s">
        <v>15</v>
      </c>
      <c r="E68">
        <v>1.52</v>
      </c>
      <c r="F68">
        <v>2.82</v>
      </c>
      <c r="G68" s="8">
        <f t="shared" si="1"/>
        <v>32.340425531914896</v>
      </c>
    </row>
    <row r="69" spans="1:7" x14ac:dyDescent="0.25">
      <c r="A69" s="5">
        <v>45806.302083333336</v>
      </c>
      <c r="B69">
        <v>10</v>
      </c>
      <c r="C69" t="s">
        <v>15</v>
      </c>
      <c r="D69" t="s">
        <v>16</v>
      </c>
      <c r="E69">
        <v>1.5</v>
      </c>
      <c r="F69">
        <v>3</v>
      </c>
      <c r="G69" s="8">
        <f t="shared" si="1"/>
        <v>30</v>
      </c>
    </row>
    <row r="70" spans="1:7" x14ac:dyDescent="0.25">
      <c r="A70" s="5">
        <v>45806.302083333336</v>
      </c>
      <c r="B70">
        <v>11</v>
      </c>
      <c r="C70" t="s">
        <v>16</v>
      </c>
      <c r="D70" t="s">
        <v>17</v>
      </c>
      <c r="E70">
        <v>1.48</v>
      </c>
      <c r="F70">
        <v>2.38</v>
      </c>
      <c r="G70" s="8">
        <f t="shared" si="1"/>
        <v>37.310924369747902</v>
      </c>
    </row>
    <row r="71" spans="1:7" x14ac:dyDescent="0.25">
      <c r="A71" s="5">
        <v>45806.302083333336</v>
      </c>
      <c r="B71">
        <v>12</v>
      </c>
      <c r="C71" t="s">
        <v>17</v>
      </c>
      <c r="D71" t="s">
        <v>18</v>
      </c>
      <c r="E71">
        <v>1.46</v>
      </c>
      <c r="F71">
        <v>2.88</v>
      </c>
      <c r="G71" s="8">
        <f t="shared" si="1"/>
        <v>30.416666666666664</v>
      </c>
    </row>
    <row r="72" spans="1:7" x14ac:dyDescent="0.25">
      <c r="A72" s="5">
        <v>45806.302083333336</v>
      </c>
      <c r="B72">
        <v>13</v>
      </c>
      <c r="C72" t="s">
        <v>18</v>
      </c>
      <c r="D72" t="s">
        <v>19</v>
      </c>
      <c r="E72">
        <v>1.52</v>
      </c>
      <c r="F72">
        <v>3.72</v>
      </c>
      <c r="G72" s="8">
        <f t="shared" si="1"/>
        <v>24.516129032258064</v>
      </c>
    </row>
    <row r="73" spans="1:7" x14ac:dyDescent="0.25">
      <c r="A73" s="5">
        <v>45806.302083333336</v>
      </c>
      <c r="B73">
        <v>14</v>
      </c>
      <c r="C73" t="s">
        <v>19</v>
      </c>
      <c r="D73" t="s">
        <v>20</v>
      </c>
      <c r="E73">
        <v>1.51</v>
      </c>
      <c r="F73">
        <v>3.08</v>
      </c>
      <c r="G73" s="8">
        <f t="shared" si="1"/>
        <v>29.415584415584412</v>
      </c>
    </row>
    <row r="74" spans="1:7" x14ac:dyDescent="0.25">
      <c r="A74" s="5">
        <v>45806.302083333336</v>
      </c>
      <c r="B74">
        <v>15</v>
      </c>
      <c r="C74" t="s">
        <v>20</v>
      </c>
      <c r="D74" t="s">
        <v>21</v>
      </c>
      <c r="E74">
        <v>1.47</v>
      </c>
      <c r="F74">
        <v>1.93</v>
      </c>
      <c r="G74" s="8">
        <f t="shared" si="1"/>
        <v>45.69948186528498</v>
      </c>
    </row>
    <row r="75" spans="1:7" x14ac:dyDescent="0.25">
      <c r="A75" s="5">
        <v>45806.302083333336</v>
      </c>
      <c r="B75">
        <v>16</v>
      </c>
      <c r="C75" t="s">
        <v>21</v>
      </c>
      <c r="D75" t="s">
        <v>22</v>
      </c>
      <c r="E75">
        <v>1.5</v>
      </c>
      <c r="F75">
        <v>1.73</v>
      </c>
      <c r="G75" s="8">
        <f t="shared" si="1"/>
        <v>52.02312138728324</v>
      </c>
    </row>
    <row r="76" spans="1:7" x14ac:dyDescent="0.25">
      <c r="A76" s="5">
        <v>45806.302083333336</v>
      </c>
      <c r="B76">
        <v>17</v>
      </c>
      <c r="C76" t="s">
        <v>22</v>
      </c>
      <c r="D76" t="s">
        <v>23</v>
      </c>
      <c r="E76">
        <v>1.51</v>
      </c>
      <c r="F76">
        <v>2.62</v>
      </c>
      <c r="G76" s="8">
        <f t="shared" si="1"/>
        <v>34.580152671755719</v>
      </c>
    </row>
    <row r="77" spans="1:7" x14ac:dyDescent="0.25">
      <c r="A77" s="5">
        <v>45806.302083333336</v>
      </c>
      <c r="B77">
        <v>18</v>
      </c>
      <c r="C77" t="s">
        <v>23</v>
      </c>
      <c r="D77" t="s">
        <v>24</v>
      </c>
      <c r="E77">
        <v>1.51</v>
      </c>
      <c r="F77">
        <v>2.4700000000000002</v>
      </c>
      <c r="G77" s="8">
        <f t="shared" si="1"/>
        <v>36.680161943319831</v>
      </c>
    </row>
    <row r="78" spans="1:7" x14ac:dyDescent="0.25">
      <c r="A78" s="5">
        <v>45806.302083333336</v>
      </c>
      <c r="B78">
        <v>19</v>
      </c>
      <c r="C78" t="s">
        <v>25</v>
      </c>
      <c r="D78" t="s">
        <v>26</v>
      </c>
      <c r="E78">
        <v>1.5</v>
      </c>
      <c r="F78">
        <v>3.43</v>
      </c>
      <c r="G78" s="8">
        <f t="shared" si="1"/>
        <v>26.239067055393583</v>
      </c>
    </row>
    <row r="79" spans="1:7" x14ac:dyDescent="0.25">
      <c r="A79" s="5">
        <v>45806.302083333336</v>
      </c>
      <c r="B79">
        <v>20</v>
      </c>
      <c r="C79" t="s">
        <v>26</v>
      </c>
      <c r="D79" t="s">
        <v>27</v>
      </c>
      <c r="E79">
        <v>1.48</v>
      </c>
      <c r="F79">
        <v>3.22</v>
      </c>
      <c r="G79" s="8">
        <f t="shared" si="1"/>
        <v>27.577639751552791</v>
      </c>
    </row>
    <row r="80" spans="1:7" x14ac:dyDescent="0.25">
      <c r="A80" s="5">
        <v>45806.302083333336</v>
      </c>
      <c r="B80">
        <v>21</v>
      </c>
      <c r="C80" t="s">
        <v>27</v>
      </c>
      <c r="D80" t="s">
        <v>28</v>
      </c>
      <c r="E80">
        <v>1.51</v>
      </c>
      <c r="F80">
        <v>2.87</v>
      </c>
      <c r="G80" s="8">
        <f t="shared" si="1"/>
        <v>31.567944250871076</v>
      </c>
    </row>
    <row r="81" spans="1:7" x14ac:dyDescent="0.25">
      <c r="A81" s="5">
        <v>45806.302083333336</v>
      </c>
      <c r="B81">
        <v>22</v>
      </c>
      <c r="C81" t="s">
        <v>28</v>
      </c>
      <c r="D81" t="s">
        <v>29</v>
      </c>
      <c r="E81">
        <v>1.57</v>
      </c>
      <c r="F81">
        <v>3.27</v>
      </c>
      <c r="G81" s="8">
        <f t="shared" si="1"/>
        <v>28.807339449541285</v>
      </c>
    </row>
    <row r="82" spans="1:7" x14ac:dyDescent="0.25">
      <c r="A82" s="5">
        <v>45806.302083333336</v>
      </c>
      <c r="B82">
        <v>23</v>
      </c>
      <c r="C82" t="s">
        <v>29</v>
      </c>
      <c r="D82" t="s">
        <v>30</v>
      </c>
      <c r="E82">
        <v>1.43</v>
      </c>
      <c r="F82">
        <v>3.13</v>
      </c>
      <c r="G82" s="8">
        <f t="shared" si="1"/>
        <v>27.412140575079871</v>
      </c>
    </row>
    <row r="83" spans="1:7" x14ac:dyDescent="0.25">
      <c r="A83" s="5">
        <v>45806.302083333336</v>
      </c>
      <c r="B83">
        <v>24</v>
      </c>
      <c r="C83" t="s">
        <v>30</v>
      </c>
      <c r="D83" t="s">
        <v>31</v>
      </c>
      <c r="E83">
        <v>1.52</v>
      </c>
      <c r="F83">
        <v>3.57</v>
      </c>
      <c r="G83" s="8">
        <f t="shared" si="1"/>
        <v>25.54621848739496</v>
      </c>
    </row>
    <row r="84" spans="1:7" x14ac:dyDescent="0.25">
      <c r="A84" s="5">
        <v>45806.302083333336</v>
      </c>
      <c r="B84">
        <v>25</v>
      </c>
      <c r="C84" t="s">
        <v>31</v>
      </c>
      <c r="D84" t="s">
        <v>32</v>
      </c>
      <c r="E84">
        <v>1.52</v>
      </c>
      <c r="F84">
        <v>2.8</v>
      </c>
      <c r="G84" s="8">
        <f t="shared" si="1"/>
        <v>32.571428571428577</v>
      </c>
    </row>
    <row r="85" spans="1:7" x14ac:dyDescent="0.25">
      <c r="A85" s="5">
        <v>45806.302083333336</v>
      </c>
      <c r="B85">
        <v>26</v>
      </c>
      <c r="C85" t="s">
        <v>32</v>
      </c>
      <c r="D85" t="s">
        <v>33</v>
      </c>
      <c r="E85">
        <v>1.49</v>
      </c>
      <c r="F85">
        <v>3.02</v>
      </c>
      <c r="G85" s="8">
        <f t="shared" si="1"/>
        <v>29.602649006622517</v>
      </c>
    </row>
    <row r="86" spans="1:7" x14ac:dyDescent="0.25">
      <c r="A86" s="5">
        <v>45806.302083333336</v>
      </c>
      <c r="B86">
        <v>27</v>
      </c>
      <c r="C86" t="s">
        <v>33</v>
      </c>
      <c r="D86" t="s">
        <v>34</v>
      </c>
      <c r="E86">
        <v>1.53</v>
      </c>
      <c r="F86">
        <v>2.9</v>
      </c>
      <c r="G86" s="8">
        <f t="shared" si="1"/>
        <v>31.655172413793103</v>
      </c>
    </row>
    <row r="87" spans="1:7" x14ac:dyDescent="0.25">
      <c r="A87" s="5">
        <v>45806.302083333336</v>
      </c>
      <c r="B87">
        <v>28</v>
      </c>
      <c r="C87" t="s">
        <v>34</v>
      </c>
      <c r="D87" t="s">
        <v>35</v>
      </c>
      <c r="E87">
        <v>1.51</v>
      </c>
      <c r="F87">
        <v>3.55</v>
      </c>
      <c r="G87" s="8">
        <f t="shared" si="1"/>
        <v>25.52112676056338</v>
      </c>
    </row>
    <row r="88" spans="1:7" x14ac:dyDescent="0.25">
      <c r="A88" s="5">
        <v>45806.302083333336</v>
      </c>
      <c r="B88">
        <v>29</v>
      </c>
      <c r="C88" t="s">
        <v>36</v>
      </c>
      <c r="D88" t="s">
        <v>37</v>
      </c>
      <c r="E88">
        <v>1.57</v>
      </c>
      <c r="F88">
        <v>3.43</v>
      </c>
      <c r="G88" s="8">
        <f t="shared" si="1"/>
        <v>27.463556851311953</v>
      </c>
    </row>
    <row r="89" spans="1:7" x14ac:dyDescent="0.25">
      <c r="A89" s="5">
        <v>45806.302083333336</v>
      </c>
      <c r="B89">
        <v>30</v>
      </c>
      <c r="C89" t="s">
        <v>37</v>
      </c>
      <c r="D89" t="s">
        <v>38</v>
      </c>
      <c r="E89">
        <v>1.57</v>
      </c>
      <c r="F89">
        <v>4.2699999999999996</v>
      </c>
      <c r="G89" s="8">
        <f t="shared" si="1"/>
        <v>22.060889929742391</v>
      </c>
    </row>
    <row r="90" spans="1:7" x14ac:dyDescent="0.25">
      <c r="A90" s="5">
        <v>45806.302083333336</v>
      </c>
      <c r="B90">
        <v>31</v>
      </c>
      <c r="C90" t="s">
        <v>38</v>
      </c>
      <c r="D90" t="s">
        <v>39</v>
      </c>
      <c r="E90">
        <v>1.52</v>
      </c>
      <c r="F90">
        <v>2.4500000000000002</v>
      </c>
      <c r="G90" s="8">
        <f t="shared" si="1"/>
        <v>37.224489795918366</v>
      </c>
    </row>
    <row r="91" spans="1:7" x14ac:dyDescent="0.25">
      <c r="A91" s="5">
        <v>45806.302083333336</v>
      </c>
      <c r="B91">
        <v>32</v>
      </c>
      <c r="C91" t="s">
        <v>39</v>
      </c>
      <c r="D91" t="s">
        <v>40</v>
      </c>
      <c r="E91">
        <v>1.5</v>
      </c>
      <c r="F91">
        <v>1.63</v>
      </c>
      <c r="G91" s="8">
        <f t="shared" si="1"/>
        <v>55.214723926380373</v>
      </c>
    </row>
    <row r="92" spans="1:7" x14ac:dyDescent="0.25">
      <c r="A92" s="5">
        <v>45806.302083333336</v>
      </c>
      <c r="B92">
        <v>33</v>
      </c>
      <c r="C92" t="s">
        <v>40</v>
      </c>
      <c r="D92" t="s">
        <v>41</v>
      </c>
      <c r="E92">
        <v>1.51</v>
      </c>
      <c r="F92">
        <v>1.65</v>
      </c>
      <c r="G92" s="8">
        <f t="shared" si="1"/>
        <v>54.909090909090907</v>
      </c>
    </row>
    <row r="93" spans="1:7" x14ac:dyDescent="0.25">
      <c r="A93" s="5">
        <v>45806.302083333336</v>
      </c>
      <c r="B93">
        <v>34</v>
      </c>
      <c r="C93" t="s">
        <v>41</v>
      </c>
      <c r="D93" t="s">
        <v>42</v>
      </c>
      <c r="E93">
        <v>1.5</v>
      </c>
      <c r="F93">
        <v>1.7</v>
      </c>
      <c r="G93" s="8">
        <f t="shared" si="1"/>
        <v>52.941176470588239</v>
      </c>
    </row>
    <row r="94" spans="1:7" x14ac:dyDescent="0.25">
      <c r="A94" s="5">
        <v>45806.302083333336</v>
      </c>
      <c r="B94">
        <v>35</v>
      </c>
      <c r="C94" t="s">
        <v>43</v>
      </c>
      <c r="D94" t="s">
        <v>44</v>
      </c>
      <c r="E94">
        <v>1.55</v>
      </c>
      <c r="F94">
        <v>3.3</v>
      </c>
      <c r="G94" s="8">
        <f t="shared" si="1"/>
        <v>28.181818181818183</v>
      </c>
    </row>
    <row r="95" spans="1:7" x14ac:dyDescent="0.25">
      <c r="A95" s="5">
        <v>45806.302083333336</v>
      </c>
      <c r="B95">
        <v>36</v>
      </c>
      <c r="C95" t="s">
        <v>44</v>
      </c>
      <c r="D95" t="s">
        <v>45</v>
      </c>
      <c r="E95">
        <v>1.5</v>
      </c>
      <c r="F95">
        <v>2.65</v>
      </c>
      <c r="G95" s="8">
        <f t="shared" si="1"/>
        <v>33.962264150943398</v>
      </c>
    </row>
    <row r="96" spans="1:7" x14ac:dyDescent="0.25">
      <c r="A96" s="5">
        <v>45806.302083333336</v>
      </c>
      <c r="B96">
        <v>37</v>
      </c>
      <c r="C96" t="s">
        <v>45</v>
      </c>
      <c r="D96" t="s">
        <v>46</v>
      </c>
      <c r="E96">
        <v>1.38</v>
      </c>
      <c r="F96">
        <v>3.4</v>
      </c>
      <c r="G96" s="8">
        <f t="shared" si="1"/>
        <v>24.352941176470587</v>
      </c>
    </row>
    <row r="97" spans="1:7" x14ac:dyDescent="0.25">
      <c r="A97" s="5">
        <v>45806.302083333336</v>
      </c>
      <c r="B97">
        <v>38</v>
      </c>
      <c r="C97" t="s">
        <v>46</v>
      </c>
      <c r="D97" t="s">
        <v>47</v>
      </c>
      <c r="E97">
        <v>1.61</v>
      </c>
      <c r="F97">
        <v>3.3</v>
      </c>
      <c r="G97" s="8">
        <f t="shared" si="1"/>
        <v>29.272727272727277</v>
      </c>
    </row>
    <row r="98" spans="1:7" x14ac:dyDescent="0.25">
      <c r="A98" s="5">
        <v>45806.302083333336</v>
      </c>
      <c r="B98">
        <v>39</v>
      </c>
      <c r="C98" t="s">
        <v>47</v>
      </c>
      <c r="D98" t="s">
        <v>48</v>
      </c>
      <c r="E98">
        <v>1.55</v>
      </c>
      <c r="F98">
        <v>3.22</v>
      </c>
      <c r="G98" s="8">
        <f t="shared" si="1"/>
        <v>28.881987577639748</v>
      </c>
    </row>
    <row r="99" spans="1:7" x14ac:dyDescent="0.25">
      <c r="A99" s="5">
        <v>45806.302083333336</v>
      </c>
      <c r="B99">
        <v>40</v>
      </c>
      <c r="C99" t="s">
        <v>48</v>
      </c>
      <c r="D99" t="s">
        <v>49</v>
      </c>
      <c r="E99">
        <v>1.39</v>
      </c>
      <c r="F99">
        <v>2.68</v>
      </c>
      <c r="G99" s="8">
        <f t="shared" si="1"/>
        <v>31.119402985074622</v>
      </c>
    </row>
    <row r="100" spans="1:7" x14ac:dyDescent="0.25">
      <c r="A100" s="5">
        <v>45806.302083333336</v>
      </c>
      <c r="B100">
        <v>41</v>
      </c>
      <c r="C100" t="s">
        <v>50</v>
      </c>
      <c r="D100" t="s">
        <v>51</v>
      </c>
      <c r="E100">
        <v>1.56</v>
      </c>
      <c r="F100">
        <v>3.3</v>
      </c>
      <c r="G100" s="8">
        <f t="shared" si="1"/>
        <v>28.363636363636367</v>
      </c>
    </row>
    <row r="101" spans="1:7" x14ac:dyDescent="0.25">
      <c r="A101" s="5">
        <v>45806.302083333336</v>
      </c>
      <c r="B101">
        <v>42</v>
      </c>
      <c r="C101" t="s">
        <v>51</v>
      </c>
      <c r="D101" t="s">
        <v>52</v>
      </c>
      <c r="E101">
        <v>1.56</v>
      </c>
      <c r="F101">
        <v>3.3</v>
      </c>
      <c r="G101" s="8">
        <f t="shared" si="1"/>
        <v>28.363636363636367</v>
      </c>
    </row>
    <row r="102" spans="1:7" x14ac:dyDescent="0.25">
      <c r="A102" s="5">
        <v>45806.302083333336</v>
      </c>
      <c r="B102">
        <v>43</v>
      </c>
      <c r="C102" t="s">
        <v>52</v>
      </c>
      <c r="D102" t="s">
        <v>53</v>
      </c>
      <c r="E102">
        <v>1.51</v>
      </c>
      <c r="F102">
        <v>3.07</v>
      </c>
      <c r="G102" s="8">
        <f t="shared" si="1"/>
        <v>29.511400651465799</v>
      </c>
    </row>
    <row r="103" spans="1:7" x14ac:dyDescent="0.25">
      <c r="A103" s="5">
        <v>45806.302083333336</v>
      </c>
      <c r="B103">
        <v>44</v>
      </c>
      <c r="C103" t="s">
        <v>54</v>
      </c>
      <c r="D103" t="s">
        <v>55</v>
      </c>
      <c r="E103">
        <v>1.51</v>
      </c>
      <c r="F103">
        <v>3.97</v>
      </c>
      <c r="G103" s="8">
        <f t="shared" si="1"/>
        <v>22.821158690176318</v>
      </c>
    </row>
    <row r="104" spans="1:7" x14ac:dyDescent="0.25">
      <c r="A104" s="5">
        <v>45806.302083333336</v>
      </c>
      <c r="B104">
        <v>45</v>
      </c>
      <c r="C104" t="s">
        <v>55</v>
      </c>
      <c r="D104" t="s">
        <v>56</v>
      </c>
      <c r="E104">
        <v>1.49</v>
      </c>
      <c r="F104">
        <v>3</v>
      </c>
      <c r="G104" s="8">
        <f t="shared" si="1"/>
        <v>29.8</v>
      </c>
    </row>
    <row r="105" spans="1:7" x14ac:dyDescent="0.25">
      <c r="A105" s="5">
        <v>45806.302083333336</v>
      </c>
      <c r="B105">
        <v>46</v>
      </c>
      <c r="C105" t="s">
        <v>56</v>
      </c>
      <c r="D105" t="s">
        <v>57</v>
      </c>
      <c r="E105">
        <v>1.52</v>
      </c>
      <c r="F105">
        <v>3.48</v>
      </c>
      <c r="G105" s="8">
        <f t="shared" si="1"/>
        <v>26.206896551724139</v>
      </c>
    </row>
    <row r="106" spans="1:7" x14ac:dyDescent="0.25">
      <c r="A106" s="5">
        <v>45806.302083333336</v>
      </c>
      <c r="B106">
        <v>47</v>
      </c>
      <c r="C106" t="s">
        <v>58</v>
      </c>
      <c r="D106" t="s">
        <v>59</v>
      </c>
      <c r="E106">
        <v>1.52</v>
      </c>
      <c r="F106">
        <v>3.3</v>
      </c>
      <c r="G106" s="8">
        <f t="shared" si="1"/>
        <v>27.63636363636364</v>
      </c>
    </row>
    <row r="107" spans="1:7" x14ac:dyDescent="0.25">
      <c r="A107" s="5">
        <v>45806.302083333336</v>
      </c>
      <c r="B107">
        <v>48</v>
      </c>
      <c r="C107" t="s">
        <v>59</v>
      </c>
      <c r="D107" t="s">
        <v>60</v>
      </c>
      <c r="E107">
        <v>1.5</v>
      </c>
      <c r="F107">
        <v>3.08</v>
      </c>
      <c r="G107" s="8">
        <f t="shared" si="1"/>
        <v>29.220779220779221</v>
      </c>
    </row>
    <row r="108" spans="1:7" x14ac:dyDescent="0.25">
      <c r="A108" s="5">
        <v>45806.302083333336</v>
      </c>
      <c r="B108">
        <v>49</v>
      </c>
      <c r="C108" t="s">
        <v>60</v>
      </c>
      <c r="D108" t="s">
        <v>61</v>
      </c>
      <c r="E108">
        <v>1.54</v>
      </c>
      <c r="F108">
        <v>3.37</v>
      </c>
      <c r="G108" s="8">
        <f t="shared" si="1"/>
        <v>27.41839762611276</v>
      </c>
    </row>
    <row r="109" spans="1:7" x14ac:dyDescent="0.25">
      <c r="A109" s="5">
        <v>45806.302083333336</v>
      </c>
      <c r="B109">
        <v>50</v>
      </c>
      <c r="C109" t="s">
        <v>62</v>
      </c>
      <c r="D109" t="s">
        <v>63</v>
      </c>
      <c r="E109">
        <v>1.38</v>
      </c>
      <c r="F109">
        <v>3.07</v>
      </c>
      <c r="G109" s="8">
        <f t="shared" si="1"/>
        <v>26.970684039087949</v>
      </c>
    </row>
    <row r="110" spans="1:7" x14ac:dyDescent="0.25">
      <c r="A110" s="5">
        <v>45806.302083333336</v>
      </c>
      <c r="B110">
        <v>51</v>
      </c>
      <c r="C110" t="s">
        <v>63</v>
      </c>
      <c r="D110" t="s">
        <v>64</v>
      </c>
      <c r="E110">
        <v>2.79</v>
      </c>
      <c r="F110">
        <v>4.9800000000000004</v>
      </c>
      <c r="G110" s="8">
        <f t="shared" si="1"/>
        <v>33.614457831325296</v>
      </c>
    </row>
    <row r="111" spans="1:7" x14ac:dyDescent="0.25">
      <c r="A111" s="5">
        <v>45806.302083333336</v>
      </c>
      <c r="B111">
        <v>52</v>
      </c>
      <c r="C111" t="s">
        <v>64</v>
      </c>
      <c r="D111" t="s">
        <v>65</v>
      </c>
      <c r="E111">
        <v>1.5</v>
      </c>
      <c r="F111">
        <v>2.7</v>
      </c>
      <c r="G111" s="8">
        <f t="shared" si="1"/>
        <v>33.333333333333329</v>
      </c>
    </row>
    <row r="112" spans="1:7" x14ac:dyDescent="0.25">
      <c r="A112" s="5">
        <v>45806.302083333336</v>
      </c>
      <c r="B112">
        <v>53</v>
      </c>
      <c r="C112" t="s">
        <v>65</v>
      </c>
      <c r="D112" t="s">
        <v>66</v>
      </c>
      <c r="E112">
        <v>1.46</v>
      </c>
      <c r="F112">
        <v>3.18</v>
      </c>
      <c r="G112" s="8">
        <f t="shared" si="1"/>
        <v>27.547169811320753</v>
      </c>
    </row>
    <row r="113" spans="1:7" x14ac:dyDescent="0.25">
      <c r="A113" s="5">
        <v>45806.302083333336</v>
      </c>
      <c r="B113">
        <v>54</v>
      </c>
      <c r="C113" t="s">
        <v>67</v>
      </c>
      <c r="D113" t="s">
        <v>68</v>
      </c>
      <c r="E113">
        <v>1.46</v>
      </c>
      <c r="F113">
        <v>2.2799999999999998</v>
      </c>
      <c r="G113" s="8">
        <f t="shared" si="1"/>
        <v>38.421052631578945</v>
      </c>
    </row>
    <row r="114" spans="1:7" x14ac:dyDescent="0.25">
      <c r="A114" s="5">
        <v>45806.302083333336</v>
      </c>
      <c r="B114">
        <v>55</v>
      </c>
      <c r="C114" t="s">
        <v>68</v>
      </c>
      <c r="D114" t="s">
        <v>69</v>
      </c>
      <c r="E114">
        <v>1.5</v>
      </c>
      <c r="F114">
        <v>1.85</v>
      </c>
      <c r="G114" s="8">
        <f t="shared" si="1"/>
        <v>48.648648648648646</v>
      </c>
    </row>
    <row r="115" spans="1:7" x14ac:dyDescent="0.25">
      <c r="A115" s="5">
        <v>45806.302083333336</v>
      </c>
      <c r="B115">
        <v>56</v>
      </c>
      <c r="C115" t="s">
        <v>70</v>
      </c>
      <c r="D115" t="s">
        <v>71</v>
      </c>
      <c r="E115">
        <v>1.51</v>
      </c>
      <c r="F115">
        <v>3.77</v>
      </c>
      <c r="G115" s="8">
        <f t="shared" si="1"/>
        <v>24.031830238726791</v>
      </c>
    </row>
    <row r="116" spans="1:7" x14ac:dyDescent="0.25">
      <c r="A116" s="5">
        <v>45806.302083333336</v>
      </c>
      <c r="B116">
        <v>57</v>
      </c>
      <c r="C116" t="s">
        <v>71</v>
      </c>
      <c r="D116" t="s">
        <v>72</v>
      </c>
      <c r="E116">
        <v>1.52</v>
      </c>
      <c r="F116">
        <v>3.37</v>
      </c>
      <c r="G116" s="8">
        <f t="shared" si="1"/>
        <v>27.062314540059347</v>
      </c>
    </row>
    <row r="117" spans="1:7" x14ac:dyDescent="0.25">
      <c r="A117" s="5">
        <v>45806.302083333336</v>
      </c>
      <c r="B117">
        <v>58</v>
      </c>
      <c r="C117" t="s">
        <v>72</v>
      </c>
      <c r="D117" t="s">
        <v>73</v>
      </c>
      <c r="E117">
        <v>1.5</v>
      </c>
      <c r="F117">
        <v>3.22</v>
      </c>
      <c r="G117" s="8">
        <f t="shared" si="1"/>
        <v>27.950310559006208</v>
      </c>
    </row>
    <row r="118" spans="1:7" x14ac:dyDescent="0.25">
      <c r="A118" s="5">
        <v>45806.3125</v>
      </c>
      <c r="B118">
        <v>1</v>
      </c>
      <c r="C118" t="s">
        <v>6</v>
      </c>
      <c r="D118" t="s">
        <v>7</v>
      </c>
      <c r="E118">
        <v>1.53</v>
      </c>
      <c r="F118">
        <v>2.88</v>
      </c>
      <c r="G118" s="8">
        <f t="shared" si="1"/>
        <v>31.875</v>
      </c>
    </row>
    <row r="119" spans="1:7" x14ac:dyDescent="0.25">
      <c r="A119" s="5">
        <v>45806.3125</v>
      </c>
      <c r="B119">
        <v>2</v>
      </c>
      <c r="C119" t="s">
        <v>7</v>
      </c>
      <c r="D119" t="s">
        <v>8</v>
      </c>
      <c r="E119">
        <v>1.57</v>
      </c>
      <c r="F119">
        <v>4.37</v>
      </c>
      <c r="G119" s="8">
        <f t="shared" si="1"/>
        <v>21.556064073226544</v>
      </c>
    </row>
    <row r="120" spans="1:7" x14ac:dyDescent="0.25">
      <c r="A120" s="5">
        <v>45806.3125</v>
      </c>
      <c r="B120">
        <v>3</v>
      </c>
      <c r="C120" t="s">
        <v>8</v>
      </c>
      <c r="D120" t="s">
        <v>9</v>
      </c>
      <c r="E120">
        <v>1.5</v>
      </c>
      <c r="F120">
        <v>2.77</v>
      </c>
      <c r="G120" s="8">
        <f t="shared" si="1"/>
        <v>32.490974729241877</v>
      </c>
    </row>
    <row r="121" spans="1:7" x14ac:dyDescent="0.25">
      <c r="A121" s="5">
        <v>45806.3125</v>
      </c>
      <c r="B121">
        <v>4</v>
      </c>
      <c r="C121" t="s">
        <v>9</v>
      </c>
      <c r="D121" t="s">
        <v>10</v>
      </c>
      <c r="E121">
        <v>1.5</v>
      </c>
      <c r="F121">
        <v>2.73</v>
      </c>
      <c r="G121" s="8">
        <f t="shared" si="1"/>
        <v>32.967032967032971</v>
      </c>
    </row>
    <row r="122" spans="1:7" x14ac:dyDescent="0.25">
      <c r="A122" s="5">
        <v>45806.3125</v>
      </c>
      <c r="B122">
        <v>5</v>
      </c>
      <c r="C122" t="s">
        <v>10</v>
      </c>
      <c r="D122" t="s">
        <v>11</v>
      </c>
      <c r="E122">
        <v>1.52</v>
      </c>
      <c r="F122">
        <v>3.02</v>
      </c>
      <c r="G122" s="8">
        <f t="shared" si="1"/>
        <v>30.198675496688743</v>
      </c>
    </row>
    <row r="123" spans="1:7" x14ac:dyDescent="0.25">
      <c r="A123" s="5">
        <v>45806.3125</v>
      </c>
      <c r="B123">
        <v>6</v>
      </c>
      <c r="C123" t="s">
        <v>11</v>
      </c>
      <c r="D123" t="s">
        <v>12</v>
      </c>
      <c r="E123">
        <v>1.5</v>
      </c>
      <c r="F123">
        <v>2.57</v>
      </c>
      <c r="G123" s="8">
        <f t="shared" si="1"/>
        <v>35.019455252918291</v>
      </c>
    </row>
    <row r="124" spans="1:7" x14ac:dyDescent="0.25">
      <c r="A124" s="5">
        <v>45806.3125</v>
      </c>
      <c r="B124">
        <v>7</v>
      </c>
      <c r="C124" t="s">
        <v>12</v>
      </c>
      <c r="D124" t="s">
        <v>13</v>
      </c>
      <c r="E124">
        <v>1.54</v>
      </c>
      <c r="F124">
        <v>2.82</v>
      </c>
      <c r="G124" s="8">
        <f t="shared" si="1"/>
        <v>32.765957446808514</v>
      </c>
    </row>
    <row r="125" spans="1:7" x14ac:dyDescent="0.25">
      <c r="A125" s="5">
        <v>45806.3125</v>
      </c>
      <c r="B125">
        <v>8</v>
      </c>
      <c r="C125" t="s">
        <v>13</v>
      </c>
      <c r="D125" t="s">
        <v>14</v>
      </c>
      <c r="E125">
        <v>1.54</v>
      </c>
      <c r="F125">
        <v>3.13</v>
      </c>
      <c r="G125" s="8">
        <f t="shared" si="1"/>
        <v>29.520766773162944</v>
      </c>
    </row>
    <row r="126" spans="1:7" x14ac:dyDescent="0.25">
      <c r="A126" s="5">
        <v>45806.3125</v>
      </c>
      <c r="B126">
        <v>9</v>
      </c>
      <c r="C126" t="s">
        <v>14</v>
      </c>
      <c r="D126" t="s">
        <v>15</v>
      </c>
      <c r="E126">
        <v>1.52</v>
      </c>
      <c r="F126">
        <v>2.87</v>
      </c>
      <c r="G126" s="8">
        <f t="shared" si="1"/>
        <v>31.777003484320556</v>
      </c>
    </row>
    <row r="127" spans="1:7" x14ac:dyDescent="0.25">
      <c r="A127" s="5">
        <v>45806.3125</v>
      </c>
      <c r="B127">
        <v>10</v>
      </c>
      <c r="C127" t="s">
        <v>15</v>
      </c>
      <c r="D127" t="s">
        <v>16</v>
      </c>
      <c r="E127">
        <v>1.5</v>
      </c>
      <c r="F127">
        <v>3.18</v>
      </c>
      <c r="G127" s="8">
        <f t="shared" si="1"/>
        <v>28.30188679245283</v>
      </c>
    </row>
    <row r="128" spans="1:7" x14ac:dyDescent="0.25">
      <c r="A128" s="5">
        <v>45806.3125</v>
      </c>
      <c r="B128">
        <v>11</v>
      </c>
      <c r="C128" t="s">
        <v>16</v>
      </c>
      <c r="D128" t="s">
        <v>17</v>
      </c>
      <c r="E128">
        <v>1.48</v>
      </c>
      <c r="F128">
        <v>2.4700000000000002</v>
      </c>
      <c r="G128" s="8">
        <f t="shared" si="1"/>
        <v>35.951417004048579</v>
      </c>
    </row>
    <row r="129" spans="1:7" x14ac:dyDescent="0.25">
      <c r="A129" s="5">
        <v>45806.3125</v>
      </c>
      <c r="B129">
        <v>12</v>
      </c>
      <c r="C129" t="s">
        <v>17</v>
      </c>
      <c r="D129" t="s">
        <v>18</v>
      </c>
      <c r="E129">
        <v>1.46</v>
      </c>
      <c r="F129">
        <v>3.15</v>
      </c>
      <c r="G129" s="8">
        <f t="shared" si="1"/>
        <v>27.80952380952381</v>
      </c>
    </row>
    <row r="130" spans="1:7" x14ac:dyDescent="0.25">
      <c r="A130" s="5">
        <v>45806.3125</v>
      </c>
      <c r="B130">
        <v>13</v>
      </c>
      <c r="C130" t="s">
        <v>18</v>
      </c>
      <c r="D130" t="s">
        <v>19</v>
      </c>
      <c r="E130">
        <v>1.52</v>
      </c>
      <c r="F130">
        <v>3.73</v>
      </c>
      <c r="G130" s="8">
        <f t="shared" si="1"/>
        <v>24.45040214477212</v>
      </c>
    </row>
    <row r="131" spans="1:7" x14ac:dyDescent="0.25">
      <c r="A131" s="5">
        <v>45806.3125</v>
      </c>
      <c r="B131">
        <v>14</v>
      </c>
      <c r="C131" t="s">
        <v>19</v>
      </c>
      <c r="D131" t="s">
        <v>20</v>
      </c>
      <c r="E131">
        <v>1.51</v>
      </c>
      <c r="F131">
        <v>3.02</v>
      </c>
      <c r="G131" s="8">
        <f t="shared" ref="G131:G194" si="2">E131*60/F131</f>
        <v>29.999999999999996</v>
      </c>
    </row>
    <row r="132" spans="1:7" x14ac:dyDescent="0.25">
      <c r="A132" s="5">
        <v>45806.3125</v>
      </c>
      <c r="B132">
        <v>15</v>
      </c>
      <c r="C132" t="s">
        <v>20</v>
      </c>
      <c r="D132" t="s">
        <v>21</v>
      </c>
      <c r="E132">
        <v>1.47</v>
      </c>
      <c r="F132">
        <v>2.4500000000000002</v>
      </c>
      <c r="G132" s="8">
        <f t="shared" si="2"/>
        <v>36</v>
      </c>
    </row>
    <row r="133" spans="1:7" x14ac:dyDescent="0.25">
      <c r="A133" s="5">
        <v>45806.3125</v>
      </c>
      <c r="B133">
        <v>16</v>
      </c>
      <c r="C133" t="s">
        <v>21</v>
      </c>
      <c r="D133" t="s">
        <v>22</v>
      </c>
      <c r="E133">
        <v>1.5</v>
      </c>
      <c r="F133">
        <v>1.7</v>
      </c>
      <c r="G133" s="8">
        <f t="shared" si="2"/>
        <v>52.941176470588239</v>
      </c>
    </row>
    <row r="134" spans="1:7" x14ac:dyDescent="0.25">
      <c r="A134" s="5">
        <v>45806.3125</v>
      </c>
      <c r="B134">
        <v>17</v>
      </c>
      <c r="C134" t="s">
        <v>22</v>
      </c>
      <c r="D134" t="s">
        <v>23</v>
      </c>
      <c r="E134">
        <v>1.51</v>
      </c>
      <c r="F134">
        <v>2.62</v>
      </c>
      <c r="G134" s="8">
        <f t="shared" si="2"/>
        <v>34.580152671755719</v>
      </c>
    </row>
    <row r="135" spans="1:7" x14ac:dyDescent="0.25">
      <c r="A135" s="5">
        <v>45806.3125</v>
      </c>
      <c r="B135">
        <v>18</v>
      </c>
      <c r="C135" t="s">
        <v>23</v>
      </c>
      <c r="D135" t="s">
        <v>24</v>
      </c>
      <c r="E135">
        <v>1.51</v>
      </c>
      <c r="F135">
        <v>2.85</v>
      </c>
      <c r="G135" s="8">
        <f t="shared" si="2"/>
        <v>31.789473684210524</v>
      </c>
    </row>
    <row r="136" spans="1:7" x14ac:dyDescent="0.25">
      <c r="A136" s="5">
        <v>45806.3125</v>
      </c>
      <c r="B136">
        <v>19</v>
      </c>
      <c r="C136" t="s">
        <v>25</v>
      </c>
      <c r="D136" t="s">
        <v>26</v>
      </c>
      <c r="E136">
        <v>1.5</v>
      </c>
      <c r="F136">
        <v>3.52</v>
      </c>
      <c r="G136" s="8">
        <f t="shared" si="2"/>
        <v>25.568181818181817</v>
      </c>
    </row>
    <row r="137" spans="1:7" x14ac:dyDescent="0.25">
      <c r="A137" s="5">
        <v>45806.3125</v>
      </c>
      <c r="B137">
        <v>20</v>
      </c>
      <c r="C137" t="s">
        <v>26</v>
      </c>
      <c r="D137" t="s">
        <v>27</v>
      </c>
      <c r="E137">
        <v>1.48</v>
      </c>
      <c r="F137">
        <v>2.97</v>
      </c>
      <c r="G137" s="8">
        <f t="shared" si="2"/>
        <v>29.898989898989896</v>
      </c>
    </row>
    <row r="138" spans="1:7" x14ac:dyDescent="0.25">
      <c r="A138" s="5">
        <v>45806.3125</v>
      </c>
      <c r="B138">
        <v>21</v>
      </c>
      <c r="C138" t="s">
        <v>27</v>
      </c>
      <c r="D138" t="s">
        <v>28</v>
      </c>
      <c r="E138">
        <v>1.51</v>
      </c>
      <c r="F138">
        <v>3.05</v>
      </c>
      <c r="G138" s="8">
        <f t="shared" si="2"/>
        <v>29.704918032786885</v>
      </c>
    </row>
    <row r="139" spans="1:7" x14ac:dyDescent="0.25">
      <c r="A139" s="5">
        <v>45806.3125</v>
      </c>
      <c r="B139">
        <v>22</v>
      </c>
      <c r="C139" t="s">
        <v>28</v>
      </c>
      <c r="D139" t="s">
        <v>29</v>
      </c>
      <c r="E139">
        <v>1.57</v>
      </c>
      <c r="F139">
        <v>3.25</v>
      </c>
      <c r="G139" s="8">
        <f t="shared" si="2"/>
        <v>28.984615384615385</v>
      </c>
    </row>
    <row r="140" spans="1:7" x14ac:dyDescent="0.25">
      <c r="A140" s="5">
        <v>45806.3125</v>
      </c>
      <c r="B140">
        <v>23</v>
      </c>
      <c r="C140" t="s">
        <v>29</v>
      </c>
      <c r="D140" t="s">
        <v>30</v>
      </c>
      <c r="E140">
        <v>1.43</v>
      </c>
      <c r="F140">
        <v>3.2</v>
      </c>
      <c r="G140" s="8">
        <f t="shared" si="2"/>
        <v>26.812499999999996</v>
      </c>
    </row>
    <row r="141" spans="1:7" x14ac:dyDescent="0.25">
      <c r="A141" s="5">
        <v>45806.3125</v>
      </c>
      <c r="B141">
        <v>24</v>
      </c>
      <c r="C141" t="s">
        <v>30</v>
      </c>
      <c r="D141" t="s">
        <v>31</v>
      </c>
      <c r="E141">
        <v>1.52</v>
      </c>
      <c r="F141">
        <v>3.73</v>
      </c>
      <c r="G141" s="8">
        <f t="shared" si="2"/>
        <v>24.45040214477212</v>
      </c>
    </row>
    <row r="142" spans="1:7" x14ac:dyDescent="0.25">
      <c r="A142" s="5">
        <v>45806.3125</v>
      </c>
      <c r="B142">
        <v>25</v>
      </c>
      <c r="C142" t="s">
        <v>31</v>
      </c>
      <c r="D142" t="s">
        <v>32</v>
      </c>
      <c r="E142">
        <v>1.52</v>
      </c>
      <c r="F142">
        <v>2.95</v>
      </c>
      <c r="G142" s="8">
        <f t="shared" si="2"/>
        <v>30.915254237288135</v>
      </c>
    </row>
    <row r="143" spans="1:7" x14ac:dyDescent="0.25">
      <c r="A143" s="5">
        <v>45806.3125</v>
      </c>
      <c r="B143">
        <v>26</v>
      </c>
      <c r="C143" t="s">
        <v>32</v>
      </c>
      <c r="D143" t="s">
        <v>33</v>
      </c>
      <c r="E143">
        <v>1.49</v>
      </c>
      <c r="F143">
        <v>3.15</v>
      </c>
      <c r="G143" s="8">
        <f t="shared" si="2"/>
        <v>28.380952380952383</v>
      </c>
    </row>
    <row r="144" spans="1:7" x14ac:dyDescent="0.25">
      <c r="A144" s="5">
        <v>45806.3125</v>
      </c>
      <c r="B144">
        <v>27</v>
      </c>
      <c r="C144" t="s">
        <v>33</v>
      </c>
      <c r="D144" t="s">
        <v>34</v>
      </c>
      <c r="E144">
        <v>1.53</v>
      </c>
      <c r="F144">
        <v>2.97</v>
      </c>
      <c r="G144" s="8">
        <f t="shared" si="2"/>
        <v>30.909090909090907</v>
      </c>
    </row>
    <row r="145" spans="1:7" x14ac:dyDescent="0.25">
      <c r="A145" s="5">
        <v>45806.3125</v>
      </c>
      <c r="B145">
        <v>28</v>
      </c>
      <c r="C145" t="s">
        <v>34</v>
      </c>
      <c r="D145" t="s">
        <v>35</v>
      </c>
      <c r="E145">
        <v>1.51</v>
      </c>
      <c r="F145">
        <v>3.92</v>
      </c>
      <c r="G145" s="8">
        <f t="shared" si="2"/>
        <v>23.112244897959183</v>
      </c>
    </row>
    <row r="146" spans="1:7" x14ac:dyDescent="0.25">
      <c r="A146" s="5">
        <v>45806.3125</v>
      </c>
      <c r="B146">
        <v>29</v>
      </c>
      <c r="C146" t="s">
        <v>36</v>
      </c>
      <c r="D146" t="s">
        <v>37</v>
      </c>
      <c r="E146">
        <v>1.57</v>
      </c>
      <c r="F146">
        <v>3.55</v>
      </c>
      <c r="G146" s="8">
        <f t="shared" si="2"/>
        <v>26.535211267605636</v>
      </c>
    </row>
    <row r="147" spans="1:7" x14ac:dyDescent="0.25">
      <c r="A147" s="5">
        <v>45806.3125</v>
      </c>
      <c r="B147">
        <v>30</v>
      </c>
      <c r="C147" t="s">
        <v>37</v>
      </c>
      <c r="D147" t="s">
        <v>38</v>
      </c>
      <c r="E147">
        <v>1.57</v>
      </c>
      <c r="F147">
        <v>4.5</v>
      </c>
      <c r="G147" s="8">
        <f t="shared" si="2"/>
        <v>20.933333333333334</v>
      </c>
    </row>
    <row r="148" spans="1:7" x14ac:dyDescent="0.25">
      <c r="A148" s="5">
        <v>45806.3125</v>
      </c>
      <c r="B148">
        <v>31</v>
      </c>
      <c r="C148" t="s">
        <v>38</v>
      </c>
      <c r="D148" t="s">
        <v>39</v>
      </c>
      <c r="E148">
        <v>1.52</v>
      </c>
      <c r="F148">
        <v>2.5299999999999998</v>
      </c>
      <c r="G148" s="8">
        <f t="shared" si="2"/>
        <v>36.047430830039531</v>
      </c>
    </row>
    <row r="149" spans="1:7" x14ac:dyDescent="0.25">
      <c r="A149" s="5">
        <v>45806.3125</v>
      </c>
      <c r="B149">
        <v>32</v>
      </c>
      <c r="C149" t="s">
        <v>39</v>
      </c>
      <c r="D149" t="s">
        <v>40</v>
      </c>
      <c r="E149">
        <v>1.5</v>
      </c>
      <c r="F149">
        <v>1.7</v>
      </c>
      <c r="G149" s="8">
        <f t="shared" si="2"/>
        <v>52.941176470588239</v>
      </c>
    </row>
    <row r="150" spans="1:7" x14ac:dyDescent="0.25">
      <c r="A150" s="5">
        <v>45806.3125</v>
      </c>
      <c r="B150">
        <v>33</v>
      </c>
      <c r="C150" t="s">
        <v>40</v>
      </c>
      <c r="D150" t="s">
        <v>41</v>
      </c>
      <c r="E150">
        <v>1.51</v>
      </c>
      <c r="F150">
        <v>1.67</v>
      </c>
      <c r="G150" s="8">
        <f t="shared" si="2"/>
        <v>54.251497005988021</v>
      </c>
    </row>
    <row r="151" spans="1:7" x14ac:dyDescent="0.25">
      <c r="A151" s="5">
        <v>45806.3125</v>
      </c>
      <c r="B151">
        <v>34</v>
      </c>
      <c r="C151" t="s">
        <v>41</v>
      </c>
      <c r="D151" t="s">
        <v>42</v>
      </c>
      <c r="E151">
        <v>1.5</v>
      </c>
      <c r="F151">
        <v>1.7</v>
      </c>
      <c r="G151" s="8">
        <f t="shared" si="2"/>
        <v>52.941176470588239</v>
      </c>
    </row>
    <row r="152" spans="1:7" x14ac:dyDescent="0.25">
      <c r="A152" s="5">
        <v>45806.3125</v>
      </c>
      <c r="B152">
        <v>35</v>
      </c>
      <c r="C152" t="s">
        <v>43</v>
      </c>
      <c r="D152" t="s">
        <v>44</v>
      </c>
      <c r="E152">
        <v>1.55</v>
      </c>
      <c r="F152">
        <v>3.47</v>
      </c>
      <c r="G152" s="8">
        <f t="shared" si="2"/>
        <v>26.801152737752158</v>
      </c>
    </row>
    <row r="153" spans="1:7" x14ac:dyDescent="0.25">
      <c r="A153" s="5">
        <v>45806.3125</v>
      </c>
      <c r="B153">
        <v>36</v>
      </c>
      <c r="C153" t="s">
        <v>44</v>
      </c>
      <c r="D153" t="s">
        <v>45</v>
      </c>
      <c r="E153">
        <v>1.5</v>
      </c>
      <c r="F153">
        <v>2.77</v>
      </c>
      <c r="G153" s="8">
        <f t="shared" si="2"/>
        <v>32.490974729241877</v>
      </c>
    </row>
    <row r="154" spans="1:7" x14ac:dyDescent="0.25">
      <c r="A154" s="5">
        <v>45806.3125</v>
      </c>
      <c r="B154">
        <v>37</v>
      </c>
      <c r="C154" t="s">
        <v>45</v>
      </c>
      <c r="D154" t="s">
        <v>46</v>
      </c>
      <c r="E154">
        <v>1.38</v>
      </c>
      <c r="F154">
        <v>3.4</v>
      </c>
      <c r="G154" s="8">
        <f t="shared" si="2"/>
        <v>24.352941176470587</v>
      </c>
    </row>
    <row r="155" spans="1:7" x14ac:dyDescent="0.25">
      <c r="A155" s="5">
        <v>45806.3125</v>
      </c>
      <c r="B155">
        <v>38</v>
      </c>
      <c r="C155" t="s">
        <v>46</v>
      </c>
      <c r="D155" t="s">
        <v>47</v>
      </c>
      <c r="E155">
        <v>1.61</v>
      </c>
      <c r="F155">
        <v>3.53</v>
      </c>
      <c r="G155" s="8">
        <f t="shared" si="2"/>
        <v>27.365439093484422</v>
      </c>
    </row>
    <row r="156" spans="1:7" x14ac:dyDescent="0.25">
      <c r="A156" s="5">
        <v>45806.3125</v>
      </c>
      <c r="B156">
        <v>39</v>
      </c>
      <c r="C156" t="s">
        <v>47</v>
      </c>
      <c r="D156" t="s">
        <v>48</v>
      </c>
      <c r="E156">
        <v>1.55</v>
      </c>
      <c r="F156">
        <v>3.3</v>
      </c>
      <c r="G156" s="8">
        <f t="shared" si="2"/>
        <v>28.181818181818183</v>
      </c>
    </row>
    <row r="157" spans="1:7" x14ac:dyDescent="0.25">
      <c r="A157" s="5">
        <v>45806.3125</v>
      </c>
      <c r="B157">
        <v>40</v>
      </c>
      <c r="C157" t="s">
        <v>48</v>
      </c>
      <c r="D157" t="s">
        <v>49</v>
      </c>
      <c r="E157">
        <v>1.39</v>
      </c>
      <c r="F157">
        <v>2.65</v>
      </c>
      <c r="G157" s="8">
        <f t="shared" si="2"/>
        <v>31.471698113207545</v>
      </c>
    </row>
    <row r="158" spans="1:7" x14ac:dyDescent="0.25">
      <c r="A158" s="5">
        <v>45806.3125</v>
      </c>
      <c r="B158">
        <v>41</v>
      </c>
      <c r="C158" t="s">
        <v>50</v>
      </c>
      <c r="D158" t="s">
        <v>51</v>
      </c>
      <c r="E158">
        <v>1.56</v>
      </c>
      <c r="F158">
        <v>3.33</v>
      </c>
      <c r="G158" s="8">
        <f t="shared" si="2"/>
        <v>28.108108108108109</v>
      </c>
    </row>
    <row r="159" spans="1:7" x14ac:dyDescent="0.25">
      <c r="A159" s="5">
        <v>45806.3125</v>
      </c>
      <c r="B159">
        <v>42</v>
      </c>
      <c r="C159" t="s">
        <v>51</v>
      </c>
      <c r="D159" t="s">
        <v>52</v>
      </c>
      <c r="E159">
        <v>1.56</v>
      </c>
      <c r="F159">
        <v>3.42</v>
      </c>
      <c r="G159" s="8">
        <f t="shared" si="2"/>
        <v>27.368421052631582</v>
      </c>
    </row>
    <row r="160" spans="1:7" x14ac:dyDescent="0.25">
      <c r="A160" s="5">
        <v>45806.3125</v>
      </c>
      <c r="B160">
        <v>43</v>
      </c>
      <c r="C160" t="s">
        <v>52</v>
      </c>
      <c r="D160" t="s">
        <v>53</v>
      </c>
      <c r="E160">
        <v>1.51</v>
      </c>
      <c r="F160">
        <v>3.23</v>
      </c>
      <c r="G160" s="8">
        <f t="shared" si="2"/>
        <v>28.049535603715167</v>
      </c>
    </row>
    <row r="161" spans="1:7" x14ac:dyDescent="0.25">
      <c r="A161" s="5">
        <v>45806.3125</v>
      </c>
      <c r="B161">
        <v>44</v>
      </c>
      <c r="C161" t="s">
        <v>54</v>
      </c>
      <c r="D161" t="s">
        <v>55</v>
      </c>
      <c r="E161">
        <v>1.51</v>
      </c>
      <c r="F161">
        <v>3.98</v>
      </c>
      <c r="G161" s="8">
        <f t="shared" si="2"/>
        <v>22.763819095477384</v>
      </c>
    </row>
    <row r="162" spans="1:7" x14ac:dyDescent="0.25">
      <c r="A162" s="5">
        <v>45806.3125</v>
      </c>
      <c r="B162">
        <v>45</v>
      </c>
      <c r="C162" t="s">
        <v>55</v>
      </c>
      <c r="D162" t="s">
        <v>56</v>
      </c>
      <c r="E162">
        <v>1.49</v>
      </c>
      <c r="F162">
        <v>3.2</v>
      </c>
      <c r="G162" s="8">
        <f t="shared" si="2"/>
        <v>27.9375</v>
      </c>
    </row>
    <row r="163" spans="1:7" x14ac:dyDescent="0.25">
      <c r="A163" s="5">
        <v>45806.3125</v>
      </c>
      <c r="B163">
        <v>46</v>
      </c>
      <c r="C163" t="s">
        <v>56</v>
      </c>
      <c r="D163" t="s">
        <v>57</v>
      </c>
      <c r="E163">
        <v>1.52</v>
      </c>
      <c r="F163">
        <v>3.52</v>
      </c>
      <c r="G163" s="8">
        <f t="shared" si="2"/>
        <v>25.90909090909091</v>
      </c>
    </row>
    <row r="164" spans="1:7" x14ac:dyDescent="0.25">
      <c r="A164" s="5">
        <v>45806.3125</v>
      </c>
      <c r="B164">
        <v>47</v>
      </c>
      <c r="C164" t="s">
        <v>58</v>
      </c>
      <c r="D164" t="s">
        <v>59</v>
      </c>
      <c r="E164">
        <v>1.52</v>
      </c>
      <c r="F164">
        <v>3.7</v>
      </c>
      <c r="G164" s="8">
        <f t="shared" si="2"/>
        <v>24.648648648648649</v>
      </c>
    </row>
    <row r="165" spans="1:7" x14ac:dyDescent="0.25">
      <c r="A165" s="5">
        <v>45806.3125</v>
      </c>
      <c r="B165">
        <v>48</v>
      </c>
      <c r="C165" t="s">
        <v>59</v>
      </c>
      <c r="D165" t="s">
        <v>60</v>
      </c>
      <c r="E165">
        <v>1.5</v>
      </c>
      <c r="F165">
        <v>3.37</v>
      </c>
      <c r="G165" s="8">
        <f t="shared" si="2"/>
        <v>26.706231454005934</v>
      </c>
    </row>
    <row r="166" spans="1:7" x14ac:dyDescent="0.25">
      <c r="A166" s="5">
        <v>45806.3125</v>
      </c>
      <c r="B166">
        <v>49</v>
      </c>
      <c r="C166" t="s">
        <v>60</v>
      </c>
      <c r="D166" t="s">
        <v>61</v>
      </c>
      <c r="E166">
        <v>1.54</v>
      </c>
      <c r="F166">
        <v>3.52</v>
      </c>
      <c r="G166" s="8">
        <f t="shared" si="2"/>
        <v>26.25</v>
      </c>
    </row>
    <row r="167" spans="1:7" x14ac:dyDescent="0.25">
      <c r="A167" s="5">
        <v>45806.3125</v>
      </c>
      <c r="B167">
        <v>50</v>
      </c>
      <c r="C167" t="s">
        <v>62</v>
      </c>
      <c r="D167" t="s">
        <v>63</v>
      </c>
      <c r="E167">
        <v>1.38</v>
      </c>
      <c r="F167">
        <v>3.07</v>
      </c>
      <c r="G167" s="8">
        <f t="shared" si="2"/>
        <v>26.970684039087949</v>
      </c>
    </row>
    <row r="168" spans="1:7" x14ac:dyDescent="0.25">
      <c r="A168" s="5">
        <v>45806.3125</v>
      </c>
      <c r="B168">
        <v>51</v>
      </c>
      <c r="C168" t="s">
        <v>63</v>
      </c>
      <c r="D168" t="s">
        <v>64</v>
      </c>
      <c r="E168">
        <v>2.79</v>
      </c>
      <c r="F168">
        <v>5.2</v>
      </c>
      <c r="G168" s="8">
        <f t="shared" si="2"/>
        <v>32.192307692307693</v>
      </c>
    </row>
    <row r="169" spans="1:7" x14ac:dyDescent="0.25">
      <c r="A169" s="5">
        <v>45806.3125</v>
      </c>
      <c r="B169">
        <v>52</v>
      </c>
      <c r="C169" t="s">
        <v>64</v>
      </c>
      <c r="D169" t="s">
        <v>65</v>
      </c>
      <c r="E169">
        <v>1.5</v>
      </c>
      <c r="F169">
        <v>2.75</v>
      </c>
      <c r="G169" s="8">
        <f t="shared" si="2"/>
        <v>32.727272727272727</v>
      </c>
    </row>
    <row r="170" spans="1:7" x14ac:dyDescent="0.25">
      <c r="A170" s="5">
        <v>45806.3125</v>
      </c>
      <c r="B170">
        <v>53</v>
      </c>
      <c r="C170" t="s">
        <v>65</v>
      </c>
      <c r="D170" t="s">
        <v>66</v>
      </c>
      <c r="E170">
        <v>1.46</v>
      </c>
      <c r="F170">
        <v>3.23</v>
      </c>
      <c r="G170" s="8">
        <f t="shared" si="2"/>
        <v>27.120743034055725</v>
      </c>
    </row>
    <row r="171" spans="1:7" x14ac:dyDescent="0.25">
      <c r="A171" s="5">
        <v>45806.3125</v>
      </c>
      <c r="B171">
        <v>54</v>
      </c>
      <c r="C171" t="s">
        <v>67</v>
      </c>
      <c r="D171" t="s">
        <v>68</v>
      </c>
      <c r="E171">
        <v>1.46</v>
      </c>
      <c r="F171">
        <v>2.8</v>
      </c>
      <c r="G171" s="8">
        <f t="shared" si="2"/>
        <v>31.285714285714285</v>
      </c>
    </row>
    <row r="172" spans="1:7" x14ac:dyDescent="0.25">
      <c r="A172" s="5">
        <v>45806.3125</v>
      </c>
      <c r="B172">
        <v>55</v>
      </c>
      <c r="C172" t="s">
        <v>68</v>
      </c>
      <c r="D172" t="s">
        <v>69</v>
      </c>
      <c r="E172">
        <v>1.5</v>
      </c>
      <c r="F172">
        <v>1.95</v>
      </c>
      <c r="G172" s="8">
        <f t="shared" si="2"/>
        <v>46.153846153846153</v>
      </c>
    </row>
    <row r="173" spans="1:7" x14ac:dyDescent="0.25">
      <c r="A173" s="5">
        <v>45806.3125</v>
      </c>
      <c r="B173">
        <v>56</v>
      </c>
      <c r="C173" t="s">
        <v>70</v>
      </c>
      <c r="D173" t="s">
        <v>71</v>
      </c>
      <c r="E173">
        <v>1.51</v>
      </c>
      <c r="F173">
        <v>3.75</v>
      </c>
      <c r="G173" s="8">
        <f t="shared" si="2"/>
        <v>24.16</v>
      </c>
    </row>
    <row r="174" spans="1:7" x14ac:dyDescent="0.25">
      <c r="A174" s="5">
        <v>45806.3125</v>
      </c>
      <c r="B174">
        <v>57</v>
      </c>
      <c r="C174" t="s">
        <v>71</v>
      </c>
      <c r="D174" t="s">
        <v>72</v>
      </c>
      <c r="E174">
        <v>1.52</v>
      </c>
      <c r="F174">
        <v>3.68</v>
      </c>
      <c r="G174" s="8">
        <f t="shared" si="2"/>
        <v>24.782608695652172</v>
      </c>
    </row>
    <row r="175" spans="1:7" x14ac:dyDescent="0.25">
      <c r="A175" s="5">
        <v>45806.3125</v>
      </c>
      <c r="B175">
        <v>58</v>
      </c>
      <c r="C175" t="s">
        <v>72</v>
      </c>
      <c r="D175" t="s">
        <v>73</v>
      </c>
      <c r="E175">
        <v>1.5</v>
      </c>
      <c r="F175">
        <v>3.23</v>
      </c>
      <c r="G175" s="8">
        <f t="shared" si="2"/>
        <v>27.86377708978328</v>
      </c>
    </row>
    <row r="176" spans="1:7" x14ac:dyDescent="0.25">
      <c r="A176" s="5">
        <v>45806.322916666664</v>
      </c>
      <c r="B176">
        <v>1</v>
      </c>
      <c r="C176" t="s">
        <v>6</v>
      </c>
      <c r="D176" t="s">
        <v>7</v>
      </c>
      <c r="E176">
        <v>1.53</v>
      </c>
      <c r="F176">
        <v>3.02</v>
      </c>
      <c r="G176" s="8">
        <f t="shared" si="2"/>
        <v>30.397350993377483</v>
      </c>
    </row>
    <row r="177" spans="1:7" x14ac:dyDescent="0.25">
      <c r="A177" s="5">
        <v>45806.322916666664</v>
      </c>
      <c r="B177">
        <v>2</v>
      </c>
      <c r="C177" t="s">
        <v>7</v>
      </c>
      <c r="D177" t="s">
        <v>8</v>
      </c>
      <c r="E177">
        <v>1.57</v>
      </c>
      <c r="F177">
        <v>4.63</v>
      </c>
      <c r="G177" s="8">
        <f t="shared" si="2"/>
        <v>20.345572354211665</v>
      </c>
    </row>
    <row r="178" spans="1:7" x14ac:dyDescent="0.25">
      <c r="A178" s="5">
        <v>45806.322916666664</v>
      </c>
      <c r="B178">
        <v>3</v>
      </c>
      <c r="C178" t="s">
        <v>8</v>
      </c>
      <c r="D178" t="s">
        <v>9</v>
      </c>
      <c r="E178">
        <v>1.5</v>
      </c>
      <c r="F178">
        <v>2.92</v>
      </c>
      <c r="G178" s="8">
        <f t="shared" si="2"/>
        <v>30.82191780821918</v>
      </c>
    </row>
    <row r="179" spans="1:7" x14ac:dyDescent="0.25">
      <c r="A179" s="5">
        <v>45806.322916666664</v>
      </c>
      <c r="B179">
        <v>4</v>
      </c>
      <c r="C179" t="s">
        <v>9</v>
      </c>
      <c r="D179" t="s">
        <v>10</v>
      </c>
      <c r="E179">
        <v>1.5</v>
      </c>
      <c r="F179">
        <v>2.67</v>
      </c>
      <c r="G179" s="8">
        <f t="shared" si="2"/>
        <v>33.707865168539328</v>
      </c>
    </row>
    <row r="180" spans="1:7" x14ac:dyDescent="0.25">
      <c r="A180" s="5">
        <v>45806.322916666664</v>
      </c>
      <c r="B180">
        <v>5</v>
      </c>
      <c r="C180" t="s">
        <v>10</v>
      </c>
      <c r="D180" t="s">
        <v>11</v>
      </c>
      <c r="E180">
        <v>1.52</v>
      </c>
      <c r="F180">
        <v>2.92</v>
      </c>
      <c r="G180" s="8">
        <f t="shared" si="2"/>
        <v>31.232876712328768</v>
      </c>
    </row>
    <row r="181" spans="1:7" x14ac:dyDescent="0.25">
      <c r="A181" s="5">
        <v>45806.322916666664</v>
      </c>
      <c r="B181">
        <v>6</v>
      </c>
      <c r="C181" t="s">
        <v>11</v>
      </c>
      <c r="D181" t="s">
        <v>12</v>
      </c>
      <c r="E181">
        <v>1.5</v>
      </c>
      <c r="F181">
        <v>2.65</v>
      </c>
      <c r="G181" s="8">
        <f t="shared" si="2"/>
        <v>33.962264150943398</v>
      </c>
    </row>
    <row r="182" spans="1:7" x14ac:dyDescent="0.25">
      <c r="A182" s="5">
        <v>45806.322916666664</v>
      </c>
      <c r="B182">
        <v>7</v>
      </c>
      <c r="C182" t="s">
        <v>12</v>
      </c>
      <c r="D182" t="s">
        <v>13</v>
      </c>
      <c r="E182">
        <v>1.54</v>
      </c>
      <c r="F182">
        <v>2.5499999999999998</v>
      </c>
      <c r="G182" s="8">
        <f t="shared" si="2"/>
        <v>36.235294117647065</v>
      </c>
    </row>
    <row r="183" spans="1:7" x14ac:dyDescent="0.25">
      <c r="A183" s="5">
        <v>45806.322916666664</v>
      </c>
      <c r="B183">
        <v>8</v>
      </c>
      <c r="C183" t="s">
        <v>13</v>
      </c>
      <c r="D183" t="s">
        <v>14</v>
      </c>
      <c r="E183">
        <v>1.54</v>
      </c>
      <c r="F183">
        <v>3.1</v>
      </c>
      <c r="G183" s="8">
        <f t="shared" si="2"/>
        <v>29.806451612903228</v>
      </c>
    </row>
    <row r="184" spans="1:7" x14ac:dyDescent="0.25">
      <c r="A184" s="5">
        <v>45806.322916666664</v>
      </c>
      <c r="B184">
        <v>9</v>
      </c>
      <c r="C184" t="s">
        <v>14</v>
      </c>
      <c r="D184" t="s">
        <v>15</v>
      </c>
      <c r="E184">
        <v>1.52</v>
      </c>
      <c r="F184">
        <v>3.18</v>
      </c>
      <c r="G184" s="8">
        <f t="shared" si="2"/>
        <v>28.679245283018869</v>
      </c>
    </row>
    <row r="185" spans="1:7" x14ac:dyDescent="0.25">
      <c r="A185" s="5">
        <v>45806.322916666664</v>
      </c>
      <c r="B185">
        <v>10</v>
      </c>
      <c r="C185" t="s">
        <v>15</v>
      </c>
      <c r="D185" t="s">
        <v>16</v>
      </c>
      <c r="E185">
        <v>1.5</v>
      </c>
      <c r="F185">
        <v>3.48</v>
      </c>
      <c r="G185" s="8">
        <f t="shared" si="2"/>
        <v>25.862068965517242</v>
      </c>
    </row>
    <row r="186" spans="1:7" x14ac:dyDescent="0.25">
      <c r="A186" s="5">
        <v>45806.322916666664</v>
      </c>
      <c r="B186">
        <v>11</v>
      </c>
      <c r="C186" t="s">
        <v>16</v>
      </c>
      <c r="D186" t="s">
        <v>17</v>
      </c>
      <c r="E186">
        <v>1.48</v>
      </c>
      <c r="F186">
        <v>2.67</v>
      </c>
      <c r="G186" s="8">
        <f t="shared" si="2"/>
        <v>33.258426966292134</v>
      </c>
    </row>
    <row r="187" spans="1:7" x14ac:dyDescent="0.25">
      <c r="A187" s="5">
        <v>45806.322916666664</v>
      </c>
      <c r="B187">
        <v>12</v>
      </c>
      <c r="C187" t="s">
        <v>17</v>
      </c>
      <c r="D187" t="s">
        <v>18</v>
      </c>
      <c r="E187">
        <v>1.46</v>
      </c>
      <c r="F187">
        <v>3.47</v>
      </c>
      <c r="G187" s="8">
        <f t="shared" si="2"/>
        <v>25.244956772334291</v>
      </c>
    </row>
    <row r="188" spans="1:7" x14ac:dyDescent="0.25">
      <c r="A188" s="5">
        <v>45806.322916666664</v>
      </c>
      <c r="B188">
        <v>13</v>
      </c>
      <c r="C188" t="s">
        <v>18</v>
      </c>
      <c r="D188" t="s">
        <v>19</v>
      </c>
      <c r="E188">
        <v>1.52</v>
      </c>
      <c r="F188">
        <v>4</v>
      </c>
      <c r="G188" s="8">
        <f t="shared" si="2"/>
        <v>22.8</v>
      </c>
    </row>
    <row r="189" spans="1:7" x14ac:dyDescent="0.25">
      <c r="A189" s="5">
        <v>45806.322916666664</v>
      </c>
      <c r="B189">
        <v>14</v>
      </c>
      <c r="C189" t="s">
        <v>19</v>
      </c>
      <c r="D189" t="s">
        <v>20</v>
      </c>
      <c r="E189">
        <v>1.51</v>
      </c>
      <c r="F189">
        <v>3.18</v>
      </c>
      <c r="G189" s="8">
        <f t="shared" si="2"/>
        <v>28.490566037735846</v>
      </c>
    </row>
    <row r="190" spans="1:7" x14ac:dyDescent="0.25">
      <c r="A190" s="5">
        <v>45806.322916666664</v>
      </c>
      <c r="B190">
        <v>15</v>
      </c>
      <c r="C190" t="s">
        <v>20</v>
      </c>
      <c r="D190" t="s">
        <v>21</v>
      </c>
      <c r="E190">
        <v>1.47</v>
      </c>
      <c r="F190">
        <v>2.4</v>
      </c>
      <c r="G190" s="8">
        <f t="shared" si="2"/>
        <v>36.75</v>
      </c>
    </row>
    <row r="191" spans="1:7" x14ac:dyDescent="0.25">
      <c r="A191" s="5">
        <v>45806.322916666664</v>
      </c>
      <c r="B191">
        <v>16</v>
      </c>
      <c r="C191" t="s">
        <v>21</v>
      </c>
      <c r="D191" t="s">
        <v>22</v>
      </c>
      <c r="E191">
        <v>1.5</v>
      </c>
      <c r="F191">
        <v>1.8</v>
      </c>
      <c r="G191" s="8">
        <f t="shared" si="2"/>
        <v>50</v>
      </c>
    </row>
    <row r="192" spans="1:7" x14ac:dyDescent="0.25">
      <c r="A192" s="5">
        <v>45806.322916666664</v>
      </c>
      <c r="B192">
        <v>17</v>
      </c>
      <c r="C192" t="s">
        <v>22</v>
      </c>
      <c r="D192" t="s">
        <v>23</v>
      </c>
      <c r="E192">
        <v>1.51</v>
      </c>
      <c r="F192">
        <v>2.8</v>
      </c>
      <c r="G192" s="8">
        <f t="shared" si="2"/>
        <v>32.357142857142854</v>
      </c>
    </row>
    <row r="193" spans="1:7" x14ac:dyDescent="0.25">
      <c r="A193" s="5">
        <v>45806.322916666664</v>
      </c>
      <c r="B193">
        <v>18</v>
      </c>
      <c r="C193" t="s">
        <v>23</v>
      </c>
      <c r="D193" t="s">
        <v>24</v>
      </c>
      <c r="E193">
        <v>1.51</v>
      </c>
      <c r="F193">
        <v>2.85</v>
      </c>
      <c r="G193" s="8">
        <f t="shared" si="2"/>
        <v>31.789473684210524</v>
      </c>
    </row>
    <row r="194" spans="1:7" x14ac:dyDescent="0.25">
      <c r="A194" s="5">
        <v>45806.322916666664</v>
      </c>
      <c r="B194">
        <v>19</v>
      </c>
      <c r="C194" t="s">
        <v>25</v>
      </c>
      <c r="D194" t="s">
        <v>26</v>
      </c>
      <c r="E194">
        <v>1.5</v>
      </c>
      <c r="F194">
        <v>4.03</v>
      </c>
      <c r="G194" s="8">
        <f t="shared" si="2"/>
        <v>22.332506203473944</v>
      </c>
    </row>
    <row r="195" spans="1:7" x14ac:dyDescent="0.25">
      <c r="A195" s="5">
        <v>45806.322916666664</v>
      </c>
      <c r="B195">
        <v>20</v>
      </c>
      <c r="C195" t="s">
        <v>26</v>
      </c>
      <c r="D195" t="s">
        <v>27</v>
      </c>
      <c r="E195">
        <v>1.48</v>
      </c>
      <c r="F195">
        <v>3.67</v>
      </c>
      <c r="G195" s="8">
        <f t="shared" ref="G195:G258" si="3">E195*60/F195</f>
        <v>24.196185286103542</v>
      </c>
    </row>
    <row r="196" spans="1:7" x14ac:dyDescent="0.25">
      <c r="A196" s="5">
        <v>45806.322916666664</v>
      </c>
      <c r="B196">
        <v>21</v>
      </c>
      <c r="C196" t="s">
        <v>27</v>
      </c>
      <c r="D196" t="s">
        <v>28</v>
      </c>
      <c r="E196">
        <v>1.51</v>
      </c>
      <c r="F196">
        <v>3.38</v>
      </c>
      <c r="G196" s="8">
        <f t="shared" si="3"/>
        <v>26.80473372781065</v>
      </c>
    </row>
    <row r="197" spans="1:7" x14ac:dyDescent="0.25">
      <c r="A197" s="5">
        <v>45806.322916666664</v>
      </c>
      <c r="B197">
        <v>22</v>
      </c>
      <c r="C197" t="s">
        <v>28</v>
      </c>
      <c r="D197" t="s">
        <v>29</v>
      </c>
      <c r="E197">
        <v>1.57</v>
      </c>
      <c r="F197">
        <v>3.32</v>
      </c>
      <c r="G197" s="8">
        <f t="shared" si="3"/>
        <v>28.373493975903617</v>
      </c>
    </row>
    <row r="198" spans="1:7" x14ac:dyDescent="0.25">
      <c r="A198" s="5">
        <v>45806.322916666664</v>
      </c>
      <c r="B198">
        <v>23</v>
      </c>
      <c r="C198" t="s">
        <v>29</v>
      </c>
      <c r="D198" t="s">
        <v>30</v>
      </c>
      <c r="E198">
        <v>1.43</v>
      </c>
      <c r="F198">
        <v>3.53</v>
      </c>
      <c r="G198" s="8">
        <f t="shared" si="3"/>
        <v>24.305949008498583</v>
      </c>
    </row>
    <row r="199" spans="1:7" x14ac:dyDescent="0.25">
      <c r="A199" s="5">
        <v>45806.322916666664</v>
      </c>
      <c r="B199">
        <v>24</v>
      </c>
      <c r="C199" t="s">
        <v>30</v>
      </c>
      <c r="D199" t="s">
        <v>31</v>
      </c>
      <c r="E199">
        <v>1.52</v>
      </c>
      <c r="F199">
        <v>3.75</v>
      </c>
      <c r="G199" s="8">
        <f t="shared" si="3"/>
        <v>24.32</v>
      </c>
    </row>
    <row r="200" spans="1:7" x14ac:dyDescent="0.25">
      <c r="A200" s="5">
        <v>45806.322916666664</v>
      </c>
      <c r="B200">
        <v>25</v>
      </c>
      <c r="C200" t="s">
        <v>31</v>
      </c>
      <c r="D200" t="s">
        <v>32</v>
      </c>
      <c r="E200">
        <v>1.52</v>
      </c>
      <c r="F200">
        <v>3.07</v>
      </c>
      <c r="G200" s="8">
        <f t="shared" si="3"/>
        <v>29.706840390879481</v>
      </c>
    </row>
    <row r="201" spans="1:7" x14ac:dyDescent="0.25">
      <c r="A201" s="5">
        <v>45806.322916666664</v>
      </c>
      <c r="B201">
        <v>26</v>
      </c>
      <c r="C201" t="s">
        <v>32</v>
      </c>
      <c r="D201" t="s">
        <v>33</v>
      </c>
      <c r="E201">
        <v>1.49</v>
      </c>
      <c r="F201">
        <v>3.07</v>
      </c>
      <c r="G201" s="8">
        <f t="shared" si="3"/>
        <v>29.120521172638441</v>
      </c>
    </row>
    <row r="202" spans="1:7" x14ac:dyDescent="0.25">
      <c r="A202" s="5">
        <v>45806.322916666664</v>
      </c>
      <c r="B202">
        <v>27</v>
      </c>
      <c r="C202" t="s">
        <v>33</v>
      </c>
      <c r="D202" t="s">
        <v>34</v>
      </c>
      <c r="E202">
        <v>1.53</v>
      </c>
      <c r="F202">
        <v>3.03</v>
      </c>
      <c r="G202" s="8">
        <f t="shared" si="3"/>
        <v>30.297029702970299</v>
      </c>
    </row>
    <row r="203" spans="1:7" x14ac:dyDescent="0.25">
      <c r="A203" s="5">
        <v>45806.322916666664</v>
      </c>
      <c r="B203">
        <v>28</v>
      </c>
      <c r="C203" t="s">
        <v>34</v>
      </c>
      <c r="D203" t="s">
        <v>35</v>
      </c>
      <c r="E203">
        <v>1.51</v>
      </c>
      <c r="F203">
        <v>3.82</v>
      </c>
      <c r="G203" s="8">
        <f t="shared" si="3"/>
        <v>23.717277486910994</v>
      </c>
    </row>
    <row r="204" spans="1:7" x14ac:dyDescent="0.25">
      <c r="A204" s="5">
        <v>45806.322916666664</v>
      </c>
      <c r="B204">
        <v>29</v>
      </c>
      <c r="C204" t="s">
        <v>36</v>
      </c>
      <c r="D204" t="s">
        <v>37</v>
      </c>
      <c r="E204">
        <v>1.57</v>
      </c>
      <c r="F204">
        <v>3.85</v>
      </c>
      <c r="G204" s="8">
        <f t="shared" si="3"/>
        <v>24.467532467532468</v>
      </c>
    </row>
    <row r="205" spans="1:7" x14ac:dyDescent="0.25">
      <c r="A205" s="5">
        <v>45806.322916666664</v>
      </c>
      <c r="B205">
        <v>30</v>
      </c>
      <c r="C205" t="s">
        <v>37</v>
      </c>
      <c r="D205" t="s">
        <v>38</v>
      </c>
      <c r="E205">
        <v>1.57</v>
      </c>
      <c r="F205">
        <v>5.0999999999999996</v>
      </c>
      <c r="G205" s="8">
        <f t="shared" si="3"/>
        <v>18.47058823529412</v>
      </c>
    </row>
    <row r="206" spans="1:7" x14ac:dyDescent="0.25">
      <c r="A206" s="5">
        <v>45806.322916666664</v>
      </c>
      <c r="B206">
        <v>31</v>
      </c>
      <c r="C206" t="s">
        <v>38</v>
      </c>
      <c r="D206" t="s">
        <v>39</v>
      </c>
      <c r="E206">
        <v>1.52</v>
      </c>
      <c r="F206">
        <v>2.65</v>
      </c>
      <c r="G206" s="8">
        <f t="shared" si="3"/>
        <v>34.415094339622641</v>
      </c>
    </row>
    <row r="207" spans="1:7" x14ac:dyDescent="0.25">
      <c r="A207" s="5">
        <v>45806.322916666664</v>
      </c>
      <c r="B207">
        <v>32</v>
      </c>
      <c r="C207" t="s">
        <v>39</v>
      </c>
      <c r="D207" t="s">
        <v>40</v>
      </c>
      <c r="E207">
        <v>1.5</v>
      </c>
      <c r="F207">
        <v>1.68</v>
      </c>
      <c r="G207" s="8">
        <f t="shared" si="3"/>
        <v>53.571428571428577</v>
      </c>
    </row>
    <row r="208" spans="1:7" x14ac:dyDescent="0.25">
      <c r="A208" s="5">
        <v>45806.322916666664</v>
      </c>
      <c r="B208">
        <v>33</v>
      </c>
      <c r="C208" t="s">
        <v>40</v>
      </c>
      <c r="D208" t="s">
        <v>41</v>
      </c>
      <c r="E208">
        <v>1.51</v>
      </c>
      <c r="F208">
        <v>1.7</v>
      </c>
      <c r="G208" s="8">
        <f t="shared" si="3"/>
        <v>53.294117647058819</v>
      </c>
    </row>
    <row r="209" spans="1:7" x14ac:dyDescent="0.25">
      <c r="A209" s="5">
        <v>45806.322916666664</v>
      </c>
      <c r="B209">
        <v>34</v>
      </c>
      <c r="C209" t="s">
        <v>41</v>
      </c>
      <c r="D209" t="s">
        <v>42</v>
      </c>
      <c r="E209">
        <v>1.5</v>
      </c>
      <c r="F209">
        <v>1.73</v>
      </c>
      <c r="G209" s="8">
        <f t="shared" si="3"/>
        <v>52.02312138728324</v>
      </c>
    </row>
    <row r="210" spans="1:7" x14ac:dyDescent="0.25">
      <c r="A210" s="5">
        <v>45806.322916666664</v>
      </c>
      <c r="B210">
        <v>35</v>
      </c>
      <c r="C210" t="s">
        <v>43</v>
      </c>
      <c r="D210" t="s">
        <v>44</v>
      </c>
      <c r="E210">
        <v>1.55</v>
      </c>
      <c r="F210">
        <v>3.67</v>
      </c>
      <c r="G210" s="8">
        <f t="shared" si="3"/>
        <v>25.340599455040874</v>
      </c>
    </row>
    <row r="211" spans="1:7" x14ac:dyDescent="0.25">
      <c r="A211" s="5">
        <v>45806.322916666664</v>
      </c>
      <c r="B211">
        <v>36</v>
      </c>
      <c r="C211" t="s">
        <v>44</v>
      </c>
      <c r="D211" t="s">
        <v>45</v>
      </c>
      <c r="E211">
        <v>1.5</v>
      </c>
      <c r="F211">
        <v>2.87</v>
      </c>
      <c r="G211" s="8">
        <f t="shared" si="3"/>
        <v>31.358885017421603</v>
      </c>
    </row>
    <row r="212" spans="1:7" x14ac:dyDescent="0.25">
      <c r="A212" s="5">
        <v>45806.322916666664</v>
      </c>
      <c r="B212">
        <v>37</v>
      </c>
      <c r="C212" t="s">
        <v>45</v>
      </c>
      <c r="D212" t="s">
        <v>46</v>
      </c>
      <c r="E212">
        <v>1.38</v>
      </c>
      <c r="F212">
        <v>3.63</v>
      </c>
      <c r="G212" s="8">
        <f t="shared" si="3"/>
        <v>22.809917355371901</v>
      </c>
    </row>
    <row r="213" spans="1:7" x14ac:dyDescent="0.25">
      <c r="A213" s="5">
        <v>45806.322916666664</v>
      </c>
      <c r="B213">
        <v>38</v>
      </c>
      <c r="C213" t="s">
        <v>46</v>
      </c>
      <c r="D213" t="s">
        <v>47</v>
      </c>
      <c r="E213">
        <v>1.61</v>
      </c>
      <c r="F213">
        <v>3.48</v>
      </c>
      <c r="G213" s="8">
        <f t="shared" si="3"/>
        <v>27.758620689655174</v>
      </c>
    </row>
    <row r="214" spans="1:7" x14ac:dyDescent="0.25">
      <c r="A214" s="5">
        <v>45806.322916666664</v>
      </c>
      <c r="B214">
        <v>39</v>
      </c>
      <c r="C214" t="s">
        <v>47</v>
      </c>
      <c r="D214" t="s">
        <v>48</v>
      </c>
      <c r="E214">
        <v>1.55</v>
      </c>
      <c r="F214">
        <v>3.42</v>
      </c>
      <c r="G214" s="8">
        <f t="shared" si="3"/>
        <v>27.192982456140353</v>
      </c>
    </row>
    <row r="215" spans="1:7" x14ac:dyDescent="0.25">
      <c r="A215" s="5">
        <v>45806.322916666664</v>
      </c>
      <c r="B215">
        <v>40</v>
      </c>
      <c r="C215" t="s">
        <v>48</v>
      </c>
      <c r="D215" t="s">
        <v>49</v>
      </c>
      <c r="E215">
        <v>1.39</v>
      </c>
      <c r="F215">
        <v>2.67</v>
      </c>
      <c r="G215" s="8">
        <f t="shared" si="3"/>
        <v>31.235955056179773</v>
      </c>
    </row>
    <row r="216" spans="1:7" x14ac:dyDescent="0.25">
      <c r="A216" s="5">
        <v>45806.322916666664</v>
      </c>
      <c r="B216">
        <v>41</v>
      </c>
      <c r="C216" t="s">
        <v>50</v>
      </c>
      <c r="D216" t="s">
        <v>51</v>
      </c>
      <c r="E216">
        <v>1.56</v>
      </c>
      <c r="F216">
        <v>3.78</v>
      </c>
      <c r="G216" s="8">
        <f t="shared" si="3"/>
        <v>24.761904761904766</v>
      </c>
    </row>
    <row r="217" spans="1:7" x14ac:dyDescent="0.25">
      <c r="A217" s="5">
        <v>45806.322916666664</v>
      </c>
      <c r="B217">
        <v>42</v>
      </c>
      <c r="C217" t="s">
        <v>51</v>
      </c>
      <c r="D217" t="s">
        <v>52</v>
      </c>
      <c r="E217">
        <v>1.56</v>
      </c>
      <c r="F217">
        <v>3.58</v>
      </c>
      <c r="G217" s="8">
        <f t="shared" si="3"/>
        <v>26.145251396648046</v>
      </c>
    </row>
    <row r="218" spans="1:7" x14ac:dyDescent="0.25">
      <c r="A218" s="5">
        <v>45806.322916666664</v>
      </c>
      <c r="B218">
        <v>43</v>
      </c>
      <c r="C218" t="s">
        <v>52</v>
      </c>
      <c r="D218" t="s">
        <v>53</v>
      </c>
      <c r="E218">
        <v>1.51</v>
      </c>
      <c r="F218">
        <v>3.17</v>
      </c>
      <c r="G218" s="8">
        <f t="shared" si="3"/>
        <v>28.580441640378549</v>
      </c>
    </row>
    <row r="219" spans="1:7" x14ac:dyDescent="0.25">
      <c r="A219" s="5">
        <v>45806.322916666664</v>
      </c>
      <c r="B219">
        <v>44</v>
      </c>
      <c r="C219" t="s">
        <v>54</v>
      </c>
      <c r="D219" t="s">
        <v>55</v>
      </c>
      <c r="E219">
        <v>1.51</v>
      </c>
      <c r="F219">
        <v>4.32</v>
      </c>
      <c r="G219" s="8">
        <f t="shared" si="3"/>
        <v>20.972222222222218</v>
      </c>
    </row>
    <row r="220" spans="1:7" x14ac:dyDescent="0.25">
      <c r="A220" s="5">
        <v>45806.322916666664</v>
      </c>
      <c r="B220">
        <v>45</v>
      </c>
      <c r="C220" t="s">
        <v>55</v>
      </c>
      <c r="D220" t="s">
        <v>56</v>
      </c>
      <c r="E220">
        <v>1.49</v>
      </c>
      <c r="F220">
        <v>3.28</v>
      </c>
      <c r="G220" s="8">
        <f t="shared" si="3"/>
        <v>27.256097560975615</v>
      </c>
    </row>
    <row r="221" spans="1:7" x14ac:dyDescent="0.25">
      <c r="A221" s="5">
        <v>45806.322916666664</v>
      </c>
      <c r="B221">
        <v>46</v>
      </c>
      <c r="C221" t="s">
        <v>56</v>
      </c>
      <c r="D221" t="s">
        <v>57</v>
      </c>
      <c r="E221">
        <v>1.52</v>
      </c>
      <c r="F221">
        <v>3.63</v>
      </c>
      <c r="G221" s="8">
        <f t="shared" si="3"/>
        <v>25.123966942148762</v>
      </c>
    </row>
    <row r="222" spans="1:7" x14ac:dyDescent="0.25">
      <c r="A222" s="5">
        <v>45806.322916666664</v>
      </c>
      <c r="B222">
        <v>47</v>
      </c>
      <c r="C222" t="s">
        <v>58</v>
      </c>
      <c r="D222" t="s">
        <v>59</v>
      </c>
      <c r="E222">
        <v>1.52</v>
      </c>
      <c r="F222">
        <v>3.93</v>
      </c>
      <c r="G222" s="8">
        <f t="shared" si="3"/>
        <v>23.206106870229007</v>
      </c>
    </row>
    <row r="223" spans="1:7" x14ac:dyDescent="0.25">
      <c r="A223" s="5">
        <v>45806.322916666664</v>
      </c>
      <c r="B223">
        <v>48</v>
      </c>
      <c r="C223" t="s">
        <v>59</v>
      </c>
      <c r="D223" t="s">
        <v>60</v>
      </c>
      <c r="E223">
        <v>1.5</v>
      </c>
      <c r="F223">
        <v>3.72</v>
      </c>
      <c r="G223" s="8">
        <f t="shared" si="3"/>
        <v>24.193548387096772</v>
      </c>
    </row>
    <row r="224" spans="1:7" x14ac:dyDescent="0.25">
      <c r="A224" s="5">
        <v>45806.322916666664</v>
      </c>
      <c r="B224">
        <v>49</v>
      </c>
      <c r="C224" t="s">
        <v>60</v>
      </c>
      <c r="D224" t="s">
        <v>61</v>
      </c>
      <c r="E224">
        <v>1.54</v>
      </c>
      <c r="F224">
        <v>3.93</v>
      </c>
      <c r="G224" s="8">
        <f t="shared" si="3"/>
        <v>23.511450381679388</v>
      </c>
    </row>
    <row r="225" spans="1:7" x14ac:dyDescent="0.25">
      <c r="A225" s="5">
        <v>45806.322916666664</v>
      </c>
      <c r="B225">
        <v>50</v>
      </c>
      <c r="C225" t="s">
        <v>62</v>
      </c>
      <c r="D225" t="s">
        <v>63</v>
      </c>
      <c r="E225">
        <v>1.38</v>
      </c>
      <c r="F225">
        <v>3.15</v>
      </c>
      <c r="G225" s="8">
        <f t="shared" si="3"/>
        <v>26.285714285714285</v>
      </c>
    </row>
    <row r="226" spans="1:7" x14ac:dyDescent="0.25">
      <c r="A226" s="5">
        <v>45806.322916666664</v>
      </c>
      <c r="B226">
        <v>51</v>
      </c>
      <c r="C226" t="s">
        <v>63</v>
      </c>
      <c r="D226" t="s">
        <v>64</v>
      </c>
      <c r="E226">
        <v>2.79</v>
      </c>
      <c r="F226">
        <v>5.5</v>
      </c>
      <c r="G226" s="8">
        <f t="shared" si="3"/>
        <v>30.436363636363637</v>
      </c>
    </row>
    <row r="227" spans="1:7" x14ac:dyDescent="0.25">
      <c r="A227" s="5">
        <v>45806.322916666664</v>
      </c>
      <c r="B227">
        <v>52</v>
      </c>
      <c r="C227" t="s">
        <v>64</v>
      </c>
      <c r="D227" t="s">
        <v>65</v>
      </c>
      <c r="E227">
        <v>1.5</v>
      </c>
      <c r="F227">
        <v>2.75</v>
      </c>
      <c r="G227" s="8">
        <f t="shared" si="3"/>
        <v>32.727272727272727</v>
      </c>
    </row>
    <row r="228" spans="1:7" x14ac:dyDescent="0.25">
      <c r="A228" s="5">
        <v>45806.322916666664</v>
      </c>
      <c r="B228">
        <v>53</v>
      </c>
      <c r="C228" t="s">
        <v>65</v>
      </c>
      <c r="D228" t="s">
        <v>66</v>
      </c>
      <c r="E228">
        <v>1.46</v>
      </c>
      <c r="F228">
        <v>3.43</v>
      </c>
      <c r="G228" s="8">
        <f t="shared" si="3"/>
        <v>25.539358600583089</v>
      </c>
    </row>
    <row r="229" spans="1:7" x14ac:dyDescent="0.25">
      <c r="A229" s="5">
        <v>45806.322916666664</v>
      </c>
      <c r="B229">
        <v>54</v>
      </c>
      <c r="C229" t="s">
        <v>67</v>
      </c>
      <c r="D229" t="s">
        <v>68</v>
      </c>
      <c r="E229">
        <v>1.46</v>
      </c>
      <c r="F229">
        <v>3.17</v>
      </c>
      <c r="G229" s="8">
        <f t="shared" si="3"/>
        <v>27.634069400630914</v>
      </c>
    </row>
    <row r="230" spans="1:7" x14ac:dyDescent="0.25">
      <c r="A230" s="5">
        <v>45806.322916666664</v>
      </c>
      <c r="B230">
        <v>55</v>
      </c>
      <c r="C230" t="s">
        <v>68</v>
      </c>
      <c r="D230" t="s">
        <v>69</v>
      </c>
      <c r="E230">
        <v>1.5</v>
      </c>
      <c r="F230">
        <v>2.17</v>
      </c>
      <c r="G230" s="8">
        <f t="shared" si="3"/>
        <v>41.474654377880185</v>
      </c>
    </row>
    <row r="231" spans="1:7" x14ac:dyDescent="0.25">
      <c r="A231" s="5">
        <v>45806.322916666664</v>
      </c>
      <c r="B231">
        <v>56</v>
      </c>
      <c r="C231" t="s">
        <v>70</v>
      </c>
      <c r="D231" t="s">
        <v>71</v>
      </c>
      <c r="E231">
        <v>1.51</v>
      </c>
      <c r="F231">
        <v>3.82</v>
      </c>
      <c r="G231" s="8">
        <f t="shared" si="3"/>
        <v>23.717277486910994</v>
      </c>
    </row>
    <row r="232" spans="1:7" x14ac:dyDescent="0.25">
      <c r="A232" s="5">
        <v>45806.322916666664</v>
      </c>
      <c r="B232">
        <v>57</v>
      </c>
      <c r="C232" t="s">
        <v>71</v>
      </c>
      <c r="D232" t="s">
        <v>72</v>
      </c>
      <c r="E232">
        <v>1.52</v>
      </c>
      <c r="F232">
        <v>3.53</v>
      </c>
      <c r="G232" s="8">
        <f t="shared" si="3"/>
        <v>25.835694050991503</v>
      </c>
    </row>
    <row r="233" spans="1:7" x14ac:dyDescent="0.25">
      <c r="A233" s="5">
        <v>45806.322916666664</v>
      </c>
      <c r="B233">
        <v>58</v>
      </c>
      <c r="C233" t="s">
        <v>72</v>
      </c>
      <c r="D233" t="s">
        <v>73</v>
      </c>
      <c r="E233">
        <v>1.5</v>
      </c>
      <c r="F233">
        <v>3.42</v>
      </c>
      <c r="G233" s="8">
        <f t="shared" si="3"/>
        <v>26.315789473684212</v>
      </c>
    </row>
    <row r="234" spans="1:7" x14ac:dyDescent="0.25">
      <c r="A234" s="5">
        <v>45806.333333333336</v>
      </c>
      <c r="B234">
        <v>1</v>
      </c>
      <c r="C234" t="s">
        <v>6</v>
      </c>
      <c r="D234" t="s">
        <v>7</v>
      </c>
      <c r="E234">
        <v>1.53</v>
      </c>
      <c r="F234">
        <v>3.23</v>
      </c>
      <c r="G234" s="8">
        <f t="shared" si="3"/>
        <v>28.421052631578945</v>
      </c>
    </row>
    <row r="235" spans="1:7" x14ac:dyDescent="0.25">
      <c r="A235" s="5">
        <v>45806.333333333336</v>
      </c>
      <c r="B235">
        <v>2</v>
      </c>
      <c r="C235" t="s">
        <v>7</v>
      </c>
      <c r="D235" t="s">
        <v>8</v>
      </c>
      <c r="E235">
        <v>1.57</v>
      </c>
      <c r="F235">
        <v>4.88</v>
      </c>
      <c r="G235" s="8">
        <f t="shared" si="3"/>
        <v>19.303278688524593</v>
      </c>
    </row>
    <row r="236" spans="1:7" x14ac:dyDescent="0.25">
      <c r="A236" s="5">
        <v>45806.333333333336</v>
      </c>
      <c r="B236">
        <v>3</v>
      </c>
      <c r="C236" t="s">
        <v>8</v>
      </c>
      <c r="D236" t="s">
        <v>9</v>
      </c>
      <c r="E236">
        <v>1.5</v>
      </c>
      <c r="F236">
        <v>3.02</v>
      </c>
      <c r="G236" s="8">
        <f t="shared" si="3"/>
        <v>29.801324503311257</v>
      </c>
    </row>
    <row r="237" spans="1:7" x14ac:dyDescent="0.25">
      <c r="A237" s="5">
        <v>45806.333333333336</v>
      </c>
      <c r="B237">
        <v>4</v>
      </c>
      <c r="C237" t="s">
        <v>9</v>
      </c>
      <c r="D237" t="s">
        <v>10</v>
      </c>
      <c r="E237">
        <v>1.5</v>
      </c>
      <c r="F237">
        <v>2.57</v>
      </c>
      <c r="G237" s="8">
        <f t="shared" si="3"/>
        <v>35.019455252918291</v>
      </c>
    </row>
    <row r="238" spans="1:7" x14ac:dyDescent="0.25">
      <c r="A238" s="5">
        <v>45806.333333333336</v>
      </c>
      <c r="B238">
        <v>5</v>
      </c>
      <c r="C238" t="s">
        <v>10</v>
      </c>
      <c r="D238" t="s">
        <v>11</v>
      </c>
      <c r="E238">
        <v>1.52</v>
      </c>
      <c r="F238">
        <v>2.93</v>
      </c>
      <c r="G238" s="8">
        <f t="shared" si="3"/>
        <v>31.126279863481226</v>
      </c>
    </row>
    <row r="239" spans="1:7" x14ac:dyDescent="0.25">
      <c r="A239" s="5">
        <v>45806.333333333336</v>
      </c>
      <c r="B239">
        <v>6</v>
      </c>
      <c r="C239" t="s">
        <v>11</v>
      </c>
      <c r="D239" t="s">
        <v>12</v>
      </c>
      <c r="E239">
        <v>1.5</v>
      </c>
      <c r="F239">
        <v>2.6</v>
      </c>
      <c r="G239" s="8">
        <f t="shared" si="3"/>
        <v>34.615384615384613</v>
      </c>
    </row>
    <row r="240" spans="1:7" x14ac:dyDescent="0.25">
      <c r="A240" s="5">
        <v>45806.333333333336</v>
      </c>
      <c r="B240">
        <v>7</v>
      </c>
      <c r="C240" t="s">
        <v>12</v>
      </c>
      <c r="D240" t="s">
        <v>13</v>
      </c>
      <c r="E240">
        <v>1.54</v>
      </c>
      <c r="F240">
        <v>2.68</v>
      </c>
      <c r="G240" s="8">
        <f t="shared" si="3"/>
        <v>34.477611940298509</v>
      </c>
    </row>
    <row r="241" spans="1:7" x14ac:dyDescent="0.25">
      <c r="A241" s="5">
        <v>45806.333333333336</v>
      </c>
      <c r="B241">
        <v>8</v>
      </c>
      <c r="C241" t="s">
        <v>13</v>
      </c>
      <c r="D241" t="s">
        <v>14</v>
      </c>
      <c r="E241">
        <v>1.54</v>
      </c>
      <c r="F241">
        <v>3.33</v>
      </c>
      <c r="G241" s="8">
        <f t="shared" si="3"/>
        <v>27.747747747747749</v>
      </c>
    </row>
    <row r="242" spans="1:7" x14ac:dyDescent="0.25">
      <c r="A242" s="5">
        <v>45806.333333333336</v>
      </c>
      <c r="B242">
        <v>9</v>
      </c>
      <c r="C242" t="s">
        <v>14</v>
      </c>
      <c r="D242" t="s">
        <v>15</v>
      </c>
      <c r="E242">
        <v>1.52</v>
      </c>
      <c r="F242">
        <v>3.38</v>
      </c>
      <c r="G242" s="8">
        <f t="shared" si="3"/>
        <v>26.982248520710062</v>
      </c>
    </row>
    <row r="243" spans="1:7" x14ac:dyDescent="0.25">
      <c r="A243" s="5">
        <v>45806.333333333336</v>
      </c>
      <c r="B243">
        <v>10</v>
      </c>
      <c r="C243" t="s">
        <v>15</v>
      </c>
      <c r="D243" t="s">
        <v>16</v>
      </c>
      <c r="E243">
        <v>1.5</v>
      </c>
      <c r="F243">
        <v>4.0999999999999996</v>
      </c>
      <c r="G243" s="8">
        <f t="shared" si="3"/>
        <v>21.951219512195124</v>
      </c>
    </row>
    <row r="244" spans="1:7" x14ac:dyDescent="0.25">
      <c r="A244" s="5">
        <v>45806.333333333336</v>
      </c>
      <c r="B244">
        <v>11</v>
      </c>
      <c r="C244" t="s">
        <v>16</v>
      </c>
      <c r="D244" t="s">
        <v>17</v>
      </c>
      <c r="E244">
        <v>1.48</v>
      </c>
      <c r="F244">
        <v>3</v>
      </c>
      <c r="G244" s="8">
        <f t="shared" si="3"/>
        <v>29.599999999999998</v>
      </c>
    </row>
    <row r="245" spans="1:7" x14ac:dyDescent="0.25">
      <c r="A245" s="5">
        <v>45806.333333333336</v>
      </c>
      <c r="B245">
        <v>12</v>
      </c>
      <c r="C245" t="s">
        <v>17</v>
      </c>
      <c r="D245" t="s">
        <v>18</v>
      </c>
      <c r="E245">
        <v>1.46</v>
      </c>
      <c r="F245">
        <v>4.0199999999999996</v>
      </c>
      <c r="G245" s="8">
        <f t="shared" si="3"/>
        <v>21.791044776119403</v>
      </c>
    </row>
    <row r="246" spans="1:7" x14ac:dyDescent="0.25">
      <c r="A246" s="5">
        <v>45806.333333333336</v>
      </c>
      <c r="B246">
        <v>13</v>
      </c>
      <c r="C246" t="s">
        <v>18</v>
      </c>
      <c r="D246" t="s">
        <v>19</v>
      </c>
      <c r="E246">
        <v>1.52</v>
      </c>
      <c r="F246">
        <v>4.3499999999999996</v>
      </c>
      <c r="G246" s="8">
        <f t="shared" si="3"/>
        <v>20.965517241379313</v>
      </c>
    </row>
    <row r="247" spans="1:7" x14ac:dyDescent="0.25">
      <c r="A247" s="5">
        <v>45806.333333333336</v>
      </c>
      <c r="B247">
        <v>14</v>
      </c>
      <c r="C247" t="s">
        <v>19</v>
      </c>
      <c r="D247" t="s">
        <v>20</v>
      </c>
      <c r="E247">
        <v>1.51</v>
      </c>
      <c r="F247">
        <v>3.58</v>
      </c>
      <c r="G247" s="8">
        <f t="shared" si="3"/>
        <v>25.3072625698324</v>
      </c>
    </row>
    <row r="248" spans="1:7" x14ac:dyDescent="0.25">
      <c r="A248" s="5">
        <v>45806.333333333336</v>
      </c>
      <c r="B248">
        <v>15</v>
      </c>
      <c r="C248" t="s">
        <v>20</v>
      </c>
      <c r="D248" t="s">
        <v>21</v>
      </c>
      <c r="E248">
        <v>1.47</v>
      </c>
      <c r="F248">
        <v>2.48</v>
      </c>
      <c r="G248" s="8">
        <f t="shared" si="3"/>
        <v>35.564516129032256</v>
      </c>
    </row>
    <row r="249" spans="1:7" x14ac:dyDescent="0.25">
      <c r="A249" s="5">
        <v>45806.333333333336</v>
      </c>
      <c r="B249">
        <v>16</v>
      </c>
      <c r="C249" t="s">
        <v>21</v>
      </c>
      <c r="D249" t="s">
        <v>22</v>
      </c>
      <c r="E249">
        <v>1.5</v>
      </c>
      <c r="F249">
        <v>1.83</v>
      </c>
      <c r="G249" s="8">
        <f t="shared" si="3"/>
        <v>49.180327868852459</v>
      </c>
    </row>
    <row r="250" spans="1:7" x14ac:dyDescent="0.25">
      <c r="A250" s="5">
        <v>45806.333333333336</v>
      </c>
      <c r="B250">
        <v>17</v>
      </c>
      <c r="C250" t="s">
        <v>22</v>
      </c>
      <c r="D250" t="s">
        <v>23</v>
      </c>
      <c r="E250">
        <v>1.51</v>
      </c>
      <c r="F250">
        <v>2.78</v>
      </c>
      <c r="G250" s="8">
        <f t="shared" si="3"/>
        <v>32.589928057553955</v>
      </c>
    </row>
    <row r="251" spans="1:7" x14ac:dyDescent="0.25">
      <c r="A251" s="5">
        <v>45806.333333333336</v>
      </c>
      <c r="B251">
        <v>18</v>
      </c>
      <c r="C251" t="s">
        <v>23</v>
      </c>
      <c r="D251" t="s">
        <v>24</v>
      </c>
      <c r="E251">
        <v>1.51</v>
      </c>
      <c r="F251">
        <v>2.83</v>
      </c>
      <c r="G251" s="8">
        <f t="shared" si="3"/>
        <v>32.014134275618375</v>
      </c>
    </row>
    <row r="252" spans="1:7" x14ac:dyDescent="0.25">
      <c r="A252" s="5">
        <v>45806.333333333336</v>
      </c>
      <c r="B252">
        <v>19</v>
      </c>
      <c r="C252" t="s">
        <v>25</v>
      </c>
      <c r="D252" t="s">
        <v>26</v>
      </c>
      <c r="E252">
        <v>1.5</v>
      </c>
      <c r="F252">
        <v>4.0999999999999996</v>
      </c>
      <c r="G252" s="8">
        <f t="shared" si="3"/>
        <v>21.951219512195124</v>
      </c>
    </row>
    <row r="253" spans="1:7" x14ac:dyDescent="0.25">
      <c r="A253" s="5">
        <v>45806.333333333336</v>
      </c>
      <c r="B253">
        <v>20</v>
      </c>
      <c r="C253" t="s">
        <v>26</v>
      </c>
      <c r="D253" t="s">
        <v>27</v>
      </c>
      <c r="E253">
        <v>1.48</v>
      </c>
      <c r="F253">
        <v>4.13</v>
      </c>
      <c r="G253" s="8">
        <f t="shared" si="3"/>
        <v>21.501210653753027</v>
      </c>
    </row>
    <row r="254" spans="1:7" x14ac:dyDescent="0.25">
      <c r="A254" s="5">
        <v>45806.333333333336</v>
      </c>
      <c r="B254">
        <v>21</v>
      </c>
      <c r="C254" t="s">
        <v>27</v>
      </c>
      <c r="D254" t="s">
        <v>28</v>
      </c>
      <c r="E254">
        <v>1.51</v>
      </c>
      <c r="F254">
        <v>4.08</v>
      </c>
      <c r="G254" s="8">
        <f t="shared" si="3"/>
        <v>22.205882352941174</v>
      </c>
    </row>
    <row r="255" spans="1:7" x14ac:dyDescent="0.25">
      <c r="A255" s="5">
        <v>45806.333333333336</v>
      </c>
      <c r="B255">
        <v>22</v>
      </c>
      <c r="C255" t="s">
        <v>28</v>
      </c>
      <c r="D255" t="s">
        <v>29</v>
      </c>
      <c r="E255">
        <v>1.57</v>
      </c>
      <c r="F255">
        <v>3.9</v>
      </c>
      <c r="G255" s="8">
        <f t="shared" si="3"/>
        <v>24.153846153846157</v>
      </c>
    </row>
    <row r="256" spans="1:7" x14ac:dyDescent="0.25">
      <c r="A256" s="5">
        <v>45806.333333333336</v>
      </c>
      <c r="B256">
        <v>23</v>
      </c>
      <c r="C256" t="s">
        <v>29</v>
      </c>
      <c r="D256" t="s">
        <v>30</v>
      </c>
      <c r="E256">
        <v>1.43</v>
      </c>
      <c r="F256">
        <v>3.7</v>
      </c>
      <c r="G256" s="8">
        <f t="shared" si="3"/>
        <v>23.189189189189186</v>
      </c>
    </row>
    <row r="257" spans="1:7" x14ac:dyDescent="0.25">
      <c r="A257" s="5">
        <v>45806.333333333336</v>
      </c>
      <c r="B257">
        <v>24</v>
      </c>
      <c r="C257" t="s">
        <v>30</v>
      </c>
      <c r="D257" t="s">
        <v>31</v>
      </c>
      <c r="E257">
        <v>1.52</v>
      </c>
      <c r="F257">
        <v>3.95</v>
      </c>
      <c r="G257" s="8">
        <f t="shared" si="3"/>
        <v>23.088607594936708</v>
      </c>
    </row>
    <row r="258" spans="1:7" x14ac:dyDescent="0.25">
      <c r="A258" s="5">
        <v>45806.333333333336</v>
      </c>
      <c r="B258">
        <v>25</v>
      </c>
      <c r="C258" t="s">
        <v>31</v>
      </c>
      <c r="D258" t="s">
        <v>32</v>
      </c>
      <c r="E258">
        <v>1.52</v>
      </c>
      <c r="F258">
        <v>2.93</v>
      </c>
      <c r="G258" s="8">
        <f t="shared" si="3"/>
        <v>31.126279863481226</v>
      </c>
    </row>
    <row r="259" spans="1:7" x14ac:dyDescent="0.25">
      <c r="A259" s="5">
        <v>45806.333333333336</v>
      </c>
      <c r="B259">
        <v>26</v>
      </c>
      <c r="C259" t="s">
        <v>32</v>
      </c>
      <c r="D259" t="s">
        <v>33</v>
      </c>
      <c r="E259">
        <v>1.49</v>
      </c>
      <c r="F259">
        <v>3.23</v>
      </c>
      <c r="G259" s="8">
        <f t="shared" ref="G259:G322" si="4">E259*60/F259</f>
        <v>27.678018575851397</v>
      </c>
    </row>
    <row r="260" spans="1:7" x14ac:dyDescent="0.25">
      <c r="A260" s="5">
        <v>45806.333333333336</v>
      </c>
      <c r="B260">
        <v>27</v>
      </c>
      <c r="C260" t="s">
        <v>33</v>
      </c>
      <c r="D260" t="s">
        <v>34</v>
      </c>
      <c r="E260">
        <v>1.53</v>
      </c>
      <c r="F260">
        <v>3.15</v>
      </c>
      <c r="G260" s="8">
        <f t="shared" si="4"/>
        <v>29.142857142857142</v>
      </c>
    </row>
    <row r="261" spans="1:7" x14ac:dyDescent="0.25">
      <c r="A261" s="5">
        <v>45806.333333333336</v>
      </c>
      <c r="B261">
        <v>28</v>
      </c>
      <c r="C261" t="s">
        <v>34</v>
      </c>
      <c r="D261" t="s">
        <v>35</v>
      </c>
      <c r="E261">
        <v>1.51</v>
      </c>
      <c r="F261">
        <v>3.75</v>
      </c>
      <c r="G261" s="8">
        <f t="shared" si="4"/>
        <v>24.16</v>
      </c>
    </row>
    <row r="262" spans="1:7" x14ac:dyDescent="0.25">
      <c r="A262" s="5">
        <v>45806.333333333336</v>
      </c>
      <c r="B262">
        <v>29</v>
      </c>
      <c r="C262" t="s">
        <v>36</v>
      </c>
      <c r="D262" t="s">
        <v>37</v>
      </c>
      <c r="E262">
        <v>1.57</v>
      </c>
      <c r="F262">
        <v>4.5999999999999996</v>
      </c>
      <c r="G262" s="8">
        <f t="shared" si="4"/>
        <v>20.478260869565219</v>
      </c>
    </row>
    <row r="263" spans="1:7" x14ac:dyDescent="0.25">
      <c r="A263" s="5">
        <v>45806.333333333336</v>
      </c>
      <c r="B263">
        <v>30</v>
      </c>
      <c r="C263" t="s">
        <v>37</v>
      </c>
      <c r="D263" t="s">
        <v>38</v>
      </c>
      <c r="E263">
        <v>1.57</v>
      </c>
      <c r="F263">
        <v>5.92</v>
      </c>
      <c r="G263" s="8">
        <f t="shared" si="4"/>
        <v>15.912162162162163</v>
      </c>
    </row>
    <row r="264" spans="1:7" x14ac:dyDescent="0.25">
      <c r="A264" s="5">
        <v>45806.333333333336</v>
      </c>
      <c r="B264">
        <v>31</v>
      </c>
      <c r="C264" t="s">
        <v>38</v>
      </c>
      <c r="D264" t="s">
        <v>39</v>
      </c>
      <c r="E264">
        <v>1.52</v>
      </c>
      <c r="F264">
        <v>3.23</v>
      </c>
      <c r="G264" s="8">
        <f t="shared" si="4"/>
        <v>28.235294117647062</v>
      </c>
    </row>
    <row r="265" spans="1:7" x14ac:dyDescent="0.25">
      <c r="A265" s="5">
        <v>45806.333333333336</v>
      </c>
      <c r="B265">
        <v>32</v>
      </c>
      <c r="C265" t="s">
        <v>39</v>
      </c>
      <c r="D265" t="s">
        <v>40</v>
      </c>
      <c r="E265">
        <v>1.5</v>
      </c>
      <c r="F265">
        <v>1.73</v>
      </c>
      <c r="G265" s="8">
        <f t="shared" si="4"/>
        <v>52.02312138728324</v>
      </c>
    </row>
    <row r="266" spans="1:7" x14ac:dyDescent="0.25">
      <c r="A266" s="5">
        <v>45806.333333333336</v>
      </c>
      <c r="B266">
        <v>33</v>
      </c>
      <c r="C266" t="s">
        <v>40</v>
      </c>
      <c r="D266" t="s">
        <v>41</v>
      </c>
      <c r="E266">
        <v>1.51</v>
      </c>
      <c r="F266">
        <v>1.77</v>
      </c>
      <c r="G266" s="8">
        <f t="shared" si="4"/>
        <v>51.186440677966097</v>
      </c>
    </row>
    <row r="267" spans="1:7" x14ac:dyDescent="0.25">
      <c r="A267" s="5">
        <v>45806.333333333336</v>
      </c>
      <c r="B267">
        <v>34</v>
      </c>
      <c r="C267" t="s">
        <v>41</v>
      </c>
      <c r="D267" t="s">
        <v>42</v>
      </c>
      <c r="E267">
        <v>1.5</v>
      </c>
      <c r="F267">
        <v>1.77</v>
      </c>
      <c r="G267" s="8">
        <f t="shared" si="4"/>
        <v>50.847457627118644</v>
      </c>
    </row>
    <row r="268" spans="1:7" x14ac:dyDescent="0.25">
      <c r="A268" s="5">
        <v>45806.333333333336</v>
      </c>
      <c r="B268">
        <v>35</v>
      </c>
      <c r="C268" t="s">
        <v>43</v>
      </c>
      <c r="D268" t="s">
        <v>44</v>
      </c>
      <c r="E268">
        <v>1.55</v>
      </c>
      <c r="F268">
        <v>3.85</v>
      </c>
      <c r="G268" s="8">
        <f t="shared" si="4"/>
        <v>24.155844155844154</v>
      </c>
    </row>
    <row r="269" spans="1:7" x14ac:dyDescent="0.25">
      <c r="A269" s="5">
        <v>45806.333333333336</v>
      </c>
      <c r="B269">
        <v>36</v>
      </c>
      <c r="C269" t="s">
        <v>44</v>
      </c>
      <c r="D269" t="s">
        <v>45</v>
      </c>
      <c r="E269">
        <v>1.5</v>
      </c>
      <c r="F269">
        <v>3.1</v>
      </c>
      <c r="G269" s="8">
        <f t="shared" si="4"/>
        <v>29.032258064516128</v>
      </c>
    </row>
    <row r="270" spans="1:7" x14ac:dyDescent="0.25">
      <c r="A270" s="5">
        <v>45806.333333333336</v>
      </c>
      <c r="B270">
        <v>37</v>
      </c>
      <c r="C270" t="s">
        <v>45</v>
      </c>
      <c r="D270" t="s">
        <v>46</v>
      </c>
      <c r="E270">
        <v>1.38</v>
      </c>
      <c r="F270">
        <v>4.07</v>
      </c>
      <c r="G270" s="8">
        <f t="shared" si="4"/>
        <v>20.343980343980341</v>
      </c>
    </row>
    <row r="271" spans="1:7" x14ac:dyDescent="0.25">
      <c r="A271" s="5">
        <v>45806.333333333336</v>
      </c>
      <c r="B271">
        <v>38</v>
      </c>
      <c r="C271" t="s">
        <v>46</v>
      </c>
      <c r="D271" t="s">
        <v>47</v>
      </c>
      <c r="E271">
        <v>1.61</v>
      </c>
      <c r="F271">
        <v>3.62</v>
      </c>
      <c r="G271" s="8">
        <f t="shared" si="4"/>
        <v>26.685082872928177</v>
      </c>
    </row>
    <row r="272" spans="1:7" x14ac:dyDescent="0.25">
      <c r="A272" s="5">
        <v>45806.333333333336</v>
      </c>
      <c r="B272">
        <v>39</v>
      </c>
      <c r="C272" t="s">
        <v>47</v>
      </c>
      <c r="D272" t="s">
        <v>48</v>
      </c>
      <c r="E272">
        <v>1.55</v>
      </c>
      <c r="F272">
        <v>3.27</v>
      </c>
      <c r="G272" s="8">
        <f t="shared" si="4"/>
        <v>28.440366972477065</v>
      </c>
    </row>
    <row r="273" spans="1:7" x14ac:dyDescent="0.25">
      <c r="A273" s="5">
        <v>45806.333333333336</v>
      </c>
      <c r="B273">
        <v>40</v>
      </c>
      <c r="C273" t="s">
        <v>48</v>
      </c>
      <c r="D273" t="s">
        <v>49</v>
      </c>
      <c r="E273">
        <v>1.39</v>
      </c>
      <c r="F273">
        <v>2.73</v>
      </c>
      <c r="G273" s="8">
        <f t="shared" si="4"/>
        <v>30.549450549450547</v>
      </c>
    </row>
    <row r="274" spans="1:7" x14ac:dyDescent="0.25">
      <c r="A274" s="5">
        <v>45806.333333333336</v>
      </c>
      <c r="B274">
        <v>41</v>
      </c>
      <c r="C274" t="s">
        <v>50</v>
      </c>
      <c r="D274" t="s">
        <v>51</v>
      </c>
      <c r="E274">
        <v>1.56</v>
      </c>
      <c r="F274">
        <v>4.4800000000000004</v>
      </c>
      <c r="G274" s="8">
        <f t="shared" si="4"/>
        <v>20.892857142857142</v>
      </c>
    </row>
    <row r="275" spans="1:7" x14ac:dyDescent="0.25">
      <c r="A275" s="5">
        <v>45806.333333333336</v>
      </c>
      <c r="B275">
        <v>42</v>
      </c>
      <c r="C275" t="s">
        <v>51</v>
      </c>
      <c r="D275" t="s">
        <v>52</v>
      </c>
      <c r="E275">
        <v>1.56</v>
      </c>
      <c r="F275">
        <v>4.55</v>
      </c>
      <c r="G275" s="8">
        <f t="shared" si="4"/>
        <v>20.571428571428573</v>
      </c>
    </row>
    <row r="276" spans="1:7" x14ac:dyDescent="0.25">
      <c r="A276" s="5">
        <v>45806.333333333336</v>
      </c>
      <c r="B276">
        <v>43</v>
      </c>
      <c r="C276" t="s">
        <v>52</v>
      </c>
      <c r="D276" t="s">
        <v>53</v>
      </c>
      <c r="E276">
        <v>1.51</v>
      </c>
      <c r="F276">
        <v>3.38</v>
      </c>
      <c r="G276" s="8">
        <f t="shared" si="4"/>
        <v>26.80473372781065</v>
      </c>
    </row>
    <row r="277" spans="1:7" x14ac:dyDescent="0.25">
      <c r="A277" s="5">
        <v>45806.333333333336</v>
      </c>
      <c r="B277">
        <v>44</v>
      </c>
      <c r="C277" t="s">
        <v>54</v>
      </c>
      <c r="D277" t="s">
        <v>55</v>
      </c>
      <c r="E277">
        <v>1.51</v>
      </c>
      <c r="F277">
        <v>4.5999999999999996</v>
      </c>
      <c r="G277" s="8">
        <f t="shared" si="4"/>
        <v>19.695652173913043</v>
      </c>
    </row>
    <row r="278" spans="1:7" x14ac:dyDescent="0.25">
      <c r="A278" s="5">
        <v>45806.333333333336</v>
      </c>
      <c r="B278">
        <v>45</v>
      </c>
      <c r="C278" t="s">
        <v>55</v>
      </c>
      <c r="D278" t="s">
        <v>56</v>
      </c>
      <c r="E278">
        <v>1.49</v>
      </c>
      <c r="F278">
        <v>3.47</v>
      </c>
      <c r="G278" s="8">
        <f t="shared" si="4"/>
        <v>25.763688760806918</v>
      </c>
    </row>
    <row r="279" spans="1:7" x14ac:dyDescent="0.25">
      <c r="A279" s="5">
        <v>45806.333333333336</v>
      </c>
      <c r="B279">
        <v>46</v>
      </c>
      <c r="C279" t="s">
        <v>56</v>
      </c>
      <c r="D279" t="s">
        <v>57</v>
      </c>
      <c r="E279">
        <v>1.52</v>
      </c>
      <c r="F279">
        <v>3.97</v>
      </c>
      <c r="G279" s="8">
        <f t="shared" si="4"/>
        <v>22.972292191435766</v>
      </c>
    </row>
    <row r="280" spans="1:7" x14ac:dyDescent="0.25">
      <c r="A280" s="5">
        <v>45806.333333333336</v>
      </c>
      <c r="B280">
        <v>47</v>
      </c>
      <c r="C280" t="s">
        <v>58</v>
      </c>
      <c r="D280" t="s">
        <v>59</v>
      </c>
      <c r="E280">
        <v>1.52</v>
      </c>
      <c r="F280">
        <v>5.12</v>
      </c>
      <c r="G280" s="8">
        <f t="shared" si="4"/>
        <v>17.8125</v>
      </c>
    </row>
    <row r="281" spans="1:7" x14ac:dyDescent="0.25">
      <c r="A281" s="5">
        <v>45806.333333333336</v>
      </c>
      <c r="B281">
        <v>48</v>
      </c>
      <c r="C281" t="s">
        <v>59</v>
      </c>
      <c r="D281" t="s">
        <v>60</v>
      </c>
      <c r="E281">
        <v>1.5</v>
      </c>
      <c r="F281">
        <v>3.97</v>
      </c>
      <c r="G281" s="8">
        <f t="shared" si="4"/>
        <v>22.670025188916874</v>
      </c>
    </row>
    <row r="282" spans="1:7" x14ac:dyDescent="0.25">
      <c r="A282" s="5">
        <v>45806.333333333336</v>
      </c>
      <c r="B282">
        <v>49</v>
      </c>
      <c r="C282" t="s">
        <v>60</v>
      </c>
      <c r="D282" t="s">
        <v>61</v>
      </c>
      <c r="E282">
        <v>1.54</v>
      </c>
      <c r="F282">
        <v>4.25</v>
      </c>
      <c r="G282" s="8">
        <f t="shared" si="4"/>
        <v>21.741176470588236</v>
      </c>
    </row>
    <row r="283" spans="1:7" x14ac:dyDescent="0.25">
      <c r="A283" s="5">
        <v>45806.333333333336</v>
      </c>
      <c r="B283">
        <v>50</v>
      </c>
      <c r="C283" t="s">
        <v>62</v>
      </c>
      <c r="D283" t="s">
        <v>63</v>
      </c>
      <c r="E283">
        <v>1.38</v>
      </c>
      <c r="F283">
        <v>3.28</v>
      </c>
      <c r="G283" s="8">
        <f t="shared" si="4"/>
        <v>25.243902439024392</v>
      </c>
    </row>
    <row r="284" spans="1:7" x14ac:dyDescent="0.25">
      <c r="A284" s="5">
        <v>45806.333333333336</v>
      </c>
      <c r="B284">
        <v>51</v>
      </c>
      <c r="C284" t="s">
        <v>63</v>
      </c>
      <c r="D284" t="s">
        <v>64</v>
      </c>
      <c r="E284">
        <v>2.79</v>
      </c>
      <c r="F284">
        <v>5.85</v>
      </c>
      <c r="G284" s="8">
        <f t="shared" si="4"/>
        <v>28.615384615384617</v>
      </c>
    </row>
    <row r="285" spans="1:7" x14ac:dyDescent="0.25">
      <c r="A285" s="5">
        <v>45806.333333333336</v>
      </c>
      <c r="B285">
        <v>52</v>
      </c>
      <c r="C285" t="s">
        <v>64</v>
      </c>
      <c r="D285" t="s">
        <v>65</v>
      </c>
      <c r="E285">
        <v>1.5</v>
      </c>
      <c r="F285">
        <v>2.93</v>
      </c>
      <c r="G285" s="8">
        <f t="shared" si="4"/>
        <v>30.716723549488052</v>
      </c>
    </row>
    <row r="286" spans="1:7" x14ac:dyDescent="0.25">
      <c r="A286" s="5">
        <v>45806.333333333336</v>
      </c>
      <c r="B286">
        <v>53</v>
      </c>
      <c r="C286" t="s">
        <v>65</v>
      </c>
      <c r="D286" t="s">
        <v>66</v>
      </c>
      <c r="E286">
        <v>1.46</v>
      </c>
      <c r="F286">
        <v>3.73</v>
      </c>
      <c r="G286" s="8">
        <f t="shared" si="4"/>
        <v>23.485254691689008</v>
      </c>
    </row>
    <row r="287" spans="1:7" x14ac:dyDescent="0.25">
      <c r="A287" s="5">
        <v>45806.333333333336</v>
      </c>
      <c r="B287">
        <v>54</v>
      </c>
      <c r="C287" t="s">
        <v>67</v>
      </c>
      <c r="D287" t="s">
        <v>68</v>
      </c>
      <c r="E287">
        <v>1.46</v>
      </c>
      <c r="F287">
        <v>3.77</v>
      </c>
      <c r="G287" s="8">
        <f t="shared" si="4"/>
        <v>23.236074270557026</v>
      </c>
    </row>
    <row r="288" spans="1:7" x14ac:dyDescent="0.25">
      <c r="A288" s="5">
        <v>45806.333333333336</v>
      </c>
      <c r="B288">
        <v>55</v>
      </c>
      <c r="C288" t="s">
        <v>68</v>
      </c>
      <c r="D288" t="s">
        <v>69</v>
      </c>
      <c r="E288">
        <v>1.5</v>
      </c>
      <c r="F288">
        <v>2.1800000000000002</v>
      </c>
      <c r="G288" s="8">
        <f t="shared" si="4"/>
        <v>41.284403669724767</v>
      </c>
    </row>
    <row r="289" spans="1:7" x14ac:dyDescent="0.25">
      <c r="A289" s="5">
        <v>45806.333333333336</v>
      </c>
      <c r="B289">
        <v>56</v>
      </c>
      <c r="C289" t="s">
        <v>70</v>
      </c>
      <c r="D289" t="s">
        <v>71</v>
      </c>
      <c r="E289">
        <v>1.51</v>
      </c>
      <c r="F289">
        <v>4.0199999999999996</v>
      </c>
      <c r="G289" s="8">
        <f t="shared" si="4"/>
        <v>22.537313432835823</v>
      </c>
    </row>
    <row r="290" spans="1:7" x14ac:dyDescent="0.25">
      <c r="A290" s="5">
        <v>45806.333333333336</v>
      </c>
      <c r="B290">
        <v>57</v>
      </c>
      <c r="C290" t="s">
        <v>71</v>
      </c>
      <c r="D290" t="s">
        <v>72</v>
      </c>
      <c r="E290">
        <v>1.52</v>
      </c>
      <c r="F290">
        <v>3.87</v>
      </c>
      <c r="G290" s="8">
        <f t="shared" si="4"/>
        <v>23.565891472868216</v>
      </c>
    </row>
    <row r="291" spans="1:7" x14ac:dyDescent="0.25">
      <c r="A291" s="5">
        <v>45806.333333333336</v>
      </c>
      <c r="B291">
        <v>58</v>
      </c>
      <c r="C291" t="s">
        <v>72</v>
      </c>
      <c r="D291" t="s">
        <v>73</v>
      </c>
      <c r="E291">
        <v>1.5</v>
      </c>
      <c r="F291">
        <v>3.52</v>
      </c>
      <c r="G291" s="8">
        <f t="shared" si="4"/>
        <v>25.568181818181817</v>
      </c>
    </row>
    <row r="292" spans="1:7" x14ac:dyDescent="0.25">
      <c r="A292" s="5">
        <v>45806.34375</v>
      </c>
      <c r="B292">
        <v>1</v>
      </c>
      <c r="C292" t="s">
        <v>6</v>
      </c>
      <c r="D292" t="s">
        <v>7</v>
      </c>
      <c r="E292">
        <v>1.53</v>
      </c>
      <c r="F292">
        <v>3.1</v>
      </c>
      <c r="G292" s="8">
        <f t="shared" si="4"/>
        <v>29.612903225806448</v>
      </c>
    </row>
    <row r="293" spans="1:7" x14ac:dyDescent="0.25">
      <c r="A293" s="5">
        <v>45806.34375</v>
      </c>
      <c r="B293">
        <v>2</v>
      </c>
      <c r="C293" t="s">
        <v>7</v>
      </c>
      <c r="D293" t="s">
        <v>8</v>
      </c>
      <c r="E293">
        <v>1.57</v>
      </c>
      <c r="F293">
        <v>4.95</v>
      </c>
      <c r="G293" s="8">
        <f t="shared" si="4"/>
        <v>19.030303030303031</v>
      </c>
    </row>
    <row r="294" spans="1:7" x14ac:dyDescent="0.25">
      <c r="A294" s="5">
        <v>45806.34375</v>
      </c>
      <c r="B294">
        <v>3</v>
      </c>
      <c r="C294" t="s">
        <v>8</v>
      </c>
      <c r="D294" t="s">
        <v>9</v>
      </c>
      <c r="E294">
        <v>1.5</v>
      </c>
      <c r="F294">
        <v>3.05</v>
      </c>
      <c r="G294" s="8">
        <f t="shared" si="4"/>
        <v>29.508196721311478</v>
      </c>
    </row>
    <row r="295" spans="1:7" x14ac:dyDescent="0.25">
      <c r="A295" s="5">
        <v>45806.34375</v>
      </c>
      <c r="B295">
        <v>4</v>
      </c>
      <c r="C295" t="s">
        <v>9</v>
      </c>
      <c r="D295" t="s">
        <v>10</v>
      </c>
      <c r="E295">
        <v>1.5</v>
      </c>
      <c r="F295">
        <v>2.65</v>
      </c>
      <c r="G295" s="8">
        <f t="shared" si="4"/>
        <v>33.962264150943398</v>
      </c>
    </row>
    <row r="296" spans="1:7" x14ac:dyDescent="0.25">
      <c r="A296" s="5">
        <v>45806.34375</v>
      </c>
      <c r="B296">
        <v>5</v>
      </c>
      <c r="C296" t="s">
        <v>10</v>
      </c>
      <c r="D296" t="s">
        <v>11</v>
      </c>
      <c r="E296">
        <v>1.52</v>
      </c>
      <c r="F296">
        <v>3.2</v>
      </c>
      <c r="G296" s="8">
        <f t="shared" si="4"/>
        <v>28.5</v>
      </c>
    </row>
    <row r="297" spans="1:7" x14ac:dyDescent="0.25">
      <c r="A297" s="5">
        <v>45806.34375</v>
      </c>
      <c r="B297">
        <v>6</v>
      </c>
      <c r="C297" t="s">
        <v>11</v>
      </c>
      <c r="D297" t="s">
        <v>12</v>
      </c>
      <c r="E297">
        <v>1.5</v>
      </c>
      <c r="F297">
        <v>2.72</v>
      </c>
      <c r="G297" s="8">
        <f t="shared" si="4"/>
        <v>33.088235294117645</v>
      </c>
    </row>
    <row r="298" spans="1:7" x14ac:dyDescent="0.25">
      <c r="A298" s="5">
        <v>45806.34375</v>
      </c>
      <c r="B298">
        <v>7</v>
      </c>
      <c r="C298" t="s">
        <v>12</v>
      </c>
      <c r="D298" t="s">
        <v>13</v>
      </c>
      <c r="E298">
        <v>1.54</v>
      </c>
      <c r="F298">
        <v>2.85</v>
      </c>
      <c r="G298" s="8">
        <f t="shared" si="4"/>
        <v>32.421052631578945</v>
      </c>
    </row>
    <row r="299" spans="1:7" x14ac:dyDescent="0.25">
      <c r="A299" s="5">
        <v>45806.34375</v>
      </c>
      <c r="B299">
        <v>8</v>
      </c>
      <c r="C299" t="s">
        <v>13</v>
      </c>
      <c r="D299" t="s">
        <v>14</v>
      </c>
      <c r="E299">
        <v>1.54</v>
      </c>
      <c r="F299">
        <v>3.57</v>
      </c>
      <c r="G299" s="8">
        <f t="shared" si="4"/>
        <v>25.882352941176475</v>
      </c>
    </row>
    <row r="300" spans="1:7" x14ac:dyDescent="0.25">
      <c r="A300" s="5">
        <v>45806.34375</v>
      </c>
      <c r="B300">
        <v>9</v>
      </c>
      <c r="C300" t="s">
        <v>14</v>
      </c>
      <c r="D300" t="s">
        <v>15</v>
      </c>
      <c r="E300">
        <v>1.52</v>
      </c>
      <c r="F300">
        <v>3.88</v>
      </c>
      <c r="G300" s="8">
        <f t="shared" si="4"/>
        <v>23.505154639175259</v>
      </c>
    </row>
    <row r="301" spans="1:7" x14ac:dyDescent="0.25">
      <c r="A301" s="5">
        <v>45806.34375</v>
      </c>
      <c r="B301">
        <v>10</v>
      </c>
      <c r="C301" t="s">
        <v>15</v>
      </c>
      <c r="D301" t="s">
        <v>16</v>
      </c>
      <c r="E301">
        <v>1.5</v>
      </c>
      <c r="F301">
        <v>4.05</v>
      </c>
      <c r="G301" s="8">
        <f t="shared" si="4"/>
        <v>22.222222222222221</v>
      </c>
    </row>
    <row r="302" spans="1:7" x14ac:dyDescent="0.25">
      <c r="A302" s="5">
        <v>45806.34375</v>
      </c>
      <c r="B302">
        <v>11</v>
      </c>
      <c r="C302" t="s">
        <v>16</v>
      </c>
      <c r="D302" t="s">
        <v>17</v>
      </c>
      <c r="E302">
        <v>1.48</v>
      </c>
      <c r="F302">
        <v>3.5</v>
      </c>
      <c r="G302" s="8">
        <f t="shared" si="4"/>
        <v>25.37142857142857</v>
      </c>
    </row>
    <row r="303" spans="1:7" x14ac:dyDescent="0.25">
      <c r="A303" s="5">
        <v>45806.34375</v>
      </c>
      <c r="B303">
        <v>12</v>
      </c>
      <c r="C303" t="s">
        <v>17</v>
      </c>
      <c r="D303" t="s">
        <v>18</v>
      </c>
      <c r="E303">
        <v>1.46</v>
      </c>
      <c r="F303">
        <v>4.95</v>
      </c>
      <c r="G303" s="8">
        <f t="shared" si="4"/>
        <v>17.696969696969695</v>
      </c>
    </row>
    <row r="304" spans="1:7" x14ac:dyDescent="0.25">
      <c r="A304" s="5">
        <v>45806.34375</v>
      </c>
      <c r="B304">
        <v>13</v>
      </c>
      <c r="C304" t="s">
        <v>18</v>
      </c>
      <c r="D304" t="s">
        <v>19</v>
      </c>
      <c r="E304">
        <v>1.52</v>
      </c>
      <c r="F304">
        <v>5.08</v>
      </c>
      <c r="G304" s="8">
        <f t="shared" si="4"/>
        <v>17.952755905511811</v>
      </c>
    </row>
    <row r="305" spans="1:7" x14ac:dyDescent="0.25">
      <c r="A305" s="5">
        <v>45806.34375</v>
      </c>
      <c r="B305">
        <v>14</v>
      </c>
      <c r="C305" t="s">
        <v>19</v>
      </c>
      <c r="D305" t="s">
        <v>20</v>
      </c>
      <c r="E305">
        <v>1.51</v>
      </c>
      <c r="F305">
        <v>4.78</v>
      </c>
      <c r="G305" s="8">
        <f t="shared" si="4"/>
        <v>18.953974895397486</v>
      </c>
    </row>
    <row r="306" spans="1:7" x14ac:dyDescent="0.25">
      <c r="A306" s="5">
        <v>45806.34375</v>
      </c>
      <c r="B306">
        <v>15</v>
      </c>
      <c r="C306" t="s">
        <v>20</v>
      </c>
      <c r="D306" t="s">
        <v>21</v>
      </c>
      <c r="E306">
        <v>1.47</v>
      </c>
      <c r="F306">
        <v>2.52</v>
      </c>
      <c r="G306" s="8">
        <f t="shared" si="4"/>
        <v>35</v>
      </c>
    </row>
    <row r="307" spans="1:7" x14ac:dyDescent="0.25">
      <c r="A307" s="5">
        <v>45806.34375</v>
      </c>
      <c r="B307">
        <v>16</v>
      </c>
      <c r="C307" t="s">
        <v>21</v>
      </c>
      <c r="D307" t="s">
        <v>22</v>
      </c>
      <c r="E307">
        <v>1.5</v>
      </c>
      <c r="F307">
        <v>1.77</v>
      </c>
      <c r="G307" s="8">
        <f t="shared" si="4"/>
        <v>50.847457627118644</v>
      </c>
    </row>
    <row r="308" spans="1:7" x14ac:dyDescent="0.25">
      <c r="A308" s="5">
        <v>45806.34375</v>
      </c>
      <c r="B308">
        <v>17</v>
      </c>
      <c r="C308" t="s">
        <v>22</v>
      </c>
      <c r="D308" t="s">
        <v>23</v>
      </c>
      <c r="E308">
        <v>1.51</v>
      </c>
      <c r="F308">
        <v>3.08</v>
      </c>
      <c r="G308" s="8">
        <f t="shared" si="4"/>
        <v>29.415584415584412</v>
      </c>
    </row>
    <row r="309" spans="1:7" x14ac:dyDescent="0.25">
      <c r="A309" s="5">
        <v>45806.34375</v>
      </c>
      <c r="B309">
        <v>18</v>
      </c>
      <c r="C309" t="s">
        <v>23</v>
      </c>
      <c r="D309" t="s">
        <v>24</v>
      </c>
      <c r="E309">
        <v>1.51</v>
      </c>
      <c r="F309">
        <v>3.08</v>
      </c>
      <c r="G309" s="8">
        <f t="shared" si="4"/>
        <v>29.415584415584412</v>
      </c>
    </row>
    <row r="310" spans="1:7" x14ac:dyDescent="0.25">
      <c r="A310" s="5">
        <v>45806.34375</v>
      </c>
      <c r="B310">
        <v>19</v>
      </c>
      <c r="C310" t="s">
        <v>25</v>
      </c>
      <c r="D310" t="s">
        <v>26</v>
      </c>
      <c r="E310">
        <v>1.5</v>
      </c>
      <c r="F310">
        <v>4.7</v>
      </c>
      <c r="G310" s="8">
        <f t="shared" si="4"/>
        <v>19.148936170212764</v>
      </c>
    </row>
    <row r="311" spans="1:7" x14ac:dyDescent="0.25">
      <c r="A311" s="5">
        <v>45806.34375</v>
      </c>
      <c r="B311">
        <v>20</v>
      </c>
      <c r="C311" t="s">
        <v>26</v>
      </c>
      <c r="D311" t="s">
        <v>27</v>
      </c>
      <c r="E311">
        <v>1.48</v>
      </c>
      <c r="F311">
        <v>4.67</v>
      </c>
      <c r="G311" s="8">
        <f t="shared" si="4"/>
        <v>19.014989293361886</v>
      </c>
    </row>
    <row r="312" spans="1:7" x14ac:dyDescent="0.25">
      <c r="A312" s="5">
        <v>45806.34375</v>
      </c>
      <c r="B312">
        <v>21</v>
      </c>
      <c r="C312" t="s">
        <v>27</v>
      </c>
      <c r="D312" t="s">
        <v>28</v>
      </c>
      <c r="E312">
        <v>1.51</v>
      </c>
      <c r="F312">
        <v>5.48</v>
      </c>
      <c r="G312" s="8">
        <f t="shared" si="4"/>
        <v>16.532846715328464</v>
      </c>
    </row>
    <row r="313" spans="1:7" x14ac:dyDescent="0.25">
      <c r="A313" s="5">
        <v>45806.34375</v>
      </c>
      <c r="B313">
        <v>22</v>
      </c>
      <c r="C313" t="s">
        <v>28</v>
      </c>
      <c r="D313" t="s">
        <v>29</v>
      </c>
      <c r="E313">
        <v>1.57</v>
      </c>
      <c r="F313">
        <v>4.2300000000000004</v>
      </c>
      <c r="G313" s="8">
        <f t="shared" si="4"/>
        <v>22.269503546099291</v>
      </c>
    </row>
    <row r="314" spans="1:7" x14ac:dyDescent="0.25">
      <c r="A314" s="5">
        <v>45806.34375</v>
      </c>
      <c r="B314">
        <v>23</v>
      </c>
      <c r="C314" t="s">
        <v>29</v>
      </c>
      <c r="D314" t="s">
        <v>30</v>
      </c>
      <c r="E314">
        <v>1.43</v>
      </c>
      <c r="F314">
        <v>4.57</v>
      </c>
      <c r="G314" s="8">
        <f t="shared" si="4"/>
        <v>18.774617067833695</v>
      </c>
    </row>
    <row r="315" spans="1:7" x14ac:dyDescent="0.25">
      <c r="A315" s="5">
        <v>45806.34375</v>
      </c>
      <c r="B315">
        <v>24</v>
      </c>
      <c r="C315" t="s">
        <v>30</v>
      </c>
      <c r="D315" t="s">
        <v>31</v>
      </c>
      <c r="E315">
        <v>1.52</v>
      </c>
      <c r="F315">
        <v>4.38</v>
      </c>
      <c r="G315" s="8">
        <f t="shared" si="4"/>
        <v>20.82191780821918</v>
      </c>
    </row>
    <row r="316" spans="1:7" x14ac:dyDescent="0.25">
      <c r="A316" s="5">
        <v>45806.34375</v>
      </c>
      <c r="B316">
        <v>25</v>
      </c>
      <c r="C316" t="s">
        <v>31</v>
      </c>
      <c r="D316" t="s">
        <v>32</v>
      </c>
      <c r="E316">
        <v>1.52</v>
      </c>
      <c r="F316">
        <v>3.45</v>
      </c>
      <c r="G316" s="8">
        <f t="shared" si="4"/>
        <v>26.434782608695652</v>
      </c>
    </row>
    <row r="317" spans="1:7" x14ac:dyDescent="0.25">
      <c r="A317" s="5">
        <v>45806.34375</v>
      </c>
      <c r="B317">
        <v>26</v>
      </c>
      <c r="C317" t="s">
        <v>32</v>
      </c>
      <c r="D317" t="s">
        <v>33</v>
      </c>
      <c r="E317">
        <v>1.49</v>
      </c>
      <c r="F317">
        <v>3.55</v>
      </c>
      <c r="G317" s="8">
        <f t="shared" si="4"/>
        <v>25.1830985915493</v>
      </c>
    </row>
    <row r="318" spans="1:7" x14ac:dyDescent="0.25">
      <c r="A318" s="5">
        <v>45806.34375</v>
      </c>
      <c r="B318">
        <v>27</v>
      </c>
      <c r="C318" t="s">
        <v>33</v>
      </c>
      <c r="D318" t="s">
        <v>34</v>
      </c>
      <c r="E318">
        <v>1.53</v>
      </c>
      <c r="F318">
        <v>3.07</v>
      </c>
      <c r="G318" s="8">
        <f t="shared" si="4"/>
        <v>29.90228013029316</v>
      </c>
    </row>
    <row r="319" spans="1:7" x14ac:dyDescent="0.25">
      <c r="A319" s="5">
        <v>45806.34375</v>
      </c>
      <c r="B319">
        <v>28</v>
      </c>
      <c r="C319" t="s">
        <v>34</v>
      </c>
      <c r="D319" t="s">
        <v>35</v>
      </c>
      <c r="E319">
        <v>1.51</v>
      </c>
      <c r="F319">
        <v>4.18</v>
      </c>
      <c r="G319" s="8">
        <f t="shared" si="4"/>
        <v>21.67464114832536</v>
      </c>
    </row>
    <row r="320" spans="1:7" x14ac:dyDescent="0.25">
      <c r="A320" s="5">
        <v>45806.34375</v>
      </c>
      <c r="B320">
        <v>29</v>
      </c>
      <c r="C320" t="s">
        <v>36</v>
      </c>
      <c r="D320" t="s">
        <v>37</v>
      </c>
      <c r="E320">
        <v>1.57</v>
      </c>
      <c r="F320">
        <v>5.53</v>
      </c>
      <c r="G320" s="8">
        <f t="shared" si="4"/>
        <v>17.034358047016276</v>
      </c>
    </row>
    <row r="321" spans="1:7" x14ac:dyDescent="0.25">
      <c r="A321" s="5">
        <v>45806.34375</v>
      </c>
      <c r="B321">
        <v>30</v>
      </c>
      <c r="C321" t="s">
        <v>37</v>
      </c>
      <c r="D321" t="s">
        <v>38</v>
      </c>
      <c r="E321">
        <v>1.57</v>
      </c>
      <c r="F321">
        <v>6.05</v>
      </c>
      <c r="G321" s="8">
        <f t="shared" si="4"/>
        <v>15.570247933884298</v>
      </c>
    </row>
    <row r="322" spans="1:7" x14ac:dyDescent="0.25">
      <c r="A322" s="5">
        <v>45806.34375</v>
      </c>
      <c r="B322">
        <v>31</v>
      </c>
      <c r="C322" t="s">
        <v>38</v>
      </c>
      <c r="D322" t="s">
        <v>39</v>
      </c>
      <c r="E322">
        <v>1.52</v>
      </c>
      <c r="F322">
        <v>4.47</v>
      </c>
      <c r="G322" s="8">
        <f t="shared" si="4"/>
        <v>20.402684563758392</v>
      </c>
    </row>
    <row r="323" spans="1:7" x14ac:dyDescent="0.25">
      <c r="A323" s="5">
        <v>45806.34375</v>
      </c>
      <c r="B323">
        <v>32</v>
      </c>
      <c r="C323" t="s">
        <v>39</v>
      </c>
      <c r="D323" t="s">
        <v>40</v>
      </c>
      <c r="E323">
        <v>1.5</v>
      </c>
      <c r="F323">
        <v>1.8</v>
      </c>
      <c r="G323" s="8">
        <f t="shared" ref="G323:G386" si="5">E323*60/F323</f>
        <v>50</v>
      </c>
    </row>
    <row r="324" spans="1:7" x14ac:dyDescent="0.25">
      <c r="A324" s="5">
        <v>45806.34375</v>
      </c>
      <c r="B324">
        <v>33</v>
      </c>
      <c r="C324" t="s">
        <v>40</v>
      </c>
      <c r="D324" t="s">
        <v>41</v>
      </c>
      <c r="E324">
        <v>1.51</v>
      </c>
      <c r="F324">
        <v>1.78</v>
      </c>
      <c r="G324" s="8">
        <f t="shared" si="5"/>
        <v>50.898876404494381</v>
      </c>
    </row>
    <row r="325" spans="1:7" x14ac:dyDescent="0.25">
      <c r="A325" s="5">
        <v>45806.34375</v>
      </c>
      <c r="B325">
        <v>34</v>
      </c>
      <c r="C325" t="s">
        <v>41</v>
      </c>
      <c r="D325" t="s">
        <v>42</v>
      </c>
      <c r="E325">
        <v>1.5</v>
      </c>
      <c r="F325">
        <v>1.77</v>
      </c>
      <c r="G325" s="8">
        <f t="shared" si="5"/>
        <v>50.847457627118644</v>
      </c>
    </row>
    <row r="326" spans="1:7" x14ac:dyDescent="0.25">
      <c r="A326" s="5">
        <v>45806.34375</v>
      </c>
      <c r="B326">
        <v>35</v>
      </c>
      <c r="C326" t="s">
        <v>43</v>
      </c>
      <c r="D326" t="s">
        <v>44</v>
      </c>
      <c r="E326">
        <v>1.55</v>
      </c>
      <c r="F326">
        <v>4.03</v>
      </c>
      <c r="G326" s="8">
        <f t="shared" si="5"/>
        <v>23.076923076923077</v>
      </c>
    </row>
    <row r="327" spans="1:7" x14ac:dyDescent="0.25">
      <c r="A327" s="5">
        <v>45806.34375</v>
      </c>
      <c r="B327">
        <v>36</v>
      </c>
      <c r="C327" t="s">
        <v>44</v>
      </c>
      <c r="D327" t="s">
        <v>45</v>
      </c>
      <c r="E327">
        <v>1.5</v>
      </c>
      <c r="F327">
        <v>3.22</v>
      </c>
      <c r="G327" s="8">
        <f t="shared" si="5"/>
        <v>27.950310559006208</v>
      </c>
    </row>
    <row r="328" spans="1:7" x14ac:dyDescent="0.25">
      <c r="A328" s="5">
        <v>45806.34375</v>
      </c>
      <c r="B328">
        <v>37</v>
      </c>
      <c r="C328" t="s">
        <v>45</v>
      </c>
      <c r="D328" t="s">
        <v>46</v>
      </c>
      <c r="E328">
        <v>1.38</v>
      </c>
      <c r="F328">
        <v>4.2300000000000004</v>
      </c>
      <c r="G328" s="8">
        <f t="shared" si="5"/>
        <v>19.574468085106382</v>
      </c>
    </row>
    <row r="329" spans="1:7" x14ac:dyDescent="0.25">
      <c r="A329" s="5">
        <v>45806.34375</v>
      </c>
      <c r="B329">
        <v>38</v>
      </c>
      <c r="C329" t="s">
        <v>46</v>
      </c>
      <c r="D329" t="s">
        <v>47</v>
      </c>
      <c r="E329">
        <v>1.61</v>
      </c>
      <c r="F329">
        <v>3.63</v>
      </c>
      <c r="G329" s="8">
        <f t="shared" si="5"/>
        <v>26.611570247933887</v>
      </c>
    </row>
    <row r="330" spans="1:7" x14ac:dyDescent="0.25">
      <c r="A330" s="5">
        <v>45806.34375</v>
      </c>
      <c r="B330">
        <v>39</v>
      </c>
      <c r="C330" t="s">
        <v>47</v>
      </c>
      <c r="D330" t="s">
        <v>48</v>
      </c>
      <c r="E330">
        <v>1.55</v>
      </c>
      <c r="F330">
        <v>3.28</v>
      </c>
      <c r="G330" s="8">
        <f t="shared" si="5"/>
        <v>28.353658536585368</v>
      </c>
    </row>
    <row r="331" spans="1:7" x14ac:dyDescent="0.25">
      <c r="A331" s="5">
        <v>45806.34375</v>
      </c>
      <c r="B331">
        <v>40</v>
      </c>
      <c r="C331" t="s">
        <v>48</v>
      </c>
      <c r="D331" t="s">
        <v>49</v>
      </c>
      <c r="E331">
        <v>1.39</v>
      </c>
      <c r="F331">
        <v>2.77</v>
      </c>
      <c r="G331" s="8">
        <f t="shared" si="5"/>
        <v>30.108303249097471</v>
      </c>
    </row>
    <row r="332" spans="1:7" x14ac:dyDescent="0.25">
      <c r="A332" s="5">
        <v>45806.34375</v>
      </c>
      <c r="B332">
        <v>41</v>
      </c>
      <c r="C332" t="s">
        <v>50</v>
      </c>
      <c r="D332" t="s">
        <v>51</v>
      </c>
      <c r="E332">
        <v>1.56</v>
      </c>
      <c r="F332">
        <v>4.9000000000000004</v>
      </c>
      <c r="G332" s="8">
        <f t="shared" si="5"/>
        <v>19.102040816326532</v>
      </c>
    </row>
    <row r="333" spans="1:7" x14ac:dyDescent="0.25">
      <c r="A333" s="5">
        <v>45806.34375</v>
      </c>
      <c r="B333">
        <v>42</v>
      </c>
      <c r="C333" t="s">
        <v>51</v>
      </c>
      <c r="D333" t="s">
        <v>52</v>
      </c>
      <c r="E333">
        <v>1.56</v>
      </c>
      <c r="F333">
        <v>4.7</v>
      </c>
      <c r="G333" s="8">
        <f t="shared" si="5"/>
        <v>19.914893617021278</v>
      </c>
    </row>
    <row r="334" spans="1:7" x14ac:dyDescent="0.25">
      <c r="A334" s="5">
        <v>45806.34375</v>
      </c>
      <c r="B334">
        <v>43</v>
      </c>
      <c r="C334" t="s">
        <v>52</v>
      </c>
      <c r="D334" t="s">
        <v>53</v>
      </c>
      <c r="E334">
        <v>1.51</v>
      </c>
      <c r="F334">
        <v>3.52</v>
      </c>
      <c r="G334" s="8">
        <f t="shared" si="5"/>
        <v>25.738636363636363</v>
      </c>
    </row>
    <row r="335" spans="1:7" x14ac:dyDescent="0.25">
      <c r="A335" s="5">
        <v>45806.34375</v>
      </c>
      <c r="B335">
        <v>44</v>
      </c>
      <c r="C335" t="s">
        <v>54</v>
      </c>
      <c r="D335" t="s">
        <v>55</v>
      </c>
      <c r="E335">
        <v>1.51</v>
      </c>
      <c r="F335">
        <v>5.15</v>
      </c>
      <c r="G335" s="8">
        <f t="shared" si="5"/>
        <v>17.592233009708735</v>
      </c>
    </row>
    <row r="336" spans="1:7" x14ac:dyDescent="0.25">
      <c r="A336" s="5">
        <v>45806.34375</v>
      </c>
      <c r="B336">
        <v>45</v>
      </c>
      <c r="C336" t="s">
        <v>55</v>
      </c>
      <c r="D336" t="s">
        <v>56</v>
      </c>
      <c r="E336">
        <v>1.49</v>
      </c>
      <c r="F336">
        <v>3.73</v>
      </c>
      <c r="G336" s="8">
        <f t="shared" si="5"/>
        <v>23.967828418230564</v>
      </c>
    </row>
    <row r="337" spans="1:7" x14ac:dyDescent="0.25">
      <c r="A337" s="5">
        <v>45806.34375</v>
      </c>
      <c r="B337">
        <v>46</v>
      </c>
      <c r="C337" t="s">
        <v>56</v>
      </c>
      <c r="D337" t="s">
        <v>57</v>
      </c>
      <c r="E337">
        <v>1.52</v>
      </c>
      <c r="F337">
        <v>4.32</v>
      </c>
      <c r="G337" s="8">
        <f t="shared" si="5"/>
        <v>21.111111111111111</v>
      </c>
    </row>
    <row r="338" spans="1:7" x14ac:dyDescent="0.25">
      <c r="A338" s="5">
        <v>45806.34375</v>
      </c>
      <c r="B338">
        <v>47</v>
      </c>
      <c r="C338" t="s">
        <v>58</v>
      </c>
      <c r="D338" t="s">
        <v>59</v>
      </c>
      <c r="E338">
        <v>1.52</v>
      </c>
      <c r="F338">
        <v>5.82</v>
      </c>
      <c r="G338" s="8">
        <f t="shared" si="5"/>
        <v>15.670103092783505</v>
      </c>
    </row>
    <row r="339" spans="1:7" x14ac:dyDescent="0.25">
      <c r="A339" s="5">
        <v>45806.34375</v>
      </c>
      <c r="B339">
        <v>48</v>
      </c>
      <c r="C339" t="s">
        <v>59</v>
      </c>
      <c r="D339" t="s">
        <v>60</v>
      </c>
      <c r="E339">
        <v>1.5</v>
      </c>
      <c r="F339">
        <v>4.2300000000000004</v>
      </c>
      <c r="G339" s="8">
        <f t="shared" si="5"/>
        <v>21.276595744680851</v>
      </c>
    </row>
    <row r="340" spans="1:7" x14ac:dyDescent="0.25">
      <c r="A340" s="5">
        <v>45806.34375</v>
      </c>
      <c r="B340">
        <v>49</v>
      </c>
      <c r="C340" t="s">
        <v>60</v>
      </c>
      <c r="D340" t="s">
        <v>61</v>
      </c>
      <c r="E340">
        <v>1.54</v>
      </c>
      <c r="F340">
        <v>4.87</v>
      </c>
      <c r="G340" s="8">
        <f t="shared" si="5"/>
        <v>18.973305954825463</v>
      </c>
    </row>
    <row r="341" spans="1:7" x14ac:dyDescent="0.25">
      <c r="A341" s="5">
        <v>45806.34375</v>
      </c>
      <c r="B341">
        <v>50</v>
      </c>
      <c r="C341" t="s">
        <v>62</v>
      </c>
      <c r="D341" t="s">
        <v>63</v>
      </c>
      <c r="E341">
        <v>1.38</v>
      </c>
      <c r="F341">
        <v>3.22</v>
      </c>
      <c r="G341" s="8">
        <f t="shared" si="5"/>
        <v>25.714285714285712</v>
      </c>
    </row>
    <row r="342" spans="1:7" x14ac:dyDescent="0.25">
      <c r="A342" s="5">
        <v>45806.34375</v>
      </c>
      <c r="B342">
        <v>51</v>
      </c>
      <c r="C342" t="s">
        <v>63</v>
      </c>
      <c r="D342" t="s">
        <v>64</v>
      </c>
      <c r="E342">
        <v>2.79</v>
      </c>
      <c r="F342">
        <v>6.23</v>
      </c>
      <c r="G342" s="8">
        <f t="shared" si="5"/>
        <v>26.869983948635632</v>
      </c>
    </row>
    <row r="343" spans="1:7" x14ac:dyDescent="0.25">
      <c r="A343" s="5">
        <v>45806.34375</v>
      </c>
      <c r="B343">
        <v>52</v>
      </c>
      <c r="C343" t="s">
        <v>64</v>
      </c>
      <c r="D343" t="s">
        <v>65</v>
      </c>
      <c r="E343">
        <v>1.5</v>
      </c>
      <c r="F343">
        <v>2.9</v>
      </c>
      <c r="G343" s="8">
        <f t="shared" si="5"/>
        <v>31.03448275862069</v>
      </c>
    </row>
    <row r="344" spans="1:7" x14ac:dyDescent="0.25">
      <c r="A344" s="5">
        <v>45806.34375</v>
      </c>
      <c r="B344">
        <v>53</v>
      </c>
      <c r="C344" t="s">
        <v>65</v>
      </c>
      <c r="D344" t="s">
        <v>66</v>
      </c>
      <c r="E344">
        <v>1.46</v>
      </c>
      <c r="F344">
        <v>4.03</v>
      </c>
      <c r="G344" s="8">
        <f t="shared" si="5"/>
        <v>21.736972704714638</v>
      </c>
    </row>
    <row r="345" spans="1:7" x14ac:dyDescent="0.25">
      <c r="A345" s="5">
        <v>45806.34375</v>
      </c>
      <c r="B345">
        <v>54</v>
      </c>
      <c r="C345" t="s">
        <v>67</v>
      </c>
      <c r="D345" t="s">
        <v>68</v>
      </c>
      <c r="E345">
        <v>1.46</v>
      </c>
      <c r="F345">
        <v>6.23</v>
      </c>
      <c r="G345" s="8">
        <f t="shared" si="5"/>
        <v>14.060995184590688</v>
      </c>
    </row>
    <row r="346" spans="1:7" x14ac:dyDescent="0.25">
      <c r="A346" s="5">
        <v>45806.34375</v>
      </c>
      <c r="B346">
        <v>55</v>
      </c>
      <c r="C346" t="s">
        <v>68</v>
      </c>
      <c r="D346" t="s">
        <v>69</v>
      </c>
      <c r="E346">
        <v>1.5</v>
      </c>
      <c r="F346">
        <v>2.25</v>
      </c>
      <c r="G346" s="8">
        <f t="shared" si="5"/>
        <v>40</v>
      </c>
    </row>
    <row r="347" spans="1:7" x14ac:dyDescent="0.25">
      <c r="A347" s="5">
        <v>45806.34375</v>
      </c>
      <c r="B347">
        <v>56</v>
      </c>
      <c r="C347" t="s">
        <v>70</v>
      </c>
      <c r="D347" t="s">
        <v>71</v>
      </c>
      <c r="E347">
        <v>1.51</v>
      </c>
      <c r="F347">
        <v>4.38</v>
      </c>
      <c r="G347" s="8">
        <f t="shared" si="5"/>
        <v>20.684931506849313</v>
      </c>
    </row>
    <row r="348" spans="1:7" x14ac:dyDescent="0.25">
      <c r="A348" s="5">
        <v>45806.34375</v>
      </c>
      <c r="B348">
        <v>57</v>
      </c>
      <c r="C348" t="s">
        <v>71</v>
      </c>
      <c r="D348" t="s">
        <v>72</v>
      </c>
      <c r="E348">
        <v>1.52</v>
      </c>
      <c r="F348">
        <v>3.98</v>
      </c>
      <c r="G348" s="8">
        <f t="shared" si="5"/>
        <v>22.91457286432161</v>
      </c>
    </row>
    <row r="349" spans="1:7" x14ac:dyDescent="0.25">
      <c r="A349" s="5">
        <v>45806.34375</v>
      </c>
      <c r="B349">
        <v>58</v>
      </c>
      <c r="C349" t="s">
        <v>72</v>
      </c>
      <c r="D349" t="s">
        <v>73</v>
      </c>
      <c r="E349">
        <v>1.5</v>
      </c>
      <c r="F349">
        <v>3.7</v>
      </c>
      <c r="G349" s="8">
        <f t="shared" si="5"/>
        <v>24.324324324324323</v>
      </c>
    </row>
    <row r="350" spans="1:7" x14ac:dyDescent="0.25">
      <c r="A350" s="5">
        <v>45806.354166666664</v>
      </c>
      <c r="B350">
        <v>1</v>
      </c>
      <c r="C350" t="s">
        <v>6</v>
      </c>
      <c r="D350" t="s">
        <v>7</v>
      </c>
      <c r="E350">
        <v>1.53</v>
      </c>
      <c r="F350">
        <v>3.22</v>
      </c>
      <c r="G350" s="8">
        <f t="shared" si="5"/>
        <v>28.509316770186334</v>
      </c>
    </row>
    <row r="351" spans="1:7" x14ac:dyDescent="0.25">
      <c r="A351" s="5">
        <v>45806.354166666664</v>
      </c>
      <c r="B351">
        <v>2</v>
      </c>
      <c r="C351" t="s">
        <v>7</v>
      </c>
      <c r="D351" t="s">
        <v>8</v>
      </c>
      <c r="E351">
        <v>1.57</v>
      </c>
      <c r="F351">
        <v>5.32</v>
      </c>
      <c r="G351" s="8">
        <f t="shared" si="5"/>
        <v>17.706766917293233</v>
      </c>
    </row>
    <row r="352" spans="1:7" x14ac:dyDescent="0.25">
      <c r="A352" s="5">
        <v>45806.354166666664</v>
      </c>
      <c r="B352">
        <v>3</v>
      </c>
      <c r="C352" t="s">
        <v>8</v>
      </c>
      <c r="D352" t="s">
        <v>9</v>
      </c>
      <c r="E352">
        <v>1.5</v>
      </c>
      <c r="F352">
        <v>3.07</v>
      </c>
      <c r="G352" s="8">
        <f t="shared" si="5"/>
        <v>29.31596091205212</v>
      </c>
    </row>
    <row r="353" spans="1:7" x14ac:dyDescent="0.25">
      <c r="A353" s="5">
        <v>45806.354166666664</v>
      </c>
      <c r="B353">
        <v>4</v>
      </c>
      <c r="C353" t="s">
        <v>9</v>
      </c>
      <c r="D353" t="s">
        <v>10</v>
      </c>
      <c r="E353">
        <v>1.5</v>
      </c>
      <c r="F353">
        <v>2.7</v>
      </c>
      <c r="G353" s="8">
        <f t="shared" si="5"/>
        <v>33.333333333333329</v>
      </c>
    </row>
    <row r="354" spans="1:7" x14ac:dyDescent="0.25">
      <c r="A354" s="5">
        <v>45806.354166666664</v>
      </c>
      <c r="B354">
        <v>5</v>
      </c>
      <c r="C354" t="s">
        <v>10</v>
      </c>
      <c r="D354" t="s">
        <v>11</v>
      </c>
      <c r="E354">
        <v>1.52</v>
      </c>
      <c r="F354">
        <v>3.37</v>
      </c>
      <c r="G354" s="8">
        <f t="shared" si="5"/>
        <v>27.062314540059347</v>
      </c>
    </row>
    <row r="355" spans="1:7" x14ac:dyDescent="0.25">
      <c r="A355" s="5">
        <v>45806.354166666664</v>
      </c>
      <c r="B355">
        <v>6</v>
      </c>
      <c r="C355" t="s">
        <v>11</v>
      </c>
      <c r="D355" t="s">
        <v>12</v>
      </c>
      <c r="E355">
        <v>1.5</v>
      </c>
      <c r="F355">
        <v>2.88</v>
      </c>
      <c r="G355" s="8">
        <f t="shared" si="5"/>
        <v>31.25</v>
      </c>
    </row>
    <row r="356" spans="1:7" x14ac:dyDescent="0.25">
      <c r="A356" s="5">
        <v>45806.354166666664</v>
      </c>
      <c r="B356">
        <v>7</v>
      </c>
      <c r="C356" t="s">
        <v>12</v>
      </c>
      <c r="D356" t="s">
        <v>13</v>
      </c>
      <c r="E356">
        <v>1.54</v>
      </c>
      <c r="F356">
        <v>2.63</v>
      </c>
      <c r="G356" s="8">
        <f t="shared" si="5"/>
        <v>35.133079847908746</v>
      </c>
    </row>
    <row r="357" spans="1:7" x14ac:dyDescent="0.25">
      <c r="A357" s="5">
        <v>45806.354166666664</v>
      </c>
      <c r="B357">
        <v>8</v>
      </c>
      <c r="C357" t="s">
        <v>13</v>
      </c>
      <c r="D357" t="s">
        <v>14</v>
      </c>
      <c r="E357">
        <v>1.54</v>
      </c>
      <c r="F357">
        <v>3.33</v>
      </c>
      <c r="G357" s="8">
        <f t="shared" si="5"/>
        <v>27.747747747747749</v>
      </c>
    </row>
    <row r="358" spans="1:7" x14ac:dyDescent="0.25">
      <c r="A358" s="5">
        <v>45806.354166666664</v>
      </c>
      <c r="B358">
        <v>9</v>
      </c>
      <c r="C358" t="s">
        <v>14</v>
      </c>
      <c r="D358" t="s">
        <v>15</v>
      </c>
      <c r="E358">
        <v>1.52</v>
      </c>
      <c r="F358">
        <v>4.9800000000000004</v>
      </c>
      <c r="G358" s="8">
        <f t="shared" si="5"/>
        <v>18.313253012048193</v>
      </c>
    </row>
    <row r="359" spans="1:7" x14ac:dyDescent="0.25">
      <c r="A359" s="5">
        <v>45806.354166666664</v>
      </c>
      <c r="B359">
        <v>10</v>
      </c>
      <c r="C359" t="s">
        <v>15</v>
      </c>
      <c r="D359" t="s">
        <v>16</v>
      </c>
      <c r="E359">
        <v>1.5</v>
      </c>
      <c r="F359">
        <v>4.45</v>
      </c>
      <c r="G359" s="8">
        <f t="shared" si="5"/>
        <v>20.224719101123593</v>
      </c>
    </row>
    <row r="360" spans="1:7" x14ac:dyDescent="0.25">
      <c r="A360" s="5">
        <v>45806.354166666664</v>
      </c>
      <c r="B360">
        <v>11</v>
      </c>
      <c r="C360" t="s">
        <v>16</v>
      </c>
      <c r="D360" t="s">
        <v>17</v>
      </c>
      <c r="E360">
        <v>1.48</v>
      </c>
      <c r="F360">
        <v>4.7</v>
      </c>
      <c r="G360" s="8">
        <f t="shared" si="5"/>
        <v>18.893617021276594</v>
      </c>
    </row>
    <row r="361" spans="1:7" x14ac:dyDescent="0.25">
      <c r="A361" s="5">
        <v>45806.354166666664</v>
      </c>
      <c r="B361">
        <v>12</v>
      </c>
      <c r="C361" t="s">
        <v>17</v>
      </c>
      <c r="D361" t="s">
        <v>18</v>
      </c>
      <c r="E361">
        <v>1.46</v>
      </c>
      <c r="F361">
        <v>4.9000000000000004</v>
      </c>
      <c r="G361" s="8">
        <f t="shared" si="5"/>
        <v>17.877551020408159</v>
      </c>
    </row>
    <row r="362" spans="1:7" x14ac:dyDescent="0.25">
      <c r="A362" s="5">
        <v>45806.354166666664</v>
      </c>
      <c r="B362">
        <v>13</v>
      </c>
      <c r="C362" t="s">
        <v>18</v>
      </c>
      <c r="D362" t="s">
        <v>19</v>
      </c>
      <c r="E362">
        <v>1.52</v>
      </c>
      <c r="F362">
        <v>4.97</v>
      </c>
      <c r="G362" s="8">
        <f t="shared" si="5"/>
        <v>18.350100603621733</v>
      </c>
    </row>
    <row r="363" spans="1:7" x14ac:dyDescent="0.25">
      <c r="A363" s="5">
        <v>45806.354166666664</v>
      </c>
      <c r="B363">
        <v>14</v>
      </c>
      <c r="C363" t="s">
        <v>19</v>
      </c>
      <c r="D363" t="s">
        <v>20</v>
      </c>
      <c r="E363">
        <v>1.51</v>
      </c>
      <c r="F363">
        <v>4.5199999999999996</v>
      </c>
      <c r="G363" s="8">
        <f t="shared" si="5"/>
        <v>20.044247787610619</v>
      </c>
    </row>
    <row r="364" spans="1:7" x14ac:dyDescent="0.25">
      <c r="A364" s="5">
        <v>45806.354166666664</v>
      </c>
      <c r="B364">
        <v>15</v>
      </c>
      <c r="C364" t="s">
        <v>20</v>
      </c>
      <c r="D364" t="s">
        <v>21</v>
      </c>
      <c r="E364">
        <v>1.47</v>
      </c>
      <c r="F364">
        <v>2.72</v>
      </c>
      <c r="G364" s="8">
        <f t="shared" si="5"/>
        <v>32.42647058823529</v>
      </c>
    </row>
    <row r="365" spans="1:7" x14ac:dyDescent="0.25">
      <c r="A365" s="5">
        <v>45806.354166666664</v>
      </c>
      <c r="B365">
        <v>16</v>
      </c>
      <c r="C365" t="s">
        <v>21</v>
      </c>
      <c r="D365" t="s">
        <v>22</v>
      </c>
      <c r="E365">
        <v>1.5</v>
      </c>
      <c r="F365">
        <v>1.78</v>
      </c>
      <c r="G365" s="8">
        <f t="shared" si="5"/>
        <v>50.561797752808985</v>
      </c>
    </row>
    <row r="366" spans="1:7" x14ac:dyDescent="0.25">
      <c r="A366" s="5">
        <v>45806.354166666664</v>
      </c>
      <c r="B366">
        <v>17</v>
      </c>
      <c r="C366" t="s">
        <v>22</v>
      </c>
      <c r="D366" t="s">
        <v>23</v>
      </c>
      <c r="E366">
        <v>1.51</v>
      </c>
      <c r="F366">
        <v>3.23</v>
      </c>
      <c r="G366" s="8">
        <f t="shared" si="5"/>
        <v>28.049535603715167</v>
      </c>
    </row>
    <row r="367" spans="1:7" x14ac:dyDescent="0.25">
      <c r="A367" s="5">
        <v>45806.354166666664</v>
      </c>
      <c r="B367">
        <v>18</v>
      </c>
      <c r="C367" t="s">
        <v>23</v>
      </c>
      <c r="D367" t="s">
        <v>24</v>
      </c>
      <c r="E367">
        <v>1.51</v>
      </c>
      <c r="F367">
        <v>3.02</v>
      </c>
      <c r="G367" s="8">
        <f t="shared" si="5"/>
        <v>29.999999999999996</v>
      </c>
    </row>
    <row r="368" spans="1:7" x14ac:dyDescent="0.25">
      <c r="A368" s="5">
        <v>45806.354166666664</v>
      </c>
      <c r="B368">
        <v>19</v>
      </c>
      <c r="C368" t="s">
        <v>25</v>
      </c>
      <c r="D368" t="s">
        <v>26</v>
      </c>
      <c r="E368">
        <v>1.5</v>
      </c>
      <c r="F368">
        <v>4.42</v>
      </c>
      <c r="G368" s="8">
        <f t="shared" si="5"/>
        <v>20.361990950226243</v>
      </c>
    </row>
    <row r="369" spans="1:7" x14ac:dyDescent="0.25">
      <c r="A369" s="5">
        <v>45806.354166666664</v>
      </c>
      <c r="B369">
        <v>20</v>
      </c>
      <c r="C369" t="s">
        <v>26</v>
      </c>
      <c r="D369" t="s">
        <v>27</v>
      </c>
      <c r="E369">
        <v>1.48</v>
      </c>
      <c r="F369">
        <v>4.63</v>
      </c>
      <c r="G369" s="8">
        <f t="shared" si="5"/>
        <v>19.179265658747301</v>
      </c>
    </row>
    <row r="370" spans="1:7" x14ac:dyDescent="0.25">
      <c r="A370" s="5">
        <v>45806.354166666664</v>
      </c>
      <c r="B370">
        <v>21</v>
      </c>
      <c r="C370" t="s">
        <v>27</v>
      </c>
      <c r="D370" t="s">
        <v>28</v>
      </c>
      <c r="E370">
        <v>1.51</v>
      </c>
      <c r="F370">
        <v>5.87</v>
      </c>
      <c r="G370" s="8">
        <f t="shared" si="5"/>
        <v>15.434412265758091</v>
      </c>
    </row>
    <row r="371" spans="1:7" x14ac:dyDescent="0.25">
      <c r="A371" s="5">
        <v>45806.354166666664</v>
      </c>
      <c r="B371">
        <v>22</v>
      </c>
      <c r="C371" t="s">
        <v>28</v>
      </c>
      <c r="D371" t="s">
        <v>29</v>
      </c>
      <c r="E371">
        <v>1.57</v>
      </c>
      <c r="F371">
        <v>4.47</v>
      </c>
      <c r="G371" s="8">
        <f t="shared" si="5"/>
        <v>21.073825503355707</v>
      </c>
    </row>
    <row r="372" spans="1:7" x14ac:dyDescent="0.25">
      <c r="A372" s="5">
        <v>45806.354166666664</v>
      </c>
      <c r="B372">
        <v>23</v>
      </c>
      <c r="C372" t="s">
        <v>29</v>
      </c>
      <c r="D372" t="s">
        <v>30</v>
      </c>
      <c r="E372">
        <v>1.43</v>
      </c>
      <c r="F372">
        <v>4.55</v>
      </c>
      <c r="G372" s="8">
        <f t="shared" si="5"/>
        <v>18.857142857142858</v>
      </c>
    </row>
    <row r="373" spans="1:7" x14ac:dyDescent="0.25">
      <c r="A373" s="5">
        <v>45806.354166666664</v>
      </c>
      <c r="B373">
        <v>24</v>
      </c>
      <c r="C373" t="s">
        <v>30</v>
      </c>
      <c r="D373" t="s">
        <v>31</v>
      </c>
      <c r="E373">
        <v>1.52</v>
      </c>
      <c r="F373">
        <v>4.32</v>
      </c>
      <c r="G373" s="8">
        <f t="shared" si="5"/>
        <v>21.111111111111111</v>
      </c>
    </row>
    <row r="374" spans="1:7" x14ac:dyDescent="0.25">
      <c r="A374" s="5">
        <v>45806.354166666664</v>
      </c>
      <c r="B374">
        <v>25</v>
      </c>
      <c r="C374" t="s">
        <v>31</v>
      </c>
      <c r="D374" t="s">
        <v>32</v>
      </c>
      <c r="E374">
        <v>1.52</v>
      </c>
      <c r="F374">
        <v>3.32</v>
      </c>
      <c r="G374" s="8">
        <f t="shared" si="5"/>
        <v>27.46987951807229</v>
      </c>
    </row>
    <row r="375" spans="1:7" x14ac:dyDescent="0.25">
      <c r="A375" s="5">
        <v>45806.354166666664</v>
      </c>
      <c r="B375">
        <v>26</v>
      </c>
      <c r="C375" t="s">
        <v>32</v>
      </c>
      <c r="D375" t="s">
        <v>33</v>
      </c>
      <c r="E375">
        <v>1.49</v>
      </c>
      <c r="F375">
        <v>3.8</v>
      </c>
      <c r="G375" s="8">
        <f t="shared" si="5"/>
        <v>23.526315789473689</v>
      </c>
    </row>
    <row r="376" spans="1:7" x14ac:dyDescent="0.25">
      <c r="A376" s="5">
        <v>45806.354166666664</v>
      </c>
      <c r="B376">
        <v>27</v>
      </c>
      <c r="C376" t="s">
        <v>33</v>
      </c>
      <c r="D376" t="s">
        <v>34</v>
      </c>
      <c r="E376">
        <v>1.53</v>
      </c>
      <c r="F376">
        <v>3.3</v>
      </c>
      <c r="G376" s="8">
        <f t="shared" si="5"/>
        <v>27.81818181818182</v>
      </c>
    </row>
    <row r="377" spans="1:7" x14ac:dyDescent="0.25">
      <c r="A377" s="5">
        <v>45806.354166666664</v>
      </c>
      <c r="B377">
        <v>28</v>
      </c>
      <c r="C377" t="s">
        <v>34</v>
      </c>
      <c r="D377" t="s">
        <v>35</v>
      </c>
      <c r="E377">
        <v>1.51</v>
      </c>
      <c r="F377">
        <v>4.25</v>
      </c>
      <c r="G377" s="8">
        <f t="shared" si="5"/>
        <v>21.317647058823528</v>
      </c>
    </row>
    <row r="378" spans="1:7" x14ac:dyDescent="0.25">
      <c r="A378" s="5">
        <v>45806.354166666664</v>
      </c>
      <c r="B378">
        <v>29</v>
      </c>
      <c r="C378" t="s">
        <v>36</v>
      </c>
      <c r="D378" t="s">
        <v>37</v>
      </c>
      <c r="E378">
        <v>1.57</v>
      </c>
      <c r="F378">
        <v>5.5</v>
      </c>
      <c r="G378" s="8">
        <f t="shared" si="5"/>
        <v>17.127272727272729</v>
      </c>
    </row>
    <row r="379" spans="1:7" x14ac:dyDescent="0.25">
      <c r="A379" s="5">
        <v>45806.354166666664</v>
      </c>
      <c r="B379">
        <v>30</v>
      </c>
      <c r="C379" t="s">
        <v>37</v>
      </c>
      <c r="D379" t="s">
        <v>38</v>
      </c>
      <c r="E379">
        <v>1.57</v>
      </c>
      <c r="F379">
        <v>6.58</v>
      </c>
      <c r="G379" s="8">
        <f t="shared" si="5"/>
        <v>14.316109422492401</v>
      </c>
    </row>
    <row r="380" spans="1:7" x14ac:dyDescent="0.25">
      <c r="A380" s="5">
        <v>45806.354166666664</v>
      </c>
      <c r="B380">
        <v>31</v>
      </c>
      <c r="C380" t="s">
        <v>38</v>
      </c>
      <c r="D380" t="s">
        <v>39</v>
      </c>
      <c r="E380">
        <v>1.52</v>
      </c>
      <c r="F380">
        <v>3.72</v>
      </c>
      <c r="G380" s="8">
        <f t="shared" si="5"/>
        <v>24.516129032258064</v>
      </c>
    </row>
    <row r="381" spans="1:7" x14ac:dyDescent="0.25">
      <c r="A381" s="5">
        <v>45806.354166666664</v>
      </c>
      <c r="B381">
        <v>32</v>
      </c>
      <c r="C381" t="s">
        <v>39</v>
      </c>
      <c r="D381" t="s">
        <v>40</v>
      </c>
      <c r="E381">
        <v>1.5</v>
      </c>
      <c r="F381">
        <v>1.73</v>
      </c>
      <c r="G381" s="8">
        <f t="shared" si="5"/>
        <v>52.02312138728324</v>
      </c>
    </row>
    <row r="382" spans="1:7" x14ac:dyDescent="0.25">
      <c r="A382" s="5">
        <v>45806.354166666664</v>
      </c>
      <c r="B382">
        <v>33</v>
      </c>
      <c r="C382" t="s">
        <v>40</v>
      </c>
      <c r="D382" t="s">
        <v>41</v>
      </c>
      <c r="E382">
        <v>1.51</v>
      </c>
      <c r="F382">
        <v>1.73</v>
      </c>
      <c r="G382" s="8">
        <f t="shared" si="5"/>
        <v>52.369942196531788</v>
      </c>
    </row>
    <row r="383" spans="1:7" x14ac:dyDescent="0.25">
      <c r="A383" s="5">
        <v>45806.354166666664</v>
      </c>
      <c r="B383">
        <v>34</v>
      </c>
      <c r="C383" t="s">
        <v>41</v>
      </c>
      <c r="D383" t="s">
        <v>42</v>
      </c>
      <c r="E383">
        <v>1.5</v>
      </c>
      <c r="F383">
        <v>1.83</v>
      </c>
      <c r="G383" s="8">
        <f t="shared" si="5"/>
        <v>49.180327868852459</v>
      </c>
    </row>
    <row r="384" spans="1:7" x14ac:dyDescent="0.25">
      <c r="A384" s="5">
        <v>45806.354166666664</v>
      </c>
      <c r="B384">
        <v>35</v>
      </c>
      <c r="C384" t="s">
        <v>43</v>
      </c>
      <c r="D384" t="s">
        <v>44</v>
      </c>
      <c r="E384">
        <v>1.55</v>
      </c>
      <c r="F384">
        <v>4.63</v>
      </c>
      <c r="G384" s="8">
        <f t="shared" si="5"/>
        <v>20.086393088552917</v>
      </c>
    </row>
    <row r="385" spans="1:7" x14ac:dyDescent="0.25">
      <c r="A385" s="5">
        <v>45806.354166666664</v>
      </c>
      <c r="B385">
        <v>36</v>
      </c>
      <c r="C385" t="s">
        <v>44</v>
      </c>
      <c r="D385" t="s">
        <v>45</v>
      </c>
      <c r="E385">
        <v>1.5</v>
      </c>
      <c r="F385">
        <v>3.17</v>
      </c>
      <c r="G385" s="8">
        <f t="shared" si="5"/>
        <v>28.391167192429023</v>
      </c>
    </row>
    <row r="386" spans="1:7" x14ac:dyDescent="0.25">
      <c r="A386" s="5">
        <v>45806.354166666664</v>
      </c>
      <c r="B386">
        <v>37</v>
      </c>
      <c r="C386" t="s">
        <v>45</v>
      </c>
      <c r="D386" t="s">
        <v>46</v>
      </c>
      <c r="E386">
        <v>1.38</v>
      </c>
      <c r="F386">
        <v>4.25</v>
      </c>
      <c r="G386" s="8">
        <f t="shared" si="5"/>
        <v>19.482352941176469</v>
      </c>
    </row>
    <row r="387" spans="1:7" x14ac:dyDescent="0.25">
      <c r="A387" s="5">
        <v>45806.354166666664</v>
      </c>
      <c r="B387">
        <v>38</v>
      </c>
      <c r="C387" t="s">
        <v>46</v>
      </c>
      <c r="D387" t="s">
        <v>47</v>
      </c>
      <c r="E387">
        <v>1.61</v>
      </c>
      <c r="F387">
        <v>3.78</v>
      </c>
      <c r="G387" s="8">
        <f t="shared" ref="G387:G450" si="6">E387*60/F387</f>
        <v>25.555555555555561</v>
      </c>
    </row>
    <row r="388" spans="1:7" x14ac:dyDescent="0.25">
      <c r="A388" s="5">
        <v>45806.354166666664</v>
      </c>
      <c r="B388">
        <v>39</v>
      </c>
      <c r="C388" t="s">
        <v>47</v>
      </c>
      <c r="D388" t="s">
        <v>48</v>
      </c>
      <c r="E388">
        <v>1.55</v>
      </c>
      <c r="F388">
        <v>3.37</v>
      </c>
      <c r="G388" s="8">
        <f t="shared" si="6"/>
        <v>27.596439169139465</v>
      </c>
    </row>
    <row r="389" spans="1:7" x14ac:dyDescent="0.25">
      <c r="A389" s="5">
        <v>45806.354166666664</v>
      </c>
      <c r="B389">
        <v>40</v>
      </c>
      <c r="C389" t="s">
        <v>48</v>
      </c>
      <c r="D389" t="s">
        <v>49</v>
      </c>
      <c r="E389">
        <v>1.39</v>
      </c>
      <c r="F389">
        <v>2.73</v>
      </c>
      <c r="G389" s="8">
        <f t="shared" si="6"/>
        <v>30.549450549450547</v>
      </c>
    </row>
    <row r="390" spans="1:7" x14ac:dyDescent="0.25">
      <c r="A390" s="5">
        <v>45806.354166666664</v>
      </c>
      <c r="B390">
        <v>41</v>
      </c>
      <c r="C390" t="s">
        <v>50</v>
      </c>
      <c r="D390" t="s">
        <v>51</v>
      </c>
      <c r="E390">
        <v>1.56</v>
      </c>
      <c r="F390">
        <v>5.32</v>
      </c>
      <c r="G390" s="8">
        <f t="shared" si="6"/>
        <v>17.593984962406015</v>
      </c>
    </row>
    <row r="391" spans="1:7" x14ac:dyDescent="0.25">
      <c r="A391" s="5">
        <v>45806.354166666664</v>
      </c>
      <c r="B391">
        <v>42</v>
      </c>
      <c r="C391" t="s">
        <v>51</v>
      </c>
      <c r="D391" t="s">
        <v>52</v>
      </c>
      <c r="E391">
        <v>1.56</v>
      </c>
      <c r="F391">
        <v>4.97</v>
      </c>
      <c r="G391" s="8">
        <f t="shared" si="6"/>
        <v>18.83299798792757</v>
      </c>
    </row>
    <row r="392" spans="1:7" x14ac:dyDescent="0.25">
      <c r="A392" s="5">
        <v>45806.354166666664</v>
      </c>
      <c r="B392">
        <v>43</v>
      </c>
      <c r="C392" t="s">
        <v>52</v>
      </c>
      <c r="D392" t="s">
        <v>53</v>
      </c>
      <c r="E392">
        <v>1.51</v>
      </c>
      <c r="F392">
        <v>3.6</v>
      </c>
      <c r="G392" s="8">
        <f t="shared" si="6"/>
        <v>25.166666666666664</v>
      </c>
    </row>
    <row r="393" spans="1:7" x14ac:dyDescent="0.25">
      <c r="A393" s="5">
        <v>45806.354166666664</v>
      </c>
      <c r="B393">
        <v>44</v>
      </c>
      <c r="C393" t="s">
        <v>54</v>
      </c>
      <c r="D393" t="s">
        <v>55</v>
      </c>
      <c r="E393">
        <v>1.51</v>
      </c>
      <c r="F393">
        <v>5.18</v>
      </c>
      <c r="G393" s="8">
        <f t="shared" si="6"/>
        <v>17.490347490347489</v>
      </c>
    </row>
    <row r="394" spans="1:7" x14ac:dyDescent="0.25">
      <c r="A394" s="5">
        <v>45806.354166666664</v>
      </c>
      <c r="B394">
        <v>45</v>
      </c>
      <c r="C394" t="s">
        <v>55</v>
      </c>
      <c r="D394" t="s">
        <v>56</v>
      </c>
      <c r="E394">
        <v>1.49</v>
      </c>
      <c r="F394">
        <v>4.07</v>
      </c>
      <c r="G394" s="8">
        <f t="shared" si="6"/>
        <v>21.965601965601966</v>
      </c>
    </row>
    <row r="395" spans="1:7" x14ac:dyDescent="0.25">
      <c r="A395" s="5">
        <v>45806.354166666664</v>
      </c>
      <c r="B395">
        <v>46</v>
      </c>
      <c r="C395" t="s">
        <v>56</v>
      </c>
      <c r="D395" t="s">
        <v>57</v>
      </c>
      <c r="E395">
        <v>1.52</v>
      </c>
      <c r="F395">
        <v>4.25</v>
      </c>
      <c r="G395" s="8">
        <f t="shared" si="6"/>
        <v>21.458823529411767</v>
      </c>
    </row>
    <row r="396" spans="1:7" x14ac:dyDescent="0.25">
      <c r="A396" s="5">
        <v>45806.354166666664</v>
      </c>
      <c r="B396">
        <v>47</v>
      </c>
      <c r="C396" t="s">
        <v>58</v>
      </c>
      <c r="D396" t="s">
        <v>59</v>
      </c>
      <c r="E396">
        <v>1.52</v>
      </c>
      <c r="F396">
        <v>5.62</v>
      </c>
      <c r="G396" s="8">
        <f t="shared" si="6"/>
        <v>16.227758007117437</v>
      </c>
    </row>
    <row r="397" spans="1:7" x14ac:dyDescent="0.25">
      <c r="A397" s="5">
        <v>45806.354166666664</v>
      </c>
      <c r="B397">
        <v>48</v>
      </c>
      <c r="C397" t="s">
        <v>59</v>
      </c>
      <c r="D397" t="s">
        <v>60</v>
      </c>
      <c r="E397">
        <v>1.5</v>
      </c>
      <c r="F397">
        <v>4.3499999999999996</v>
      </c>
      <c r="G397" s="8">
        <f t="shared" si="6"/>
        <v>20.689655172413794</v>
      </c>
    </row>
    <row r="398" spans="1:7" x14ac:dyDescent="0.25">
      <c r="A398" s="5">
        <v>45806.354166666664</v>
      </c>
      <c r="B398">
        <v>49</v>
      </c>
      <c r="C398" t="s">
        <v>60</v>
      </c>
      <c r="D398" t="s">
        <v>61</v>
      </c>
      <c r="E398">
        <v>1.54</v>
      </c>
      <c r="F398">
        <v>4.53</v>
      </c>
      <c r="G398" s="8">
        <f t="shared" si="6"/>
        <v>20.397350993377483</v>
      </c>
    </row>
    <row r="399" spans="1:7" x14ac:dyDescent="0.25">
      <c r="A399" s="5">
        <v>45806.354166666664</v>
      </c>
      <c r="B399">
        <v>50</v>
      </c>
      <c r="C399" t="s">
        <v>62</v>
      </c>
      <c r="D399" t="s">
        <v>63</v>
      </c>
      <c r="E399">
        <v>1.38</v>
      </c>
      <c r="F399">
        <v>3.18</v>
      </c>
      <c r="G399" s="8">
        <f t="shared" si="6"/>
        <v>26.037735849056602</v>
      </c>
    </row>
    <row r="400" spans="1:7" x14ac:dyDescent="0.25">
      <c r="A400" s="5">
        <v>45806.354166666664</v>
      </c>
      <c r="B400">
        <v>51</v>
      </c>
      <c r="C400" t="s">
        <v>63</v>
      </c>
      <c r="D400" t="s">
        <v>64</v>
      </c>
      <c r="E400">
        <v>2.79</v>
      </c>
      <c r="F400">
        <v>6.2</v>
      </c>
      <c r="G400" s="8">
        <f t="shared" si="6"/>
        <v>27</v>
      </c>
    </row>
    <row r="401" spans="1:7" x14ac:dyDescent="0.25">
      <c r="A401" s="5">
        <v>45806.354166666664</v>
      </c>
      <c r="B401">
        <v>52</v>
      </c>
      <c r="C401" t="s">
        <v>64</v>
      </c>
      <c r="D401" t="s">
        <v>65</v>
      </c>
      <c r="E401">
        <v>1.5</v>
      </c>
      <c r="F401">
        <v>2.98</v>
      </c>
      <c r="G401" s="8">
        <f t="shared" si="6"/>
        <v>30.201342281879196</v>
      </c>
    </row>
    <row r="402" spans="1:7" x14ac:dyDescent="0.25">
      <c r="A402" s="5">
        <v>45806.354166666664</v>
      </c>
      <c r="B402">
        <v>53</v>
      </c>
      <c r="C402" t="s">
        <v>65</v>
      </c>
      <c r="D402" t="s">
        <v>66</v>
      </c>
      <c r="E402">
        <v>1.46</v>
      </c>
      <c r="F402">
        <v>4.32</v>
      </c>
      <c r="G402" s="8">
        <f t="shared" si="6"/>
        <v>20.277777777777775</v>
      </c>
    </row>
    <row r="403" spans="1:7" x14ac:dyDescent="0.25">
      <c r="A403" s="5">
        <v>45806.354166666664</v>
      </c>
      <c r="B403">
        <v>54</v>
      </c>
      <c r="C403" t="s">
        <v>67</v>
      </c>
      <c r="D403" t="s">
        <v>68</v>
      </c>
      <c r="E403">
        <v>1.53</v>
      </c>
      <c r="F403">
        <v>6.37</v>
      </c>
      <c r="G403" s="8">
        <f t="shared" si="6"/>
        <v>14.411302982731554</v>
      </c>
    </row>
    <row r="404" spans="1:7" x14ac:dyDescent="0.25">
      <c r="A404" s="5">
        <v>45806.354166666664</v>
      </c>
      <c r="B404">
        <v>55</v>
      </c>
      <c r="C404" t="s">
        <v>68</v>
      </c>
      <c r="D404" t="s">
        <v>69</v>
      </c>
      <c r="E404">
        <v>1.5</v>
      </c>
      <c r="F404">
        <v>2.35</v>
      </c>
      <c r="G404" s="8">
        <f t="shared" si="6"/>
        <v>38.297872340425528</v>
      </c>
    </row>
    <row r="405" spans="1:7" x14ac:dyDescent="0.25">
      <c r="A405" s="5">
        <v>45806.354166666664</v>
      </c>
      <c r="B405">
        <v>56</v>
      </c>
      <c r="C405" t="s">
        <v>70</v>
      </c>
      <c r="D405" t="s">
        <v>71</v>
      </c>
      <c r="E405">
        <v>1.51</v>
      </c>
      <c r="F405">
        <v>5.08</v>
      </c>
      <c r="G405" s="8">
        <f t="shared" si="6"/>
        <v>17.834645669291337</v>
      </c>
    </row>
    <row r="406" spans="1:7" x14ac:dyDescent="0.25">
      <c r="A406" s="5">
        <v>45806.354166666664</v>
      </c>
      <c r="B406">
        <v>57</v>
      </c>
      <c r="C406" t="s">
        <v>71</v>
      </c>
      <c r="D406" t="s">
        <v>72</v>
      </c>
      <c r="E406">
        <v>1.52</v>
      </c>
      <c r="F406">
        <v>4.2</v>
      </c>
      <c r="G406" s="8">
        <f t="shared" si="6"/>
        <v>21.714285714285715</v>
      </c>
    </row>
    <row r="407" spans="1:7" x14ac:dyDescent="0.25">
      <c r="A407" s="5">
        <v>45806.354166666664</v>
      </c>
      <c r="B407">
        <v>58</v>
      </c>
      <c r="C407" t="s">
        <v>72</v>
      </c>
      <c r="D407" t="s">
        <v>73</v>
      </c>
      <c r="E407">
        <v>1.5</v>
      </c>
      <c r="F407">
        <v>3.9</v>
      </c>
      <c r="G407" s="8">
        <f t="shared" si="6"/>
        <v>23.076923076923077</v>
      </c>
    </row>
    <row r="408" spans="1:7" x14ac:dyDescent="0.25">
      <c r="A408" s="5">
        <v>45806.364583333336</v>
      </c>
      <c r="B408">
        <v>1</v>
      </c>
      <c r="C408" t="s">
        <v>6</v>
      </c>
      <c r="D408" t="s">
        <v>7</v>
      </c>
      <c r="E408">
        <v>1.53</v>
      </c>
      <c r="F408">
        <v>3.03</v>
      </c>
      <c r="G408" s="8">
        <f t="shared" si="6"/>
        <v>30.297029702970299</v>
      </c>
    </row>
    <row r="409" spans="1:7" x14ac:dyDescent="0.25">
      <c r="A409" s="5">
        <v>45806.364583333336</v>
      </c>
      <c r="B409">
        <v>2</v>
      </c>
      <c r="C409" t="s">
        <v>7</v>
      </c>
      <c r="D409" t="s">
        <v>8</v>
      </c>
      <c r="E409">
        <v>1.57</v>
      </c>
      <c r="F409">
        <v>5.12</v>
      </c>
      <c r="G409" s="8">
        <f t="shared" si="6"/>
        <v>18.3984375</v>
      </c>
    </row>
    <row r="410" spans="1:7" x14ac:dyDescent="0.25">
      <c r="A410" s="5">
        <v>45806.364583333336</v>
      </c>
      <c r="B410">
        <v>3</v>
      </c>
      <c r="C410" t="s">
        <v>8</v>
      </c>
      <c r="D410" t="s">
        <v>9</v>
      </c>
      <c r="E410">
        <v>1.5</v>
      </c>
      <c r="F410">
        <v>2.93</v>
      </c>
      <c r="G410" s="8">
        <f t="shared" si="6"/>
        <v>30.716723549488052</v>
      </c>
    </row>
    <row r="411" spans="1:7" x14ac:dyDescent="0.25">
      <c r="A411" s="5">
        <v>45806.364583333336</v>
      </c>
      <c r="B411">
        <v>4</v>
      </c>
      <c r="C411" t="s">
        <v>9</v>
      </c>
      <c r="D411" t="s">
        <v>10</v>
      </c>
      <c r="E411">
        <v>1.5</v>
      </c>
      <c r="F411">
        <v>2.78</v>
      </c>
      <c r="G411" s="8">
        <f t="shared" si="6"/>
        <v>32.374100719424462</v>
      </c>
    </row>
    <row r="412" spans="1:7" x14ac:dyDescent="0.25">
      <c r="A412" s="5">
        <v>45806.364583333336</v>
      </c>
      <c r="B412">
        <v>5</v>
      </c>
      <c r="C412" t="s">
        <v>10</v>
      </c>
      <c r="D412" t="s">
        <v>11</v>
      </c>
      <c r="E412">
        <v>1.52</v>
      </c>
      <c r="F412">
        <v>3.17</v>
      </c>
      <c r="G412" s="8">
        <f t="shared" si="6"/>
        <v>28.769716088328078</v>
      </c>
    </row>
    <row r="413" spans="1:7" x14ac:dyDescent="0.25">
      <c r="A413" s="5">
        <v>45806.364583333336</v>
      </c>
      <c r="B413">
        <v>6</v>
      </c>
      <c r="C413" t="s">
        <v>11</v>
      </c>
      <c r="D413" t="s">
        <v>12</v>
      </c>
      <c r="E413">
        <v>1.5</v>
      </c>
      <c r="F413">
        <v>2.8</v>
      </c>
      <c r="G413" s="8">
        <f t="shared" si="6"/>
        <v>32.142857142857146</v>
      </c>
    </row>
    <row r="414" spans="1:7" x14ac:dyDescent="0.25">
      <c r="A414" s="5">
        <v>45806.364583333336</v>
      </c>
      <c r="B414">
        <v>7</v>
      </c>
      <c r="C414" t="s">
        <v>12</v>
      </c>
      <c r="D414" t="s">
        <v>13</v>
      </c>
      <c r="E414">
        <v>1.54</v>
      </c>
      <c r="F414">
        <v>2.63</v>
      </c>
      <c r="G414" s="8">
        <f t="shared" si="6"/>
        <v>35.133079847908746</v>
      </c>
    </row>
    <row r="415" spans="1:7" x14ac:dyDescent="0.25">
      <c r="A415" s="5">
        <v>45806.364583333336</v>
      </c>
      <c r="B415">
        <v>8</v>
      </c>
      <c r="C415" t="s">
        <v>13</v>
      </c>
      <c r="D415" t="s">
        <v>14</v>
      </c>
      <c r="E415">
        <v>1.54</v>
      </c>
      <c r="F415">
        <v>3.5</v>
      </c>
      <c r="G415" s="8">
        <f t="shared" si="6"/>
        <v>26.400000000000002</v>
      </c>
    </row>
    <row r="416" spans="1:7" x14ac:dyDescent="0.25">
      <c r="A416" s="5">
        <v>45806.364583333336</v>
      </c>
      <c r="B416">
        <v>9</v>
      </c>
      <c r="C416" t="s">
        <v>14</v>
      </c>
      <c r="D416" t="s">
        <v>15</v>
      </c>
      <c r="E416">
        <v>1.52</v>
      </c>
      <c r="F416">
        <v>4.1500000000000004</v>
      </c>
      <c r="G416" s="8">
        <f t="shared" si="6"/>
        <v>21.975903614457831</v>
      </c>
    </row>
    <row r="417" spans="1:7" x14ac:dyDescent="0.25">
      <c r="A417" s="5">
        <v>45806.364583333336</v>
      </c>
      <c r="B417">
        <v>10</v>
      </c>
      <c r="C417" t="s">
        <v>15</v>
      </c>
      <c r="D417" t="s">
        <v>16</v>
      </c>
      <c r="E417">
        <v>1.5</v>
      </c>
      <c r="F417">
        <v>4.55</v>
      </c>
      <c r="G417" s="8">
        <f t="shared" si="6"/>
        <v>19.780219780219781</v>
      </c>
    </row>
    <row r="418" spans="1:7" x14ac:dyDescent="0.25">
      <c r="A418" s="5">
        <v>45806.364583333336</v>
      </c>
      <c r="B418">
        <v>11</v>
      </c>
      <c r="C418" t="s">
        <v>16</v>
      </c>
      <c r="D418" t="s">
        <v>17</v>
      </c>
      <c r="E418">
        <v>1.48</v>
      </c>
      <c r="F418">
        <v>2.98</v>
      </c>
      <c r="G418" s="8">
        <f t="shared" si="6"/>
        <v>29.798657718120804</v>
      </c>
    </row>
    <row r="419" spans="1:7" x14ac:dyDescent="0.25">
      <c r="A419" s="5">
        <v>45806.364583333336</v>
      </c>
      <c r="B419">
        <v>12</v>
      </c>
      <c r="C419" t="s">
        <v>17</v>
      </c>
      <c r="D419" t="s">
        <v>18</v>
      </c>
      <c r="E419">
        <v>1.46</v>
      </c>
      <c r="F419">
        <v>4.3499999999999996</v>
      </c>
      <c r="G419" s="8">
        <f t="shared" si="6"/>
        <v>20.137931034482758</v>
      </c>
    </row>
    <row r="420" spans="1:7" x14ac:dyDescent="0.25">
      <c r="A420" s="5">
        <v>45806.364583333336</v>
      </c>
      <c r="B420">
        <v>13</v>
      </c>
      <c r="C420" t="s">
        <v>18</v>
      </c>
      <c r="D420" t="s">
        <v>19</v>
      </c>
      <c r="E420">
        <v>1.52</v>
      </c>
      <c r="F420">
        <v>4.8499999999999996</v>
      </c>
      <c r="G420" s="8">
        <f t="shared" si="6"/>
        <v>18.804123711340207</v>
      </c>
    </row>
    <row r="421" spans="1:7" x14ac:dyDescent="0.25">
      <c r="A421" s="5">
        <v>45806.364583333336</v>
      </c>
      <c r="B421">
        <v>14</v>
      </c>
      <c r="C421" t="s">
        <v>19</v>
      </c>
      <c r="D421" t="s">
        <v>20</v>
      </c>
      <c r="E421">
        <v>1.51</v>
      </c>
      <c r="F421">
        <v>3.75</v>
      </c>
      <c r="G421" s="8">
        <f t="shared" si="6"/>
        <v>24.16</v>
      </c>
    </row>
    <row r="422" spans="1:7" x14ac:dyDescent="0.25">
      <c r="A422" s="5">
        <v>45806.364583333336</v>
      </c>
      <c r="B422">
        <v>15</v>
      </c>
      <c r="C422" t="s">
        <v>20</v>
      </c>
      <c r="D422" t="s">
        <v>21</v>
      </c>
      <c r="E422">
        <v>1.47</v>
      </c>
      <c r="F422">
        <v>2.77</v>
      </c>
      <c r="G422" s="8">
        <f t="shared" si="6"/>
        <v>31.841155234657041</v>
      </c>
    </row>
    <row r="423" spans="1:7" x14ac:dyDescent="0.25">
      <c r="A423" s="5">
        <v>45806.364583333336</v>
      </c>
      <c r="B423">
        <v>16</v>
      </c>
      <c r="C423" t="s">
        <v>21</v>
      </c>
      <c r="D423" t="s">
        <v>22</v>
      </c>
      <c r="E423">
        <v>1.5</v>
      </c>
      <c r="F423">
        <v>1.82</v>
      </c>
      <c r="G423" s="8">
        <f t="shared" si="6"/>
        <v>49.450549450549445</v>
      </c>
    </row>
    <row r="424" spans="1:7" x14ac:dyDescent="0.25">
      <c r="A424" s="5">
        <v>45806.364583333336</v>
      </c>
      <c r="B424">
        <v>17</v>
      </c>
      <c r="C424" t="s">
        <v>22</v>
      </c>
      <c r="D424" t="s">
        <v>23</v>
      </c>
      <c r="E424">
        <v>1.51</v>
      </c>
      <c r="F424">
        <v>3.17</v>
      </c>
      <c r="G424" s="8">
        <f t="shared" si="6"/>
        <v>28.580441640378549</v>
      </c>
    </row>
    <row r="425" spans="1:7" x14ac:dyDescent="0.25">
      <c r="A425" s="5">
        <v>45806.364583333336</v>
      </c>
      <c r="B425">
        <v>18</v>
      </c>
      <c r="C425" t="s">
        <v>23</v>
      </c>
      <c r="D425" t="s">
        <v>24</v>
      </c>
      <c r="E425">
        <v>1.51</v>
      </c>
      <c r="F425">
        <v>3.02</v>
      </c>
      <c r="G425" s="8">
        <f t="shared" si="6"/>
        <v>29.999999999999996</v>
      </c>
    </row>
    <row r="426" spans="1:7" x14ac:dyDescent="0.25">
      <c r="A426" s="5">
        <v>45806.364583333336</v>
      </c>
      <c r="B426">
        <v>19</v>
      </c>
      <c r="C426" t="s">
        <v>25</v>
      </c>
      <c r="D426" t="s">
        <v>26</v>
      </c>
      <c r="E426">
        <v>1.5</v>
      </c>
      <c r="F426">
        <v>3.95</v>
      </c>
      <c r="G426" s="8">
        <f t="shared" si="6"/>
        <v>22.784810126582279</v>
      </c>
    </row>
    <row r="427" spans="1:7" x14ac:dyDescent="0.25">
      <c r="A427" s="5">
        <v>45806.364583333336</v>
      </c>
      <c r="B427">
        <v>20</v>
      </c>
      <c r="C427" t="s">
        <v>26</v>
      </c>
      <c r="D427" t="s">
        <v>27</v>
      </c>
      <c r="E427">
        <v>1.48</v>
      </c>
      <c r="F427">
        <v>3.85</v>
      </c>
      <c r="G427" s="8">
        <f t="shared" si="6"/>
        <v>23.064935064935064</v>
      </c>
    </row>
    <row r="428" spans="1:7" x14ac:dyDescent="0.25">
      <c r="A428" s="5">
        <v>45806.364583333336</v>
      </c>
      <c r="B428">
        <v>21</v>
      </c>
      <c r="C428" t="s">
        <v>27</v>
      </c>
      <c r="D428" t="s">
        <v>28</v>
      </c>
      <c r="E428">
        <v>1.51</v>
      </c>
      <c r="F428">
        <v>4.0999999999999996</v>
      </c>
      <c r="G428" s="8">
        <f t="shared" si="6"/>
        <v>22.097560975609756</v>
      </c>
    </row>
    <row r="429" spans="1:7" x14ac:dyDescent="0.25">
      <c r="A429" s="5">
        <v>45806.364583333336</v>
      </c>
      <c r="B429">
        <v>22</v>
      </c>
      <c r="C429" t="s">
        <v>28</v>
      </c>
      <c r="D429" t="s">
        <v>29</v>
      </c>
      <c r="E429">
        <v>1.57</v>
      </c>
      <c r="F429">
        <v>4.05</v>
      </c>
      <c r="G429" s="8">
        <f t="shared" si="6"/>
        <v>23.25925925925926</v>
      </c>
    </row>
    <row r="430" spans="1:7" x14ac:dyDescent="0.25">
      <c r="A430" s="5">
        <v>45806.364583333336</v>
      </c>
      <c r="B430">
        <v>23</v>
      </c>
      <c r="C430" t="s">
        <v>29</v>
      </c>
      <c r="D430" t="s">
        <v>30</v>
      </c>
      <c r="E430">
        <v>1.43</v>
      </c>
      <c r="F430">
        <v>4.8</v>
      </c>
      <c r="G430" s="8">
        <f t="shared" si="6"/>
        <v>17.875</v>
      </c>
    </row>
    <row r="431" spans="1:7" x14ac:dyDescent="0.25">
      <c r="A431" s="5">
        <v>45806.364583333336</v>
      </c>
      <c r="B431">
        <v>24</v>
      </c>
      <c r="C431" t="s">
        <v>30</v>
      </c>
      <c r="D431" t="s">
        <v>31</v>
      </c>
      <c r="E431">
        <v>1.52</v>
      </c>
      <c r="F431">
        <v>4.17</v>
      </c>
      <c r="G431" s="8">
        <f t="shared" si="6"/>
        <v>21.870503597122305</v>
      </c>
    </row>
    <row r="432" spans="1:7" x14ac:dyDescent="0.25">
      <c r="A432" s="5">
        <v>45806.364583333336</v>
      </c>
      <c r="B432">
        <v>25</v>
      </c>
      <c r="C432" t="s">
        <v>31</v>
      </c>
      <c r="D432" t="s">
        <v>32</v>
      </c>
      <c r="E432">
        <v>1.52</v>
      </c>
      <c r="F432">
        <v>3.6</v>
      </c>
      <c r="G432" s="8">
        <f t="shared" si="6"/>
        <v>25.333333333333332</v>
      </c>
    </row>
    <row r="433" spans="1:7" x14ac:dyDescent="0.25">
      <c r="A433" s="5">
        <v>45806.364583333336</v>
      </c>
      <c r="B433">
        <v>26</v>
      </c>
      <c r="C433" t="s">
        <v>32</v>
      </c>
      <c r="D433" t="s">
        <v>33</v>
      </c>
      <c r="E433">
        <v>1.49</v>
      </c>
      <c r="F433">
        <v>3.87</v>
      </c>
      <c r="G433" s="8">
        <f t="shared" si="6"/>
        <v>23.100775193798452</v>
      </c>
    </row>
    <row r="434" spans="1:7" x14ac:dyDescent="0.25">
      <c r="A434" s="5">
        <v>45806.364583333336</v>
      </c>
      <c r="B434">
        <v>27</v>
      </c>
      <c r="C434" t="s">
        <v>33</v>
      </c>
      <c r="D434" t="s">
        <v>34</v>
      </c>
      <c r="E434">
        <v>1.53</v>
      </c>
      <c r="F434">
        <v>3.27</v>
      </c>
      <c r="G434" s="8">
        <f t="shared" si="6"/>
        <v>28.073394495412842</v>
      </c>
    </row>
    <row r="435" spans="1:7" x14ac:dyDescent="0.25">
      <c r="A435" s="5">
        <v>45806.364583333336</v>
      </c>
      <c r="B435">
        <v>28</v>
      </c>
      <c r="C435" t="s">
        <v>34</v>
      </c>
      <c r="D435" t="s">
        <v>35</v>
      </c>
      <c r="E435">
        <v>1.51</v>
      </c>
      <c r="F435">
        <v>4.0999999999999996</v>
      </c>
      <c r="G435" s="8">
        <f t="shared" si="6"/>
        <v>22.097560975609756</v>
      </c>
    </row>
    <row r="436" spans="1:7" x14ac:dyDescent="0.25">
      <c r="A436" s="5">
        <v>45806.364583333336</v>
      </c>
      <c r="B436">
        <v>29</v>
      </c>
      <c r="C436" t="s">
        <v>36</v>
      </c>
      <c r="D436" t="s">
        <v>37</v>
      </c>
      <c r="E436">
        <v>1.57</v>
      </c>
      <c r="F436">
        <v>5.53</v>
      </c>
      <c r="G436" s="8">
        <f t="shared" si="6"/>
        <v>17.034358047016276</v>
      </c>
    </row>
    <row r="437" spans="1:7" x14ac:dyDescent="0.25">
      <c r="A437" s="5">
        <v>45806.364583333336</v>
      </c>
      <c r="B437">
        <v>30</v>
      </c>
      <c r="C437" t="s">
        <v>37</v>
      </c>
      <c r="D437" t="s">
        <v>38</v>
      </c>
      <c r="E437">
        <v>1.57</v>
      </c>
      <c r="F437">
        <v>6.52</v>
      </c>
      <c r="G437" s="8">
        <f t="shared" si="6"/>
        <v>14.447852760736197</v>
      </c>
    </row>
    <row r="438" spans="1:7" x14ac:dyDescent="0.25">
      <c r="A438" s="5">
        <v>45806.364583333336</v>
      </c>
      <c r="B438">
        <v>31</v>
      </c>
      <c r="C438" t="s">
        <v>38</v>
      </c>
      <c r="D438" t="s">
        <v>39</v>
      </c>
      <c r="E438">
        <v>1.52</v>
      </c>
      <c r="F438">
        <v>2.97</v>
      </c>
      <c r="G438" s="8">
        <f t="shared" si="6"/>
        <v>30.707070707070706</v>
      </c>
    </row>
    <row r="439" spans="1:7" x14ac:dyDescent="0.25">
      <c r="A439" s="5">
        <v>45806.364583333336</v>
      </c>
      <c r="B439">
        <v>32</v>
      </c>
      <c r="C439" t="s">
        <v>39</v>
      </c>
      <c r="D439" t="s">
        <v>40</v>
      </c>
      <c r="E439">
        <v>1.5</v>
      </c>
      <c r="F439">
        <v>1.7</v>
      </c>
      <c r="G439" s="8">
        <f t="shared" si="6"/>
        <v>52.941176470588239</v>
      </c>
    </row>
    <row r="440" spans="1:7" x14ac:dyDescent="0.25">
      <c r="A440" s="5">
        <v>45806.364583333336</v>
      </c>
      <c r="B440">
        <v>33</v>
      </c>
      <c r="C440" t="s">
        <v>40</v>
      </c>
      <c r="D440" t="s">
        <v>41</v>
      </c>
      <c r="E440">
        <v>1.51</v>
      </c>
      <c r="F440">
        <v>1.8</v>
      </c>
      <c r="G440" s="8">
        <f t="shared" si="6"/>
        <v>50.333333333333329</v>
      </c>
    </row>
    <row r="441" spans="1:7" x14ac:dyDescent="0.25">
      <c r="A441" s="5">
        <v>45806.364583333336</v>
      </c>
      <c r="B441">
        <v>34</v>
      </c>
      <c r="C441" t="s">
        <v>41</v>
      </c>
      <c r="D441" t="s">
        <v>42</v>
      </c>
      <c r="E441">
        <v>1.5</v>
      </c>
      <c r="F441">
        <v>1.93</v>
      </c>
      <c r="G441" s="8">
        <f t="shared" si="6"/>
        <v>46.632124352331608</v>
      </c>
    </row>
    <row r="442" spans="1:7" x14ac:dyDescent="0.25">
      <c r="A442" s="5">
        <v>45806.364583333336</v>
      </c>
      <c r="B442">
        <v>35</v>
      </c>
      <c r="C442" t="s">
        <v>43</v>
      </c>
      <c r="D442" t="s">
        <v>44</v>
      </c>
      <c r="E442">
        <v>1.55</v>
      </c>
      <c r="F442">
        <v>3.95</v>
      </c>
      <c r="G442" s="8">
        <f t="shared" si="6"/>
        <v>23.544303797468352</v>
      </c>
    </row>
    <row r="443" spans="1:7" x14ac:dyDescent="0.25">
      <c r="A443" s="5">
        <v>45806.364583333336</v>
      </c>
      <c r="B443">
        <v>36</v>
      </c>
      <c r="C443" t="s">
        <v>44</v>
      </c>
      <c r="D443" t="s">
        <v>45</v>
      </c>
      <c r="E443">
        <v>1.5</v>
      </c>
      <c r="F443">
        <v>3.08</v>
      </c>
      <c r="G443" s="8">
        <f t="shared" si="6"/>
        <v>29.220779220779221</v>
      </c>
    </row>
    <row r="444" spans="1:7" x14ac:dyDescent="0.25">
      <c r="A444" s="5">
        <v>45806.364583333336</v>
      </c>
      <c r="B444">
        <v>37</v>
      </c>
      <c r="C444" t="s">
        <v>45</v>
      </c>
      <c r="D444" t="s">
        <v>46</v>
      </c>
      <c r="E444">
        <v>1.38</v>
      </c>
      <c r="F444">
        <v>3.97</v>
      </c>
      <c r="G444" s="8">
        <f t="shared" si="6"/>
        <v>20.856423173803524</v>
      </c>
    </row>
    <row r="445" spans="1:7" x14ac:dyDescent="0.25">
      <c r="A445" s="5">
        <v>45806.364583333336</v>
      </c>
      <c r="B445">
        <v>38</v>
      </c>
      <c r="C445" t="s">
        <v>46</v>
      </c>
      <c r="D445" t="s">
        <v>47</v>
      </c>
      <c r="E445">
        <v>1.61</v>
      </c>
      <c r="F445">
        <v>3.9</v>
      </c>
      <c r="G445" s="8">
        <f t="shared" si="6"/>
        <v>24.769230769230774</v>
      </c>
    </row>
    <row r="446" spans="1:7" x14ac:dyDescent="0.25">
      <c r="A446" s="5">
        <v>45806.364583333336</v>
      </c>
      <c r="B446">
        <v>39</v>
      </c>
      <c r="C446" t="s">
        <v>47</v>
      </c>
      <c r="D446" t="s">
        <v>48</v>
      </c>
      <c r="E446">
        <v>1.55</v>
      </c>
      <c r="F446">
        <v>3.4</v>
      </c>
      <c r="G446" s="8">
        <f t="shared" si="6"/>
        <v>27.352941176470591</v>
      </c>
    </row>
    <row r="447" spans="1:7" x14ac:dyDescent="0.25">
      <c r="A447" s="5">
        <v>45806.364583333336</v>
      </c>
      <c r="B447">
        <v>40</v>
      </c>
      <c r="C447" t="s">
        <v>48</v>
      </c>
      <c r="D447" t="s">
        <v>49</v>
      </c>
      <c r="E447">
        <v>1.39</v>
      </c>
      <c r="F447">
        <v>2.87</v>
      </c>
      <c r="G447" s="8">
        <f t="shared" si="6"/>
        <v>29.059233449477347</v>
      </c>
    </row>
    <row r="448" spans="1:7" x14ac:dyDescent="0.25">
      <c r="A448" s="5">
        <v>45806.364583333336</v>
      </c>
      <c r="B448">
        <v>41</v>
      </c>
      <c r="C448" t="s">
        <v>50</v>
      </c>
      <c r="D448" t="s">
        <v>51</v>
      </c>
      <c r="E448">
        <v>1.56</v>
      </c>
      <c r="F448">
        <v>4.5999999999999996</v>
      </c>
      <c r="G448" s="8">
        <f t="shared" si="6"/>
        <v>20.347826086956527</v>
      </c>
    </row>
    <row r="449" spans="1:7" x14ac:dyDescent="0.25">
      <c r="A449" s="5">
        <v>45806.364583333336</v>
      </c>
      <c r="B449">
        <v>42</v>
      </c>
      <c r="C449" t="s">
        <v>51</v>
      </c>
      <c r="D449" t="s">
        <v>52</v>
      </c>
      <c r="E449">
        <v>1.56</v>
      </c>
      <c r="F449">
        <v>4.3499999999999996</v>
      </c>
      <c r="G449" s="8">
        <f t="shared" si="6"/>
        <v>21.517241379310349</v>
      </c>
    </row>
    <row r="450" spans="1:7" x14ac:dyDescent="0.25">
      <c r="A450" s="5">
        <v>45806.364583333336</v>
      </c>
      <c r="B450">
        <v>43</v>
      </c>
      <c r="C450" t="s">
        <v>52</v>
      </c>
      <c r="D450" t="s">
        <v>53</v>
      </c>
      <c r="E450">
        <v>1.51</v>
      </c>
      <c r="F450">
        <v>3.48</v>
      </c>
      <c r="G450" s="8">
        <f t="shared" si="6"/>
        <v>26.034482758620687</v>
      </c>
    </row>
    <row r="451" spans="1:7" x14ac:dyDescent="0.25">
      <c r="A451" s="5">
        <v>45806.364583333336</v>
      </c>
      <c r="B451">
        <v>44</v>
      </c>
      <c r="C451" t="s">
        <v>54</v>
      </c>
      <c r="D451" t="s">
        <v>55</v>
      </c>
      <c r="E451">
        <v>1.51</v>
      </c>
      <c r="F451">
        <v>4.93</v>
      </c>
      <c r="G451" s="8">
        <f t="shared" ref="G451:G514" si="7">E451*60/F451</f>
        <v>18.377281947261665</v>
      </c>
    </row>
    <row r="452" spans="1:7" x14ac:dyDescent="0.25">
      <c r="A452" s="5">
        <v>45806.364583333336</v>
      </c>
      <c r="B452">
        <v>45</v>
      </c>
      <c r="C452" t="s">
        <v>55</v>
      </c>
      <c r="D452" t="s">
        <v>56</v>
      </c>
      <c r="E452">
        <v>1.49</v>
      </c>
      <c r="F452">
        <v>3.78</v>
      </c>
      <c r="G452" s="8">
        <f t="shared" si="7"/>
        <v>23.650793650793652</v>
      </c>
    </row>
    <row r="453" spans="1:7" x14ac:dyDescent="0.25">
      <c r="A453" s="5">
        <v>45806.364583333336</v>
      </c>
      <c r="B453">
        <v>46</v>
      </c>
      <c r="C453" t="s">
        <v>56</v>
      </c>
      <c r="D453" t="s">
        <v>57</v>
      </c>
      <c r="E453">
        <v>1.52</v>
      </c>
      <c r="F453">
        <v>4.2300000000000004</v>
      </c>
      <c r="G453" s="8">
        <f t="shared" si="7"/>
        <v>21.560283687943262</v>
      </c>
    </row>
    <row r="454" spans="1:7" x14ac:dyDescent="0.25">
      <c r="A454" s="5">
        <v>45806.364583333336</v>
      </c>
      <c r="B454">
        <v>47</v>
      </c>
      <c r="C454" t="s">
        <v>58</v>
      </c>
      <c r="D454" t="s">
        <v>59</v>
      </c>
      <c r="E454">
        <v>1.52</v>
      </c>
      <c r="F454">
        <v>5.03</v>
      </c>
      <c r="G454" s="8">
        <f t="shared" si="7"/>
        <v>18.131212723658052</v>
      </c>
    </row>
    <row r="455" spans="1:7" x14ac:dyDescent="0.25">
      <c r="A455" s="5">
        <v>45806.364583333336</v>
      </c>
      <c r="B455">
        <v>48</v>
      </c>
      <c r="C455" t="s">
        <v>59</v>
      </c>
      <c r="D455" t="s">
        <v>60</v>
      </c>
      <c r="E455">
        <v>1.5</v>
      </c>
      <c r="F455">
        <v>3.93</v>
      </c>
      <c r="G455" s="8">
        <f t="shared" si="7"/>
        <v>22.900763358778626</v>
      </c>
    </row>
    <row r="456" spans="1:7" x14ac:dyDescent="0.25">
      <c r="A456" s="5">
        <v>45806.364583333336</v>
      </c>
      <c r="B456">
        <v>49</v>
      </c>
      <c r="C456" t="s">
        <v>60</v>
      </c>
      <c r="D456" t="s">
        <v>61</v>
      </c>
      <c r="E456">
        <v>1.54</v>
      </c>
      <c r="F456">
        <v>4.7</v>
      </c>
      <c r="G456" s="8">
        <f t="shared" si="7"/>
        <v>19.659574468085108</v>
      </c>
    </row>
    <row r="457" spans="1:7" x14ac:dyDescent="0.25">
      <c r="A457" s="5">
        <v>45806.364583333336</v>
      </c>
      <c r="B457">
        <v>50</v>
      </c>
      <c r="C457" t="s">
        <v>62</v>
      </c>
      <c r="D457" t="s">
        <v>63</v>
      </c>
      <c r="E457">
        <v>1.38</v>
      </c>
      <c r="F457">
        <v>3.13</v>
      </c>
      <c r="G457" s="8">
        <f t="shared" si="7"/>
        <v>26.453674121405751</v>
      </c>
    </row>
    <row r="458" spans="1:7" x14ac:dyDescent="0.25">
      <c r="A458" s="5">
        <v>45806.364583333336</v>
      </c>
      <c r="B458">
        <v>51</v>
      </c>
      <c r="C458" t="s">
        <v>63</v>
      </c>
      <c r="D458" t="s">
        <v>64</v>
      </c>
      <c r="E458">
        <v>2.79</v>
      </c>
      <c r="F458">
        <v>5.83</v>
      </c>
      <c r="G458" s="8">
        <f t="shared" si="7"/>
        <v>28.713550600343055</v>
      </c>
    </row>
    <row r="459" spans="1:7" x14ac:dyDescent="0.25">
      <c r="A459" s="5">
        <v>45806.364583333336</v>
      </c>
      <c r="B459">
        <v>52</v>
      </c>
      <c r="C459" t="s">
        <v>64</v>
      </c>
      <c r="D459" t="s">
        <v>65</v>
      </c>
      <c r="E459">
        <v>1.5</v>
      </c>
      <c r="F459">
        <v>2.95</v>
      </c>
      <c r="G459" s="8">
        <f t="shared" si="7"/>
        <v>30.508474576271183</v>
      </c>
    </row>
    <row r="460" spans="1:7" x14ac:dyDescent="0.25">
      <c r="A460" s="5">
        <v>45806.364583333336</v>
      </c>
      <c r="B460">
        <v>53</v>
      </c>
      <c r="C460" t="s">
        <v>65</v>
      </c>
      <c r="D460" t="s">
        <v>66</v>
      </c>
      <c r="E460">
        <v>1.46</v>
      </c>
      <c r="F460">
        <v>3.9</v>
      </c>
      <c r="G460" s="8">
        <f t="shared" si="7"/>
        <v>22.46153846153846</v>
      </c>
    </row>
    <row r="461" spans="1:7" x14ac:dyDescent="0.25">
      <c r="A461" s="5">
        <v>45806.364583333336</v>
      </c>
      <c r="B461">
        <v>54</v>
      </c>
      <c r="C461" t="s">
        <v>67</v>
      </c>
      <c r="D461" t="s">
        <v>68</v>
      </c>
      <c r="E461">
        <v>1.53</v>
      </c>
      <c r="F461">
        <v>6.18</v>
      </c>
      <c r="G461" s="8">
        <f t="shared" si="7"/>
        <v>14.854368932038835</v>
      </c>
    </row>
    <row r="462" spans="1:7" x14ac:dyDescent="0.25">
      <c r="A462" s="5">
        <v>45806.364583333336</v>
      </c>
      <c r="B462">
        <v>55</v>
      </c>
      <c r="C462" t="s">
        <v>68</v>
      </c>
      <c r="D462" t="s">
        <v>69</v>
      </c>
      <c r="E462">
        <v>1.5</v>
      </c>
      <c r="F462">
        <v>2.92</v>
      </c>
      <c r="G462" s="8">
        <f t="shared" si="7"/>
        <v>30.82191780821918</v>
      </c>
    </row>
    <row r="463" spans="1:7" x14ac:dyDescent="0.25">
      <c r="A463" s="5">
        <v>45806.364583333336</v>
      </c>
      <c r="B463">
        <v>56</v>
      </c>
      <c r="C463" t="s">
        <v>70</v>
      </c>
      <c r="D463" t="s">
        <v>71</v>
      </c>
      <c r="E463">
        <v>1.51</v>
      </c>
      <c r="F463">
        <v>4.7300000000000004</v>
      </c>
      <c r="G463" s="8">
        <f t="shared" si="7"/>
        <v>19.154334038054966</v>
      </c>
    </row>
    <row r="464" spans="1:7" x14ac:dyDescent="0.25">
      <c r="A464" s="5">
        <v>45806.364583333336</v>
      </c>
      <c r="B464">
        <v>57</v>
      </c>
      <c r="C464" t="s">
        <v>71</v>
      </c>
      <c r="D464" t="s">
        <v>72</v>
      </c>
      <c r="E464">
        <v>1.52</v>
      </c>
      <c r="F464">
        <v>4.3499999999999996</v>
      </c>
      <c r="G464" s="8">
        <f t="shared" si="7"/>
        <v>20.965517241379313</v>
      </c>
    </row>
    <row r="465" spans="1:7" x14ac:dyDescent="0.25">
      <c r="A465" s="5">
        <v>45806.364583333336</v>
      </c>
      <c r="B465">
        <v>58</v>
      </c>
      <c r="C465" t="s">
        <v>72</v>
      </c>
      <c r="D465" t="s">
        <v>73</v>
      </c>
      <c r="E465">
        <v>1.5</v>
      </c>
      <c r="F465">
        <v>3.98</v>
      </c>
      <c r="G465" s="8">
        <f t="shared" si="7"/>
        <v>22.613065326633166</v>
      </c>
    </row>
    <row r="466" spans="1:7" x14ac:dyDescent="0.25">
      <c r="A466" s="5">
        <v>45806.375</v>
      </c>
      <c r="B466">
        <v>1</v>
      </c>
      <c r="C466" t="s">
        <v>6</v>
      </c>
      <c r="D466" t="s">
        <v>7</v>
      </c>
      <c r="E466">
        <v>1.53</v>
      </c>
      <c r="F466">
        <v>3.15</v>
      </c>
      <c r="G466" s="8">
        <f t="shared" si="7"/>
        <v>29.142857142857142</v>
      </c>
    </row>
    <row r="467" spans="1:7" x14ac:dyDescent="0.25">
      <c r="A467" s="5">
        <v>45806.375</v>
      </c>
      <c r="B467">
        <v>2</v>
      </c>
      <c r="C467" t="s">
        <v>7</v>
      </c>
      <c r="D467" t="s">
        <v>8</v>
      </c>
      <c r="E467">
        <v>1.57</v>
      </c>
      <c r="F467">
        <v>5.13</v>
      </c>
      <c r="G467" s="8">
        <f t="shared" si="7"/>
        <v>18.362573099415204</v>
      </c>
    </row>
    <row r="468" spans="1:7" x14ac:dyDescent="0.25">
      <c r="A468" s="5">
        <v>45806.375</v>
      </c>
      <c r="B468">
        <v>3</v>
      </c>
      <c r="C468" t="s">
        <v>8</v>
      </c>
      <c r="D468" t="s">
        <v>9</v>
      </c>
      <c r="E468">
        <v>1.5</v>
      </c>
      <c r="F468">
        <v>3</v>
      </c>
      <c r="G468" s="8">
        <f t="shared" si="7"/>
        <v>30</v>
      </c>
    </row>
    <row r="469" spans="1:7" x14ac:dyDescent="0.25">
      <c r="A469" s="5">
        <v>45806.375</v>
      </c>
      <c r="B469">
        <v>4</v>
      </c>
      <c r="C469" t="s">
        <v>9</v>
      </c>
      <c r="D469" t="s">
        <v>10</v>
      </c>
      <c r="E469">
        <v>1.5</v>
      </c>
      <c r="F469">
        <v>2.87</v>
      </c>
      <c r="G469" s="8">
        <f t="shared" si="7"/>
        <v>31.358885017421603</v>
      </c>
    </row>
    <row r="470" spans="1:7" x14ac:dyDescent="0.25">
      <c r="A470" s="5">
        <v>45806.375</v>
      </c>
      <c r="B470">
        <v>5</v>
      </c>
      <c r="C470" t="s">
        <v>10</v>
      </c>
      <c r="D470" t="s">
        <v>11</v>
      </c>
      <c r="E470">
        <v>1.52</v>
      </c>
      <c r="F470">
        <v>3.4</v>
      </c>
      <c r="G470" s="8">
        <f t="shared" si="7"/>
        <v>26.823529411764707</v>
      </c>
    </row>
    <row r="471" spans="1:7" x14ac:dyDescent="0.25">
      <c r="A471" s="5">
        <v>45806.375</v>
      </c>
      <c r="B471">
        <v>6</v>
      </c>
      <c r="C471" t="s">
        <v>11</v>
      </c>
      <c r="D471" t="s">
        <v>12</v>
      </c>
      <c r="E471">
        <v>1.5</v>
      </c>
      <c r="F471">
        <v>2.67</v>
      </c>
      <c r="G471" s="8">
        <f t="shared" si="7"/>
        <v>33.707865168539328</v>
      </c>
    </row>
    <row r="472" spans="1:7" x14ac:dyDescent="0.25">
      <c r="A472" s="5">
        <v>45806.375</v>
      </c>
      <c r="B472">
        <v>7</v>
      </c>
      <c r="C472" t="s">
        <v>12</v>
      </c>
      <c r="D472" t="s">
        <v>13</v>
      </c>
      <c r="E472">
        <v>1.54</v>
      </c>
      <c r="F472">
        <v>2.83</v>
      </c>
      <c r="G472" s="8">
        <f t="shared" si="7"/>
        <v>32.650176678445234</v>
      </c>
    </row>
    <row r="473" spans="1:7" x14ac:dyDescent="0.25">
      <c r="A473" s="5">
        <v>45806.375</v>
      </c>
      <c r="B473">
        <v>8</v>
      </c>
      <c r="C473" t="s">
        <v>13</v>
      </c>
      <c r="D473" t="s">
        <v>14</v>
      </c>
      <c r="E473">
        <v>1.54</v>
      </c>
      <c r="F473">
        <v>3.38</v>
      </c>
      <c r="G473" s="8">
        <f t="shared" si="7"/>
        <v>27.337278106508879</v>
      </c>
    </row>
    <row r="474" spans="1:7" x14ac:dyDescent="0.25">
      <c r="A474" s="5">
        <v>45806.375</v>
      </c>
      <c r="B474">
        <v>9</v>
      </c>
      <c r="C474" t="s">
        <v>14</v>
      </c>
      <c r="D474" t="s">
        <v>15</v>
      </c>
      <c r="E474">
        <v>1.52</v>
      </c>
      <c r="F474">
        <v>3.7</v>
      </c>
      <c r="G474" s="8">
        <f t="shared" si="7"/>
        <v>24.648648648648649</v>
      </c>
    </row>
    <row r="475" spans="1:7" x14ac:dyDescent="0.25">
      <c r="A475" s="5">
        <v>45806.375</v>
      </c>
      <c r="B475">
        <v>10</v>
      </c>
      <c r="C475" t="s">
        <v>15</v>
      </c>
      <c r="D475" t="s">
        <v>16</v>
      </c>
      <c r="E475">
        <v>1.5</v>
      </c>
      <c r="F475">
        <v>3.93</v>
      </c>
      <c r="G475" s="8">
        <f t="shared" si="7"/>
        <v>22.900763358778626</v>
      </c>
    </row>
    <row r="476" spans="1:7" x14ac:dyDescent="0.25">
      <c r="A476" s="5">
        <v>45806.375</v>
      </c>
      <c r="B476">
        <v>11</v>
      </c>
      <c r="C476" t="s">
        <v>16</v>
      </c>
      <c r="D476" t="s">
        <v>17</v>
      </c>
      <c r="E476">
        <v>1.48</v>
      </c>
      <c r="F476">
        <v>3.15</v>
      </c>
      <c r="G476" s="8">
        <f t="shared" si="7"/>
        <v>28.19047619047619</v>
      </c>
    </row>
    <row r="477" spans="1:7" x14ac:dyDescent="0.25">
      <c r="A477" s="5">
        <v>45806.375</v>
      </c>
      <c r="B477">
        <v>12</v>
      </c>
      <c r="C477" t="s">
        <v>17</v>
      </c>
      <c r="D477" t="s">
        <v>18</v>
      </c>
      <c r="E477">
        <v>1.46</v>
      </c>
      <c r="F477">
        <v>4.0999999999999996</v>
      </c>
      <c r="G477" s="8">
        <f t="shared" si="7"/>
        <v>21.365853658536587</v>
      </c>
    </row>
    <row r="478" spans="1:7" x14ac:dyDescent="0.25">
      <c r="A478" s="5">
        <v>45806.375</v>
      </c>
      <c r="B478">
        <v>13</v>
      </c>
      <c r="C478" t="s">
        <v>18</v>
      </c>
      <c r="D478" t="s">
        <v>19</v>
      </c>
      <c r="E478">
        <v>1.52</v>
      </c>
      <c r="F478">
        <v>4.38</v>
      </c>
      <c r="G478" s="8">
        <f t="shared" si="7"/>
        <v>20.82191780821918</v>
      </c>
    </row>
    <row r="479" spans="1:7" x14ac:dyDescent="0.25">
      <c r="A479" s="5">
        <v>45806.375</v>
      </c>
      <c r="B479">
        <v>14</v>
      </c>
      <c r="C479" t="s">
        <v>19</v>
      </c>
      <c r="D479" t="s">
        <v>20</v>
      </c>
      <c r="E479">
        <v>1.51</v>
      </c>
      <c r="F479">
        <v>3.43</v>
      </c>
      <c r="G479" s="8">
        <f t="shared" si="7"/>
        <v>26.413994169096206</v>
      </c>
    </row>
    <row r="480" spans="1:7" x14ac:dyDescent="0.25">
      <c r="A480" s="5">
        <v>45806.375</v>
      </c>
      <c r="B480">
        <v>15</v>
      </c>
      <c r="C480" t="s">
        <v>20</v>
      </c>
      <c r="D480" t="s">
        <v>21</v>
      </c>
      <c r="E480">
        <v>1.47</v>
      </c>
      <c r="F480">
        <v>2.5499999999999998</v>
      </c>
      <c r="G480" s="8">
        <f t="shared" si="7"/>
        <v>34.588235294117652</v>
      </c>
    </row>
    <row r="481" spans="1:7" x14ac:dyDescent="0.25">
      <c r="A481" s="5">
        <v>45806.375</v>
      </c>
      <c r="B481">
        <v>16</v>
      </c>
      <c r="C481" t="s">
        <v>21</v>
      </c>
      <c r="D481" t="s">
        <v>22</v>
      </c>
      <c r="E481">
        <v>1.5</v>
      </c>
      <c r="F481">
        <v>1.82</v>
      </c>
      <c r="G481" s="8">
        <f t="shared" si="7"/>
        <v>49.450549450549445</v>
      </c>
    </row>
    <row r="482" spans="1:7" x14ac:dyDescent="0.25">
      <c r="A482" s="5">
        <v>45806.375</v>
      </c>
      <c r="B482">
        <v>17</v>
      </c>
      <c r="C482" t="s">
        <v>22</v>
      </c>
      <c r="D482" t="s">
        <v>23</v>
      </c>
      <c r="E482">
        <v>1.51</v>
      </c>
      <c r="F482">
        <v>3.05</v>
      </c>
      <c r="G482" s="8">
        <f t="shared" si="7"/>
        <v>29.704918032786885</v>
      </c>
    </row>
    <row r="483" spans="1:7" x14ac:dyDescent="0.25">
      <c r="A483" s="5">
        <v>45806.375</v>
      </c>
      <c r="B483">
        <v>18</v>
      </c>
      <c r="C483" t="s">
        <v>23</v>
      </c>
      <c r="D483" t="s">
        <v>24</v>
      </c>
      <c r="E483">
        <v>1.51</v>
      </c>
      <c r="F483">
        <v>3.12</v>
      </c>
      <c r="G483" s="8">
        <f t="shared" si="7"/>
        <v>29.038461538461537</v>
      </c>
    </row>
    <row r="484" spans="1:7" x14ac:dyDescent="0.25">
      <c r="A484" s="5">
        <v>45806.375</v>
      </c>
      <c r="B484">
        <v>19</v>
      </c>
      <c r="C484" t="s">
        <v>25</v>
      </c>
      <c r="D484" t="s">
        <v>26</v>
      </c>
      <c r="E484">
        <v>1.5</v>
      </c>
      <c r="F484">
        <v>4.2</v>
      </c>
      <c r="G484" s="8">
        <f t="shared" si="7"/>
        <v>21.428571428571427</v>
      </c>
    </row>
    <row r="485" spans="1:7" x14ac:dyDescent="0.25">
      <c r="A485" s="5">
        <v>45806.375</v>
      </c>
      <c r="B485">
        <v>20</v>
      </c>
      <c r="C485" t="s">
        <v>26</v>
      </c>
      <c r="D485" t="s">
        <v>27</v>
      </c>
      <c r="E485">
        <v>1.48</v>
      </c>
      <c r="F485">
        <v>4.0199999999999996</v>
      </c>
      <c r="G485" s="8">
        <f t="shared" si="7"/>
        <v>22.089552238805972</v>
      </c>
    </row>
    <row r="486" spans="1:7" x14ac:dyDescent="0.25">
      <c r="A486" s="5">
        <v>45806.375</v>
      </c>
      <c r="B486">
        <v>21</v>
      </c>
      <c r="C486" t="s">
        <v>27</v>
      </c>
      <c r="D486" t="s">
        <v>28</v>
      </c>
      <c r="E486">
        <v>1.51</v>
      </c>
      <c r="F486">
        <v>3.45</v>
      </c>
      <c r="G486" s="8">
        <f t="shared" si="7"/>
        <v>26.260869565217387</v>
      </c>
    </row>
    <row r="487" spans="1:7" x14ac:dyDescent="0.25">
      <c r="A487" s="5">
        <v>45806.375</v>
      </c>
      <c r="B487">
        <v>22</v>
      </c>
      <c r="C487" t="s">
        <v>28</v>
      </c>
      <c r="D487" t="s">
        <v>29</v>
      </c>
      <c r="E487">
        <v>1.57</v>
      </c>
      <c r="F487">
        <v>4.25</v>
      </c>
      <c r="G487" s="8">
        <f t="shared" si="7"/>
        <v>22.164705882352941</v>
      </c>
    </row>
    <row r="488" spans="1:7" x14ac:dyDescent="0.25">
      <c r="A488" s="5">
        <v>45806.375</v>
      </c>
      <c r="B488">
        <v>23</v>
      </c>
      <c r="C488" t="s">
        <v>29</v>
      </c>
      <c r="D488" t="s">
        <v>30</v>
      </c>
      <c r="E488">
        <v>1.43</v>
      </c>
      <c r="F488">
        <v>4.87</v>
      </c>
      <c r="G488" s="8">
        <f t="shared" si="7"/>
        <v>17.618069815195071</v>
      </c>
    </row>
    <row r="489" spans="1:7" x14ac:dyDescent="0.25">
      <c r="A489" s="5">
        <v>45806.375</v>
      </c>
      <c r="B489">
        <v>24</v>
      </c>
      <c r="C489" t="s">
        <v>30</v>
      </c>
      <c r="D489" t="s">
        <v>31</v>
      </c>
      <c r="E489">
        <v>1.52</v>
      </c>
      <c r="F489">
        <v>3.9</v>
      </c>
      <c r="G489" s="8">
        <f t="shared" si="7"/>
        <v>23.384615384615387</v>
      </c>
    </row>
    <row r="490" spans="1:7" x14ac:dyDescent="0.25">
      <c r="A490" s="5">
        <v>45806.375</v>
      </c>
      <c r="B490">
        <v>25</v>
      </c>
      <c r="C490" t="s">
        <v>31</v>
      </c>
      <c r="D490" t="s">
        <v>32</v>
      </c>
      <c r="E490">
        <v>1.52</v>
      </c>
      <c r="F490">
        <v>3.43</v>
      </c>
      <c r="G490" s="8">
        <f t="shared" si="7"/>
        <v>26.588921282798832</v>
      </c>
    </row>
    <row r="491" spans="1:7" x14ac:dyDescent="0.25">
      <c r="A491" s="5">
        <v>45806.375</v>
      </c>
      <c r="B491">
        <v>26</v>
      </c>
      <c r="C491" t="s">
        <v>32</v>
      </c>
      <c r="D491" t="s">
        <v>33</v>
      </c>
      <c r="E491">
        <v>1.49</v>
      </c>
      <c r="F491">
        <v>3.92</v>
      </c>
      <c r="G491" s="8">
        <f t="shared" si="7"/>
        <v>22.806122448979593</v>
      </c>
    </row>
    <row r="492" spans="1:7" x14ac:dyDescent="0.25">
      <c r="A492" s="5">
        <v>45806.375</v>
      </c>
      <c r="B492">
        <v>27</v>
      </c>
      <c r="C492" t="s">
        <v>33</v>
      </c>
      <c r="D492" t="s">
        <v>34</v>
      </c>
      <c r="E492">
        <v>1.53</v>
      </c>
      <c r="F492">
        <v>3.62</v>
      </c>
      <c r="G492" s="8">
        <f t="shared" si="7"/>
        <v>25.359116022099446</v>
      </c>
    </row>
    <row r="493" spans="1:7" x14ac:dyDescent="0.25">
      <c r="A493" s="5">
        <v>45806.375</v>
      </c>
      <c r="B493">
        <v>28</v>
      </c>
      <c r="C493" t="s">
        <v>34</v>
      </c>
      <c r="D493" t="s">
        <v>35</v>
      </c>
      <c r="E493">
        <v>1.51</v>
      </c>
      <c r="F493">
        <v>4.18</v>
      </c>
      <c r="G493" s="8">
        <f t="shared" si="7"/>
        <v>21.67464114832536</v>
      </c>
    </row>
    <row r="494" spans="1:7" x14ac:dyDescent="0.25">
      <c r="A494" s="5">
        <v>45806.375</v>
      </c>
      <c r="B494">
        <v>29</v>
      </c>
      <c r="C494" t="s">
        <v>36</v>
      </c>
      <c r="D494" t="s">
        <v>37</v>
      </c>
      <c r="E494">
        <v>1.57</v>
      </c>
      <c r="F494">
        <v>4.93</v>
      </c>
      <c r="G494" s="8">
        <f t="shared" si="7"/>
        <v>19.107505070993916</v>
      </c>
    </row>
    <row r="495" spans="1:7" x14ac:dyDescent="0.25">
      <c r="A495" s="5">
        <v>45806.375</v>
      </c>
      <c r="B495">
        <v>30</v>
      </c>
      <c r="C495" t="s">
        <v>37</v>
      </c>
      <c r="D495" t="s">
        <v>38</v>
      </c>
      <c r="E495">
        <v>1.57</v>
      </c>
      <c r="F495">
        <v>6.45</v>
      </c>
      <c r="G495" s="8">
        <f t="shared" si="7"/>
        <v>14.604651162790697</v>
      </c>
    </row>
    <row r="496" spans="1:7" x14ac:dyDescent="0.25">
      <c r="A496" s="5">
        <v>45806.375</v>
      </c>
      <c r="B496">
        <v>31</v>
      </c>
      <c r="C496" t="s">
        <v>38</v>
      </c>
      <c r="D496" t="s">
        <v>39</v>
      </c>
      <c r="E496">
        <v>1.52</v>
      </c>
      <c r="F496">
        <v>2.88</v>
      </c>
      <c r="G496" s="8">
        <f t="shared" si="7"/>
        <v>31.666666666666668</v>
      </c>
    </row>
    <row r="497" spans="1:7" x14ac:dyDescent="0.25">
      <c r="A497" s="5">
        <v>45806.375</v>
      </c>
      <c r="B497">
        <v>32</v>
      </c>
      <c r="C497" t="s">
        <v>39</v>
      </c>
      <c r="D497" t="s">
        <v>40</v>
      </c>
      <c r="E497">
        <v>1.5</v>
      </c>
      <c r="F497">
        <v>1.8</v>
      </c>
      <c r="G497" s="8">
        <f t="shared" si="7"/>
        <v>50</v>
      </c>
    </row>
    <row r="498" spans="1:7" x14ac:dyDescent="0.25">
      <c r="A498" s="5">
        <v>45806.375</v>
      </c>
      <c r="B498">
        <v>33</v>
      </c>
      <c r="C498" t="s">
        <v>40</v>
      </c>
      <c r="D498" t="s">
        <v>41</v>
      </c>
      <c r="E498">
        <v>1.51</v>
      </c>
      <c r="F498">
        <v>1.82</v>
      </c>
      <c r="G498" s="8">
        <f t="shared" si="7"/>
        <v>49.780219780219774</v>
      </c>
    </row>
    <row r="499" spans="1:7" x14ac:dyDescent="0.25">
      <c r="A499" s="5">
        <v>45806.375</v>
      </c>
      <c r="B499">
        <v>34</v>
      </c>
      <c r="C499" t="s">
        <v>41</v>
      </c>
      <c r="D499" t="s">
        <v>42</v>
      </c>
      <c r="E499">
        <v>1.5</v>
      </c>
      <c r="F499">
        <v>1.85</v>
      </c>
      <c r="G499" s="8">
        <f t="shared" si="7"/>
        <v>48.648648648648646</v>
      </c>
    </row>
    <row r="500" spans="1:7" x14ac:dyDescent="0.25">
      <c r="A500" s="5">
        <v>45806.375</v>
      </c>
      <c r="B500">
        <v>35</v>
      </c>
      <c r="C500" t="s">
        <v>43</v>
      </c>
      <c r="D500" t="s">
        <v>44</v>
      </c>
      <c r="E500">
        <v>1.55</v>
      </c>
      <c r="F500">
        <v>3.73</v>
      </c>
      <c r="G500" s="8">
        <f t="shared" si="7"/>
        <v>24.932975871313673</v>
      </c>
    </row>
    <row r="501" spans="1:7" x14ac:dyDescent="0.25">
      <c r="A501" s="5">
        <v>45806.375</v>
      </c>
      <c r="B501">
        <v>36</v>
      </c>
      <c r="C501" t="s">
        <v>44</v>
      </c>
      <c r="D501" t="s">
        <v>45</v>
      </c>
      <c r="E501">
        <v>1.5</v>
      </c>
      <c r="F501">
        <v>3.08</v>
      </c>
      <c r="G501" s="8">
        <f t="shared" si="7"/>
        <v>29.220779220779221</v>
      </c>
    </row>
    <row r="502" spans="1:7" x14ac:dyDescent="0.25">
      <c r="A502" s="5">
        <v>45806.375</v>
      </c>
      <c r="B502">
        <v>37</v>
      </c>
      <c r="C502" t="s">
        <v>45</v>
      </c>
      <c r="D502" t="s">
        <v>46</v>
      </c>
      <c r="E502">
        <v>1.38</v>
      </c>
      <c r="F502">
        <v>4.07</v>
      </c>
      <c r="G502" s="8">
        <f t="shared" si="7"/>
        <v>20.343980343980341</v>
      </c>
    </row>
    <row r="503" spans="1:7" x14ac:dyDescent="0.25">
      <c r="A503" s="5">
        <v>45806.375</v>
      </c>
      <c r="B503">
        <v>38</v>
      </c>
      <c r="C503" t="s">
        <v>46</v>
      </c>
      <c r="D503" t="s">
        <v>47</v>
      </c>
      <c r="E503">
        <v>1.61</v>
      </c>
      <c r="F503">
        <v>3.9</v>
      </c>
      <c r="G503" s="8">
        <f t="shared" si="7"/>
        <v>24.769230769230774</v>
      </c>
    </row>
    <row r="504" spans="1:7" x14ac:dyDescent="0.25">
      <c r="A504" s="5">
        <v>45806.375</v>
      </c>
      <c r="B504">
        <v>39</v>
      </c>
      <c r="C504" t="s">
        <v>47</v>
      </c>
      <c r="D504" t="s">
        <v>48</v>
      </c>
      <c r="E504">
        <v>1.55</v>
      </c>
      <c r="F504">
        <v>3.37</v>
      </c>
      <c r="G504" s="8">
        <f t="shared" si="7"/>
        <v>27.596439169139465</v>
      </c>
    </row>
    <row r="505" spans="1:7" x14ac:dyDescent="0.25">
      <c r="A505" s="5">
        <v>45806.375</v>
      </c>
      <c r="B505">
        <v>40</v>
      </c>
      <c r="C505" t="s">
        <v>48</v>
      </c>
      <c r="D505" t="s">
        <v>49</v>
      </c>
      <c r="E505">
        <v>1.39</v>
      </c>
      <c r="F505">
        <v>2.82</v>
      </c>
      <c r="G505" s="8">
        <f t="shared" si="7"/>
        <v>29.574468085106382</v>
      </c>
    </row>
    <row r="506" spans="1:7" x14ac:dyDescent="0.25">
      <c r="A506" s="5">
        <v>45806.375</v>
      </c>
      <c r="B506">
        <v>41</v>
      </c>
      <c r="C506" t="s">
        <v>50</v>
      </c>
      <c r="D506" t="s">
        <v>51</v>
      </c>
      <c r="E506">
        <v>1.56</v>
      </c>
      <c r="F506">
        <v>4.12</v>
      </c>
      <c r="G506" s="8">
        <f t="shared" si="7"/>
        <v>22.71844660194175</v>
      </c>
    </row>
    <row r="507" spans="1:7" x14ac:dyDescent="0.25">
      <c r="A507" s="5">
        <v>45806.375</v>
      </c>
      <c r="B507">
        <v>42</v>
      </c>
      <c r="C507" t="s">
        <v>51</v>
      </c>
      <c r="D507" t="s">
        <v>52</v>
      </c>
      <c r="E507">
        <v>1.56</v>
      </c>
      <c r="F507">
        <v>3.77</v>
      </c>
      <c r="G507" s="8">
        <f t="shared" si="7"/>
        <v>24.827586206896555</v>
      </c>
    </row>
    <row r="508" spans="1:7" x14ac:dyDescent="0.25">
      <c r="A508" s="5">
        <v>45806.375</v>
      </c>
      <c r="B508">
        <v>43</v>
      </c>
      <c r="C508" t="s">
        <v>52</v>
      </c>
      <c r="D508" t="s">
        <v>53</v>
      </c>
      <c r="E508">
        <v>1.51</v>
      </c>
      <c r="F508">
        <v>3.37</v>
      </c>
      <c r="G508" s="8">
        <f t="shared" si="7"/>
        <v>26.884272997032639</v>
      </c>
    </row>
    <row r="509" spans="1:7" x14ac:dyDescent="0.25">
      <c r="A509" s="5">
        <v>45806.375</v>
      </c>
      <c r="B509">
        <v>44</v>
      </c>
      <c r="C509" t="s">
        <v>54</v>
      </c>
      <c r="D509" t="s">
        <v>55</v>
      </c>
      <c r="E509">
        <v>1.51</v>
      </c>
      <c r="F509">
        <v>4.7</v>
      </c>
      <c r="G509" s="8">
        <f t="shared" si="7"/>
        <v>19.276595744680851</v>
      </c>
    </row>
    <row r="510" spans="1:7" x14ac:dyDescent="0.25">
      <c r="A510" s="5">
        <v>45806.375</v>
      </c>
      <c r="B510">
        <v>45</v>
      </c>
      <c r="C510" t="s">
        <v>55</v>
      </c>
      <c r="D510" t="s">
        <v>56</v>
      </c>
      <c r="E510">
        <v>1.49</v>
      </c>
      <c r="F510">
        <v>3.57</v>
      </c>
      <c r="G510" s="8">
        <f t="shared" si="7"/>
        <v>25.042016806722692</v>
      </c>
    </row>
    <row r="511" spans="1:7" x14ac:dyDescent="0.25">
      <c r="A511" s="5">
        <v>45806.375</v>
      </c>
      <c r="B511">
        <v>46</v>
      </c>
      <c r="C511" t="s">
        <v>56</v>
      </c>
      <c r="D511" t="s">
        <v>57</v>
      </c>
      <c r="E511">
        <v>1.52</v>
      </c>
      <c r="F511">
        <v>4.08</v>
      </c>
      <c r="G511" s="8">
        <f t="shared" si="7"/>
        <v>22.352941176470587</v>
      </c>
    </row>
    <row r="512" spans="1:7" x14ac:dyDescent="0.25">
      <c r="A512" s="5">
        <v>45806.375</v>
      </c>
      <c r="B512">
        <v>47</v>
      </c>
      <c r="C512" t="s">
        <v>58</v>
      </c>
      <c r="D512" t="s">
        <v>59</v>
      </c>
      <c r="E512">
        <v>1.52</v>
      </c>
      <c r="F512">
        <v>5.07</v>
      </c>
      <c r="G512" s="8">
        <f t="shared" si="7"/>
        <v>17.988165680473372</v>
      </c>
    </row>
    <row r="513" spans="1:7" x14ac:dyDescent="0.25">
      <c r="A513" s="5">
        <v>45806.375</v>
      </c>
      <c r="B513">
        <v>48</v>
      </c>
      <c r="C513" t="s">
        <v>59</v>
      </c>
      <c r="D513" t="s">
        <v>60</v>
      </c>
      <c r="E513">
        <v>1.5</v>
      </c>
      <c r="F513">
        <v>3.57</v>
      </c>
      <c r="G513" s="8">
        <f t="shared" si="7"/>
        <v>25.210084033613448</v>
      </c>
    </row>
    <row r="514" spans="1:7" x14ac:dyDescent="0.25">
      <c r="A514" s="5">
        <v>45806.375</v>
      </c>
      <c r="B514">
        <v>49</v>
      </c>
      <c r="C514" t="s">
        <v>60</v>
      </c>
      <c r="D514" t="s">
        <v>61</v>
      </c>
      <c r="E514">
        <v>1.57</v>
      </c>
      <c r="F514">
        <v>3.78</v>
      </c>
      <c r="G514" s="8">
        <f t="shared" si="7"/>
        <v>24.920634920634921</v>
      </c>
    </row>
    <row r="515" spans="1:7" x14ac:dyDescent="0.25">
      <c r="A515" s="5">
        <v>45806.375</v>
      </c>
      <c r="B515">
        <v>50</v>
      </c>
      <c r="C515" t="s">
        <v>62</v>
      </c>
      <c r="D515" t="s">
        <v>63</v>
      </c>
      <c r="E515">
        <v>1.38</v>
      </c>
      <c r="F515">
        <v>3.18</v>
      </c>
      <c r="G515" s="8">
        <f t="shared" ref="G515:G578" si="8">E515*60/F515</f>
        <v>26.037735849056602</v>
      </c>
    </row>
    <row r="516" spans="1:7" x14ac:dyDescent="0.25">
      <c r="A516" s="5">
        <v>45806.375</v>
      </c>
      <c r="B516">
        <v>51</v>
      </c>
      <c r="C516" t="s">
        <v>63</v>
      </c>
      <c r="D516" t="s">
        <v>64</v>
      </c>
      <c r="E516">
        <v>2.79</v>
      </c>
      <c r="F516">
        <v>5.67</v>
      </c>
      <c r="G516" s="8">
        <f t="shared" si="8"/>
        <v>29.523809523809526</v>
      </c>
    </row>
    <row r="517" spans="1:7" x14ac:dyDescent="0.25">
      <c r="A517" s="5">
        <v>45806.375</v>
      </c>
      <c r="B517">
        <v>52</v>
      </c>
      <c r="C517" t="s">
        <v>64</v>
      </c>
      <c r="D517" t="s">
        <v>65</v>
      </c>
      <c r="E517">
        <v>1.5</v>
      </c>
      <c r="F517">
        <v>2.88</v>
      </c>
      <c r="G517" s="8">
        <f t="shared" si="8"/>
        <v>31.25</v>
      </c>
    </row>
    <row r="518" spans="1:7" x14ac:dyDescent="0.25">
      <c r="A518" s="5">
        <v>45806.375</v>
      </c>
      <c r="B518">
        <v>53</v>
      </c>
      <c r="C518" t="s">
        <v>65</v>
      </c>
      <c r="D518" t="s">
        <v>66</v>
      </c>
      <c r="E518">
        <v>1.46</v>
      </c>
      <c r="F518">
        <v>3.85</v>
      </c>
      <c r="G518" s="8">
        <f t="shared" si="8"/>
        <v>22.753246753246753</v>
      </c>
    </row>
    <row r="519" spans="1:7" x14ac:dyDescent="0.25">
      <c r="A519" s="5">
        <v>45806.375</v>
      </c>
      <c r="B519">
        <v>54</v>
      </c>
      <c r="C519" t="s">
        <v>67</v>
      </c>
      <c r="D519" t="s">
        <v>68</v>
      </c>
      <c r="E519">
        <v>1.46</v>
      </c>
      <c r="F519">
        <v>5.25</v>
      </c>
      <c r="G519" s="8">
        <f t="shared" si="8"/>
        <v>16.685714285714283</v>
      </c>
    </row>
    <row r="520" spans="1:7" x14ac:dyDescent="0.25">
      <c r="A520" s="5">
        <v>45806.375</v>
      </c>
      <c r="B520">
        <v>55</v>
      </c>
      <c r="C520" t="s">
        <v>68</v>
      </c>
      <c r="D520" t="s">
        <v>69</v>
      </c>
      <c r="E520">
        <v>1.5</v>
      </c>
      <c r="F520">
        <v>2.92</v>
      </c>
      <c r="G520" s="8">
        <f t="shared" si="8"/>
        <v>30.82191780821918</v>
      </c>
    </row>
    <row r="521" spans="1:7" x14ac:dyDescent="0.25">
      <c r="A521" s="5">
        <v>45806.375</v>
      </c>
      <c r="B521">
        <v>56</v>
      </c>
      <c r="C521" t="s">
        <v>70</v>
      </c>
      <c r="D521" t="s">
        <v>71</v>
      </c>
      <c r="E521">
        <v>1.51</v>
      </c>
      <c r="F521">
        <v>5.17</v>
      </c>
      <c r="G521" s="8">
        <f t="shared" si="8"/>
        <v>17.524177949709863</v>
      </c>
    </row>
    <row r="522" spans="1:7" x14ac:dyDescent="0.25">
      <c r="A522" s="5">
        <v>45806.375</v>
      </c>
      <c r="B522">
        <v>57</v>
      </c>
      <c r="C522" t="s">
        <v>71</v>
      </c>
      <c r="D522" t="s">
        <v>72</v>
      </c>
      <c r="E522">
        <v>1.52</v>
      </c>
      <c r="F522">
        <v>3.93</v>
      </c>
      <c r="G522" s="8">
        <f t="shared" si="8"/>
        <v>23.206106870229007</v>
      </c>
    </row>
    <row r="523" spans="1:7" x14ac:dyDescent="0.25">
      <c r="A523" s="5">
        <v>45806.375</v>
      </c>
      <c r="B523">
        <v>58</v>
      </c>
      <c r="C523" t="s">
        <v>72</v>
      </c>
      <c r="D523" t="s">
        <v>73</v>
      </c>
      <c r="E523">
        <v>1.5</v>
      </c>
      <c r="F523">
        <v>3.8</v>
      </c>
      <c r="G523" s="8">
        <f t="shared" si="8"/>
        <v>23.684210526315791</v>
      </c>
    </row>
    <row r="524" spans="1:7" x14ac:dyDescent="0.25">
      <c r="A524" s="5">
        <v>45806.385416666664</v>
      </c>
      <c r="B524">
        <v>1</v>
      </c>
      <c r="C524" t="s">
        <v>6</v>
      </c>
      <c r="D524" t="s">
        <v>7</v>
      </c>
      <c r="E524">
        <v>1.53</v>
      </c>
      <c r="F524">
        <v>3.08</v>
      </c>
      <c r="G524" s="8">
        <f t="shared" si="8"/>
        <v>29.805194805194805</v>
      </c>
    </row>
    <row r="525" spans="1:7" x14ac:dyDescent="0.25">
      <c r="A525" s="5">
        <v>45806.385416666664</v>
      </c>
      <c r="B525">
        <v>2</v>
      </c>
      <c r="C525" t="s">
        <v>7</v>
      </c>
      <c r="D525" t="s">
        <v>8</v>
      </c>
      <c r="E525">
        <v>1.57</v>
      </c>
      <c r="F525">
        <v>4.87</v>
      </c>
      <c r="G525" s="8">
        <f t="shared" si="8"/>
        <v>19.342915811088297</v>
      </c>
    </row>
    <row r="526" spans="1:7" x14ac:dyDescent="0.25">
      <c r="A526" s="5">
        <v>45806.385416666664</v>
      </c>
      <c r="B526">
        <v>3</v>
      </c>
      <c r="C526" t="s">
        <v>8</v>
      </c>
      <c r="D526" t="s">
        <v>9</v>
      </c>
      <c r="E526">
        <v>1.5</v>
      </c>
      <c r="F526">
        <v>3</v>
      </c>
      <c r="G526" s="8">
        <f t="shared" si="8"/>
        <v>30</v>
      </c>
    </row>
    <row r="527" spans="1:7" x14ac:dyDescent="0.25">
      <c r="A527" s="5">
        <v>45806.385416666664</v>
      </c>
      <c r="B527">
        <v>4</v>
      </c>
      <c r="C527" t="s">
        <v>9</v>
      </c>
      <c r="D527" t="s">
        <v>10</v>
      </c>
      <c r="E527">
        <v>1.5</v>
      </c>
      <c r="F527">
        <v>2.88</v>
      </c>
      <c r="G527" s="8">
        <f t="shared" si="8"/>
        <v>31.25</v>
      </c>
    </row>
    <row r="528" spans="1:7" x14ac:dyDescent="0.25">
      <c r="A528" s="5">
        <v>45806.385416666664</v>
      </c>
      <c r="B528">
        <v>5</v>
      </c>
      <c r="C528" t="s">
        <v>10</v>
      </c>
      <c r="D528" t="s">
        <v>11</v>
      </c>
      <c r="E528">
        <v>1.52</v>
      </c>
      <c r="F528">
        <v>3.2</v>
      </c>
      <c r="G528" s="8">
        <f t="shared" si="8"/>
        <v>28.5</v>
      </c>
    </row>
    <row r="529" spans="1:7" x14ac:dyDescent="0.25">
      <c r="A529" s="5">
        <v>45806.385416666664</v>
      </c>
      <c r="B529">
        <v>6</v>
      </c>
      <c r="C529" t="s">
        <v>11</v>
      </c>
      <c r="D529" t="s">
        <v>12</v>
      </c>
      <c r="E529">
        <v>1.5</v>
      </c>
      <c r="F529">
        <v>2.68</v>
      </c>
      <c r="G529" s="8">
        <f t="shared" si="8"/>
        <v>33.582089552238806</v>
      </c>
    </row>
    <row r="530" spans="1:7" x14ac:dyDescent="0.25">
      <c r="A530" s="5">
        <v>45806.385416666664</v>
      </c>
      <c r="B530">
        <v>7</v>
      </c>
      <c r="C530" t="s">
        <v>12</v>
      </c>
      <c r="D530" t="s">
        <v>13</v>
      </c>
      <c r="E530">
        <v>1.54</v>
      </c>
      <c r="F530">
        <v>2.5299999999999998</v>
      </c>
      <c r="G530" s="8">
        <f t="shared" si="8"/>
        <v>36.521739130434788</v>
      </c>
    </row>
    <row r="531" spans="1:7" x14ac:dyDescent="0.25">
      <c r="A531" s="5">
        <v>45806.385416666664</v>
      </c>
      <c r="B531">
        <v>8</v>
      </c>
      <c r="C531" t="s">
        <v>13</v>
      </c>
      <c r="D531" t="s">
        <v>14</v>
      </c>
      <c r="E531">
        <v>1.54</v>
      </c>
      <c r="F531">
        <v>3.32</v>
      </c>
      <c r="G531" s="8">
        <f t="shared" si="8"/>
        <v>27.831325301204821</v>
      </c>
    </row>
    <row r="532" spans="1:7" x14ac:dyDescent="0.25">
      <c r="A532" s="5">
        <v>45806.385416666664</v>
      </c>
      <c r="B532">
        <v>9</v>
      </c>
      <c r="C532" t="s">
        <v>14</v>
      </c>
      <c r="D532" t="s">
        <v>15</v>
      </c>
      <c r="E532">
        <v>1.52</v>
      </c>
      <c r="F532">
        <v>3.63</v>
      </c>
      <c r="G532" s="8">
        <f t="shared" si="8"/>
        <v>25.123966942148762</v>
      </c>
    </row>
    <row r="533" spans="1:7" x14ac:dyDescent="0.25">
      <c r="A533" s="5">
        <v>45806.385416666664</v>
      </c>
      <c r="B533">
        <v>10</v>
      </c>
      <c r="C533" t="s">
        <v>15</v>
      </c>
      <c r="D533" t="s">
        <v>16</v>
      </c>
      <c r="E533">
        <v>1.5</v>
      </c>
      <c r="F533">
        <v>3.68</v>
      </c>
      <c r="G533" s="8">
        <f t="shared" si="8"/>
        <v>24.456521739130434</v>
      </c>
    </row>
    <row r="534" spans="1:7" x14ac:dyDescent="0.25">
      <c r="A534" s="5">
        <v>45806.385416666664</v>
      </c>
      <c r="B534">
        <v>11</v>
      </c>
      <c r="C534" t="s">
        <v>16</v>
      </c>
      <c r="D534" t="s">
        <v>17</v>
      </c>
      <c r="E534">
        <v>1.48</v>
      </c>
      <c r="F534">
        <v>3.63</v>
      </c>
      <c r="G534" s="8">
        <f t="shared" si="8"/>
        <v>24.462809917355372</v>
      </c>
    </row>
    <row r="535" spans="1:7" x14ac:dyDescent="0.25">
      <c r="A535" s="5">
        <v>45806.385416666664</v>
      </c>
      <c r="B535">
        <v>12</v>
      </c>
      <c r="C535" t="s">
        <v>17</v>
      </c>
      <c r="D535" t="s">
        <v>18</v>
      </c>
      <c r="E535">
        <v>1.46</v>
      </c>
      <c r="F535">
        <v>4.18</v>
      </c>
      <c r="G535" s="8">
        <f t="shared" si="8"/>
        <v>20.956937799043061</v>
      </c>
    </row>
    <row r="536" spans="1:7" x14ac:dyDescent="0.25">
      <c r="A536" s="5">
        <v>45806.385416666664</v>
      </c>
      <c r="B536">
        <v>13</v>
      </c>
      <c r="C536" t="s">
        <v>18</v>
      </c>
      <c r="D536" t="s">
        <v>19</v>
      </c>
      <c r="E536">
        <v>1.52</v>
      </c>
      <c r="F536">
        <v>3.65</v>
      </c>
      <c r="G536" s="8">
        <f t="shared" si="8"/>
        <v>24.986301369863014</v>
      </c>
    </row>
    <row r="537" spans="1:7" x14ac:dyDescent="0.25">
      <c r="A537" s="5">
        <v>45806.385416666664</v>
      </c>
      <c r="B537">
        <v>14</v>
      </c>
      <c r="C537" t="s">
        <v>19</v>
      </c>
      <c r="D537" t="s">
        <v>20</v>
      </c>
      <c r="E537">
        <v>1.51</v>
      </c>
      <c r="F537">
        <v>3.83</v>
      </c>
      <c r="G537" s="8">
        <f t="shared" si="8"/>
        <v>23.655352480417754</v>
      </c>
    </row>
    <row r="538" spans="1:7" x14ac:dyDescent="0.25">
      <c r="A538" s="5">
        <v>45806.385416666664</v>
      </c>
      <c r="B538">
        <v>15</v>
      </c>
      <c r="C538" t="s">
        <v>20</v>
      </c>
      <c r="D538" t="s">
        <v>21</v>
      </c>
      <c r="E538">
        <v>1.47</v>
      </c>
      <c r="F538">
        <v>2.83</v>
      </c>
      <c r="G538" s="8">
        <f t="shared" si="8"/>
        <v>31.166077738515902</v>
      </c>
    </row>
    <row r="539" spans="1:7" x14ac:dyDescent="0.25">
      <c r="A539" s="5">
        <v>45806.385416666664</v>
      </c>
      <c r="B539">
        <v>16</v>
      </c>
      <c r="C539" t="s">
        <v>21</v>
      </c>
      <c r="D539" t="s">
        <v>22</v>
      </c>
      <c r="E539">
        <v>1.5</v>
      </c>
      <c r="F539">
        <v>1.92</v>
      </c>
      <c r="G539" s="8">
        <f t="shared" si="8"/>
        <v>46.875</v>
      </c>
    </row>
    <row r="540" spans="1:7" x14ac:dyDescent="0.25">
      <c r="A540" s="5">
        <v>45806.385416666664</v>
      </c>
      <c r="B540">
        <v>17</v>
      </c>
      <c r="C540" t="s">
        <v>22</v>
      </c>
      <c r="D540" t="s">
        <v>23</v>
      </c>
      <c r="E540">
        <v>1.51</v>
      </c>
      <c r="F540">
        <v>3.17</v>
      </c>
      <c r="G540" s="8">
        <f t="shared" si="8"/>
        <v>28.580441640378549</v>
      </c>
    </row>
    <row r="541" spans="1:7" x14ac:dyDescent="0.25">
      <c r="A541" s="5">
        <v>45806.385416666664</v>
      </c>
      <c r="B541">
        <v>18</v>
      </c>
      <c r="C541" t="s">
        <v>23</v>
      </c>
      <c r="D541" t="s">
        <v>24</v>
      </c>
      <c r="E541">
        <v>1.51</v>
      </c>
      <c r="F541">
        <v>3.12</v>
      </c>
      <c r="G541" s="8">
        <f t="shared" si="8"/>
        <v>29.038461538461537</v>
      </c>
    </row>
    <row r="542" spans="1:7" x14ac:dyDescent="0.25">
      <c r="A542" s="5">
        <v>45806.385416666664</v>
      </c>
      <c r="B542">
        <v>19</v>
      </c>
      <c r="C542" t="s">
        <v>25</v>
      </c>
      <c r="D542" t="s">
        <v>26</v>
      </c>
      <c r="E542">
        <v>1.5</v>
      </c>
      <c r="F542">
        <v>4.45</v>
      </c>
      <c r="G542" s="8">
        <f t="shared" si="8"/>
        <v>20.224719101123593</v>
      </c>
    </row>
    <row r="543" spans="1:7" x14ac:dyDescent="0.25">
      <c r="A543" s="5">
        <v>45806.385416666664</v>
      </c>
      <c r="B543">
        <v>20</v>
      </c>
      <c r="C543" t="s">
        <v>26</v>
      </c>
      <c r="D543" t="s">
        <v>27</v>
      </c>
      <c r="E543">
        <v>1.48</v>
      </c>
      <c r="F543">
        <v>4.2300000000000004</v>
      </c>
      <c r="G543" s="8">
        <f t="shared" si="8"/>
        <v>20.992907801418436</v>
      </c>
    </row>
    <row r="544" spans="1:7" x14ac:dyDescent="0.25">
      <c r="A544" s="5">
        <v>45806.385416666664</v>
      </c>
      <c r="B544">
        <v>21</v>
      </c>
      <c r="C544" t="s">
        <v>27</v>
      </c>
      <c r="D544" t="s">
        <v>28</v>
      </c>
      <c r="E544">
        <v>1.51</v>
      </c>
      <c r="F544">
        <v>3.6</v>
      </c>
      <c r="G544" s="8">
        <f t="shared" si="8"/>
        <v>25.166666666666664</v>
      </c>
    </row>
    <row r="545" spans="1:7" x14ac:dyDescent="0.25">
      <c r="A545" s="5">
        <v>45806.385416666664</v>
      </c>
      <c r="B545">
        <v>22</v>
      </c>
      <c r="C545" t="s">
        <v>28</v>
      </c>
      <c r="D545" t="s">
        <v>29</v>
      </c>
      <c r="E545">
        <v>1.57</v>
      </c>
      <c r="F545">
        <v>3.92</v>
      </c>
      <c r="G545" s="8">
        <f t="shared" si="8"/>
        <v>24.030612244897959</v>
      </c>
    </row>
    <row r="546" spans="1:7" x14ac:dyDescent="0.25">
      <c r="A546" s="5">
        <v>45806.385416666664</v>
      </c>
      <c r="B546">
        <v>23</v>
      </c>
      <c r="C546" t="s">
        <v>29</v>
      </c>
      <c r="D546" t="s">
        <v>30</v>
      </c>
      <c r="E546">
        <v>1.43</v>
      </c>
      <c r="F546">
        <v>4.32</v>
      </c>
      <c r="G546" s="8">
        <f t="shared" si="8"/>
        <v>19.861111111111111</v>
      </c>
    </row>
    <row r="547" spans="1:7" x14ac:dyDescent="0.25">
      <c r="A547" s="5">
        <v>45806.385416666664</v>
      </c>
      <c r="B547">
        <v>24</v>
      </c>
      <c r="C547" t="s">
        <v>30</v>
      </c>
      <c r="D547" t="s">
        <v>31</v>
      </c>
      <c r="E547">
        <v>1.52</v>
      </c>
      <c r="F547">
        <v>3.45</v>
      </c>
      <c r="G547" s="8">
        <f t="shared" si="8"/>
        <v>26.434782608695652</v>
      </c>
    </row>
    <row r="548" spans="1:7" x14ac:dyDescent="0.25">
      <c r="A548" s="5">
        <v>45806.385416666664</v>
      </c>
      <c r="B548">
        <v>25</v>
      </c>
      <c r="C548" t="s">
        <v>31</v>
      </c>
      <c r="D548" t="s">
        <v>32</v>
      </c>
      <c r="E548">
        <v>1.52</v>
      </c>
      <c r="F548">
        <v>3.37</v>
      </c>
      <c r="G548" s="8">
        <f t="shared" si="8"/>
        <v>27.062314540059347</v>
      </c>
    </row>
    <row r="549" spans="1:7" x14ac:dyDescent="0.25">
      <c r="A549" s="5">
        <v>45806.385416666664</v>
      </c>
      <c r="B549">
        <v>26</v>
      </c>
      <c r="C549" t="s">
        <v>32</v>
      </c>
      <c r="D549" t="s">
        <v>33</v>
      </c>
      <c r="E549">
        <v>1.49</v>
      </c>
      <c r="F549">
        <v>3.95</v>
      </c>
      <c r="G549" s="8">
        <f t="shared" si="8"/>
        <v>22.632911392405063</v>
      </c>
    </row>
    <row r="550" spans="1:7" x14ac:dyDescent="0.25">
      <c r="A550" s="5">
        <v>45806.385416666664</v>
      </c>
      <c r="B550">
        <v>27</v>
      </c>
      <c r="C550" t="s">
        <v>33</v>
      </c>
      <c r="D550" t="s">
        <v>34</v>
      </c>
      <c r="E550">
        <v>1.53</v>
      </c>
      <c r="F550">
        <v>3.75</v>
      </c>
      <c r="G550" s="8">
        <f t="shared" si="8"/>
        <v>24.48</v>
      </c>
    </row>
    <row r="551" spans="1:7" x14ac:dyDescent="0.25">
      <c r="A551" s="5">
        <v>45806.385416666664</v>
      </c>
      <c r="B551">
        <v>28</v>
      </c>
      <c r="C551" t="s">
        <v>34</v>
      </c>
      <c r="D551" t="s">
        <v>35</v>
      </c>
      <c r="E551">
        <v>1.51</v>
      </c>
      <c r="F551">
        <v>4.3</v>
      </c>
      <c r="G551" s="8">
        <f t="shared" si="8"/>
        <v>21.069767441860463</v>
      </c>
    </row>
    <row r="552" spans="1:7" x14ac:dyDescent="0.25">
      <c r="A552" s="5">
        <v>45806.385416666664</v>
      </c>
      <c r="B552">
        <v>29</v>
      </c>
      <c r="C552" t="s">
        <v>36</v>
      </c>
      <c r="D552" t="s">
        <v>37</v>
      </c>
      <c r="E552">
        <v>1.57</v>
      </c>
      <c r="F552">
        <v>4.9800000000000004</v>
      </c>
      <c r="G552" s="8">
        <f t="shared" si="8"/>
        <v>18.91566265060241</v>
      </c>
    </row>
    <row r="553" spans="1:7" x14ac:dyDescent="0.25">
      <c r="A553" s="5">
        <v>45806.385416666664</v>
      </c>
      <c r="B553">
        <v>30</v>
      </c>
      <c r="C553" t="s">
        <v>37</v>
      </c>
      <c r="D553" t="s">
        <v>38</v>
      </c>
      <c r="E553">
        <v>1.57</v>
      </c>
      <c r="F553">
        <v>6.33</v>
      </c>
      <c r="G553" s="8">
        <f t="shared" si="8"/>
        <v>14.881516587677725</v>
      </c>
    </row>
    <row r="554" spans="1:7" x14ac:dyDescent="0.25">
      <c r="A554" s="5">
        <v>45806.385416666664</v>
      </c>
      <c r="B554">
        <v>31</v>
      </c>
      <c r="C554" t="s">
        <v>38</v>
      </c>
      <c r="D554" t="s">
        <v>39</v>
      </c>
      <c r="E554">
        <v>1.52</v>
      </c>
      <c r="F554">
        <v>2.95</v>
      </c>
      <c r="G554" s="8">
        <f t="shared" si="8"/>
        <v>30.915254237288135</v>
      </c>
    </row>
    <row r="555" spans="1:7" x14ac:dyDescent="0.25">
      <c r="A555" s="5">
        <v>45806.385416666664</v>
      </c>
      <c r="B555">
        <v>32</v>
      </c>
      <c r="C555" t="s">
        <v>39</v>
      </c>
      <c r="D555" t="s">
        <v>40</v>
      </c>
      <c r="E555">
        <v>1.5</v>
      </c>
      <c r="F555">
        <v>1.82</v>
      </c>
      <c r="G555" s="8">
        <f t="shared" si="8"/>
        <v>49.450549450549445</v>
      </c>
    </row>
    <row r="556" spans="1:7" x14ac:dyDescent="0.25">
      <c r="A556" s="5">
        <v>45806.385416666664</v>
      </c>
      <c r="B556">
        <v>33</v>
      </c>
      <c r="C556" t="s">
        <v>40</v>
      </c>
      <c r="D556" t="s">
        <v>41</v>
      </c>
      <c r="E556">
        <v>1.51</v>
      </c>
      <c r="F556">
        <v>1.88</v>
      </c>
      <c r="G556" s="8">
        <f t="shared" si="8"/>
        <v>48.191489361702125</v>
      </c>
    </row>
    <row r="557" spans="1:7" x14ac:dyDescent="0.25">
      <c r="A557" s="5">
        <v>45806.385416666664</v>
      </c>
      <c r="B557">
        <v>34</v>
      </c>
      <c r="C557" t="s">
        <v>41</v>
      </c>
      <c r="D557" t="s">
        <v>42</v>
      </c>
      <c r="E557">
        <v>1.5</v>
      </c>
      <c r="F557">
        <v>1.88</v>
      </c>
      <c r="G557" s="8">
        <f t="shared" si="8"/>
        <v>47.872340425531917</v>
      </c>
    </row>
    <row r="558" spans="1:7" x14ac:dyDescent="0.25">
      <c r="A558" s="5">
        <v>45806.385416666664</v>
      </c>
      <c r="B558">
        <v>35</v>
      </c>
      <c r="C558" t="s">
        <v>43</v>
      </c>
      <c r="D558" t="s">
        <v>44</v>
      </c>
      <c r="E558">
        <v>1.55</v>
      </c>
      <c r="F558">
        <v>3.83</v>
      </c>
      <c r="G558" s="8">
        <f t="shared" si="8"/>
        <v>24.281984334203656</v>
      </c>
    </row>
    <row r="559" spans="1:7" x14ac:dyDescent="0.25">
      <c r="A559" s="5">
        <v>45806.385416666664</v>
      </c>
      <c r="B559">
        <v>36</v>
      </c>
      <c r="C559" t="s">
        <v>44</v>
      </c>
      <c r="D559" t="s">
        <v>45</v>
      </c>
      <c r="E559">
        <v>1.5</v>
      </c>
      <c r="F559">
        <v>3.12</v>
      </c>
      <c r="G559" s="8">
        <f t="shared" si="8"/>
        <v>28.846153846153847</v>
      </c>
    </row>
    <row r="560" spans="1:7" x14ac:dyDescent="0.25">
      <c r="A560" s="5">
        <v>45806.385416666664</v>
      </c>
      <c r="B560">
        <v>37</v>
      </c>
      <c r="C560" t="s">
        <v>45</v>
      </c>
      <c r="D560" t="s">
        <v>46</v>
      </c>
      <c r="E560">
        <v>1.38</v>
      </c>
      <c r="F560">
        <v>4.0199999999999996</v>
      </c>
      <c r="G560" s="8">
        <f t="shared" si="8"/>
        <v>20.597014925373134</v>
      </c>
    </row>
    <row r="561" spans="1:7" x14ac:dyDescent="0.25">
      <c r="A561" s="5">
        <v>45806.385416666664</v>
      </c>
      <c r="B561">
        <v>38</v>
      </c>
      <c r="C561" t="s">
        <v>46</v>
      </c>
      <c r="D561" t="s">
        <v>47</v>
      </c>
      <c r="E561">
        <v>1.61</v>
      </c>
      <c r="F561">
        <v>3.83</v>
      </c>
      <c r="G561" s="8">
        <f t="shared" si="8"/>
        <v>25.22193211488251</v>
      </c>
    </row>
    <row r="562" spans="1:7" x14ac:dyDescent="0.25">
      <c r="A562" s="5">
        <v>45806.385416666664</v>
      </c>
      <c r="B562">
        <v>39</v>
      </c>
      <c r="C562" t="s">
        <v>47</v>
      </c>
      <c r="D562" t="s">
        <v>48</v>
      </c>
      <c r="E562">
        <v>1.55</v>
      </c>
      <c r="F562">
        <v>3.42</v>
      </c>
      <c r="G562" s="8">
        <f t="shared" si="8"/>
        <v>27.192982456140353</v>
      </c>
    </row>
    <row r="563" spans="1:7" x14ac:dyDescent="0.25">
      <c r="A563" s="5">
        <v>45806.385416666664</v>
      </c>
      <c r="B563">
        <v>40</v>
      </c>
      <c r="C563" t="s">
        <v>48</v>
      </c>
      <c r="D563" t="s">
        <v>49</v>
      </c>
      <c r="E563">
        <v>1.39</v>
      </c>
      <c r="F563">
        <v>2.8</v>
      </c>
      <c r="G563" s="8">
        <f t="shared" si="8"/>
        <v>29.785714285714285</v>
      </c>
    </row>
    <row r="564" spans="1:7" x14ac:dyDescent="0.25">
      <c r="A564" s="5">
        <v>45806.385416666664</v>
      </c>
      <c r="B564">
        <v>41</v>
      </c>
      <c r="C564" t="s">
        <v>50</v>
      </c>
      <c r="D564" t="s">
        <v>51</v>
      </c>
      <c r="E564">
        <v>1.56</v>
      </c>
      <c r="F564">
        <v>4.47</v>
      </c>
      <c r="G564" s="8">
        <f t="shared" si="8"/>
        <v>20.939597315436245</v>
      </c>
    </row>
    <row r="565" spans="1:7" x14ac:dyDescent="0.25">
      <c r="A565" s="5">
        <v>45806.385416666664</v>
      </c>
      <c r="B565">
        <v>42</v>
      </c>
      <c r="C565" t="s">
        <v>51</v>
      </c>
      <c r="D565" t="s">
        <v>52</v>
      </c>
      <c r="E565">
        <v>1.56</v>
      </c>
      <c r="F565">
        <v>4.08</v>
      </c>
      <c r="G565" s="8">
        <f t="shared" si="8"/>
        <v>22.941176470588236</v>
      </c>
    </row>
    <row r="566" spans="1:7" x14ac:dyDescent="0.25">
      <c r="A566" s="5">
        <v>45806.385416666664</v>
      </c>
      <c r="B566">
        <v>43</v>
      </c>
      <c r="C566" t="s">
        <v>52</v>
      </c>
      <c r="D566" t="s">
        <v>53</v>
      </c>
      <c r="E566">
        <v>1.51</v>
      </c>
      <c r="F566">
        <v>3.55</v>
      </c>
      <c r="G566" s="8">
        <f t="shared" si="8"/>
        <v>25.52112676056338</v>
      </c>
    </row>
    <row r="567" spans="1:7" x14ac:dyDescent="0.25">
      <c r="A567" s="5">
        <v>45806.385416666664</v>
      </c>
      <c r="B567">
        <v>44</v>
      </c>
      <c r="C567" t="s">
        <v>54</v>
      </c>
      <c r="D567" t="s">
        <v>55</v>
      </c>
      <c r="E567">
        <v>1.51</v>
      </c>
      <c r="F567">
        <v>4.92</v>
      </c>
      <c r="G567" s="8">
        <f t="shared" si="8"/>
        <v>18.414634146341463</v>
      </c>
    </row>
    <row r="568" spans="1:7" x14ac:dyDescent="0.25">
      <c r="A568" s="5">
        <v>45806.385416666664</v>
      </c>
      <c r="B568">
        <v>45</v>
      </c>
      <c r="C568" t="s">
        <v>55</v>
      </c>
      <c r="D568" t="s">
        <v>56</v>
      </c>
      <c r="E568">
        <v>1.49</v>
      </c>
      <c r="F568">
        <v>3.38</v>
      </c>
      <c r="G568" s="8">
        <f t="shared" si="8"/>
        <v>26.449704142011836</v>
      </c>
    </row>
    <row r="569" spans="1:7" x14ac:dyDescent="0.25">
      <c r="A569" s="5">
        <v>45806.385416666664</v>
      </c>
      <c r="B569">
        <v>46</v>
      </c>
      <c r="C569" t="s">
        <v>56</v>
      </c>
      <c r="D569" t="s">
        <v>57</v>
      </c>
      <c r="E569">
        <v>1.52</v>
      </c>
      <c r="F569">
        <v>3.8</v>
      </c>
      <c r="G569" s="8">
        <f t="shared" si="8"/>
        <v>24.000000000000004</v>
      </c>
    </row>
    <row r="570" spans="1:7" x14ac:dyDescent="0.25">
      <c r="A570" s="5">
        <v>45806.385416666664</v>
      </c>
      <c r="B570">
        <v>47</v>
      </c>
      <c r="C570" t="s">
        <v>58</v>
      </c>
      <c r="D570" t="s">
        <v>59</v>
      </c>
      <c r="E570">
        <v>1.52</v>
      </c>
      <c r="F570">
        <v>4.5199999999999996</v>
      </c>
      <c r="G570" s="8">
        <f t="shared" si="8"/>
        <v>20.176991150442479</v>
      </c>
    </row>
    <row r="571" spans="1:7" x14ac:dyDescent="0.25">
      <c r="A571" s="5">
        <v>45806.385416666664</v>
      </c>
      <c r="B571">
        <v>48</v>
      </c>
      <c r="C571" t="s">
        <v>59</v>
      </c>
      <c r="D571" t="s">
        <v>60</v>
      </c>
      <c r="E571">
        <v>1.5</v>
      </c>
      <c r="F571">
        <v>3.67</v>
      </c>
      <c r="G571" s="8">
        <f t="shared" si="8"/>
        <v>24.52316076294278</v>
      </c>
    </row>
    <row r="572" spans="1:7" x14ac:dyDescent="0.25">
      <c r="A572" s="5">
        <v>45806.385416666664</v>
      </c>
      <c r="B572">
        <v>49</v>
      </c>
      <c r="C572" t="s">
        <v>60</v>
      </c>
      <c r="D572" t="s">
        <v>61</v>
      </c>
      <c r="E572">
        <v>1.54</v>
      </c>
      <c r="F572">
        <v>3.92</v>
      </c>
      <c r="G572" s="8">
        <f t="shared" si="8"/>
        <v>23.571428571428573</v>
      </c>
    </row>
    <row r="573" spans="1:7" x14ac:dyDescent="0.25">
      <c r="A573" s="5">
        <v>45806.385416666664</v>
      </c>
      <c r="B573">
        <v>50</v>
      </c>
      <c r="C573" t="s">
        <v>62</v>
      </c>
      <c r="D573" t="s">
        <v>63</v>
      </c>
      <c r="E573">
        <v>1.38</v>
      </c>
      <c r="F573">
        <v>3.07</v>
      </c>
      <c r="G573" s="8">
        <f t="shared" si="8"/>
        <v>26.970684039087949</v>
      </c>
    </row>
    <row r="574" spans="1:7" x14ac:dyDescent="0.25">
      <c r="A574" s="5">
        <v>45806.385416666664</v>
      </c>
      <c r="B574">
        <v>51</v>
      </c>
      <c r="C574" t="s">
        <v>63</v>
      </c>
      <c r="D574" t="s">
        <v>64</v>
      </c>
      <c r="E574">
        <v>2.79</v>
      </c>
      <c r="F574">
        <v>5.68</v>
      </c>
      <c r="G574" s="8">
        <f t="shared" si="8"/>
        <v>29.471830985915496</v>
      </c>
    </row>
    <row r="575" spans="1:7" x14ac:dyDescent="0.25">
      <c r="A575" s="5">
        <v>45806.385416666664</v>
      </c>
      <c r="B575">
        <v>52</v>
      </c>
      <c r="C575" t="s">
        <v>64</v>
      </c>
      <c r="D575" t="s">
        <v>65</v>
      </c>
      <c r="E575">
        <v>1.5</v>
      </c>
      <c r="F575">
        <v>2.93</v>
      </c>
      <c r="G575" s="8">
        <f t="shared" si="8"/>
        <v>30.716723549488052</v>
      </c>
    </row>
    <row r="576" spans="1:7" x14ac:dyDescent="0.25">
      <c r="A576" s="5">
        <v>45806.385416666664</v>
      </c>
      <c r="B576">
        <v>53</v>
      </c>
      <c r="C576" t="s">
        <v>65</v>
      </c>
      <c r="D576" t="s">
        <v>66</v>
      </c>
      <c r="E576">
        <v>1.46</v>
      </c>
      <c r="F576">
        <v>3.75</v>
      </c>
      <c r="G576" s="8">
        <f t="shared" si="8"/>
        <v>23.36</v>
      </c>
    </row>
    <row r="577" spans="1:7" x14ac:dyDescent="0.25">
      <c r="A577" s="5">
        <v>45806.385416666664</v>
      </c>
      <c r="B577">
        <v>54</v>
      </c>
      <c r="C577" t="s">
        <v>67</v>
      </c>
      <c r="D577" t="s">
        <v>68</v>
      </c>
      <c r="E577">
        <v>1.46</v>
      </c>
      <c r="F577">
        <v>4.5999999999999996</v>
      </c>
      <c r="G577" s="8">
        <f t="shared" si="8"/>
        <v>19.043478260869566</v>
      </c>
    </row>
    <row r="578" spans="1:7" x14ac:dyDescent="0.25">
      <c r="A578" s="5">
        <v>45806.385416666664</v>
      </c>
      <c r="B578">
        <v>55</v>
      </c>
      <c r="C578" t="s">
        <v>68</v>
      </c>
      <c r="D578" t="s">
        <v>69</v>
      </c>
      <c r="E578">
        <v>1.5</v>
      </c>
      <c r="F578">
        <v>3.62</v>
      </c>
      <c r="G578" s="8">
        <f t="shared" si="8"/>
        <v>24.861878453038674</v>
      </c>
    </row>
    <row r="579" spans="1:7" x14ac:dyDescent="0.25">
      <c r="A579" s="5">
        <v>45806.385416666664</v>
      </c>
      <c r="B579">
        <v>56</v>
      </c>
      <c r="C579" t="s">
        <v>70</v>
      </c>
      <c r="D579" t="s">
        <v>71</v>
      </c>
      <c r="E579">
        <v>1.51</v>
      </c>
      <c r="F579">
        <v>5.87</v>
      </c>
      <c r="G579" s="8">
        <f t="shared" ref="G579:G642" si="9">E579*60/F579</f>
        <v>15.434412265758091</v>
      </c>
    </row>
    <row r="580" spans="1:7" x14ac:dyDescent="0.25">
      <c r="A580" s="5">
        <v>45806.385416666664</v>
      </c>
      <c r="B580">
        <v>57</v>
      </c>
      <c r="C580" t="s">
        <v>71</v>
      </c>
      <c r="D580" t="s">
        <v>72</v>
      </c>
      <c r="E580">
        <v>1.52</v>
      </c>
      <c r="F580">
        <v>4.2300000000000004</v>
      </c>
      <c r="G580" s="8">
        <f t="shared" si="9"/>
        <v>21.560283687943262</v>
      </c>
    </row>
    <row r="581" spans="1:7" x14ac:dyDescent="0.25">
      <c r="A581" s="5">
        <v>45806.385416666664</v>
      </c>
      <c r="B581">
        <v>58</v>
      </c>
      <c r="C581" t="s">
        <v>72</v>
      </c>
      <c r="D581" t="s">
        <v>73</v>
      </c>
      <c r="E581">
        <v>1.5</v>
      </c>
      <c r="F581">
        <v>3.83</v>
      </c>
      <c r="G581" s="8">
        <f t="shared" si="9"/>
        <v>23.49869451697128</v>
      </c>
    </row>
    <row r="582" spans="1:7" x14ac:dyDescent="0.25">
      <c r="A582" s="5">
        <v>45806.395833333336</v>
      </c>
      <c r="B582">
        <v>1</v>
      </c>
      <c r="C582" t="s">
        <v>6</v>
      </c>
      <c r="D582" t="s">
        <v>7</v>
      </c>
      <c r="E582">
        <v>1.53</v>
      </c>
      <c r="F582">
        <v>3.3</v>
      </c>
      <c r="G582" s="8">
        <f t="shared" si="9"/>
        <v>27.81818181818182</v>
      </c>
    </row>
    <row r="583" spans="1:7" x14ac:dyDescent="0.25">
      <c r="A583" s="5">
        <v>45806.395833333336</v>
      </c>
      <c r="B583">
        <v>2</v>
      </c>
      <c r="C583" t="s">
        <v>7</v>
      </c>
      <c r="D583" t="s">
        <v>8</v>
      </c>
      <c r="E583">
        <v>1.57</v>
      </c>
      <c r="F583">
        <v>4.88</v>
      </c>
      <c r="G583" s="8">
        <f t="shared" si="9"/>
        <v>19.303278688524593</v>
      </c>
    </row>
    <row r="584" spans="1:7" x14ac:dyDescent="0.25">
      <c r="A584" s="5">
        <v>45806.395833333336</v>
      </c>
      <c r="B584">
        <v>3</v>
      </c>
      <c r="C584" t="s">
        <v>8</v>
      </c>
      <c r="D584" t="s">
        <v>9</v>
      </c>
      <c r="E584">
        <v>1.5</v>
      </c>
      <c r="F584">
        <v>3.05</v>
      </c>
      <c r="G584" s="8">
        <f t="shared" si="9"/>
        <v>29.508196721311478</v>
      </c>
    </row>
    <row r="585" spans="1:7" x14ac:dyDescent="0.25">
      <c r="A585" s="5">
        <v>45806.395833333336</v>
      </c>
      <c r="B585">
        <v>4</v>
      </c>
      <c r="C585" t="s">
        <v>9</v>
      </c>
      <c r="D585" t="s">
        <v>10</v>
      </c>
      <c r="E585">
        <v>1.5</v>
      </c>
      <c r="F585">
        <v>2.85</v>
      </c>
      <c r="G585" s="8">
        <f t="shared" si="9"/>
        <v>31.578947368421051</v>
      </c>
    </row>
    <row r="586" spans="1:7" x14ac:dyDescent="0.25">
      <c r="A586" s="5">
        <v>45806.395833333336</v>
      </c>
      <c r="B586">
        <v>5</v>
      </c>
      <c r="C586" t="s">
        <v>10</v>
      </c>
      <c r="D586" t="s">
        <v>11</v>
      </c>
      <c r="E586">
        <v>1.52</v>
      </c>
      <c r="F586">
        <v>3.33</v>
      </c>
      <c r="G586" s="8">
        <f t="shared" si="9"/>
        <v>27.387387387387388</v>
      </c>
    </row>
    <row r="587" spans="1:7" x14ac:dyDescent="0.25">
      <c r="A587" s="5">
        <v>45806.395833333336</v>
      </c>
      <c r="B587">
        <v>6</v>
      </c>
      <c r="C587" t="s">
        <v>11</v>
      </c>
      <c r="D587" t="s">
        <v>12</v>
      </c>
      <c r="E587">
        <v>1.5</v>
      </c>
      <c r="F587">
        <v>2.75</v>
      </c>
      <c r="G587" s="8">
        <f t="shared" si="9"/>
        <v>32.727272727272727</v>
      </c>
    </row>
    <row r="588" spans="1:7" x14ac:dyDescent="0.25">
      <c r="A588" s="5">
        <v>45806.395833333336</v>
      </c>
      <c r="B588">
        <v>7</v>
      </c>
      <c r="C588" t="s">
        <v>12</v>
      </c>
      <c r="D588" t="s">
        <v>13</v>
      </c>
      <c r="E588">
        <v>1.54</v>
      </c>
      <c r="F588">
        <v>2.67</v>
      </c>
      <c r="G588" s="8">
        <f t="shared" si="9"/>
        <v>34.606741573033709</v>
      </c>
    </row>
    <row r="589" spans="1:7" x14ac:dyDescent="0.25">
      <c r="A589" s="5">
        <v>45806.395833333336</v>
      </c>
      <c r="B589">
        <v>8</v>
      </c>
      <c r="C589" t="s">
        <v>13</v>
      </c>
      <c r="D589" t="s">
        <v>14</v>
      </c>
      <c r="E589">
        <v>1.54</v>
      </c>
      <c r="F589">
        <v>3.52</v>
      </c>
      <c r="G589" s="8">
        <f t="shared" si="9"/>
        <v>26.25</v>
      </c>
    </row>
    <row r="590" spans="1:7" x14ac:dyDescent="0.25">
      <c r="A590" s="5">
        <v>45806.395833333336</v>
      </c>
      <c r="B590">
        <v>9</v>
      </c>
      <c r="C590" t="s">
        <v>14</v>
      </c>
      <c r="D590" t="s">
        <v>15</v>
      </c>
      <c r="E590">
        <v>1.52</v>
      </c>
      <c r="F590">
        <v>5.2</v>
      </c>
      <c r="G590" s="8">
        <f t="shared" si="9"/>
        <v>17.53846153846154</v>
      </c>
    </row>
    <row r="591" spans="1:7" x14ac:dyDescent="0.25">
      <c r="A591" s="5">
        <v>45806.395833333336</v>
      </c>
      <c r="B591">
        <v>10</v>
      </c>
      <c r="C591" t="s">
        <v>15</v>
      </c>
      <c r="D591" t="s">
        <v>16</v>
      </c>
      <c r="E591">
        <v>1.5</v>
      </c>
      <c r="F591">
        <v>4.07</v>
      </c>
      <c r="G591" s="8">
        <f t="shared" si="9"/>
        <v>22.113022113022112</v>
      </c>
    </row>
    <row r="592" spans="1:7" x14ac:dyDescent="0.25">
      <c r="A592" s="5">
        <v>45806.395833333336</v>
      </c>
      <c r="B592">
        <v>11</v>
      </c>
      <c r="C592" t="s">
        <v>16</v>
      </c>
      <c r="D592" t="s">
        <v>17</v>
      </c>
      <c r="E592">
        <v>1.48</v>
      </c>
      <c r="F592">
        <v>3.5</v>
      </c>
      <c r="G592" s="8">
        <f t="shared" si="9"/>
        <v>25.37142857142857</v>
      </c>
    </row>
    <row r="593" spans="1:7" x14ac:dyDescent="0.25">
      <c r="A593" s="5">
        <v>45806.395833333336</v>
      </c>
      <c r="B593">
        <v>12</v>
      </c>
      <c r="C593" t="s">
        <v>17</v>
      </c>
      <c r="D593" t="s">
        <v>18</v>
      </c>
      <c r="E593">
        <v>1.46</v>
      </c>
      <c r="F593">
        <v>4.45</v>
      </c>
      <c r="G593" s="8">
        <f t="shared" si="9"/>
        <v>19.685393258426963</v>
      </c>
    </row>
    <row r="594" spans="1:7" x14ac:dyDescent="0.25">
      <c r="A594" s="5">
        <v>45806.395833333336</v>
      </c>
      <c r="B594">
        <v>13</v>
      </c>
      <c r="C594" t="s">
        <v>18</v>
      </c>
      <c r="D594" t="s">
        <v>19</v>
      </c>
      <c r="E594">
        <v>1.52</v>
      </c>
      <c r="F594">
        <v>4.13</v>
      </c>
      <c r="G594" s="8">
        <f t="shared" si="9"/>
        <v>22.082324455205811</v>
      </c>
    </row>
    <row r="595" spans="1:7" x14ac:dyDescent="0.25">
      <c r="A595" s="5">
        <v>45806.395833333336</v>
      </c>
      <c r="B595">
        <v>14</v>
      </c>
      <c r="C595" t="s">
        <v>19</v>
      </c>
      <c r="D595" t="s">
        <v>20</v>
      </c>
      <c r="E595">
        <v>1.51</v>
      </c>
      <c r="F595">
        <v>3.55</v>
      </c>
      <c r="G595" s="8">
        <f t="shared" si="9"/>
        <v>25.52112676056338</v>
      </c>
    </row>
    <row r="596" spans="1:7" x14ac:dyDescent="0.25">
      <c r="A596" s="5">
        <v>45806.395833333336</v>
      </c>
      <c r="B596">
        <v>15</v>
      </c>
      <c r="C596" t="s">
        <v>20</v>
      </c>
      <c r="D596" t="s">
        <v>21</v>
      </c>
      <c r="E596">
        <v>1.47</v>
      </c>
      <c r="F596">
        <v>2.63</v>
      </c>
      <c r="G596" s="8">
        <f t="shared" si="9"/>
        <v>33.536121673003805</v>
      </c>
    </row>
    <row r="597" spans="1:7" x14ac:dyDescent="0.25">
      <c r="A597" s="5">
        <v>45806.395833333336</v>
      </c>
      <c r="B597">
        <v>16</v>
      </c>
      <c r="C597" t="s">
        <v>21</v>
      </c>
      <c r="D597" t="s">
        <v>22</v>
      </c>
      <c r="E597">
        <v>1.5</v>
      </c>
      <c r="F597">
        <v>1.83</v>
      </c>
      <c r="G597" s="8">
        <f t="shared" si="9"/>
        <v>49.180327868852459</v>
      </c>
    </row>
    <row r="598" spans="1:7" x14ac:dyDescent="0.25">
      <c r="A598" s="5">
        <v>45806.395833333336</v>
      </c>
      <c r="B598">
        <v>17</v>
      </c>
      <c r="C598" t="s">
        <v>22</v>
      </c>
      <c r="D598" t="s">
        <v>23</v>
      </c>
      <c r="E598">
        <v>1.51</v>
      </c>
      <c r="F598">
        <v>3.2</v>
      </c>
      <c r="G598" s="8">
        <f t="shared" si="9"/>
        <v>28.312499999999996</v>
      </c>
    </row>
    <row r="599" spans="1:7" x14ac:dyDescent="0.25">
      <c r="A599" s="5">
        <v>45806.395833333336</v>
      </c>
      <c r="B599">
        <v>18</v>
      </c>
      <c r="C599" t="s">
        <v>23</v>
      </c>
      <c r="D599" t="s">
        <v>24</v>
      </c>
      <c r="E599">
        <v>1.51</v>
      </c>
      <c r="F599">
        <v>3.2</v>
      </c>
      <c r="G599" s="8">
        <f t="shared" si="9"/>
        <v>28.312499999999996</v>
      </c>
    </row>
    <row r="600" spans="1:7" x14ac:dyDescent="0.25">
      <c r="A600" s="5">
        <v>45806.395833333336</v>
      </c>
      <c r="B600">
        <v>19</v>
      </c>
      <c r="C600" t="s">
        <v>25</v>
      </c>
      <c r="D600" t="s">
        <v>26</v>
      </c>
      <c r="E600">
        <v>1.5</v>
      </c>
      <c r="F600">
        <v>4.5</v>
      </c>
      <c r="G600" s="8">
        <f t="shared" si="9"/>
        <v>20</v>
      </c>
    </row>
    <row r="601" spans="1:7" x14ac:dyDescent="0.25">
      <c r="A601" s="5">
        <v>45806.395833333336</v>
      </c>
      <c r="B601">
        <v>20</v>
      </c>
      <c r="C601" t="s">
        <v>26</v>
      </c>
      <c r="D601" t="s">
        <v>27</v>
      </c>
      <c r="E601">
        <v>1.48</v>
      </c>
      <c r="F601">
        <v>4.6500000000000004</v>
      </c>
      <c r="G601" s="8">
        <f t="shared" si="9"/>
        <v>19.096774193548384</v>
      </c>
    </row>
    <row r="602" spans="1:7" x14ac:dyDescent="0.25">
      <c r="A602" s="5">
        <v>45806.395833333336</v>
      </c>
      <c r="B602">
        <v>21</v>
      </c>
      <c r="C602" t="s">
        <v>27</v>
      </c>
      <c r="D602" t="s">
        <v>28</v>
      </c>
      <c r="E602">
        <v>1.51</v>
      </c>
      <c r="F602">
        <v>3.97</v>
      </c>
      <c r="G602" s="8">
        <f t="shared" si="9"/>
        <v>22.821158690176318</v>
      </c>
    </row>
    <row r="603" spans="1:7" x14ac:dyDescent="0.25">
      <c r="A603" s="5">
        <v>45806.395833333336</v>
      </c>
      <c r="B603">
        <v>22</v>
      </c>
      <c r="C603" t="s">
        <v>28</v>
      </c>
      <c r="D603" t="s">
        <v>29</v>
      </c>
      <c r="E603">
        <v>1.57</v>
      </c>
      <c r="F603">
        <v>3.78</v>
      </c>
      <c r="G603" s="8">
        <f t="shared" si="9"/>
        <v>24.920634920634921</v>
      </c>
    </row>
    <row r="604" spans="1:7" x14ac:dyDescent="0.25">
      <c r="A604" s="5">
        <v>45806.395833333336</v>
      </c>
      <c r="B604">
        <v>23</v>
      </c>
      <c r="C604" t="s">
        <v>29</v>
      </c>
      <c r="D604" t="s">
        <v>30</v>
      </c>
      <c r="E604">
        <v>1.43</v>
      </c>
      <c r="F604">
        <v>4.78</v>
      </c>
      <c r="G604" s="8">
        <f t="shared" si="9"/>
        <v>17.949790794979076</v>
      </c>
    </row>
    <row r="605" spans="1:7" x14ac:dyDescent="0.25">
      <c r="A605" s="5">
        <v>45806.395833333336</v>
      </c>
      <c r="B605">
        <v>24</v>
      </c>
      <c r="C605" t="s">
        <v>30</v>
      </c>
      <c r="D605" t="s">
        <v>31</v>
      </c>
      <c r="E605">
        <v>1.52</v>
      </c>
      <c r="F605">
        <v>3.45</v>
      </c>
      <c r="G605" s="8">
        <f t="shared" si="9"/>
        <v>26.434782608695652</v>
      </c>
    </row>
    <row r="606" spans="1:7" x14ac:dyDescent="0.25">
      <c r="A606" s="5">
        <v>45806.395833333336</v>
      </c>
      <c r="B606">
        <v>25</v>
      </c>
      <c r="C606" t="s">
        <v>31</v>
      </c>
      <c r="D606" t="s">
        <v>32</v>
      </c>
      <c r="E606">
        <v>1.52</v>
      </c>
      <c r="F606">
        <v>3.22</v>
      </c>
      <c r="G606" s="8">
        <f t="shared" si="9"/>
        <v>28.322981366459626</v>
      </c>
    </row>
    <row r="607" spans="1:7" x14ac:dyDescent="0.25">
      <c r="A607" s="5">
        <v>45806.395833333336</v>
      </c>
      <c r="B607">
        <v>26</v>
      </c>
      <c r="C607" t="s">
        <v>32</v>
      </c>
      <c r="D607" t="s">
        <v>33</v>
      </c>
      <c r="E607">
        <v>1.49</v>
      </c>
      <c r="F607">
        <v>3.75</v>
      </c>
      <c r="G607" s="8">
        <f t="shared" si="9"/>
        <v>23.84</v>
      </c>
    </row>
    <row r="608" spans="1:7" x14ac:dyDescent="0.25">
      <c r="A608" s="5">
        <v>45806.395833333336</v>
      </c>
      <c r="B608">
        <v>27</v>
      </c>
      <c r="C608" t="s">
        <v>33</v>
      </c>
      <c r="D608" t="s">
        <v>34</v>
      </c>
      <c r="E608">
        <v>1.53</v>
      </c>
      <c r="F608">
        <v>3.7</v>
      </c>
      <c r="G608" s="8">
        <f t="shared" si="9"/>
        <v>24.810810810810811</v>
      </c>
    </row>
    <row r="609" spans="1:7" x14ac:dyDescent="0.25">
      <c r="A609" s="5">
        <v>45806.395833333336</v>
      </c>
      <c r="B609">
        <v>28</v>
      </c>
      <c r="C609" t="s">
        <v>34</v>
      </c>
      <c r="D609" t="s">
        <v>35</v>
      </c>
      <c r="E609">
        <v>1.51</v>
      </c>
      <c r="F609">
        <v>4.22</v>
      </c>
      <c r="G609" s="8">
        <f t="shared" si="9"/>
        <v>21.469194312796208</v>
      </c>
    </row>
    <row r="610" spans="1:7" x14ac:dyDescent="0.25">
      <c r="A610" s="5">
        <v>45806.395833333336</v>
      </c>
      <c r="B610">
        <v>29</v>
      </c>
      <c r="C610" t="s">
        <v>36</v>
      </c>
      <c r="D610" t="s">
        <v>37</v>
      </c>
      <c r="E610">
        <v>1.57</v>
      </c>
      <c r="F610">
        <v>4.93</v>
      </c>
      <c r="G610" s="8">
        <f t="shared" si="9"/>
        <v>19.107505070993916</v>
      </c>
    </row>
    <row r="611" spans="1:7" x14ac:dyDescent="0.25">
      <c r="A611" s="5">
        <v>45806.395833333336</v>
      </c>
      <c r="B611">
        <v>30</v>
      </c>
      <c r="C611" t="s">
        <v>37</v>
      </c>
      <c r="D611" t="s">
        <v>38</v>
      </c>
      <c r="E611">
        <v>1.57</v>
      </c>
      <c r="F611">
        <v>6.37</v>
      </c>
      <c r="G611" s="8">
        <f t="shared" si="9"/>
        <v>14.78806907378336</v>
      </c>
    </row>
    <row r="612" spans="1:7" x14ac:dyDescent="0.25">
      <c r="A612" s="5">
        <v>45806.395833333336</v>
      </c>
      <c r="B612">
        <v>31</v>
      </c>
      <c r="C612" t="s">
        <v>38</v>
      </c>
      <c r="D612" t="s">
        <v>39</v>
      </c>
      <c r="E612">
        <v>1.52</v>
      </c>
      <c r="F612">
        <v>2.78</v>
      </c>
      <c r="G612" s="8">
        <f t="shared" si="9"/>
        <v>32.805755395683455</v>
      </c>
    </row>
    <row r="613" spans="1:7" x14ac:dyDescent="0.25">
      <c r="A613" s="5">
        <v>45806.395833333336</v>
      </c>
      <c r="B613">
        <v>32</v>
      </c>
      <c r="C613" t="s">
        <v>39</v>
      </c>
      <c r="D613" t="s">
        <v>40</v>
      </c>
      <c r="E613">
        <v>1.5</v>
      </c>
      <c r="F613">
        <v>1.85</v>
      </c>
      <c r="G613" s="8">
        <f t="shared" si="9"/>
        <v>48.648648648648646</v>
      </c>
    </row>
    <row r="614" spans="1:7" x14ac:dyDescent="0.25">
      <c r="A614" s="5">
        <v>45806.395833333336</v>
      </c>
      <c r="B614">
        <v>33</v>
      </c>
      <c r="C614" t="s">
        <v>40</v>
      </c>
      <c r="D614" t="s">
        <v>41</v>
      </c>
      <c r="E614">
        <v>1.51</v>
      </c>
      <c r="F614">
        <v>2.13</v>
      </c>
      <c r="G614" s="8">
        <f t="shared" si="9"/>
        <v>42.535211267605632</v>
      </c>
    </row>
    <row r="615" spans="1:7" x14ac:dyDescent="0.25">
      <c r="A615" s="5">
        <v>45806.395833333336</v>
      </c>
      <c r="B615">
        <v>34</v>
      </c>
      <c r="C615" t="s">
        <v>41</v>
      </c>
      <c r="D615" t="s">
        <v>42</v>
      </c>
      <c r="E615">
        <v>1.5</v>
      </c>
      <c r="F615">
        <v>1.98</v>
      </c>
      <c r="G615" s="8">
        <f t="shared" si="9"/>
        <v>45.454545454545453</v>
      </c>
    </row>
    <row r="616" spans="1:7" x14ac:dyDescent="0.25">
      <c r="A616" s="5">
        <v>45806.395833333336</v>
      </c>
      <c r="B616">
        <v>35</v>
      </c>
      <c r="C616" t="s">
        <v>43</v>
      </c>
      <c r="D616" t="s">
        <v>44</v>
      </c>
      <c r="E616">
        <v>1.55</v>
      </c>
      <c r="F616">
        <v>4.1500000000000004</v>
      </c>
      <c r="G616" s="8">
        <f t="shared" si="9"/>
        <v>22.409638554216865</v>
      </c>
    </row>
    <row r="617" spans="1:7" x14ac:dyDescent="0.25">
      <c r="A617" s="5">
        <v>45806.395833333336</v>
      </c>
      <c r="B617">
        <v>36</v>
      </c>
      <c r="C617" t="s">
        <v>44</v>
      </c>
      <c r="D617" t="s">
        <v>45</v>
      </c>
      <c r="E617">
        <v>1.5</v>
      </c>
      <c r="F617">
        <v>3.08</v>
      </c>
      <c r="G617" s="8">
        <f t="shared" si="9"/>
        <v>29.220779220779221</v>
      </c>
    </row>
    <row r="618" spans="1:7" x14ac:dyDescent="0.25">
      <c r="A618" s="5">
        <v>45806.395833333336</v>
      </c>
      <c r="B618">
        <v>37</v>
      </c>
      <c r="C618" t="s">
        <v>45</v>
      </c>
      <c r="D618" t="s">
        <v>46</v>
      </c>
      <c r="E618">
        <v>1.38</v>
      </c>
      <c r="F618">
        <v>4.03</v>
      </c>
      <c r="G618" s="8">
        <f t="shared" si="9"/>
        <v>20.545905707196027</v>
      </c>
    </row>
    <row r="619" spans="1:7" x14ac:dyDescent="0.25">
      <c r="A619" s="5">
        <v>45806.395833333336</v>
      </c>
      <c r="B619">
        <v>38</v>
      </c>
      <c r="C619" t="s">
        <v>46</v>
      </c>
      <c r="D619" t="s">
        <v>47</v>
      </c>
      <c r="E619">
        <v>1.61</v>
      </c>
      <c r="F619">
        <v>3.75</v>
      </c>
      <c r="G619" s="8">
        <f t="shared" si="9"/>
        <v>25.76</v>
      </c>
    </row>
    <row r="620" spans="1:7" x14ac:dyDescent="0.25">
      <c r="A620" s="5">
        <v>45806.395833333336</v>
      </c>
      <c r="B620">
        <v>39</v>
      </c>
      <c r="C620" t="s">
        <v>47</v>
      </c>
      <c r="D620" t="s">
        <v>48</v>
      </c>
      <c r="E620">
        <v>1.55</v>
      </c>
      <c r="F620">
        <v>3.35</v>
      </c>
      <c r="G620" s="8">
        <f t="shared" si="9"/>
        <v>27.761194029850746</v>
      </c>
    </row>
    <row r="621" spans="1:7" x14ac:dyDescent="0.25">
      <c r="A621" s="5">
        <v>45806.395833333336</v>
      </c>
      <c r="B621">
        <v>40</v>
      </c>
      <c r="C621" t="s">
        <v>48</v>
      </c>
      <c r="D621" t="s">
        <v>49</v>
      </c>
      <c r="E621">
        <v>1.39</v>
      </c>
      <c r="F621">
        <v>2.85</v>
      </c>
      <c r="G621" s="8">
        <f t="shared" si="9"/>
        <v>29.263157894736839</v>
      </c>
    </row>
    <row r="622" spans="1:7" x14ac:dyDescent="0.25">
      <c r="A622" s="5">
        <v>45806.395833333336</v>
      </c>
      <c r="B622">
        <v>41</v>
      </c>
      <c r="C622" t="s">
        <v>50</v>
      </c>
      <c r="D622" t="s">
        <v>51</v>
      </c>
      <c r="E622">
        <v>1.56</v>
      </c>
      <c r="F622">
        <v>4.82</v>
      </c>
      <c r="G622" s="8">
        <f t="shared" si="9"/>
        <v>19.419087136929463</v>
      </c>
    </row>
    <row r="623" spans="1:7" x14ac:dyDescent="0.25">
      <c r="A623" s="5">
        <v>45806.395833333336</v>
      </c>
      <c r="B623">
        <v>42</v>
      </c>
      <c r="C623" t="s">
        <v>51</v>
      </c>
      <c r="D623" t="s">
        <v>52</v>
      </c>
      <c r="E623">
        <v>1.56</v>
      </c>
      <c r="F623">
        <v>4.33</v>
      </c>
      <c r="G623" s="8">
        <f t="shared" si="9"/>
        <v>21.616628175519633</v>
      </c>
    </row>
    <row r="624" spans="1:7" x14ac:dyDescent="0.25">
      <c r="A624" s="5">
        <v>45806.395833333336</v>
      </c>
      <c r="B624">
        <v>43</v>
      </c>
      <c r="C624" t="s">
        <v>52</v>
      </c>
      <c r="D624" t="s">
        <v>53</v>
      </c>
      <c r="E624">
        <v>1.51</v>
      </c>
      <c r="F624">
        <v>3.47</v>
      </c>
      <c r="G624" s="8">
        <f t="shared" si="9"/>
        <v>26.109510086455327</v>
      </c>
    </row>
    <row r="625" spans="1:7" x14ac:dyDescent="0.25">
      <c r="A625" s="5">
        <v>45806.395833333336</v>
      </c>
      <c r="B625">
        <v>44</v>
      </c>
      <c r="C625" t="s">
        <v>54</v>
      </c>
      <c r="D625" t="s">
        <v>55</v>
      </c>
      <c r="E625">
        <v>1.51</v>
      </c>
      <c r="F625">
        <v>4.68</v>
      </c>
      <c r="G625" s="8">
        <f t="shared" si="9"/>
        <v>19.358974358974358</v>
      </c>
    </row>
    <row r="626" spans="1:7" x14ac:dyDescent="0.25">
      <c r="A626" s="5">
        <v>45806.395833333336</v>
      </c>
      <c r="B626">
        <v>45</v>
      </c>
      <c r="C626" t="s">
        <v>55</v>
      </c>
      <c r="D626" t="s">
        <v>56</v>
      </c>
      <c r="E626">
        <v>1.49</v>
      </c>
      <c r="F626">
        <v>3.53</v>
      </c>
      <c r="G626" s="8">
        <f t="shared" si="9"/>
        <v>25.3257790368272</v>
      </c>
    </row>
    <row r="627" spans="1:7" x14ac:dyDescent="0.25">
      <c r="A627" s="5">
        <v>45806.395833333336</v>
      </c>
      <c r="B627">
        <v>46</v>
      </c>
      <c r="C627" t="s">
        <v>56</v>
      </c>
      <c r="D627" t="s">
        <v>57</v>
      </c>
      <c r="E627">
        <v>1.52</v>
      </c>
      <c r="F627">
        <v>3.65</v>
      </c>
      <c r="G627" s="8">
        <f t="shared" si="9"/>
        <v>24.986301369863014</v>
      </c>
    </row>
    <row r="628" spans="1:7" x14ac:dyDescent="0.25">
      <c r="A628" s="5">
        <v>45806.395833333336</v>
      </c>
      <c r="B628">
        <v>47</v>
      </c>
      <c r="C628" t="s">
        <v>58</v>
      </c>
      <c r="D628" t="s">
        <v>59</v>
      </c>
      <c r="E628">
        <v>1.52</v>
      </c>
      <c r="F628">
        <v>4.78</v>
      </c>
      <c r="G628" s="8">
        <f t="shared" si="9"/>
        <v>19.07949790794979</v>
      </c>
    </row>
    <row r="629" spans="1:7" x14ac:dyDescent="0.25">
      <c r="A629" s="5">
        <v>45806.395833333336</v>
      </c>
      <c r="B629">
        <v>48</v>
      </c>
      <c r="C629" t="s">
        <v>59</v>
      </c>
      <c r="D629" t="s">
        <v>60</v>
      </c>
      <c r="E629">
        <v>1.5</v>
      </c>
      <c r="F629">
        <v>3.75</v>
      </c>
      <c r="G629" s="8">
        <f t="shared" si="9"/>
        <v>24</v>
      </c>
    </row>
    <row r="630" spans="1:7" x14ac:dyDescent="0.25">
      <c r="A630" s="5">
        <v>45806.395833333336</v>
      </c>
      <c r="B630">
        <v>49</v>
      </c>
      <c r="C630" t="s">
        <v>60</v>
      </c>
      <c r="D630" t="s">
        <v>61</v>
      </c>
      <c r="E630">
        <v>1.54</v>
      </c>
      <c r="F630">
        <v>3.87</v>
      </c>
      <c r="G630" s="8">
        <f t="shared" si="9"/>
        <v>23.875968992248062</v>
      </c>
    </row>
    <row r="631" spans="1:7" x14ac:dyDescent="0.25">
      <c r="A631" s="5">
        <v>45806.395833333336</v>
      </c>
      <c r="B631">
        <v>50</v>
      </c>
      <c r="C631" t="s">
        <v>62</v>
      </c>
      <c r="D631" t="s">
        <v>63</v>
      </c>
      <c r="E631">
        <v>1.38</v>
      </c>
      <c r="F631">
        <v>3.18</v>
      </c>
      <c r="G631" s="8">
        <f t="shared" si="9"/>
        <v>26.037735849056602</v>
      </c>
    </row>
    <row r="632" spans="1:7" x14ac:dyDescent="0.25">
      <c r="A632" s="5">
        <v>45806.395833333336</v>
      </c>
      <c r="B632">
        <v>51</v>
      </c>
      <c r="C632" t="s">
        <v>63</v>
      </c>
      <c r="D632" t="s">
        <v>64</v>
      </c>
      <c r="E632">
        <v>2.79</v>
      </c>
      <c r="F632">
        <v>6.05</v>
      </c>
      <c r="G632" s="8">
        <f t="shared" si="9"/>
        <v>27.669421487603309</v>
      </c>
    </row>
    <row r="633" spans="1:7" x14ac:dyDescent="0.25">
      <c r="A633" s="5">
        <v>45806.395833333336</v>
      </c>
      <c r="B633">
        <v>52</v>
      </c>
      <c r="C633" t="s">
        <v>64</v>
      </c>
      <c r="D633" t="s">
        <v>65</v>
      </c>
      <c r="E633">
        <v>1.5</v>
      </c>
      <c r="F633">
        <v>2.9</v>
      </c>
      <c r="G633" s="8">
        <f t="shared" si="9"/>
        <v>31.03448275862069</v>
      </c>
    </row>
    <row r="634" spans="1:7" x14ac:dyDescent="0.25">
      <c r="A634" s="5">
        <v>45806.395833333336</v>
      </c>
      <c r="B634">
        <v>53</v>
      </c>
      <c r="C634" t="s">
        <v>65</v>
      </c>
      <c r="D634" t="s">
        <v>66</v>
      </c>
      <c r="E634">
        <v>1.46</v>
      </c>
      <c r="F634">
        <v>3.78</v>
      </c>
      <c r="G634" s="8">
        <f t="shared" si="9"/>
        <v>23.174603174603174</v>
      </c>
    </row>
    <row r="635" spans="1:7" x14ac:dyDescent="0.25">
      <c r="A635" s="5">
        <v>45806.395833333336</v>
      </c>
      <c r="B635">
        <v>54</v>
      </c>
      <c r="C635" t="s">
        <v>67</v>
      </c>
      <c r="D635" t="s">
        <v>68</v>
      </c>
      <c r="E635">
        <v>1.46</v>
      </c>
      <c r="F635">
        <v>5.12</v>
      </c>
      <c r="G635" s="8">
        <f t="shared" si="9"/>
        <v>17.109375</v>
      </c>
    </row>
    <row r="636" spans="1:7" x14ac:dyDescent="0.25">
      <c r="A636" s="5">
        <v>45806.395833333336</v>
      </c>
      <c r="B636">
        <v>55</v>
      </c>
      <c r="C636" t="s">
        <v>68</v>
      </c>
      <c r="D636" t="s">
        <v>69</v>
      </c>
      <c r="E636">
        <v>1.5</v>
      </c>
      <c r="F636">
        <v>8.98</v>
      </c>
      <c r="G636" s="8">
        <f t="shared" si="9"/>
        <v>10.022271714922049</v>
      </c>
    </row>
    <row r="637" spans="1:7" x14ac:dyDescent="0.25">
      <c r="A637" s="5">
        <v>45806.395833333336</v>
      </c>
      <c r="B637">
        <v>56</v>
      </c>
      <c r="C637" t="s">
        <v>70</v>
      </c>
      <c r="D637" t="s">
        <v>71</v>
      </c>
      <c r="E637">
        <v>1.51</v>
      </c>
      <c r="F637">
        <v>4.2699999999999996</v>
      </c>
      <c r="G637" s="8">
        <f t="shared" si="9"/>
        <v>21.217798594847775</v>
      </c>
    </row>
    <row r="638" spans="1:7" x14ac:dyDescent="0.25">
      <c r="A638" s="5">
        <v>45806.395833333336</v>
      </c>
      <c r="B638">
        <v>57</v>
      </c>
      <c r="C638" t="s">
        <v>71</v>
      </c>
      <c r="D638" t="s">
        <v>72</v>
      </c>
      <c r="E638">
        <v>1.52</v>
      </c>
      <c r="F638">
        <v>5.53</v>
      </c>
      <c r="G638" s="8">
        <f t="shared" si="9"/>
        <v>16.491862567811935</v>
      </c>
    </row>
    <row r="639" spans="1:7" x14ac:dyDescent="0.25">
      <c r="A639" s="5">
        <v>45806.395833333336</v>
      </c>
      <c r="B639">
        <v>58</v>
      </c>
      <c r="C639" t="s">
        <v>72</v>
      </c>
      <c r="D639" t="s">
        <v>73</v>
      </c>
      <c r="E639">
        <v>1.5</v>
      </c>
      <c r="F639">
        <v>3.97</v>
      </c>
      <c r="G639" s="8">
        <f t="shared" si="9"/>
        <v>22.670025188916874</v>
      </c>
    </row>
    <row r="640" spans="1:7" x14ac:dyDescent="0.25">
      <c r="A640" s="5">
        <v>45806.40625</v>
      </c>
      <c r="B640">
        <v>1</v>
      </c>
      <c r="C640" t="s">
        <v>6</v>
      </c>
      <c r="D640" t="s">
        <v>7</v>
      </c>
      <c r="E640">
        <v>1.53</v>
      </c>
      <c r="F640">
        <v>3.12</v>
      </c>
      <c r="G640" s="8">
        <f t="shared" si="9"/>
        <v>29.42307692307692</v>
      </c>
    </row>
    <row r="641" spans="1:7" x14ac:dyDescent="0.25">
      <c r="A641" s="5">
        <v>45806.40625</v>
      </c>
      <c r="B641">
        <v>2</v>
      </c>
      <c r="C641" t="s">
        <v>7</v>
      </c>
      <c r="D641" t="s">
        <v>8</v>
      </c>
      <c r="E641">
        <v>1.57</v>
      </c>
      <c r="F641">
        <v>4.87</v>
      </c>
      <c r="G641" s="8">
        <f t="shared" si="9"/>
        <v>19.342915811088297</v>
      </c>
    </row>
    <row r="642" spans="1:7" x14ac:dyDescent="0.25">
      <c r="A642" s="5">
        <v>45806.40625</v>
      </c>
      <c r="B642">
        <v>3</v>
      </c>
      <c r="C642" t="s">
        <v>8</v>
      </c>
      <c r="D642" t="s">
        <v>9</v>
      </c>
      <c r="E642">
        <v>1.5</v>
      </c>
      <c r="F642">
        <v>3.12</v>
      </c>
      <c r="G642" s="8">
        <f t="shared" si="9"/>
        <v>28.846153846153847</v>
      </c>
    </row>
    <row r="643" spans="1:7" x14ac:dyDescent="0.25">
      <c r="A643" s="5">
        <v>45806.40625</v>
      </c>
      <c r="B643">
        <v>4</v>
      </c>
      <c r="C643" t="s">
        <v>9</v>
      </c>
      <c r="D643" t="s">
        <v>10</v>
      </c>
      <c r="E643">
        <v>1.5</v>
      </c>
      <c r="F643">
        <v>2.85</v>
      </c>
      <c r="G643" s="8">
        <f t="shared" ref="G643:G706" si="10">E643*60/F643</f>
        <v>31.578947368421051</v>
      </c>
    </row>
    <row r="644" spans="1:7" x14ac:dyDescent="0.25">
      <c r="A644" s="5">
        <v>45806.40625</v>
      </c>
      <c r="B644">
        <v>5</v>
      </c>
      <c r="C644" t="s">
        <v>10</v>
      </c>
      <c r="D644" t="s">
        <v>11</v>
      </c>
      <c r="E644">
        <v>1.52</v>
      </c>
      <c r="F644">
        <v>3.33</v>
      </c>
      <c r="G644" s="8">
        <f t="shared" si="10"/>
        <v>27.387387387387388</v>
      </c>
    </row>
    <row r="645" spans="1:7" x14ac:dyDescent="0.25">
      <c r="A645" s="5">
        <v>45806.40625</v>
      </c>
      <c r="B645">
        <v>6</v>
      </c>
      <c r="C645" t="s">
        <v>11</v>
      </c>
      <c r="D645" t="s">
        <v>12</v>
      </c>
      <c r="E645">
        <v>1.5</v>
      </c>
      <c r="F645">
        <v>2.67</v>
      </c>
      <c r="G645" s="8">
        <f t="shared" si="10"/>
        <v>33.707865168539328</v>
      </c>
    </row>
    <row r="646" spans="1:7" x14ac:dyDescent="0.25">
      <c r="A646" s="5">
        <v>45806.40625</v>
      </c>
      <c r="B646">
        <v>7</v>
      </c>
      <c r="C646" t="s">
        <v>12</v>
      </c>
      <c r="D646" t="s">
        <v>13</v>
      </c>
      <c r="E646">
        <v>1.54</v>
      </c>
      <c r="F646">
        <v>2.88</v>
      </c>
      <c r="G646" s="8">
        <f t="shared" si="10"/>
        <v>32.083333333333336</v>
      </c>
    </row>
    <row r="647" spans="1:7" x14ac:dyDescent="0.25">
      <c r="A647" s="5">
        <v>45806.40625</v>
      </c>
      <c r="B647">
        <v>8</v>
      </c>
      <c r="C647" t="s">
        <v>13</v>
      </c>
      <c r="D647" t="s">
        <v>14</v>
      </c>
      <c r="E647">
        <v>1.54</v>
      </c>
      <c r="F647">
        <v>3.58</v>
      </c>
      <c r="G647" s="8">
        <f t="shared" si="10"/>
        <v>25.81005586592179</v>
      </c>
    </row>
    <row r="648" spans="1:7" x14ac:dyDescent="0.25">
      <c r="A648" s="5">
        <v>45806.40625</v>
      </c>
      <c r="B648">
        <v>9</v>
      </c>
      <c r="C648" t="s">
        <v>14</v>
      </c>
      <c r="D648" t="s">
        <v>15</v>
      </c>
      <c r="E648">
        <v>1.52</v>
      </c>
      <c r="F648">
        <v>4.83</v>
      </c>
      <c r="G648" s="8">
        <f t="shared" si="10"/>
        <v>18.881987577639752</v>
      </c>
    </row>
    <row r="649" spans="1:7" x14ac:dyDescent="0.25">
      <c r="A649" s="5">
        <v>45806.40625</v>
      </c>
      <c r="B649">
        <v>10</v>
      </c>
      <c r="C649" t="s">
        <v>15</v>
      </c>
      <c r="D649" t="s">
        <v>16</v>
      </c>
      <c r="E649">
        <v>1.5</v>
      </c>
      <c r="F649">
        <v>3.73</v>
      </c>
      <c r="G649" s="8">
        <f t="shared" si="10"/>
        <v>24.128686327077748</v>
      </c>
    </row>
    <row r="650" spans="1:7" x14ac:dyDescent="0.25">
      <c r="A650" s="5">
        <v>45806.40625</v>
      </c>
      <c r="B650">
        <v>11</v>
      </c>
      <c r="C650" t="s">
        <v>16</v>
      </c>
      <c r="D650" t="s">
        <v>17</v>
      </c>
      <c r="E650">
        <v>1.48</v>
      </c>
      <c r="F650">
        <v>3.28</v>
      </c>
      <c r="G650" s="8">
        <f t="shared" si="10"/>
        <v>27.073170731707318</v>
      </c>
    </row>
    <row r="651" spans="1:7" x14ac:dyDescent="0.25">
      <c r="A651" s="5">
        <v>45806.40625</v>
      </c>
      <c r="B651">
        <v>12</v>
      </c>
      <c r="C651" t="s">
        <v>17</v>
      </c>
      <c r="D651" t="s">
        <v>18</v>
      </c>
      <c r="E651">
        <v>1.46</v>
      </c>
      <c r="F651">
        <v>4.57</v>
      </c>
      <c r="G651" s="8">
        <f t="shared" si="10"/>
        <v>19.168490153172865</v>
      </c>
    </row>
    <row r="652" spans="1:7" x14ac:dyDescent="0.25">
      <c r="A652" s="5">
        <v>45806.40625</v>
      </c>
      <c r="B652">
        <v>13</v>
      </c>
      <c r="C652" t="s">
        <v>18</v>
      </c>
      <c r="D652" t="s">
        <v>19</v>
      </c>
      <c r="E652">
        <v>1.52</v>
      </c>
      <c r="F652">
        <v>4.08</v>
      </c>
      <c r="G652" s="8">
        <f t="shared" si="10"/>
        <v>22.352941176470587</v>
      </c>
    </row>
    <row r="653" spans="1:7" x14ac:dyDescent="0.25">
      <c r="A653" s="5">
        <v>45806.40625</v>
      </c>
      <c r="B653">
        <v>14</v>
      </c>
      <c r="C653" t="s">
        <v>19</v>
      </c>
      <c r="D653" t="s">
        <v>20</v>
      </c>
      <c r="E653">
        <v>1.51</v>
      </c>
      <c r="F653">
        <v>3.63</v>
      </c>
      <c r="G653" s="8">
        <f t="shared" si="10"/>
        <v>24.958677685950413</v>
      </c>
    </row>
    <row r="654" spans="1:7" x14ac:dyDescent="0.25">
      <c r="A654" s="5">
        <v>45806.40625</v>
      </c>
      <c r="B654">
        <v>15</v>
      </c>
      <c r="C654" t="s">
        <v>20</v>
      </c>
      <c r="D654" t="s">
        <v>21</v>
      </c>
      <c r="E654">
        <v>1.47</v>
      </c>
      <c r="F654">
        <v>2.13</v>
      </c>
      <c r="G654" s="8">
        <f t="shared" si="10"/>
        <v>41.408450704225352</v>
      </c>
    </row>
    <row r="655" spans="1:7" x14ac:dyDescent="0.25">
      <c r="A655" s="5">
        <v>45806.40625</v>
      </c>
      <c r="B655">
        <v>16</v>
      </c>
      <c r="C655" t="s">
        <v>21</v>
      </c>
      <c r="D655" t="s">
        <v>22</v>
      </c>
      <c r="E655">
        <v>1.5</v>
      </c>
      <c r="F655">
        <v>1.93</v>
      </c>
      <c r="G655" s="8">
        <f t="shared" si="10"/>
        <v>46.632124352331608</v>
      </c>
    </row>
    <row r="656" spans="1:7" x14ac:dyDescent="0.25">
      <c r="A656" s="5">
        <v>45806.40625</v>
      </c>
      <c r="B656">
        <v>17</v>
      </c>
      <c r="C656" t="s">
        <v>22</v>
      </c>
      <c r="D656" t="s">
        <v>23</v>
      </c>
      <c r="E656">
        <v>1.51</v>
      </c>
      <c r="F656">
        <v>3.2</v>
      </c>
      <c r="G656" s="8">
        <f t="shared" si="10"/>
        <v>28.312499999999996</v>
      </c>
    </row>
    <row r="657" spans="1:7" x14ac:dyDescent="0.25">
      <c r="A657" s="5">
        <v>45806.40625</v>
      </c>
      <c r="B657">
        <v>18</v>
      </c>
      <c r="C657" t="s">
        <v>23</v>
      </c>
      <c r="D657" t="s">
        <v>24</v>
      </c>
      <c r="E657">
        <v>1.51</v>
      </c>
      <c r="F657">
        <v>3.35</v>
      </c>
      <c r="G657" s="8">
        <f t="shared" si="10"/>
        <v>27.044776119402982</v>
      </c>
    </row>
    <row r="658" spans="1:7" x14ac:dyDescent="0.25">
      <c r="A658" s="5">
        <v>45806.40625</v>
      </c>
      <c r="B658">
        <v>19</v>
      </c>
      <c r="C658" t="s">
        <v>25</v>
      </c>
      <c r="D658" t="s">
        <v>26</v>
      </c>
      <c r="E658">
        <v>1.5</v>
      </c>
      <c r="F658">
        <v>3.83</v>
      </c>
      <c r="G658" s="8">
        <f t="shared" si="10"/>
        <v>23.49869451697128</v>
      </c>
    </row>
    <row r="659" spans="1:7" x14ac:dyDescent="0.25">
      <c r="A659" s="5">
        <v>45806.40625</v>
      </c>
      <c r="B659">
        <v>20</v>
      </c>
      <c r="C659" t="s">
        <v>26</v>
      </c>
      <c r="D659" t="s">
        <v>27</v>
      </c>
      <c r="E659">
        <v>1.48</v>
      </c>
      <c r="F659">
        <v>4.7300000000000004</v>
      </c>
      <c r="G659" s="8">
        <f t="shared" si="10"/>
        <v>18.773784355179703</v>
      </c>
    </row>
    <row r="660" spans="1:7" x14ac:dyDescent="0.25">
      <c r="A660" s="5">
        <v>45806.40625</v>
      </c>
      <c r="B660">
        <v>21</v>
      </c>
      <c r="C660" t="s">
        <v>27</v>
      </c>
      <c r="D660" t="s">
        <v>28</v>
      </c>
      <c r="E660">
        <v>1.51</v>
      </c>
      <c r="F660">
        <v>4.2699999999999996</v>
      </c>
      <c r="G660" s="8">
        <f t="shared" si="10"/>
        <v>21.217798594847775</v>
      </c>
    </row>
    <row r="661" spans="1:7" x14ac:dyDescent="0.25">
      <c r="A661" s="5">
        <v>45806.40625</v>
      </c>
      <c r="B661">
        <v>22</v>
      </c>
      <c r="C661" t="s">
        <v>28</v>
      </c>
      <c r="D661" t="s">
        <v>29</v>
      </c>
      <c r="E661">
        <v>1.57</v>
      </c>
      <c r="F661">
        <v>3.9</v>
      </c>
      <c r="G661" s="8">
        <f t="shared" si="10"/>
        <v>24.153846153846157</v>
      </c>
    </row>
    <row r="662" spans="1:7" x14ac:dyDescent="0.25">
      <c r="A662" s="5">
        <v>45806.40625</v>
      </c>
      <c r="B662">
        <v>23</v>
      </c>
      <c r="C662" t="s">
        <v>29</v>
      </c>
      <c r="D662" t="s">
        <v>30</v>
      </c>
      <c r="E662">
        <v>1.43</v>
      </c>
      <c r="F662">
        <v>4.55</v>
      </c>
      <c r="G662" s="8">
        <f t="shared" si="10"/>
        <v>18.857142857142858</v>
      </c>
    </row>
    <row r="663" spans="1:7" x14ac:dyDescent="0.25">
      <c r="A663" s="5">
        <v>45806.40625</v>
      </c>
      <c r="B663">
        <v>24</v>
      </c>
      <c r="C663" t="s">
        <v>30</v>
      </c>
      <c r="D663" t="s">
        <v>31</v>
      </c>
      <c r="E663">
        <v>1.52</v>
      </c>
      <c r="F663">
        <v>3.52</v>
      </c>
      <c r="G663" s="8">
        <f t="shared" si="10"/>
        <v>25.90909090909091</v>
      </c>
    </row>
    <row r="664" spans="1:7" x14ac:dyDescent="0.25">
      <c r="A664" s="5">
        <v>45806.40625</v>
      </c>
      <c r="B664">
        <v>25</v>
      </c>
      <c r="C664" t="s">
        <v>31</v>
      </c>
      <c r="D664" t="s">
        <v>32</v>
      </c>
      <c r="E664">
        <v>1.52</v>
      </c>
      <c r="F664">
        <v>3.67</v>
      </c>
      <c r="G664" s="8">
        <f t="shared" si="10"/>
        <v>24.850136239782017</v>
      </c>
    </row>
    <row r="665" spans="1:7" x14ac:dyDescent="0.25">
      <c r="A665" s="5">
        <v>45806.40625</v>
      </c>
      <c r="B665">
        <v>26</v>
      </c>
      <c r="C665" t="s">
        <v>32</v>
      </c>
      <c r="D665" t="s">
        <v>33</v>
      </c>
      <c r="E665">
        <v>1.49</v>
      </c>
      <c r="F665">
        <v>3.92</v>
      </c>
      <c r="G665" s="8">
        <f t="shared" si="10"/>
        <v>22.806122448979593</v>
      </c>
    </row>
    <row r="666" spans="1:7" x14ac:dyDescent="0.25">
      <c r="A666" s="5">
        <v>45806.40625</v>
      </c>
      <c r="B666">
        <v>27</v>
      </c>
      <c r="C666" t="s">
        <v>33</v>
      </c>
      <c r="D666" t="s">
        <v>34</v>
      </c>
      <c r="E666">
        <v>1.53</v>
      </c>
      <c r="F666">
        <v>3.63</v>
      </c>
      <c r="G666" s="8">
        <f t="shared" si="10"/>
        <v>25.289256198347108</v>
      </c>
    </row>
    <row r="667" spans="1:7" x14ac:dyDescent="0.25">
      <c r="A667" s="5">
        <v>45806.40625</v>
      </c>
      <c r="B667">
        <v>28</v>
      </c>
      <c r="C667" t="s">
        <v>34</v>
      </c>
      <c r="D667" t="s">
        <v>35</v>
      </c>
      <c r="E667">
        <v>1.51</v>
      </c>
      <c r="F667">
        <v>4.38</v>
      </c>
      <c r="G667" s="8">
        <f t="shared" si="10"/>
        <v>20.684931506849313</v>
      </c>
    </row>
    <row r="668" spans="1:7" x14ac:dyDescent="0.25">
      <c r="A668" s="5">
        <v>45806.40625</v>
      </c>
      <c r="B668">
        <v>29</v>
      </c>
      <c r="C668" t="s">
        <v>36</v>
      </c>
      <c r="D668" t="s">
        <v>37</v>
      </c>
      <c r="E668">
        <v>1.57</v>
      </c>
      <c r="F668">
        <v>4.6500000000000004</v>
      </c>
      <c r="G668" s="8">
        <f t="shared" si="10"/>
        <v>20.258064516129032</v>
      </c>
    </row>
    <row r="669" spans="1:7" x14ac:dyDescent="0.25">
      <c r="A669" s="5">
        <v>45806.40625</v>
      </c>
      <c r="B669">
        <v>30</v>
      </c>
      <c r="C669" t="s">
        <v>37</v>
      </c>
      <c r="D669" t="s">
        <v>38</v>
      </c>
      <c r="E669">
        <v>1.57</v>
      </c>
      <c r="F669">
        <v>6.18</v>
      </c>
      <c r="G669" s="8">
        <f t="shared" si="10"/>
        <v>15.242718446601943</v>
      </c>
    </row>
    <row r="670" spans="1:7" x14ac:dyDescent="0.25">
      <c r="A670" s="5">
        <v>45806.40625</v>
      </c>
      <c r="B670">
        <v>31</v>
      </c>
      <c r="C670" t="s">
        <v>38</v>
      </c>
      <c r="D670" t="s">
        <v>39</v>
      </c>
      <c r="E670">
        <v>1.52</v>
      </c>
      <c r="F670">
        <v>2.75</v>
      </c>
      <c r="G670" s="8">
        <f t="shared" si="10"/>
        <v>33.163636363636364</v>
      </c>
    </row>
    <row r="671" spans="1:7" x14ac:dyDescent="0.25">
      <c r="A671" s="5">
        <v>45806.40625</v>
      </c>
      <c r="B671">
        <v>32</v>
      </c>
      <c r="C671" t="s">
        <v>39</v>
      </c>
      <c r="D671" t="s">
        <v>40</v>
      </c>
      <c r="E671">
        <v>1.5</v>
      </c>
      <c r="F671">
        <v>1.95</v>
      </c>
      <c r="G671" s="8">
        <f t="shared" si="10"/>
        <v>46.153846153846153</v>
      </c>
    </row>
    <row r="672" spans="1:7" x14ac:dyDescent="0.25">
      <c r="A672" s="5">
        <v>45806.40625</v>
      </c>
      <c r="B672">
        <v>33</v>
      </c>
      <c r="C672" t="s">
        <v>40</v>
      </c>
      <c r="D672" t="s">
        <v>41</v>
      </c>
      <c r="E672">
        <v>1.51</v>
      </c>
      <c r="F672">
        <v>2.37</v>
      </c>
      <c r="G672" s="8">
        <f t="shared" si="10"/>
        <v>38.22784810126582</v>
      </c>
    </row>
    <row r="673" spans="1:7" x14ac:dyDescent="0.25">
      <c r="A673" s="5">
        <v>45806.40625</v>
      </c>
      <c r="B673">
        <v>34</v>
      </c>
      <c r="C673" t="s">
        <v>41</v>
      </c>
      <c r="D673" t="s">
        <v>42</v>
      </c>
      <c r="E673">
        <v>1.5</v>
      </c>
      <c r="F673">
        <v>1.92</v>
      </c>
      <c r="G673" s="8">
        <f t="shared" si="10"/>
        <v>46.875</v>
      </c>
    </row>
    <row r="674" spans="1:7" x14ac:dyDescent="0.25">
      <c r="A674" s="5">
        <v>45806.40625</v>
      </c>
      <c r="B674">
        <v>35</v>
      </c>
      <c r="C674" t="s">
        <v>43</v>
      </c>
      <c r="D674" t="s">
        <v>44</v>
      </c>
      <c r="E674">
        <v>1.55</v>
      </c>
      <c r="F674">
        <v>4.18</v>
      </c>
      <c r="G674" s="8">
        <f t="shared" si="10"/>
        <v>22.248803827751196</v>
      </c>
    </row>
    <row r="675" spans="1:7" x14ac:dyDescent="0.25">
      <c r="A675" s="5">
        <v>45806.40625</v>
      </c>
      <c r="B675">
        <v>36</v>
      </c>
      <c r="C675" t="s">
        <v>44</v>
      </c>
      <c r="D675" t="s">
        <v>45</v>
      </c>
      <c r="E675">
        <v>1.5</v>
      </c>
      <c r="F675">
        <v>3.13</v>
      </c>
      <c r="G675" s="8">
        <f t="shared" si="10"/>
        <v>28.753993610223642</v>
      </c>
    </row>
    <row r="676" spans="1:7" x14ac:dyDescent="0.25">
      <c r="A676" s="5">
        <v>45806.40625</v>
      </c>
      <c r="B676">
        <v>37</v>
      </c>
      <c r="C676" t="s">
        <v>45</v>
      </c>
      <c r="D676" t="s">
        <v>46</v>
      </c>
      <c r="E676">
        <v>1.38</v>
      </c>
      <c r="F676">
        <v>3.98</v>
      </c>
      <c r="G676" s="8">
        <f t="shared" si="10"/>
        <v>20.804020100502512</v>
      </c>
    </row>
    <row r="677" spans="1:7" x14ac:dyDescent="0.25">
      <c r="A677" s="5">
        <v>45806.40625</v>
      </c>
      <c r="B677">
        <v>38</v>
      </c>
      <c r="C677" t="s">
        <v>46</v>
      </c>
      <c r="D677" t="s">
        <v>47</v>
      </c>
      <c r="E677">
        <v>1.61</v>
      </c>
      <c r="F677">
        <v>3.7</v>
      </c>
      <c r="G677" s="8">
        <f t="shared" si="10"/>
        <v>26.108108108108109</v>
      </c>
    </row>
    <row r="678" spans="1:7" x14ac:dyDescent="0.25">
      <c r="A678" s="5">
        <v>45806.40625</v>
      </c>
      <c r="B678">
        <v>39</v>
      </c>
      <c r="C678" t="s">
        <v>47</v>
      </c>
      <c r="D678" t="s">
        <v>48</v>
      </c>
      <c r="E678">
        <v>1.55</v>
      </c>
      <c r="F678">
        <v>3.32</v>
      </c>
      <c r="G678" s="8">
        <f t="shared" si="10"/>
        <v>28.012048192771086</v>
      </c>
    </row>
    <row r="679" spans="1:7" x14ac:dyDescent="0.25">
      <c r="A679" s="5">
        <v>45806.40625</v>
      </c>
      <c r="B679">
        <v>40</v>
      </c>
      <c r="C679" t="s">
        <v>48</v>
      </c>
      <c r="D679" t="s">
        <v>49</v>
      </c>
      <c r="E679">
        <v>1.39</v>
      </c>
      <c r="F679">
        <v>2.92</v>
      </c>
      <c r="G679" s="8">
        <f t="shared" si="10"/>
        <v>28.561643835616437</v>
      </c>
    </row>
    <row r="680" spans="1:7" x14ac:dyDescent="0.25">
      <c r="A680" s="5">
        <v>45806.40625</v>
      </c>
      <c r="B680">
        <v>41</v>
      </c>
      <c r="C680" t="s">
        <v>50</v>
      </c>
      <c r="D680" t="s">
        <v>51</v>
      </c>
      <c r="E680">
        <v>1.56</v>
      </c>
      <c r="F680">
        <v>4.2699999999999996</v>
      </c>
      <c r="G680" s="8">
        <f t="shared" si="10"/>
        <v>21.920374707259956</v>
      </c>
    </row>
    <row r="681" spans="1:7" x14ac:dyDescent="0.25">
      <c r="A681" s="5">
        <v>45806.40625</v>
      </c>
      <c r="B681">
        <v>42</v>
      </c>
      <c r="C681" t="s">
        <v>51</v>
      </c>
      <c r="D681" t="s">
        <v>52</v>
      </c>
      <c r="E681">
        <v>1.56</v>
      </c>
      <c r="F681">
        <v>4.3</v>
      </c>
      <c r="G681" s="8">
        <f t="shared" si="10"/>
        <v>21.767441860465119</v>
      </c>
    </row>
    <row r="682" spans="1:7" x14ac:dyDescent="0.25">
      <c r="A682" s="5">
        <v>45806.40625</v>
      </c>
      <c r="B682">
        <v>43</v>
      </c>
      <c r="C682" t="s">
        <v>52</v>
      </c>
      <c r="D682" t="s">
        <v>53</v>
      </c>
      <c r="E682">
        <v>1.51</v>
      </c>
      <c r="F682">
        <v>3.63</v>
      </c>
      <c r="G682" s="8">
        <f t="shared" si="10"/>
        <v>24.958677685950413</v>
      </c>
    </row>
    <row r="683" spans="1:7" x14ac:dyDescent="0.25">
      <c r="A683" s="5">
        <v>45806.40625</v>
      </c>
      <c r="B683">
        <v>44</v>
      </c>
      <c r="C683" t="s">
        <v>54</v>
      </c>
      <c r="D683" t="s">
        <v>55</v>
      </c>
      <c r="E683">
        <v>1.51</v>
      </c>
      <c r="F683">
        <v>4.63</v>
      </c>
      <c r="G683" s="8">
        <f t="shared" si="10"/>
        <v>19.568034557235421</v>
      </c>
    </row>
    <row r="684" spans="1:7" x14ac:dyDescent="0.25">
      <c r="A684" s="5">
        <v>45806.40625</v>
      </c>
      <c r="B684">
        <v>45</v>
      </c>
      <c r="C684" t="s">
        <v>55</v>
      </c>
      <c r="D684" t="s">
        <v>56</v>
      </c>
      <c r="E684">
        <v>1.49</v>
      </c>
      <c r="F684">
        <v>3.5</v>
      </c>
      <c r="G684" s="8">
        <f t="shared" si="10"/>
        <v>25.542857142857144</v>
      </c>
    </row>
    <row r="685" spans="1:7" x14ac:dyDescent="0.25">
      <c r="A685" s="5">
        <v>45806.40625</v>
      </c>
      <c r="B685">
        <v>46</v>
      </c>
      <c r="C685" t="s">
        <v>56</v>
      </c>
      <c r="D685" t="s">
        <v>57</v>
      </c>
      <c r="E685">
        <v>1.52</v>
      </c>
      <c r="F685">
        <v>3.83</v>
      </c>
      <c r="G685" s="8">
        <f t="shared" si="10"/>
        <v>23.812010443864231</v>
      </c>
    </row>
    <row r="686" spans="1:7" x14ac:dyDescent="0.25">
      <c r="A686" s="5">
        <v>45806.40625</v>
      </c>
      <c r="B686">
        <v>47</v>
      </c>
      <c r="C686" t="s">
        <v>58</v>
      </c>
      <c r="D686" t="s">
        <v>59</v>
      </c>
      <c r="E686">
        <v>1.52</v>
      </c>
      <c r="F686">
        <v>4.72</v>
      </c>
      <c r="G686" s="8">
        <f t="shared" si="10"/>
        <v>19.322033898305087</v>
      </c>
    </row>
    <row r="687" spans="1:7" x14ac:dyDescent="0.25">
      <c r="A687" s="5">
        <v>45806.40625</v>
      </c>
      <c r="B687">
        <v>48</v>
      </c>
      <c r="C687" t="s">
        <v>59</v>
      </c>
      <c r="D687" t="s">
        <v>60</v>
      </c>
      <c r="E687">
        <v>1.5</v>
      </c>
      <c r="F687">
        <v>3.82</v>
      </c>
      <c r="G687" s="8">
        <f t="shared" si="10"/>
        <v>23.560209424083769</v>
      </c>
    </row>
    <row r="688" spans="1:7" x14ac:dyDescent="0.25">
      <c r="A688" s="5">
        <v>45806.40625</v>
      </c>
      <c r="B688">
        <v>49</v>
      </c>
      <c r="C688" t="s">
        <v>60</v>
      </c>
      <c r="D688" t="s">
        <v>61</v>
      </c>
      <c r="E688">
        <v>1.54</v>
      </c>
      <c r="F688">
        <v>3.73</v>
      </c>
      <c r="G688" s="8">
        <f t="shared" si="10"/>
        <v>24.772117962466488</v>
      </c>
    </row>
    <row r="689" spans="1:7" x14ac:dyDescent="0.25">
      <c r="A689" s="5">
        <v>45806.40625</v>
      </c>
      <c r="B689">
        <v>50</v>
      </c>
      <c r="C689" t="s">
        <v>62</v>
      </c>
      <c r="D689" t="s">
        <v>63</v>
      </c>
      <c r="E689">
        <v>1.38</v>
      </c>
      <c r="F689">
        <v>3.32</v>
      </c>
      <c r="G689" s="8">
        <f t="shared" si="10"/>
        <v>24.939759036144579</v>
      </c>
    </row>
    <row r="690" spans="1:7" x14ac:dyDescent="0.25">
      <c r="A690" s="5">
        <v>45806.40625</v>
      </c>
      <c r="B690">
        <v>51</v>
      </c>
      <c r="C690" t="s">
        <v>63</v>
      </c>
      <c r="D690" t="s">
        <v>64</v>
      </c>
      <c r="E690">
        <v>2.79</v>
      </c>
      <c r="F690">
        <v>6.2</v>
      </c>
      <c r="G690" s="8">
        <f t="shared" si="10"/>
        <v>27</v>
      </c>
    </row>
    <row r="691" spans="1:7" x14ac:dyDescent="0.25">
      <c r="A691" s="5">
        <v>45806.40625</v>
      </c>
      <c r="B691">
        <v>52</v>
      </c>
      <c r="C691" t="s">
        <v>64</v>
      </c>
      <c r="D691" t="s">
        <v>65</v>
      </c>
      <c r="E691">
        <v>1.5</v>
      </c>
      <c r="F691">
        <v>2.95</v>
      </c>
      <c r="G691" s="8">
        <f t="shared" si="10"/>
        <v>30.508474576271183</v>
      </c>
    </row>
    <row r="692" spans="1:7" x14ac:dyDescent="0.25">
      <c r="A692" s="5">
        <v>45806.40625</v>
      </c>
      <c r="B692">
        <v>53</v>
      </c>
      <c r="C692" t="s">
        <v>65</v>
      </c>
      <c r="D692" t="s">
        <v>66</v>
      </c>
      <c r="E692">
        <v>1.46</v>
      </c>
      <c r="F692">
        <v>3.83</v>
      </c>
      <c r="G692" s="8">
        <f t="shared" si="10"/>
        <v>22.872062663185378</v>
      </c>
    </row>
    <row r="693" spans="1:7" x14ac:dyDescent="0.25">
      <c r="A693" s="5">
        <v>45806.40625</v>
      </c>
      <c r="B693">
        <v>54</v>
      </c>
      <c r="C693" t="s">
        <v>67</v>
      </c>
      <c r="D693" t="s">
        <v>68</v>
      </c>
      <c r="E693">
        <v>1.46</v>
      </c>
      <c r="F693">
        <v>5.87</v>
      </c>
      <c r="G693" s="8">
        <f t="shared" si="10"/>
        <v>14.923339011925041</v>
      </c>
    </row>
    <row r="694" spans="1:7" x14ac:dyDescent="0.25">
      <c r="A694" s="5">
        <v>45806.40625</v>
      </c>
      <c r="B694">
        <v>55</v>
      </c>
      <c r="C694" t="s">
        <v>68</v>
      </c>
      <c r="D694" t="s">
        <v>69</v>
      </c>
      <c r="E694">
        <v>1.97</v>
      </c>
      <c r="F694">
        <v>6.58</v>
      </c>
      <c r="G694" s="8">
        <f t="shared" si="10"/>
        <v>17.96352583586626</v>
      </c>
    </row>
    <row r="695" spans="1:7" x14ac:dyDescent="0.25">
      <c r="A695" s="5">
        <v>45806.40625</v>
      </c>
      <c r="B695">
        <v>56</v>
      </c>
      <c r="C695" t="s">
        <v>70</v>
      </c>
      <c r="D695" t="s">
        <v>71</v>
      </c>
      <c r="E695">
        <v>1.51</v>
      </c>
      <c r="F695">
        <v>4.9800000000000004</v>
      </c>
      <c r="G695" s="8">
        <f t="shared" si="10"/>
        <v>18.192771084337348</v>
      </c>
    </row>
    <row r="696" spans="1:7" x14ac:dyDescent="0.25">
      <c r="A696" s="5">
        <v>45806.40625</v>
      </c>
      <c r="B696">
        <v>57</v>
      </c>
      <c r="C696" t="s">
        <v>71</v>
      </c>
      <c r="D696" t="s">
        <v>72</v>
      </c>
      <c r="E696">
        <v>1.52</v>
      </c>
      <c r="F696">
        <v>4.5</v>
      </c>
      <c r="G696" s="8">
        <f t="shared" si="10"/>
        <v>20.266666666666666</v>
      </c>
    </row>
    <row r="697" spans="1:7" x14ac:dyDescent="0.25">
      <c r="A697" s="5">
        <v>45806.40625</v>
      </c>
      <c r="B697">
        <v>58</v>
      </c>
      <c r="C697" t="s">
        <v>72</v>
      </c>
      <c r="D697" t="s">
        <v>73</v>
      </c>
      <c r="E697">
        <v>1.5</v>
      </c>
      <c r="F697">
        <v>4.05</v>
      </c>
      <c r="G697" s="8">
        <f t="shared" si="10"/>
        <v>22.222222222222221</v>
      </c>
    </row>
    <row r="698" spans="1:7" x14ac:dyDescent="0.25">
      <c r="A698" s="5">
        <v>45806.416666666664</v>
      </c>
      <c r="B698">
        <v>1</v>
      </c>
      <c r="C698" t="s">
        <v>6</v>
      </c>
      <c r="D698" t="s">
        <v>7</v>
      </c>
      <c r="E698">
        <v>1.53</v>
      </c>
      <c r="F698">
        <v>3.22</v>
      </c>
      <c r="G698" s="8">
        <f t="shared" si="10"/>
        <v>28.509316770186334</v>
      </c>
    </row>
    <row r="699" spans="1:7" x14ac:dyDescent="0.25">
      <c r="A699" s="5">
        <v>45806.416666666664</v>
      </c>
      <c r="B699">
        <v>2</v>
      </c>
      <c r="C699" t="s">
        <v>7</v>
      </c>
      <c r="D699" t="s">
        <v>8</v>
      </c>
      <c r="E699">
        <v>1.57</v>
      </c>
      <c r="F699">
        <v>4.92</v>
      </c>
      <c r="G699" s="8">
        <f t="shared" si="10"/>
        <v>19.146341463414636</v>
      </c>
    </row>
    <row r="700" spans="1:7" x14ac:dyDescent="0.25">
      <c r="A700" s="5">
        <v>45806.416666666664</v>
      </c>
      <c r="B700">
        <v>3</v>
      </c>
      <c r="C700" t="s">
        <v>8</v>
      </c>
      <c r="D700" t="s">
        <v>9</v>
      </c>
      <c r="E700">
        <v>1.5</v>
      </c>
      <c r="F700">
        <v>3.13</v>
      </c>
      <c r="G700" s="8">
        <f t="shared" si="10"/>
        <v>28.753993610223642</v>
      </c>
    </row>
    <row r="701" spans="1:7" x14ac:dyDescent="0.25">
      <c r="A701" s="5">
        <v>45806.416666666664</v>
      </c>
      <c r="B701">
        <v>4</v>
      </c>
      <c r="C701" t="s">
        <v>9</v>
      </c>
      <c r="D701" t="s">
        <v>10</v>
      </c>
      <c r="E701">
        <v>1.5</v>
      </c>
      <c r="F701">
        <v>2.83</v>
      </c>
      <c r="G701" s="8">
        <f t="shared" si="10"/>
        <v>31.802120141342755</v>
      </c>
    </row>
    <row r="702" spans="1:7" x14ac:dyDescent="0.25">
      <c r="A702" s="5">
        <v>45806.416666666664</v>
      </c>
      <c r="B702">
        <v>5</v>
      </c>
      <c r="C702" t="s">
        <v>10</v>
      </c>
      <c r="D702" t="s">
        <v>11</v>
      </c>
      <c r="E702">
        <v>1.52</v>
      </c>
      <c r="F702">
        <v>3.4</v>
      </c>
      <c r="G702" s="8">
        <f t="shared" si="10"/>
        <v>26.823529411764707</v>
      </c>
    </row>
    <row r="703" spans="1:7" x14ac:dyDescent="0.25">
      <c r="A703" s="5">
        <v>45806.416666666664</v>
      </c>
      <c r="B703">
        <v>6</v>
      </c>
      <c r="C703" t="s">
        <v>11</v>
      </c>
      <c r="D703" t="s">
        <v>12</v>
      </c>
      <c r="E703">
        <v>1.5</v>
      </c>
      <c r="F703">
        <v>2.8</v>
      </c>
      <c r="G703" s="8">
        <f t="shared" si="10"/>
        <v>32.142857142857146</v>
      </c>
    </row>
    <row r="704" spans="1:7" x14ac:dyDescent="0.25">
      <c r="A704" s="5">
        <v>45806.416666666664</v>
      </c>
      <c r="B704">
        <v>7</v>
      </c>
      <c r="C704" t="s">
        <v>12</v>
      </c>
      <c r="D704" t="s">
        <v>13</v>
      </c>
      <c r="E704">
        <v>1.54</v>
      </c>
      <c r="F704">
        <v>2.68</v>
      </c>
      <c r="G704" s="8">
        <f t="shared" si="10"/>
        <v>34.477611940298509</v>
      </c>
    </row>
    <row r="705" spans="1:7" x14ac:dyDescent="0.25">
      <c r="A705" s="5">
        <v>45806.416666666664</v>
      </c>
      <c r="B705">
        <v>8</v>
      </c>
      <c r="C705" t="s">
        <v>13</v>
      </c>
      <c r="D705" t="s">
        <v>14</v>
      </c>
      <c r="E705">
        <v>1.54</v>
      </c>
      <c r="F705">
        <v>3.37</v>
      </c>
      <c r="G705" s="8">
        <f t="shared" si="10"/>
        <v>27.41839762611276</v>
      </c>
    </row>
    <row r="706" spans="1:7" x14ac:dyDescent="0.25">
      <c r="A706" s="5">
        <v>45806.416666666664</v>
      </c>
      <c r="B706">
        <v>9</v>
      </c>
      <c r="C706" t="s">
        <v>14</v>
      </c>
      <c r="D706" t="s">
        <v>15</v>
      </c>
      <c r="E706">
        <v>1.52</v>
      </c>
      <c r="F706">
        <v>3.85</v>
      </c>
      <c r="G706" s="8">
        <f t="shared" si="10"/>
        <v>23.688311688311689</v>
      </c>
    </row>
    <row r="707" spans="1:7" x14ac:dyDescent="0.25">
      <c r="A707" s="5">
        <v>45806.416666666664</v>
      </c>
      <c r="B707">
        <v>10</v>
      </c>
      <c r="C707" t="s">
        <v>15</v>
      </c>
      <c r="D707" t="s">
        <v>16</v>
      </c>
      <c r="E707">
        <v>1.5</v>
      </c>
      <c r="F707">
        <v>3.77</v>
      </c>
      <c r="G707" s="8">
        <f t="shared" ref="G707:G770" si="11">E707*60/F707</f>
        <v>23.872679045092838</v>
      </c>
    </row>
    <row r="708" spans="1:7" x14ac:dyDescent="0.25">
      <c r="A708" s="5">
        <v>45806.416666666664</v>
      </c>
      <c r="B708">
        <v>11</v>
      </c>
      <c r="C708" t="s">
        <v>16</v>
      </c>
      <c r="D708" t="s">
        <v>17</v>
      </c>
      <c r="E708">
        <v>1.48</v>
      </c>
      <c r="F708">
        <v>2.9</v>
      </c>
      <c r="G708" s="8">
        <f t="shared" si="11"/>
        <v>30.620689655172413</v>
      </c>
    </row>
    <row r="709" spans="1:7" x14ac:dyDescent="0.25">
      <c r="A709" s="5">
        <v>45806.416666666664</v>
      </c>
      <c r="B709">
        <v>12</v>
      </c>
      <c r="C709" t="s">
        <v>17</v>
      </c>
      <c r="D709" t="s">
        <v>18</v>
      </c>
      <c r="E709">
        <v>1.46</v>
      </c>
      <c r="F709">
        <v>4.1500000000000004</v>
      </c>
      <c r="G709" s="8">
        <f t="shared" si="11"/>
        <v>21.108433734939755</v>
      </c>
    </row>
    <row r="710" spans="1:7" x14ac:dyDescent="0.25">
      <c r="A710" s="5">
        <v>45806.416666666664</v>
      </c>
      <c r="B710">
        <v>13</v>
      </c>
      <c r="C710" t="s">
        <v>18</v>
      </c>
      <c r="D710" t="s">
        <v>19</v>
      </c>
      <c r="E710">
        <v>1.52</v>
      </c>
      <c r="F710">
        <v>3.72</v>
      </c>
      <c r="G710" s="8">
        <f t="shared" si="11"/>
        <v>24.516129032258064</v>
      </c>
    </row>
    <row r="711" spans="1:7" x14ac:dyDescent="0.25">
      <c r="A711" s="5">
        <v>45806.416666666664</v>
      </c>
      <c r="B711">
        <v>14</v>
      </c>
      <c r="C711" t="s">
        <v>19</v>
      </c>
      <c r="D711" t="s">
        <v>20</v>
      </c>
      <c r="E711">
        <v>1.51</v>
      </c>
      <c r="F711">
        <v>3.67</v>
      </c>
      <c r="G711" s="8">
        <f t="shared" si="11"/>
        <v>24.686648501362395</v>
      </c>
    </row>
    <row r="712" spans="1:7" x14ac:dyDescent="0.25">
      <c r="A712" s="5">
        <v>45806.416666666664</v>
      </c>
      <c r="B712">
        <v>15</v>
      </c>
      <c r="C712" t="s">
        <v>20</v>
      </c>
      <c r="D712" t="s">
        <v>21</v>
      </c>
      <c r="E712">
        <v>1.47</v>
      </c>
      <c r="F712">
        <v>2.82</v>
      </c>
      <c r="G712" s="8">
        <f t="shared" si="11"/>
        <v>31.276595744680854</v>
      </c>
    </row>
    <row r="713" spans="1:7" x14ac:dyDescent="0.25">
      <c r="A713" s="5">
        <v>45806.416666666664</v>
      </c>
      <c r="B713">
        <v>16</v>
      </c>
      <c r="C713" t="s">
        <v>21</v>
      </c>
      <c r="D713" t="s">
        <v>22</v>
      </c>
      <c r="E713">
        <v>1.5</v>
      </c>
      <c r="F713">
        <v>1.87</v>
      </c>
      <c r="G713" s="8">
        <f t="shared" si="11"/>
        <v>48.128342245989302</v>
      </c>
    </row>
    <row r="714" spans="1:7" x14ac:dyDescent="0.25">
      <c r="A714" s="5">
        <v>45806.416666666664</v>
      </c>
      <c r="B714">
        <v>17</v>
      </c>
      <c r="C714" t="s">
        <v>22</v>
      </c>
      <c r="D714" t="s">
        <v>23</v>
      </c>
      <c r="E714">
        <v>1.51</v>
      </c>
      <c r="F714">
        <v>3.1</v>
      </c>
      <c r="G714" s="8">
        <f t="shared" si="11"/>
        <v>29.2258064516129</v>
      </c>
    </row>
    <row r="715" spans="1:7" x14ac:dyDescent="0.25">
      <c r="A715" s="5">
        <v>45806.416666666664</v>
      </c>
      <c r="B715">
        <v>18</v>
      </c>
      <c r="C715" t="s">
        <v>23</v>
      </c>
      <c r="D715" t="s">
        <v>24</v>
      </c>
      <c r="E715">
        <v>1.51</v>
      </c>
      <c r="F715">
        <v>3.83</v>
      </c>
      <c r="G715" s="8">
        <f t="shared" si="11"/>
        <v>23.655352480417754</v>
      </c>
    </row>
    <row r="716" spans="1:7" x14ac:dyDescent="0.25">
      <c r="A716" s="5">
        <v>45806.416666666664</v>
      </c>
      <c r="B716">
        <v>19</v>
      </c>
      <c r="C716" t="s">
        <v>25</v>
      </c>
      <c r="D716" t="s">
        <v>26</v>
      </c>
      <c r="E716">
        <v>1.5</v>
      </c>
      <c r="F716">
        <v>4.03</v>
      </c>
      <c r="G716" s="8">
        <f t="shared" si="11"/>
        <v>22.332506203473944</v>
      </c>
    </row>
    <row r="717" spans="1:7" x14ac:dyDescent="0.25">
      <c r="A717" s="5">
        <v>45806.416666666664</v>
      </c>
      <c r="B717">
        <v>20</v>
      </c>
      <c r="C717" t="s">
        <v>26</v>
      </c>
      <c r="D717" t="s">
        <v>27</v>
      </c>
      <c r="E717">
        <v>1.48</v>
      </c>
      <c r="F717">
        <v>4.13</v>
      </c>
      <c r="G717" s="8">
        <f t="shared" si="11"/>
        <v>21.501210653753027</v>
      </c>
    </row>
    <row r="718" spans="1:7" x14ac:dyDescent="0.25">
      <c r="A718" s="5">
        <v>45806.416666666664</v>
      </c>
      <c r="B718">
        <v>21</v>
      </c>
      <c r="C718" t="s">
        <v>27</v>
      </c>
      <c r="D718" t="s">
        <v>28</v>
      </c>
      <c r="E718">
        <v>1.51</v>
      </c>
      <c r="F718">
        <v>3.75</v>
      </c>
      <c r="G718" s="8">
        <f t="shared" si="11"/>
        <v>24.16</v>
      </c>
    </row>
    <row r="719" spans="1:7" x14ac:dyDescent="0.25">
      <c r="A719" s="5">
        <v>45806.416666666664</v>
      </c>
      <c r="B719">
        <v>22</v>
      </c>
      <c r="C719" t="s">
        <v>28</v>
      </c>
      <c r="D719" t="s">
        <v>29</v>
      </c>
      <c r="E719">
        <v>1.57</v>
      </c>
      <c r="F719">
        <v>3.55</v>
      </c>
      <c r="G719" s="8">
        <f t="shared" si="11"/>
        <v>26.535211267605636</v>
      </c>
    </row>
    <row r="720" spans="1:7" x14ac:dyDescent="0.25">
      <c r="A720" s="5">
        <v>45806.416666666664</v>
      </c>
      <c r="B720">
        <v>23</v>
      </c>
      <c r="C720" t="s">
        <v>29</v>
      </c>
      <c r="D720" t="s">
        <v>30</v>
      </c>
      <c r="E720">
        <v>1.43</v>
      </c>
      <c r="F720">
        <v>4.22</v>
      </c>
      <c r="G720" s="8">
        <f t="shared" si="11"/>
        <v>20.33175355450237</v>
      </c>
    </row>
    <row r="721" spans="1:7" x14ac:dyDescent="0.25">
      <c r="A721" s="5">
        <v>45806.416666666664</v>
      </c>
      <c r="B721">
        <v>24</v>
      </c>
      <c r="C721" t="s">
        <v>30</v>
      </c>
      <c r="D721" t="s">
        <v>31</v>
      </c>
      <c r="E721">
        <v>1.52</v>
      </c>
      <c r="F721">
        <v>3.48</v>
      </c>
      <c r="G721" s="8">
        <f t="shared" si="11"/>
        <v>26.206896551724139</v>
      </c>
    </row>
    <row r="722" spans="1:7" x14ac:dyDescent="0.25">
      <c r="A722" s="5">
        <v>45806.416666666664</v>
      </c>
      <c r="B722">
        <v>25</v>
      </c>
      <c r="C722" t="s">
        <v>31</v>
      </c>
      <c r="D722" t="s">
        <v>32</v>
      </c>
      <c r="E722">
        <v>1.52</v>
      </c>
      <c r="F722">
        <v>3.4</v>
      </c>
      <c r="G722" s="8">
        <f t="shared" si="11"/>
        <v>26.823529411764707</v>
      </c>
    </row>
    <row r="723" spans="1:7" x14ac:dyDescent="0.25">
      <c r="A723" s="5">
        <v>45806.416666666664</v>
      </c>
      <c r="B723">
        <v>26</v>
      </c>
      <c r="C723" t="s">
        <v>32</v>
      </c>
      <c r="D723" t="s">
        <v>33</v>
      </c>
      <c r="E723">
        <v>1.49</v>
      </c>
      <c r="F723">
        <v>4.1500000000000004</v>
      </c>
      <c r="G723" s="8">
        <f t="shared" si="11"/>
        <v>21.542168674698793</v>
      </c>
    </row>
    <row r="724" spans="1:7" x14ac:dyDescent="0.25">
      <c r="A724" s="5">
        <v>45806.416666666664</v>
      </c>
      <c r="B724">
        <v>27</v>
      </c>
      <c r="C724" t="s">
        <v>33</v>
      </c>
      <c r="D724" t="s">
        <v>34</v>
      </c>
      <c r="E724">
        <v>1.53</v>
      </c>
      <c r="F724">
        <v>3.67</v>
      </c>
      <c r="G724" s="8">
        <f t="shared" si="11"/>
        <v>25.013623978201636</v>
      </c>
    </row>
    <row r="725" spans="1:7" x14ac:dyDescent="0.25">
      <c r="A725" s="5">
        <v>45806.416666666664</v>
      </c>
      <c r="B725">
        <v>28</v>
      </c>
      <c r="C725" t="s">
        <v>34</v>
      </c>
      <c r="D725" t="s">
        <v>35</v>
      </c>
      <c r="E725">
        <v>1.51</v>
      </c>
      <c r="F725">
        <v>4.3499999999999996</v>
      </c>
      <c r="G725" s="8">
        <f t="shared" si="11"/>
        <v>20.827586206896552</v>
      </c>
    </row>
    <row r="726" spans="1:7" x14ac:dyDescent="0.25">
      <c r="A726" s="5">
        <v>45806.416666666664</v>
      </c>
      <c r="B726">
        <v>29</v>
      </c>
      <c r="C726" t="s">
        <v>36</v>
      </c>
      <c r="D726" t="s">
        <v>37</v>
      </c>
      <c r="E726">
        <v>1.57</v>
      </c>
      <c r="F726">
        <v>4.9000000000000004</v>
      </c>
      <c r="G726" s="8">
        <f t="shared" si="11"/>
        <v>19.224489795918366</v>
      </c>
    </row>
    <row r="727" spans="1:7" x14ac:dyDescent="0.25">
      <c r="A727" s="5">
        <v>45806.416666666664</v>
      </c>
      <c r="B727">
        <v>30</v>
      </c>
      <c r="C727" t="s">
        <v>37</v>
      </c>
      <c r="D727" t="s">
        <v>38</v>
      </c>
      <c r="E727">
        <v>1.57</v>
      </c>
      <c r="F727">
        <v>6.47</v>
      </c>
      <c r="G727" s="8">
        <f t="shared" si="11"/>
        <v>14.559505409582691</v>
      </c>
    </row>
    <row r="728" spans="1:7" x14ac:dyDescent="0.25">
      <c r="A728" s="5">
        <v>45806.416666666664</v>
      </c>
      <c r="B728">
        <v>31</v>
      </c>
      <c r="C728" t="s">
        <v>38</v>
      </c>
      <c r="D728" t="s">
        <v>39</v>
      </c>
      <c r="E728">
        <v>1.52</v>
      </c>
      <c r="F728">
        <v>2.67</v>
      </c>
      <c r="G728" s="8">
        <f t="shared" si="11"/>
        <v>34.157303370786522</v>
      </c>
    </row>
    <row r="729" spans="1:7" x14ac:dyDescent="0.25">
      <c r="A729" s="5">
        <v>45806.416666666664</v>
      </c>
      <c r="B729">
        <v>32</v>
      </c>
      <c r="C729" t="s">
        <v>39</v>
      </c>
      <c r="D729" t="s">
        <v>40</v>
      </c>
      <c r="E729">
        <v>1.5</v>
      </c>
      <c r="F729">
        <v>1.82</v>
      </c>
      <c r="G729" s="8">
        <f t="shared" si="11"/>
        <v>49.450549450549445</v>
      </c>
    </row>
    <row r="730" spans="1:7" x14ac:dyDescent="0.25">
      <c r="A730" s="5">
        <v>45806.416666666664</v>
      </c>
      <c r="B730">
        <v>33</v>
      </c>
      <c r="C730" t="s">
        <v>40</v>
      </c>
      <c r="D730" t="s">
        <v>41</v>
      </c>
      <c r="E730">
        <v>1.51</v>
      </c>
      <c r="F730">
        <v>2.2000000000000002</v>
      </c>
      <c r="G730" s="8">
        <f t="shared" si="11"/>
        <v>41.181818181818173</v>
      </c>
    </row>
    <row r="731" spans="1:7" x14ac:dyDescent="0.25">
      <c r="A731" s="5">
        <v>45806.416666666664</v>
      </c>
      <c r="B731">
        <v>34</v>
      </c>
      <c r="C731" t="s">
        <v>41</v>
      </c>
      <c r="D731" t="s">
        <v>42</v>
      </c>
      <c r="E731">
        <v>1.5</v>
      </c>
      <c r="F731">
        <v>1.93</v>
      </c>
      <c r="G731" s="8">
        <f t="shared" si="11"/>
        <v>46.632124352331608</v>
      </c>
    </row>
    <row r="732" spans="1:7" x14ac:dyDescent="0.25">
      <c r="A732" s="5">
        <v>45806.416666666664</v>
      </c>
      <c r="B732">
        <v>35</v>
      </c>
      <c r="C732" t="s">
        <v>43</v>
      </c>
      <c r="D732" t="s">
        <v>44</v>
      </c>
      <c r="E732">
        <v>1.55</v>
      </c>
      <c r="F732">
        <v>3.8</v>
      </c>
      <c r="G732" s="8">
        <f t="shared" si="11"/>
        <v>24.473684210526319</v>
      </c>
    </row>
    <row r="733" spans="1:7" x14ac:dyDescent="0.25">
      <c r="A733" s="5">
        <v>45806.416666666664</v>
      </c>
      <c r="B733">
        <v>36</v>
      </c>
      <c r="C733" t="s">
        <v>44</v>
      </c>
      <c r="D733" t="s">
        <v>45</v>
      </c>
      <c r="E733">
        <v>1.5</v>
      </c>
      <c r="F733">
        <v>3.07</v>
      </c>
      <c r="G733" s="8">
        <f t="shared" si="11"/>
        <v>29.31596091205212</v>
      </c>
    </row>
    <row r="734" spans="1:7" x14ac:dyDescent="0.25">
      <c r="A734" s="5">
        <v>45806.416666666664</v>
      </c>
      <c r="B734">
        <v>37</v>
      </c>
      <c r="C734" t="s">
        <v>45</v>
      </c>
      <c r="D734" t="s">
        <v>46</v>
      </c>
      <c r="E734">
        <v>1.38</v>
      </c>
      <c r="F734">
        <v>3.98</v>
      </c>
      <c r="G734" s="8">
        <f t="shared" si="11"/>
        <v>20.804020100502512</v>
      </c>
    </row>
    <row r="735" spans="1:7" x14ac:dyDescent="0.25">
      <c r="A735" s="5">
        <v>45806.416666666664</v>
      </c>
      <c r="B735">
        <v>38</v>
      </c>
      <c r="C735" t="s">
        <v>46</v>
      </c>
      <c r="D735" t="s">
        <v>47</v>
      </c>
      <c r="E735">
        <v>1.61</v>
      </c>
      <c r="F735">
        <v>3.93</v>
      </c>
      <c r="G735" s="8">
        <f t="shared" si="11"/>
        <v>24.580152671755727</v>
      </c>
    </row>
    <row r="736" spans="1:7" x14ac:dyDescent="0.25">
      <c r="A736" s="5">
        <v>45806.416666666664</v>
      </c>
      <c r="B736">
        <v>39</v>
      </c>
      <c r="C736" t="s">
        <v>47</v>
      </c>
      <c r="D736" t="s">
        <v>48</v>
      </c>
      <c r="E736">
        <v>1.55</v>
      </c>
      <c r="F736">
        <v>3.45</v>
      </c>
      <c r="G736" s="8">
        <f t="shared" si="11"/>
        <v>26.956521739130434</v>
      </c>
    </row>
    <row r="737" spans="1:7" x14ac:dyDescent="0.25">
      <c r="A737" s="5">
        <v>45806.416666666664</v>
      </c>
      <c r="B737">
        <v>40</v>
      </c>
      <c r="C737" t="s">
        <v>48</v>
      </c>
      <c r="D737" t="s">
        <v>49</v>
      </c>
      <c r="E737">
        <v>1.39</v>
      </c>
      <c r="F737">
        <v>2.93</v>
      </c>
      <c r="G737" s="8">
        <f t="shared" si="11"/>
        <v>28.464163822525592</v>
      </c>
    </row>
    <row r="738" spans="1:7" x14ac:dyDescent="0.25">
      <c r="A738" s="5">
        <v>45806.416666666664</v>
      </c>
      <c r="B738">
        <v>41</v>
      </c>
      <c r="C738" t="s">
        <v>50</v>
      </c>
      <c r="D738" t="s">
        <v>51</v>
      </c>
      <c r="E738">
        <v>1.56</v>
      </c>
      <c r="F738">
        <v>4.3</v>
      </c>
      <c r="G738" s="8">
        <f t="shared" si="11"/>
        <v>21.767441860465119</v>
      </c>
    </row>
    <row r="739" spans="1:7" x14ac:dyDescent="0.25">
      <c r="A739" s="5">
        <v>45806.416666666664</v>
      </c>
      <c r="B739">
        <v>42</v>
      </c>
      <c r="C739" t="s">
        <v>51</v>
      </c>
      <c r="D739" t="s">
        <v>52</v>
      </c>
      <c r="E739">
        <v>1.56</v>
      </c>
      <c r="F739">
        <v>4.17</v>
      </c>
      <c r="G739" s="8">
        <f t="shared" si="11"/>
        <v>22.446043165467628</v>
      </c>
    </row>
    <row r="740" spans="1:7" x14ac:dyDescent="0.25">
      <c r="A740" s="5">
        <v>45806.416666666664</v>
      </c>
      <c r="B740">
        <v>43</v>
      </c>
      <c r="C740" t="s">
        <v>52</v>
      </c>
      <c r="D740" t="s">
        <v>53</v>
      </c>
      <c r="E740">
        <v>1.51</v>
      </c>
      <c r="F740">
        <v>3.63</v>
      </c>
      <c r="G740" s="8">
        <f t="shared" si="11"/>
        <v>24.958677685950413</v>
      </c>
    </row>
    <row r="741" spans="1:7" x14ac:dyDescent="0.25">
      <c r="A741" s="5">
        <v>45806.416666666664</v>
      </c>
      <c r="B741">
        <v>44</v>
      </c>
      <c r="C741" t="s">
        <v>54</v>
      </c>
      <c r="D741" t="s">
        <v>55</v>
      </c>
      <c r="E741">
        <v>1.51</v>
      </c>
      <c r="F741">
        <v>4.6500000000000004</v>
      </c>
      <c r="G741" s="8">
        <f t="shared" si="11"/>
        <v>19.483870967741932</v>
      </c>
    </row>
    <row r="742" spans="1:7" x14ac:dyDescent="0.25">
      <c r="A742" s="5">
        <v>45806.416666666664</v>
      </c>
      <c r="B742">
        <v>45</v>
      </c>
      <c r="C742" t="s">
        <v>55</v>
      </c>
      <c r="D742" t="s">
        <v>56</v>
      </c>
      <c r="E742">
        <v>1.49</v>
      </c>
      <c r="F742">
        <v>3.67</v>
      </c>
      <c r="G742" s="8">
        <f t="shared" si="11"/>
        <v>24.359673024523161</v>
      </c>
    </row>
    <row r="743" spans="1:7" x14ac:dyDescent="0.25">
      <c r="A743" s="5">
        <v>45806.416666666664</v>
      </c>
      <c r="B743">
        <v>46</v>
      </c>
      <c r="C743" t="s">
        <v>56</v>
      </c>
      <c r="D743" t="s">
        <v>57</v>
      </c>
      <c r="E743">
        <v>1.52</v>
      </c>
      <c r="F743">
        <v>3.85</v>
      </c>
      <c r="G743" s="8">
        <f t="shared" si="11"/>
        <v>23.688311688311689</v>
      </c>
    </row>
    <row r="744" spans="1:7" x14ac:dyDescent="0.25">
      <c r="A744" s="5">
        <v>45806.416666666664</v>
      </c>
      <c r="B744">
        <v>47</v>
      </c>
      <c r="C744" t="s">
        <v>58</v>
      </c>
      <c r="D744" t="s">
        <v>59</v>
      </c>
      <c r="E744">
        <v>1.52</v>
      </c>
      <c r="F744">
        <v>4.68</v>
      </c>
      <c r="G744" s="8">
        <f t="shared" si="11"/>
        <v>19.487179487179489</v>
      </c>
    </row>
    <row r="745" spans="1:7" x14ac:dyDescent="0.25">
      <c r="A745" s="5">
        <v>45806.416666666664</v>
      </c>
      <c r="B745">
        <v>48</v>
      </c>
      <c r="C745" t="s">
        <v>59</v>
      </c>
      <c r="D745" t="s">
        <v>60</v>
      </c>
      <c r="E745">
        <v>1.5</v>
      </c>
      <c r="F745">
        <v>3.93</v>
      </c>
      <c r="G745" s="8">
        <f t="shared" si="11"/>
        <v>22.900763358778626</v>
      </c>
    </row>
    <row r="746" spans="1:7" x14ac:dyDescent="0.25">
      <c r="A746" s="5">
        <v>45806.416666666664</v>
      </c>
      <c r="B746">
        <v>49</v>
      </c>
      <c r="C746" t="s">
        <v>60</v>
      </c>
      <c r="D746" t="s">
        <v>61</v>
      </c>
      <c r="E746">
        <v>1.54</v>
      </c>
      <c r="F746">
        <v>4.05</v>
      </c>
      <c r="G746" s="8">
        <f t="shared" si="11"/>
        <v>22.814814814814817</v>
      </c>
    </row>
    <row r="747" spans="1:7" x14ac:dyDescent="0.25">
      <c r="A747" s="5">
        <v>45806.416666666664</v>
      </c>
      <c r="B747">
        <v>50</v>
      </c>
      <c r="C747" t="s">
        <v>62</v>
      </c>
      <c r="D747" t="s">
        <v>63</v>
      </c>
      <c r="E747">
        <v>1.38</v>
      </c>
      <c r="F747">
        <v>3.13</v>
      </c>
      <c r="G747" s="8">
        <f t="shared" si="11"/>
        <v>26.453674121405751</v>
      </c>
    </row>
    <row r="748" spans="1:7" x14ac:dyDescent="0.25">
      <c r="A748" s="5">
        <v>45806.416666666664</v>
      </c>
      <c r="B748">
        <v>51</v>
      </c>
      <c r="C748" t="s">
        <v>63</v>
      </c>
      <c r="D748" t="s">
        <v>64</v>
      </c>
      <c r="E748">
        <v>2.79</v>
      </c>
      <c r="F748">
        <v>5.75</v>
      </c>
      <c r="G748" s="8">
        <f t="shared" si="11"/>
        <v>29.11304347826087</v>
      </c>
    </row>
    <row r="749" spans="1:7" x14ac:dyDescent="0.25">
      <c r="A749" s="5">
        <v>45806.416666666664</v>
      </c>
      <c r="B749">
        <v>52</v>
      </c>
      <c r="C749" t="s">
        <v>64</v>
      </c>
      <c r="D749" t="s">
        <v>65</v>
      </c>
      <c r="E749">
        <v>1.5</v>
      </c>
      <c r="F749">
        <v>2.93</v>
      </c>
      <c r="G749" s="8">
        <f t="shared" si="11"/>
        <v>30.716723549488052</v>
      </c>
    </row>
    <row r="750" spans="1:7" x14ac:dyDescent="0.25">
      <c r="A750" s="5">
        <v>45806.416666666664</v>
      </c>
      <c r="B750">
        <v>53</v>
      </c>
      <c r="C750" t="s">
        <v>65</v>
      </c>
      <c r="D750" t="s">
        <v>66</v>
      </c>
      <c r="E750">
        <v>1.46</v>
      </c>
      <c r="F750">
        <v>3.75</v>
      </c>
      <c r="G750" s="8">
        <f t="shared" si="11"/>
        <v>23.36</v>
      </c>
    </row>
    <row r="751" spans="1:7" x14ac:dyDescent="0.25">
      <c r="A751" s="5">
        <v>45806.416666666664</v>
      </c>
      <c r="B751">
        <v>54</v>
      </c>
      <c r="C751" t="s">
        <v>67</v>
      </c>
      <c r="D751" t="s">
        <v>68</v>
      </c>
      <c r="E751">
        <v>1.46</v>
      </c>
      <c r="F751">
        <v>4.45</v>
      </c>
      <c r="G751" s="8">
        <f t="shared" si="11"/>
        <v>19.685393258426963</v>
      </c>
    </row>
    <row r="752" spans="1:7" x14ac:dyDescent="0.25">
      <c r="A752" s="5">
        <v>45806.416666666664</v>
      </c>
      <c r="B752">
        <v>55</v>
      </c>
      <c r="C752" t="s">
        <v>68</v>
      </c>
      <c r="D752" t="s">
        <v>69</v>
      </c>
      <c r="E752">
        <v>1.96</v>
      </c>
      <c r="F752">
        <v>7.05</v>
      </c>
      <c r="G752" s="8">
        <f t="shared" si="11"/>
        <v>16.680851063829788</v>
      </c>
    </row>
    <row r="753" spans="1:7" x14ac:dyDescent="0.25">
      <c r="A753" s="5">
        <v>45806.416666666664</v>
      </c>
      <c r="B753">
        <v>56</v>
      </c>
      <c r="C753" t="s">
        <v>70</v>
      </c>
      <c r="D753" t="s">
        <v>71</v>
      </c>
      <c r="E753">
        <v>1.51</v>
      </c>
      <c r="F753">
        <v>5.9</v>
      </c>
      <c r="G753" s="8">
        <f t="shared" si="11"/>
        <v>15.355932203389829</v>
      </c>
    </row>
    <row r="754" spans="1:7" x14ac:dyDescent="0.25">
      <c r="A754" s="5">
        <v>45806.416666666664</v>
      </c>
      <c r="B754">
        <v>57</v>
      </c>
      <c r="C754" t="s">
        <v>71</v>
      </c>
      <c r="D754" t="s">
        <v>72</v>
      </c>
      <c r="E754">
        <v>1.52</v>
      </c>
      <c r="F754">
        <v>4.57</v>
      </c>
      <c r="G754" s="8">
        <f t="shared" si="11"/>
        <v>19.956236323851204</v>
      </c>
    </row>
    <row r="755" spans="1:7" x14ac:dyDescent="0.25">
      <c r="A755" s="5">
        <v>45806.416666666664</v>
      </c>
      <c r="B755">
        <v>58</v>
      </c>
      <c r="C755" t="s">
        <v>72</v>
      </c>
      <c r="D755" t="s">
        <v>73</v>
      </c>
      <c r="E755">
        <v>1.5</v>
      </c>
      <c r="F755">
        <v>3.98</v>
      </c>
      <c r="G755" s="8">
        <f t="shared" si="11"/>
        <v>22.613065326633166</v>
      </c>
    </row>
    <row r="756" spans="1:7" s="3" customFormat="1" x14ac:dyDescent="0.25">
      <c r="A756" s="6">
        <v>45806.666666666664</v>
      </c>
      <c r="B756" s="3">
        <v>1</v>
      </c>
      <c r="C756" s="3" t="s">
        <v>6</v>
      </c>
      <c r="D756" s="3" t="s">
        <v>7</v>
      </c>
      <c r="E756" s="3">
        <v>1.53</v>
      </c>
      <c r="F756" s="3">
        <v>3.55</v>
      </c>
      <c r="G756" s="8">
        <f t="shared" si="11"/>
        <v>25.859154929577464</v>
      </c>
    </row>
    <row r="757" spans="1:7" x14ac:dyDescent="0.25">
      <c r="A757" s="6">
        <v>45806.666666666664</v>
      </c>
      <c r="B757">
        <v>2</v>
      </c>
      <c r="C757" t="s">
        <v>7</v>
      </c>
      <c r="D757" t="s">
        <v>8</v>
      </c>
      <c r="E757">
        <v>1.57</v>
      </c>
      <c r="F757">
        <v>5.63</v>
      </c>
      <c r="G757" s="8">
        <f t="shared" si="11"/>
        <v>16.731793960923625</v>
      </c>
    </row>
    <row r="758" spans="1:7" x14ac:dyDescent="0.25">
      <c r="A758" s="6">
        <v>45806.666666666664</v>
      </c>
      <c r="B758">
        <v>3</v>
      </c>
      <c r="C758" t="s">
        <v>8</v>
      </c>
      <c r="D758" t="s">
        <v>9</v>
      </c>
      <c r="E758">
        <v>1.5</v>
      </c>
      <c r="F758">
        <v>3.33</v>
      </c>
      <c r="G758" s="8">
        <f t="shared" si="11"/>
        <v>27.027027027027028</v>
      </c>
    </row>
    <row r="759" spans="1:7" x14ac:dyDescent="0.25">
      <c r="A759" s="6">
        <v>45806.666666666664</v>
      </c>
      <c r="B759">
        <v>4</v>
      </c>
      <c r="C759" t="s">
        <v>9</v>
      </c>
      <c r="D759" t="s">
        <v>10</v>
      </c>
      <c r="E759">
        <v>1.5</v>
      </c>
      <c r="F759">
        <v>3.1</v>
      </c>
      <c r="G759" s="8">
        <f t="shared" si="11"/>
        <v>29.032258064516128</v>
      </c>
    </row>
    <row r="760" spans="1:7" x14ac:dyDescent="0.25">
      <c r="A760" s="6">
        <v>45806.666666666664</v>
      </c>
      <c r="B760">
        <v>5</v>
      </c>
      <c r="C760" t="s">
        <v>10</v>
      </c>
      <c r="D760" t="s">
        <v>11</v>
      </c>
      <c r="E760">
        <v>1.52</v>
      </c>
      <c r="F760">
        <v>3.8</v>
      </c>
      <c r="G760" s="8">
        <f t="shared" si="11"/>
        <v>24.000000000000004</v>
      </c>
    </row>
    <row r="761" spans="1:7" x14ac:dyDescent="0.25">
      <c r="A761" s="6">
        <v>45806.666666666664</v>
      </c>
      <c r="B761">
        <v>6</v>
      </c>
      <c r="C761" t="s">
        <v>11</v>
      </c>
      <c r="D761" t="s">
        <v>12</v>
      </c>
      <c r="E761">
        <v>1.5</v>
      </c>
      <c r="F761">
        <v>2.7</v>
      </c>
      <c r="G761" s="8">
        <f t="shared" si="11"/>
        <v>33.333333333333329</v>
      </c>
    </row>
    <row r="762" spans="1:7" x14ac:dyDescent="0.25">
      <c r="A762" s="6">
        <v>45806.666666666664</v>
      </c>
      <c r="B762">
        <v>7</v>
      </c>
      <c r="C762" t="s">
        <v>12</v>
      </c>
      <c r="D762" t="s">
        <v>13</v>
      </c>
      <c r="E762">
        <v>1.54</v>
      </c>
      <c r="F762">
        <v>2.75</v>
      </c>
      <c r="G762" s="8">
        <f t="shared" si="11"/>
        <v>33.6</v>
      </c>
    </row>
    <row r="763" spans="1:7" x14ac:dyDescent="0.25">
      <c r="A763" s="6">
        <v>45806.666666666664</v>
      </c>
      <c r="B763">
        <v>8</v>
      </c>
      <c r="C763" t="s">
        <v>13</v>
      </c>
      <c r="D763" t="s">
        <v>14</v>
      </c>
      <c r="E763">
        <v>1.54</v>
      </c>
      <c r="F763">
        <v>3.23</v>
      </c>
      <c r="G763" s="8">
        <f t="shared" si="11"/>
        <v>28.606811145510839</v>
      </c>
    </row>
    <row r="764" spans="1:7" x14ac:dyDescent="0.25">
      <c r="A764" s="6">
        <v>45806.666666666664</v>
      </c>
      <c r="B764">
        <v>9</v>
      </c>
      <c r="C764" t="s">
        <v>14</v>
      </c>
      <c r="D764" t="s">
        <v>15</v>
      </c>
      <c r="E764">
        <v>1.52</v>
      </c>
      <c r="F764">
        <v>3.88</v>
      </c>
      <c r="G764" s="8">
        <f t="shared" si="11"/>
        <v>23.505154639175259</v>
      </c>
    </row>
    <row r="765" spans="1:7" x14ac:dyDescent="0.25">
      <c r="A765" s="6">
        <v>45806.666666666664</v>
      </c>
      <c r="B765">
        <v>10</v>
      </c>
      <c r="C765" t="s">
        <v>15</v>
      </c>
      <c r="D765" t="s">
        <v>16</v>
      </c>
      <c r="E765">
        <v>1.5</v>
      </c>
      <c r="F765">
        <v>4.0999999999999996</v>
      </c>
      <c r="G765" s="8">
        <f t="shared" si="11"/>
        <v>21.951219512195124</v>
      </c>
    </row>
    <row r="766" spans="1:7" x14ac:dyDescent="0.25">
      <c r="A766" s="6">
        <v>45806.666666666664</v>
      </c>
      <c r="B766">
        <v>11</v>
      </c>
      <c r="C766" t="s">
        <v>16</v>
      </c>
      <c r="D766" t="s">
        <v>17</v>
      </c>
      <c r="E766">
        <v>1.48</v>
      </c>
      <c r="F766">
        <v>3.25</v>
      </c>
      <c r="G766" s="8">
        <f t="shared" si="11"/>
        <v>27.323076923076922</v>
      </c>
    </row>
    <row r="767" spans="1:7" x14ac:dyDescent="0.25">
      <c r="A767" s="6">
        <v>45806.666666666664</v>
      </c>
      <c r="B767">
        <v>12</v>
      </c>
      <c r="C767" t="s">
        <v>17</v>
      </c>
      <c r="D767" t="s">
        <v>18</v>
      </c>
      <c r="E767">
        <v>1.46</v>
      </c>
      <c r="F767">
        <v>5</v>
      </c>
      <c r="G767" s="8">
        <f t="shared" si="11"/>
        <v>17.52</v>
      </c>
    </row>
    <row r="768" spans="1:7" x14ac:dyDescent="0.25">
      <c r="A768" s="6">
        <v>45806.666666666664</v>
      </c>
      <c r="B768">
        <v>13</v>
      </c>
      <c r="C768" t="s">
        <v>18</v>
      </c>
      <c r="D768" t="s">
        <v>19</v>
      </c>
      <c r="E768">
        <v>1.52</v>
      </c>
      <c r="F768">
        <v>4.5999999999999996</v>
      </c>
      <c r="G768" s="8">
        <f t="shared" si="11"/>
        <v>19.826086956521742</v>
      </c>
    </row>
    <row r="769" spans="1:7" x14ac:dyDescent="0.25">
      <c r="A769" s="6">
        <v>45806.666666666664</v>
      </c>
      <c r="B769">
        <v>14</v>
      </c>
      <c r="C769" t="s">
        <v>19</v>
      </c>
      <c r="D769" t="s">
        <v>20</v>
      </c>
      <c r="E769">
        <v>1.51</v>
      </c>
      <c r="F769">
        <v>3.7</v>
      </c>
      <c r="G769" s="8">
        <f t="shared" si="11"/>
        <v>24.486486486486484</v>
      </c>
    </row>
    <row r="770" spans="1:7" x14ac:dyDescent="0.25">
      <c r="A770" s="6">
        <v>45806.666666666664</v>
      </c>
      <c r="B770">
        <v>15</v>
      </c>
      <c r="C770" t="s">
        <v>20</v>
      </c>
      <c r="D770" t="s">
        <v>21</v>
      </c>
      <c r="E770">
        <v>1.47</v>
      </c>
      <c r="F770">
        <v>2.7</v>
      </c>
      <c r="G770" s="8">
        <f t="shared" si="11"/>
        <v>32.666666666666664</v>
      </c>
    </row>
    <row r="771" spans="1:7" x14ac:dyDescent="0.25">
      <c r="A771" s="6">
        <v>45806.666666666664</v>
      </c>
      <c r="B771">
        <v>16</v>
      </c>
      <c r="C771" t="s">
        <v>21</v>
      </c>
      <c r="D771" t="s">
        <v>22</v>
      </c>
      <c r="E771">
        <v>1.5</v>
      </c>
      <c r="F771">
        <v>1.87</v>
      </c>
      <c r="G771" s="8">
        <f t="shared" ref="G771:G834" si="12">E771*60/F771</f>
        <v>48.128342245989302</v>
      </c>
    </row>
    <row r="772" spans="1:7" x14ac:dyDescent="0.25">
      <c r="A772" s="6">
        <v>45806.666666666664</v>
      </c>
      <c r="B772">
        <v>17</v>
      </c>
      <c r="C772" t="s">
        <v>22</v>
      </c>
      <c r="D772" t="s">
        <v>23</v>
      </c>
      <c r="E772">
        <v>1.51</v>
      </c>
      <c r="F772">
        <v>3.25</v>
      </c>
      <c r="G772" s="8">
        <f t="shared" si="12"/>
        <v>27.876923076923074</v>
      </c>
    </row>
    <row r="773" spans="1:7" x14ac:dyDescent="0.25">
      <c r="A773" s="6">
        <v>45806.666666666664</v>
      </c>
      <c r="B773">
        <v>18</v>
      </c>
      <c r="C773" t="s">
        <v>23</v>
      </c>
      <c r="D773" t="s">
        <v>24</v>
      </c>
      <c r="E773">
        <v>1.51</v>
      </c>
      <c r="F773">
        <v>3.37</v>
      </c>
      <c r="G773" s="8">
        <f t="shared" si="12"/>
        <v>26.884272997032639</v>
      </c>
    </row>
    <row r="774" spans="1:7" x14ac:dyDescent="0.25">
      <c r="A774" s="6">
        <v>45806.666666666664</v>
      </c>
      <c r="B774">
        <v>19</v>
      </c>
      <c r="C774" t="s">
        <v>25</v>
      </c>
      <c r="D774" t="s">
        <v>26</v>
      </c>
      <c r="E774">
        <v>1.5</v>
      </c>
      <c r="F774">
        <v>4</v>
      </c>
      <c r="G774" s="8">
        <f t="shared" si="12"/>
        <v>22.5</v>
      </c>
    </row>
    <row r="775" spans="1:7" x14ac:dyDescent="0.25">
      <c r="A775" s="6">
        <v>45806.666666666664</v>
      </c>
      <c r="B775">
        <v>20</v>
      </c>
      <c r="C775" t="s">
        <v>26</v>
      </c>
      <c r="D775" t="s">
        <v>27</v>
      </c>
      <c r="E775">
        <v>1.48</v>
      </c>
      <c r="F775">
        <v>3.92</v>
      </c>
      <c r="G775" s="8">
        <f t="shared" si="12"/>
        <v>22.653061224489797</v>
      </c>
    </row>
    <row r="776" spans="1:7" x14ac:dyDescent="0.25">
      <c r="A776" s="6">
        <v>45806.666666666664</v>
      </c>
      <c r="B776">
        <v>21</v>
      </c>
      <c r="C776" t="s">
        <v>27</v>
      </c>
      <c r="D776" t="s">
        <v>28</v>
      </c>
      <c r="E776">
        <v>1.51</v>
      </c>
      <c r="F776">
        <v>3.52</v>
      </c>
      <c r="G776" s="8">
        <f t="shared" si="12"/>
        <v>25.738636363636363</v>
      </c>
    </row>
    <row r="777" spans="1:7" x14ac:dyDescent="0.25">
      <c r="A777" s="6">
        <v>45806.666666666664</v>
      </c>
      <c r="B777">
        <v>22</v>
      </c>
      <c r="C777" t="s">
        <v>28</v>
      </c>
      <c r="D777" t="s">
        <v>29</v>
      </c>
      <c r="E777">
        <v>1.57</v>
      </c>
      <c r="F777">
        <v>3.78</v>
      </c>
      <c r="G777" s="8">
        <f t="shared" si="12"/>
        <v>24.920634920634921</v>
      </c>
    </row>
    <row r="778" spans="1:7" x14ac:dyDescent="0.25">
      <c r="A778" s="6">
        <v>45806.666666666664</v>
      </c>
      <c r="B778">
        <v>23</v>
      </c>
      <c r="C778" t="s">
        <v>29</v>
      </c>
      <c r="D778" t="s">
        <v>30</v>
      </c>
      <c r="E778">
        <v>1.43</v>
      </c>
      <c r="F778">
        <v>4.3499999999999996</v>
      </c>
      <c r="G778" s="8">
        <f t="shared" si="12"/>
        <v>19.724137931034484</v>
      </c>
    </row>
    <row r="779" spans="1:7" x14ac:dyDescent="0.25">
      <c r="A779" s="6">
        <v>45806.666666666664</v>
      </c>
      <c r="B779">
        <v>24</v>
      </c>
      <c r="C779" t="s">
        <v>30</v>
      </c>
      <c r="D779" t="s">
        <v>31</v>
      </c>
      <c r="E779">
        <v>1.52</v>
      </c>
      <c r="F779">
        <v>3.78</v>
      </c>
      <c r="G779" s="8">
        <f t="shared" si="12"/>
        <v>24.12698412698413</v>
      </c>
    </row>
    <row r="780" spans="1:7" x14ac:dyDescent="0.25">
      <c r="A780" s="6">
        <v>45806.666666666664</v>
      </c>
      <c r="B780">
        <v>25</v>
      </c>
      <c r="C780" t="s">
        <v>31</v>
      </c>
      <c r="D780" t="s">
        <v>32</v>
      </c>
      <c r="E780">
        <v>1.52</v>
      </c>
      <c r="F780">
        <v>3.67</v>
      </c>
      <c r="G780" s="8">
        <f t="shared" si="12"/>
        <v>24.850136239782017</v>
      </c>
    </row>
    <row r="781" spans="1:7" x14ac:dyDescent="0.25">
      <c r="A781" s="6">
        <v>45806.666666666664</v>
      </c>
      <c r="B781">
        <v>26</v>
      </c>
      <c r="C781" t="s">
        <v>32</v>
      </c>
      <c r="D781" t="s">
        <v>33</v>
      </c>
      <c r="E781">
        <v>1.49</v>
      </c>
      <c r="F781">
        <v>5.68</v>
      </c>
      <c r="G781" s="8">
        <f t="shared" si="12"/>
        <v>15.739436619718312</v>
      </c>
    </row>
    <row r="782" spans="1:7" x14ac:dyDescent="0.25">
      <c r="A782" s="6">
        <v>45806.666666666664</v>
      </c>
      <c r="B782">
        <v>27</v>
      </c>
      <c r="C782" t="s">
        <v>33</v>
      </c>
      <c r="D782" t="s">
        <v>34</v>
      </c>
      <c r="E782">
        <v>1.53</v>
      </c>
      <c r="F782">
        <v>3.82</v>
      </c>
      <c r="G782" s="8">
        <f t="shared" si="12"/>
        <v>24.031413612565444</v>
      </c>
    </row>
    <row r="783" spans="1:7" x14ac:dyDescent="0.25">
      <c r="A783" s="6">
        <v>45806.666666666664</v>
      </c>
      <c r="B783">
        <v>28</v>
      </c>
      <c r="C783" t="s">
        <v>34</v>
      </c>
      <c r="D783" t="s">
        <v>35</v>
      </c>
      <c r="E783">
        <v>1.51</v>
      </c>
      <c r="F783">
        <v>4.75</v>
      </c>
      <c r="G783" s="8">
        <f t="shared" si="12"/>
        <v>19.073684210526313</v>
      </c>
    </row>
    <row r="784" spans="1:7" x14ac:dyDescent="0.25">
      <c r="A784" s="6">
        <v>45806.666666666664</v>
      </c>
      <c r="B784">
        <v>29</v>
      </c>
      <c r="C784" t="s">
        <v>36</v>
      </c>
      <c r="D784" t="s">
        <v>37</v>
      </c>
      <c r="E784">
        <v>1.57</v>
      </c>
      <c r="F784">
        <v>3.85</v>
      </c>
      <c r="G784" s="8">
        <f t="shared" si="12"/>
        <v>24.467532467532468</v>
      </c>
    </row>
    <row r="785" spans="1:7" x14ac:dyDescent="0.25">
      <c r="A785" s="6">
        <v>45806.666666666664</v>
      </c>
      <c r="B785">
        <v>30</v>
      </c>
      <c r="C785" t="s">
        <v>37</v>
      </c>
      <c r="D785" t="s">
        <v>38</v>
      </c>
      <c r="E785">
        <v>1.57</v>
      </c>
      <c r="F785">
        <v>4.97</v>
      </c>
      <c r="G785" s="8">
        <f t="shared" si="12"/>
        <v>18.953722334004027</v>
      </c>
    </row>
    <row r="786" spans="1:7" x14ac:dyDescent="0.25">
      <c r="A786" s="6">
        <v>45806.666666666664</v>
      </c>
      <c r="B786">
        <v>31</v>
      </c>
      <c r="C786" t="s">
        <v>38</v>
      </c>
      <c r="D786" t="s">
        <v>39</v>
      </c>
      <c r="E786">
        <v>1.52</v>
      </c>
      <c r="F786">
        <v>2.88</v>
      </c>
      <c r="G786" s="8">
        <f t="shared" si="12"/>
        <v>31.666666666666668</v>
      </c>
    </row>
    <row r="787" spans="1:7" x14ac:dyDescent="0.25">
      <c r="A787" s="6">
        <v>45806.666666666664</v>
      </c>
      <c r="B787">
        <v>32</v>
      </c>
      <c r="C787" t="s">
        <v>39</v>
      </c>
      <c r="D787" t="s">
        <v>40</v>
      </c>
      <c r="E787">
        <v>1.5</v>
      </c>
      <c r="F787">
        <v>1.83</v>
      </c>
      <c r="G787" s="8">
        <f t="shared" si="12"/>
        <v>49.180327868852459</v>
      </c>
    </row>
    <row r="788" spans="1:7" x14ac:dyDescent="0.25">
      <c r="A788" s="6">
        <v>45806.666666666664</v>
      </c>
      <c r="B788">
        <v>33</v>
      </c>
      <c r="C788" t="s">
        <v>40</v>
      </c>
      <c r="D788" t="s">
        <v>41</v>
      </c>
      <c r="E788">
        <v>1.51</v>
      </c>
      <c r="F788">
        <v>1.95</v>
      </c>
      <c r="G788" s="8">
        <f t="shared" si="12"/>
        <v>46.46153846153846</v>
      </c>
    </row>
    <row r="789" spans="1:7" x14ac:dyDescent="0.25">
      <c r="A789" s="6">
        <v>45806.666666666664</v>
      </c>
      <c r="B789">
        <v>34</v>
      </c>
      <c r="C789" t="s">
        <v>41</v>
      </c>
      <c r="D789" t="s">
        <v>42</v>
      </c>
      <c r="E789">
        <v>1.5</v>
      </c>
      <c r="F789">
        <v>2.27</v>
      </c>
      <c r="G789" s="8">
        <f t="shared" si="12"/>
        <v>39.647577092511014</v>
      </c>
    </row>
    <row r="790" spans="1:7" x14ac:dyDescent="0.25">
      <c r="A790" s="6">
        <v>45806.666666666664</v>
      </c>
      <c r="B790">
        <v>35</v>
      </c>
      <c r="C790" t="s">
        <v>43</v>
      </c>
      <c r="D790" t="s">
        <v>44</v>
      </c>
      <c r="E790">
        <v>1.55</v>
      </c>
      <c r="F790">
        <v>3.78</v>
      </c>
      <c r="G790" s="8">
        <f t="shared" si="12"/>
        <v>24.603174603174605</v>
      </c>
    </row>
    <row r="791" spans="1:7" x14ac:dyDescent="0.25">
      <c r="A791" s="6">
        <v>45806.666666666664</v>
      </c>
      <c r="B791">
        <v>36</v>
      </c>
      <c r="C791" t="s">
        <v>44</v>
      </c>
      <c r="D791" t="s">
        <v>45</v>
      </c>
      <c r="E791">
        <v>1.5</v>
      </c>
      <c r="F791">
        <v>3.12</v>
      </c>
      <c r="G791" s="8">
        <f t="shared" si="12"/>
        <v>28.846153846153847</v>
      </c>
    </row>
    <row r="792" spans="1:7" x14ac:dyDescent="0.25">
      <c r="A792" s="6">
        <v>45806.666666666664</v>
      </c>
      <c r="B792">
        <v>37</v>
      </c>
      <c r="C792" t="s">
        <v>45</v>
      </c>
      <c r="D792" t="s">
        <v>46</v>
      </c>
      <c r="E792">
        <v>1.38</v>
      </c>
      <c r="F792">
        <v>4.58</v>
      </c>
      <c r="G792" s="8">
        <f t="shared" si="12"/>
        <v>18.078602620087334</v>
      </c>
    </row>
    <row r="793" spans="1:7" x14ac:dyDescent="0.25">
      <c r="A793" s="6">
        <v>45806.666666666664</v>
      </c>
      <c r="B793">
        <v>38</v>
      </c>
      <c r="C793" t="s">
        <v>46</v>
      </c>
      <c r="D793" t="s">
        <v>47</v>
      </c>
      <c r="E793">
        <v>1.61</v>
      </c>
      <c r="F793">
        <v>4.4800000000000004</v>
      </c>
      <c r="G793" s="8">
        <f t="shared" si="12"/>
        <v>21.5625</v>
      </c>
    </row>
    <row r="794" spans="1:7" x14ac:dyDescent="0.25">
      <c r="A794" s="6">
        <v>45806.666666666664</v>
      </c>
      <c r="B794">
        <v>39</v>
      </c>
      <c r="C794" t="s">
        <v>47</v>
      </c>
      <c r="D794" t="s">
        <v>48</v>
      </c>
      <c r="E794">
        <v>1.55</v>
      </c>
      <c r="F794">
        <v>3.58</v>
      </c>
      <c r="G794" s="8">
        <f t="shared" si="12"/>
        <v>25.977653631284916</v>
      </c>
    </row>
    <row r="795" spans="1:7" x14ac:dyDescent="0.25">
      <c r="A795" s="6">
        <v>45806.666666666664</v>
      </c>
      <c r="B795">
        <v>40</v>
      </c>
      <c r="C795" t="s">
        <v>48</v>
      </c>
      <c r="D795" t="s">
        <v>49</v>
      </c>
      <c r="E795">
        <v>1.39</v>
      </c>
      <c r="F795">
        <v>3.07</v>
      </c>
      <c r="G795" s="8">
        <f t="shared" si="12"/>
        <v>27.166123778501628</v>
      </c>
    </row>
    <row r="796" spans="1:7" x14ac:dyDescent="0.25">
      <c r="A796" s="6">
        <v>45806.666666666664</v>
      </c>
      <c r="B796">
        <v>41</v>
      </c>
      <c r="C796" t="s">
        <v>50</v>
      </c>
      <c r="D796" t="s">
        <v>51</v>
      </c>
      <c r="E796">
        <v>1.56</v>
      </c>
      <c r="F796">
        <v>5.57</v>
      </c>
      <c r="G796" s="8">
        <f t="shared" si="12"/>
        <v>16.804308797127469</v>
      </c>
    </row>
    <row r="797" spans="1:7" x14ac:dyDescent="0.25">
      <c r="A797" s="6">
        <v>45806.666666666664</v>
      </c>
      <c r="B797">
        <v>42</v>
      </c>
      <c r="C797" t="s">
        <v>51</v>
      </c>
      <c r="D797" t="s">
        <v>52</v>
      </c>
      <c r="E797">
        <v>1.56</v>
      </c>
      <c r="F797">
        <v>4.72</v>
      </c>
      <c r="G797" s="8">
        <f t="shared" si="12"/>
        <v>19.830508474576273</v>
      </c>
    </row>
    <row r="798" spans="1:7" x14ac:dyDescent="0.25">
      <c r="A798" s="6">
        <v>45806.666666666664</v>
      </c>
      <c r="B798">
        <v>43</v>
      </c>
      <c r="C798" t="s">
        <v>52</v>
      </c>
      <c r="D798" t="s">
        <v>53</v>
      </c>
      <c r="E798">
        <v>1.51</v>
      </c>
      <c r="F798">
        <v>3.77</v>
      </c>
      <c r="G798" s="8">
        <f t="shared" si="12"/>
        <v>24.031830238726791</v>
      </c>
    </row>
    <row r="799" spans="1:7" x14ac:dyDescent="0.25">
      <c r="A799" s="6">
        <v>45806.666666666664</v>
      </c>
      <c r="B799">
        <v>44</v>
      </c>
      <c r="C799" t="s">
        <v>54</v>
      </c>
      <c r="D799" t="s">
        <v>55</v>
      </c>
      <c r="E799">
        <v>1.51</v>
      </c>
      <c r="F799">
        <v>4.58</v>
      </c>
      <c r="G799" s="8">
        <f t="shared" si="12"/>
        <v>19.781659388646286</v>
      </c>
    </row>
    <row r="800" spans="1:7" x14ac:dyDescent="0.25">
      <c r="A800" s="6">
        <v>45806.666666666664</v>
      </c>
      <c r="B800">
        <v>45</v>
      </c>
      <c r="C800" t="s">
        <v>55</v>
      </c>
      <c r="D800" t="s">
        <v>56</v>
      </c>
      <c r="E800">
        <v>1.49</v>
      </c>
      <c r="F800">
        <v>3.68</v>
      </c>
      <c r="G800" s="8">
        <f t="shared" si="12"/>
        <v>24.293478260869566</v>
      </c>
    </row>
    <row r="801" spans="1:7" x14ac:dyDescent="0.25">
      <c r="A801" s="6">
        <v>45806.666666666664</v>
      </c>
      <c r="B801">
        <v>46</v>
      </c>
      <c r="C801" t="s">
        <v>56</v>
      </c>
      <c r="D801" t="s">
        <v>57</v>
      </c>
      <c r="E801">
        <v>1.52</v>
      </c>
      <c r="F801">
        <v>4.08</v>
      </c>
      <c r="G801" s="8">
        <f t="shared" si="12"/>
        <v>22.352941176470587</v>
      </c>
    </row>
    <row r="802" spans="1:7" x14ac:dyDescent="0.25">
      <c r="A802" s="6">
        <v>45806.666666666664</v>
      </c>
      <c r="B802">
        <v>47</v>
      </c>
      <c r="C802" t="s">
        <v>58</v>
      </c>
      <c r="D802" t="s">
        <v>59</v>
      </c>
      <c r="E802">
        <v>1.52</v>
      </c>
      <c r="F802">
        <v>4.32</v>
      </c>
      <c r="G802" s="8">
        <f t="shared" si="12"/>
        <v>21.111111111111111</v>
      </c>
    </row>
    <row r="803" spans="1:7" x14ac:dyDescent="0.25">
      <c r="A803" s="6">
        <v>45806.666666666664</v>
      </c>
      <c r="B803">
        <v>48</v>
      </c>
      <c r="C803" t="s">
        <v>59</v>
      </c>
      <c r="D803" t="s">
        <v>60</v>
      </c>
      <c r="E803">
        <v>1.5</v>
      </c>
      <c r="F803">
        <v>3.95</v>
      </c>
      <c r="G803" s="8">
        <f t="shared" si="12"/>
        <v>22.784810126582279</v>
      </c>
    </row>
    <row r="804" spans="1:7" x14ac:dyDescent="0.25">
      <c r="A804" s="6">
        <v>45806.666666666664</v>
      </c>
      <c r="B804">
        <v>49</v>
      </c>
      <c r="C804" t="s">
        <v>60</v>
      </c>
      <c r="D804" t="s">
        <v>61</v>
      </c>
      <c r="E804">
        <v>1.54</v>
      </c>
      <c r="F804">
        <v>4.2</v>
      </c>
      <c r="G804" s="8">
        <f t="shared" si="12"/>
        <v>22</v>
      </c>
    </row>
    <row r="805" spans="1:7" x14ac:dyDescent="0.25">
      <c r="A805" s="6">
        <v>45806.666666666664</v>
      </c>
      <c r="B805">
        <v>50</v>
      </c>
      <c r="C805" t="s">
        <v>62</v>
      </c>
      <c r="D805" t="s">
        <v>63</v>
      </c>
      <c r="E805">
        <v>1.38</v>
      </c>
      <c r="F805">
        <v>3.27</v>
      </c>
      <c r="G805" s="8">
        <f t="shared" si="12"/>
        <v>25.321100917431192</v>
      </c>
    </row>
    <row r="806" spans="1:7" x14ac:dyDescent="0.25">
      <c r="A806" s="6">
        <v>45806.666666666664</v>
      </c>
      <c r="B806">
        <v>51</v>
      </c>
      <c r="C806" t="s">
        <v>63</v>
      </c>
      <c r="D806" t="s">
        <v>64</v>
      </c>
      <c r="E806">
        <v>2.79</v>
      </c>
      <c r="F806">
        <v>5.98</v>
      </c>
      <c r="G806" s="8">
        <f t="shared" si="12"/>
        <v>27.993311036789297</v>
      </c>
    </row>
    <row r="807" spans="1:7" x14ac:dyDescent="0.25">
      <c r="A807" s="6">
        <v>45806.666666666664</v>
      </c>
      <c r="B807">
        <v>52</v>
      </c>
      <c r="C807" t="s">
        <v>64</v>
      </c>
      <c r="D807" t="s">
        <v>65</v>
      </c>
      <c r="E807">
        <v>1.5</v>
      </c>
      <c r="F807">
        <v>2.85</v>
      </c>
      <c r="G807" s="8">
        <f t="shared" si="12"/>
        <v>31.578947368421051</v>
      </c>
    </row>
    <row r="808" spans="1:7" x14ac:dyDescent="0.25">
      <c r="A808" s="6">
        <v>45806.666666666664</v>
      </c>
      <c r="B808">
        <v>53</v>
      </c>
      <c r="C808" t="s">
        <v>65</v>
      </c>
      <c r="D808" t="s">
        <v>66</v>
      </c>
      <c r="E808">
        <v>1.46</v>
      </c>
      <c r="F808">
        <v>4.07</v>
      </c>
      <c r="G808" s="8">
        <f t="shared" si="12"/>
        <v>21.523341523341522</v>
      </c>
    </row>
    <row r="809" spans="1:7" x14ac:dyDescent="0.25">
      <c r="A809" s="6">
        <v>45806.666666666664</v>
      </c>
      <c r="B809">
        <v>54</v>
      </c>
      <c r="C809" t="s">
        <v>67</v>
      </c>
      <c r="D809" t="s">
        <v>68</v>
      </c>
      <c r="E809">
        <v>1.46</v>
      </c>
      <c r="F809">
        <v>3.45</v>
      </c>
      <c r="G809" s="8">
        <f t="shared" si="12"/>
        <v>25.391304347826082</v>
      </c>
    </row>
    <row r="810" spans="1:7" x14ac:dyDescent="0.25">
      <c r="A810" s="6">
        <v>45806.666666666664</v>
      </c>
      <c r="B810">
        <v>55</v>
      </c>
      <c r="C810" t="s">
        <v>68</v>
      </c>
      <c r="D810" t="s">
        <v>69</v>
      </c>
      <c r="E810">
        <v>1.5</v>
      </c>
      <c r="F810">
        <v>4.68</v>
      </c>
      <c r="G810" s="8">
        <f t="shared" si="12"/>
        <v>19.230769230769234</v>
      </c>
    </row>
    <row r="811" spans="1:7" x14ac:dyDescent="0.25">
      <c r="A811" s="6">
        <v>45806.666666666664</v>
      </c>
      <c r="B811">
        <v>56</v>
      </c>
      <c r="C811" t="s">
        <v>70</v>
      </c>
      <c r="D811" t="s">
        <v>71</v>
      </c>
      <c r="E811">
        <v>1.51</v>
      </c>
      <c r="F811">
        <v>5.05</v>
      </c>
      <c r="G811" s="8">
        <f t="shared" si="12"/>
        <v>17.940594059405939</v>
      </c>
    </row>
    <row r="812" spans="1:7" x14ac:dyDescent="0.25">
      <c r="A812" s="6">
        <v>45806.666666666664</v>
      </c>
      <c r="B812">
        <v>57</v>
      </c>
      <c r="C812" t="s">
        <v>71</v>
      </c>
      <c r="D812" t="s">
        <v>72</v>
      </c>
      <c r="E812">
        <v>1.52</v>
      </c>
      <c r="F812">
        <v>4.4800000000000004</v>
      </c>
      <c r="G812" s="8">
        <f t="shared" si="12"/>
        <v>20.357142857142854</v>
      </c>
    </row>
    <row r="813" spans="1:7" x14ac:dyDescent="0.25">
      <c r="A813" s="6">
        <v>45806.666666666664</v>
      </c>
      <c r="B813">
        <v>58</v>
      </c>
      <c r="C813" t="s">
        <v>72</v>
      </c>
      <c r="D813" t="s">
        <v>73</v>
      </c>
      <c r="E813">
        <v>1.5</v>
      </c>
      <c r="F813">
        <v>4.37</v>
      </c>
      <c r="G813" s="8">
        <f t="shared" si="12"/>
        <v>20.594965675057207</v>
      </c>
    </row>
    <row r="814" spans="1:7" x14ac:dyDescent="0.25">
      <c r="A814" s="5">
        <v>45806.677083333336</v>
      </c>
      <c r="B814">
        <v>1</v>
      </c>
      <c r="C814" t="s">
        <v>6</v>
      </c>
      <c r="D814" t="s">
        <v>7</v>
      </c>
      <c r="E814">
        <v>1.53</v>
      </c>
      <c r="F814">
        <v>3.58</v>
      </c>
      <c r="G814" s="8">
        <f t="shared" si="12"/>
        <v>25.64245810055866</v>
      </c>
    </row>
    <row r="815" spans="1:7" x14ac:dyDescent="0.25">
      <c r="A815" s="5">
        <v>45806.677083333336</v>
      </c>
      <c r="B815">
        <v>2</v>
      </c>
      <c r="C815" t="s">
        <v>7</v>
      </c>
      <c r="D815" t="s">
        <v>8</v>
      </c>
      <c r="E815">
        <v>1.57</v>
      </c>
      <c r="F815">
        <v>5.73</v>
      </c>
      <c r="G815" s="8">
        <f t="shared" si="12"/>
        <v>16.439790575916231</v>
      </c>
    </row>
    <row r="816" spans="1:7" x14ac:dyDescent="0.25">
      <c r="A816" s="5">
        <v>45806.677083333336</v>
      </c>
      <c r="B816">
        <v>3</v>
      </c>
      <c r="C816" t="s">
        <v>8</v>
      </c>
      <c r="D816" t="s">
        <v>9</v>
      </c>
      <c r="E816">
        <v>1.5</v>
      </c>
      <c r="F816">
        <v>3.4</v>
      </c>
      <c r="G816" s="8">
        <f t="shared" si="12"/>
        <v>26.47058823529412</v>
      </c>
    </row>
    <row r="817" spans="1:7" x14ac:dyDescent="0.25">
      <c r="A817" s="5">
        <v>45806.677083333336</v>
      </c>
      <c r="B817">
        <v>4</v>
      </c>
      <c r="C817" t="s">
        <v>9</v>
      </c>
      <c r="D817" t="s">
        <v>10</v>
      </c>
      <c r="E817">
        <v>1.5</v>
      </c>
      <c r="F817">
        <v>3.2</v>
      </c>
      <c r="G817" s="8">
        <f t="shared" si="12"/>
        <v>28.125</v>
      </c>
    </row>
    <row r="818" spans="1:7" x14ac:dyDescent="0.25">
      <c r="A818" s="5">
        <v>45806.677083333336</v>
      </c>
      <c r="B818">
        <v>5</v>
      </c>
      <c r="C818" t="s">
        <v>10</v>
      </c>
      <c r="D818" t="s">
        <v>11</v>
      </c>
      <c r="E818">
        <v>1.52</v>
      </c>
      <c r="F818">
        <v>3.65</v>
      </c>
      <c r="G818" s="8">
        <f t="shared" si="12"/>
        <v>24.986301369863014</v>
      </c>
    </row>
    <row r="819" spans="1:7" x14ac:dyDescent="0.25">
      <c r="A819" s="5">
        <v>45806.677083333336</v>
      </c>
      <c r="B819">
        <v>6</v>
      </c>
      <c r="C819" t="s">
        <v>11</v>
      </c>
      <c r="D819" t="s">
        <v>12</v>
      </c>
      <c r="E819">
        <v>1.5</v>
      </c>
      <c r="F819">
        <v>2.78</v>
      </c>
      <c r="G819" s="8">
        <f t="shared" si="12"/>
        <v>32.374100719424462</v>
      </c>
    </row>
    <row r="820" spans="1:7" x14ac:dyDescent="0.25">
      <c r="A820" s="5">
        <v>45806.677083333336</v>
      </c>
      <c r="B820">
        <v>7</v>
      </c>
      <c r="C820" t="s">
        <v>12</v>
      </c>
      <c r="D820" t="s">
        <v>13</v>
      </c>
      <c r="E820">
        <v>1.54</v>
      </c>
      <c r="F820">
        <v>2.67</v>
      </c>
      <c r="G820" s="8">
        <f t="shared" si="12"/>
        <v>34.606741573033709</v>
      </c>
    </row>
    <row r="821" spans="1:7" x14ac:dyDescent="0.25">
      <c r="A821" s="5">
        <v>45806.677083333336</v>
      </c>
      <c r="B821">
        <v>8</v>
      </c>
      <c r="C821" t="s">
        <v>13</v>
      </c>
      <c r="D821" t="s">
        <v>14</v>
      </c>
      <c r="E821">
        <v>1.54</v>
      </c>
      <c r="F821">
        <v>3.45</v>
      </c>
      <c r="G821" s="8">
        <f t="shared" si="12"/>
        <v>26.782608695652176</v>
      </c>
    </row>
    <row r="822" spans="1:7" x14ac:dyDescent="0.25">
      <c r="A822" s="5">
        <v>45806.677083333336</v>
      </c>
      <c r="B822">
        <v>9</v>
      </c>
      <c r="C822" t="s">
        <v>14</v>
      </c>
      <c r="D822" t="s">
        <v>15</v>
      </c>
      <c r="E822">
        <v>1.52</v>
      </c>
      <c r="F822">
        <v>3.7</v>
      </c>
      <c r="G822" s="8">
        <f t="shared" si="12"/>
        <v>24.648648648648649</v>
      </c>
    </row>
    <row r="823" spans="1:7" x14ac:dyDescent="0.25">
      <c r="A823" s="5">
        <v>45806.677083333336</v>
      </c>
      <c r="B823">
        <v>10</v>
      </c>
      <c r="C823" t="s">
        <v>15</v>
      </c>
      <c r="D823" t="s">
        <v>16</v>
      </c>
      <c r="E823">
        <v>1.5</v>
      </c>
      <c r="F823">
        <v>4.12</v>
      </c>
      <c r="G823" s="8">
        <f t="shared" si="12"/>
        <v>21.844660194174757</v>
      </c>
    </row>
    <row r="824" spans="1:7" x14ac:dyDescent="0.25">
      <c r="A824" s="5">
        <v>45806.677083333336</v>
      </c>
      <c r="B824">
        <v>11</v>
      </c>
      <c r="C824" t="s">
        <v>16</v>
      </c>
      <c r="D824" t="s">
        <v>17</v>
      </c>
      <c r="E824">
        <v>1.48</v>
      </c>
      <c r="F824">
        <v>2.88</v>
      </c>
      <c r="G824" s="8">
        <f t="shared" si="12"/>
        <v>30.833333333333332</v>
      </c>
    </row>
    <row r="825" spans="1:7" x14ac:dyDescent="0.25">
      <c r="A825" s="5">
        <v>45806.677083333336</v>
      </c>
      <c r="B825">
        <v>12</v>
      </c>
      <c r="C825" t="s">
        <v>17</v>
      </c>
      <c r="D825" t="s">
        <v>18</v>
      </c>
      <c r="E825">
        <v>1.46</v>
      </c>
      <c r="F825">
        <v>4.5199999999999996</v>
      </c>
      <c r="G825" s="8">
        <f t="shared" si="12"/>
        <v>19.380530973451329</v>
      </c>
    </row>
    <row r="826" spans="1:7" x14ac:dyDescent="0.25">
      <c r="A826" s="5">
        <v>45806.677083333336</v>
      </c>
      <c r="B826">
        <v>13</v>
      </c>
      <c r="C826" t="s">
        <v>18</v>
      </c>
      <c r="D826" t="s">
        <v>19</v>
      </c>
      <c r="E826">
        <v>1.52</v>
      </c>
      <c r="F826">
        <v>4.38</v>
      </c>
      <c r="G826" s="8">
        <f t="shared" si="12"/>
        <v>20.82191780821918</v>
      </c>
    </row>
    <row r="827" spans="1:7" x14ac:dyDescent="0.25">
      <c r="A827" s="5">
        <v>45806.677083333336</v>
      </c>
      <c r="B827">
        <v>14</v>
      </c>
      <c r="C827" t="s">
        <v>19</v>
      </c>
      <c r="D827" t="s">
        <v>20</v>
      </c>
      <c r="E827">
        <v>1.51</v>
      </c>
      <c r="F827">
        <v>3.82</v>
      </c>
      <c r="G827" s="8">
        <f t="shared" si="12"/>
        <v>23.717277486910994</v>
      </c>
    </row>
    <row r="828" spans="1:7" x14ac:dyDescent="0.25">
      <c r="A828" s="5">
        <v>45806.677083333336</v>
      </c>
      <c r="B828">
        <v>15</v>
      </c>
      <c r="C828" t="s">
        <v>20</v>
      </c>
      <c r="D828" t="s">
        <v>21</v>
      </c>
      <c r="E828">
        <v>1.47</v>
      </c>
      <c r="F828">
        <v>2.7</v>
      </c>
      <c r="G828" s="8">
        <f t="shared" si="12"/>
        <v>32.666666666666664</v>
      </c>
    </row>
    <row r="829" spans="1:7" x14ac:dyDescent="0.25">
      <c r="A829" s="5">
        <v>45806.677083333336</v>
      </c>
      <c r="B829">
        <v>16</v>
      </c>
      <c r="C829" t="s">
        <v>21</v>
      </c>
      <c r="D829" t="s">
        <v>22</v>
      </c>
      <c r="E829">
        <v>1.5</v>
      </c>
      <c r="F829">
        <v>1.83</v>
      </c>
      <c r="G829" s="8">
        <f t="shared" si="12"/>
        <v>49.180327868852459</v>
      </c>
    </row>
    <row r="830" spans="1:7" x14ac:dyDescent="0.25">
      <c r="A830" s="5">
        <v>45806.677083333336</v>
      </c>
      <c r="B830">
        <v>17</v>
      </c>
      <c r="C830" t="s">
        <v>22</v>
      </c>
      <c r="D830" t="s">
        <v>23</v>
      </c>
      <c r="E830">
        <v>1.51</v>
      </c>
      <c r="F830">
        <v>3.25</v>
      </c>
      <c r="G830" s="8">
        <f t="shared" si="12"/>
        <v>27.876923076923074</v>
      </c>
    </row>
    <row r="831" spans="1:7" x14ac:dyDescent="0.25">
      <c r="A831" s="5">
        <v>45806.677083333336</v>
      </c>
      <c r="B831">
        <v>18</v>
      </c>
      <c r="C831" t="s">
        <v>23</v>
      </c>
      <c r="D831" t="s">
        <v>24</v>
      </c>
      <c r="E831">
        <v>1.51</v>
      </c>
      <c r="F831">
        <v>3.68</v>
      </c>
      <c r="G831" s="8">
        <f t="shared" si="12"/>
        <v>24.619565217391301</v>
      </c>
    </row>
    <row r="832" spans="1:7" x14ac:dyDescent="0.25">
      <c r="A832" s="5">
        <v>45806.677083333336</v>
      </c>
      <c r="B832">
        <v>19</v>
      </c>
      <c r="C832" t="s">
        <v>25</v>
      </c>
      <c r="D832" t="s">
        <v>26</v>
      </c>
      <c r="E832">
        <v>1.5</v>
      </c>
      <c r="F832">
        <v>3.98</v>
      </c>
      <c r="G832" s="8">
        <f t="shared" si="12"/>
        <v>22.613065326633166</v>
      </c>
    </row>
    <row r="833" spans="1:7" x14ac:dyDescent="0.25">
      <c r="A833" s="5">
        <v>45806.677083333336</v>
      </c>
      <c r="B833">
        <v>20</v>
      </c>
      <c r="C833" t="s">
        <v>26</v>
      </c>
      <c r="D833" t="s">
        <v>27</v>
      </c>
      <c r="E833">
        <v>1.48</v>
      </c>
      <c r="F833">
        <v>3.97</v>
      </c>
      <c r="G833" s="8">
        <f t="shared" si="12"/>
        <v>22.367758186397982</v>
      </c>
    </row>
    <row r="834" spans="1:7" x14ac:dyDescent="0.25">
      <c r="A834" s="5">
        <v>45806.677083333336</v>
      </c>
      <c r="B834">
        <v>21</v>
      </c>
      <c r="C834" t="s">
        <v>27</v>
      </c>
      <c r="D834" t="s">
        <v>28</v>
      </c>
      <c r="E834">
        <v>1.51</v>
      </c>
      <c r="F834">
        <v>3.78</v>
      </c>
      <c r="G834" s="8">
        <f t="shared" si="12"/>
        <v>23.968253968253968</v>
      </c>
    </row>
    <row r="835" spans="1:7" x14ac:dyDescent="0.25">
      <c r="A835" s="5">
        <v>45806.677083333336</v>
      </c>
      <c r="B835">
        <v>22</v>
      </c>
      <c r="C835" t="s">
        <v>28</v>
      </c>
      <c r="D835" t="s">
        <v>29</v>
      </c>
      <c r="E835">
        <v>1.57</v>
      </c>
      <c r="F835">
        <v>4.08</v>
      </c>
      <c r="G835" s="8">
        <f t="shared" ref="G835:G898" si="13">E835*60/F835</f>
        <v>23.088235294117649</v>
      </c>
    </row>
    <row r="836" spans="1:7" x14ac:dyDescent="0.25">
      <c r="A836" s="5">
        <v>45806.677083333336</v>
      </c>
      <c r="B836">
        <v>23</v>
      </c>
      <c r="C836" t="s">
        <v>29</v>
      </c>
      <c r="D836" t="s">
        <v>30</v>
      </c>
      <c r="E836">
        <v>1.43</v>
      </c>
      <c r="F836">
        <v>5.08</v>
      </c>
      <c r="G836" s="8">
        <f t="shared" si="13"/>
        <v>16.889763779527559</v>
      </c>
    </row>
    <row r="837" spans="1:7" x14ac:dyDescent="0.25">
      <c r="A837" s="5">
        <v>45806.677083333336</v>
      </c>
      <c r="B837">
        <v>24</v>
      </c>
      <c r="C837" t="s">
        <v>30</v>
      </c>
      <c r="D837" t="s">
        <v>31</v>
      </c>
      <c r="E837">
        <v>1.52</v>
      </c>
      <c r="F837">
        <v>3.75</v>
      </c>
      <c r="G837" s="8">
        <f t="shared" si="13"/>
        <v>24.32</v>
      </c>
    </row>
    <row r="838" spans="1:7" x14ac:dyDescent="0.25">
      <c r="A838" s="5">
        <v>45806.677083333336</v>
      </c>
      <c r="B838">
        <v>25</v>
      </c>
      <c r="C838" t="s">
        <v>31</v>
      </c>
      <c r="D838" t="s">
        <v>32</v>
      </c>
      <c r="E838">
        <v>1.52</v>
      </c>
      <c r="F838">
        <v>3.75</v>
      </c>
      <c r="G838" s="8">
        <f t="shared" si="13"/>
        <v>24.32</v>
      </c>
    </row>
    <row r="839" spans="1:7" x14ac:dyDescent="0.25">
      <c r="A839" s="5">
        <v>45806.677083333336</v>
      </c>
      <c r="B839">
        <v>26</v>
      </c>
      <c r="C839" t="s">
        <v>32</v>
      </c>
      <c r="D839" t="s">
        <v>33</v>
      </c>
      <c r="E839">
        <v>1.49</v>
      </c>
      <c r="F839">
        <v>4.8499999999999996</v>
      </c>
      <c r="G839" s="8">
        <f t="shared" si="13"/>
        <v>18.432989690721651</v>
      </c>
    </row>
    <row r="840" spans="1:7" x14ac:dyDescent="0.25">
      <c r="A840" s="5">
        <v>45806.677083333336</v>
      </c>
      <c r="B840">
        <v>27</v>
      </c>
      <c r="C840" t="s">
        <v>33</v>
      </c>
      <c r="D840" t="s">
        <v>34</v>
      </c>
      <c r="E840">
        <v>1.53</v>
      </c>
      <c r="F840">
        <v>3.85</v>
      </c>
      <c r="G840" s="8">
        <f t="shared" si="13"/>
        <v>23.844155844155843</v>
      </c>
    </row>
    <row r="841" spans="1:7" x14ac:dyDescent="0.25">
      <c r="A841" s="5">
        <v>45806.677083333336</v>
      </c>
      <c r="B841">
        <v>28</v>
      </c>
      <c r="C841" t="s">
        <v>34</v>
      </c>
      <c r="D841" t="s">
        <v>35</v>
      </c>
      <c r="E841">
        <v>1.51</v>
      </c>
      <c r="F841">
        <v>4.72</v>
      </c>
      <c r="G841" s="8">
        <f t="shared" si="13"/>
        <v>19.194915254237287</v>
      </c>
    </row>
    <row r="842" spans="1:7" x14ac:dyDescent="0.25">
      <c r="A842" s="5">
        <v>45806.677083333336</v>
      </c>
      <c r="B842">
        <v>29</v>
      </c>
      <c r="C842" t="s">
        <v>36</v>
      </c>
      <c r="D842" t="s">
        <v>37</v>
      </c>
      <c r="E842">
        <v>1.57</v>
      </c>
      <c r="F842">
        <v>3.88</v>
      </c>
      <c r="G842" s="8">
        <f t="shared" si="13"/>
        <v>24.27835051546392</v>
      </c>
    </row>
    <row r="843" spans="1:7" x14ac:dyDescent="0.25">
      <c r="A843" s="5">
        <v>45806.677083333336</v>
      </c>
      <c r="B843">
        <v>30</v>
      </c>
      <c r="C843" t="s">
        <v>37</v>
      </c>
      <c r="D843" t="s">
        <v>38</v>
      </c>
      <c r="E843">
        <v>1.57</v>
      </c>
      <c r="F843">
        <v>4.93</v>
      </c>
      <c r="G843" s="8">
        <f t="shared" si="13"/>
        <v>19.107505070993916</v>
      </c>
    </row>
    <row r="844" spans="1:7" x14ac:dyDescent="0.25">
      <c r="A844" s="5">
        <v>45806.677083333336</v>
      </c>
      <c r="B844">
        <v>31</v>
      </c>
      <c r="C844" t="s">
        <v>38</v>
      </c>
      <c r="D844" t="s">
        <v>39</v>
      </c>
      <c r="E844">
        <v>1.52</v>
      </c>
      <c r="F844">
        <v>2.87</v>
      </c>
      <c r="G844" s="8">
        <f t="shared" si="13"/>
        <v>31.777003484320556</v>
      </c>
    </row>
    <row r="845" spans="1:7" x14ac:dyDescent="0.25">
      <c r="A845" s="5">
        <v>45806.677083333336</v>
      </c>
      <c r="B845">
        <v>32</v>
      </c>
      <c r="C845" t="s">
        <v>39</v>
      </c>
      <c r="D845" t="s">
        <v>40</v>
      </c>
      <c r="E845">
        <v>1.5</v>
      </c>
      <c r="F845">
        <v>1.85</v>
      </c>
      <c r="G845" s="8">
        <f t="shared" si="13"/>
        <v>48.648648648648646</v>
      </c>
    </row>
    <row r="846" spans="1:7" x14ac:dyDescent="0.25">
      <c r="A846" s="5">
        <v>45806.677083333336</v>
      </c>
      <c r="B846">
        <v>33</v>
      </c>
      <c r="C846" t="s">
        <v>40</v>
      </c>
      <c r="D846" t="s">
        <v>41</v>
      </c>
      <c r="E846">
        <v>1.51</v>
      </c>
      <c r="F846">
        <v>1.88</v>
      </c>
      <c r="G846" s="8">
        <f t="shared" si="13"/>
        <v>48.191489361702125</v>
      </c>
    </row>
    <row r="847" spans="1:7" x14ac:dyDescent="0.25">
      <c r="A847" s="5">
        <v>45806.677083333336</v>
      </c>
      <c r="B847">
        <v>34</v>
      </c>
      <c r="C847" t="s">
        <v>41</v>
      </c>
      <c r="D847" t="s">
        <v>42</v>
      </c>
      <c r="E847">
        <v>1.5</v>
      </c>
      <c r="F847">
        <v>1.97</v>
      </c>
      <c r="G847" s="8">
        <f t="shared" si="13"/>
        <v>45.685279187817258</v>
      </c>
    </row>
    <row r="848" spans="1:7" x14ac:dyDescent="0.25">
      <c r="A848" s="5">
        <v>45806.677083333336</v>
      </c>
      <c r="B848">
        <v>35</v>
      </c>
      <c r="C848" t="s">
        <v>43</v>
      </c>
      <c r="D848" t="s">
        <v>44</v>
      </c>
      <c r="E848">
        <v>1.55</v>
      </c>
      <c r="F848">
        <v>3.93</v>
      </c>
      <c r="G848" s="8">
        <f t="shared" si="13"/>
        <v>23.664122137404579</v>
      </c>
    </row>
    <row r="849" spans="1:7" x14ac:dyDescent="0.25">
      <c r="A849" s="5">
        <v>45806.677083333336</v>
      </c>
      <c r="B849">
        <v>36</v>
      </c>
      <c r="C849" t="s">
        <v>44</v>
      </c>
      <c r="D849" t="s">
        <v>45</v>
      </c>
      <c r="E849">
        <v>1.5</v>
      </c>
      <c r="F849">
        <v>3.35</v>
      </c>
      <c r="G849" s="8">
        <f t="shared" si="13"/>
        <v>26.865671641791042</v>
      </c>
    </row>
    <row r="850" spans="1:7" x14ac:dyDescent="0.25">
      <c r="A850" s="5">
        <v>45806.677083333336</v>
      </c>
      <c r="B850">
        <v>37</v>
      </c>
      <c r="C850" t="s">
        <v>45</v>
      </c>
      <c r="D850" t="s">
        <v>46</v>
      </c>
      <c r="E850">
        <v>1.38</v>
      </c>
      <c r="F850">
        <v>4.58</v>
      </c>
      <c r="G850" s="8">
        <f t="shared" si="13"/>
        <v>18.078602620087334</v>
      </c>
    </row>
    <row r="851" spans="1:7" x14ac:dyDescent="0.25">
      <c r="A851" s="5">
        <v>45806.677083333336</v>
      </c>
      <c r="B851">
        <v>38</v>
      </c>
      <c r="C851" t="s">
        <v>46</v>
      </c>
      <c r="D851" t="s">
        <v>47</v>
      </c>
      <c r="E851">
        <v>1.61</v>
      </c>
      <c r="F851">
        <v>4.4800000000000004</v>
      </c>
      <c r="G851" s="8">
        <f t="shared" si="13"/>
        <v>21.5625</v>
      </c>
    </row>
    <row r="852" spans="1:7" x14ac:dyDescent="0.25">
      <c r="A852" s="5">
        <v>45806.677083333336</v>
      </c>
      <c r="B852">
        <v>39</v>
      </c>
      <c r="C852" t="s">
        <v>47</v>
      </c>
      <c r="D852" t="s">
        <v>48</v>
      </c>
      <c r="E852">
        <v>1.55</v>
      </c>
      <c r="F852">
        <v>3.6</v>
      </c>
      <c r="G852" s="8">
        <f t="shared" si="13"/>
        <v>25.833333333333332</v>
      </c>
    </row>
    <row r="853" spans="1:7" x14ac:dyDescent="0.25">
      <c r="A853" s="5">
        <v>45806.677083333336</v>
      </c>
      <c r="B853">
        <v>40</v>
      </c>
      <c r="C853" t="s">
        <v>48</v>
      </c>
      <c r="D853" t="s">
        <v>49</v>
      </c>
      <c r="E853">
        <v>1.39</v>
      </c>
      <c r="F853">
        <v>3.08</v>
      </c>
      <c r="G853" s="8">
        <f t="shared" si="13"/>
        <v>27.077922077922075</v>
      </c>
    </row>
    <row r="854" spans="1:7" x14ac:dyDescent="0.25">
      <c r="A854" s="5">
        <v>45806.677083333336</v>
      </c>
      <c r="B854">
        <v>41</v>
      </c>
      <c r="C854" t="s">
        <v>50</v>
      </c>
      <c r="D854" t="s">
        <v>51</v>
      </c>
      <c r="E854">
        <v>1.56</v>
      </c>
      <c r="F854">
        <v>4.75</v>
      </c>
      <c r="G854" s="8">
        <f t="shared" si="13"/>
        <v>19.705263157894738</v>
      </c>
    </row>
    <row r="855" spans="1:7" x14ac:dyDescent="0.25">
      <c r="A855" s="5">
        <v>45806.677083333336</v>
      </c>
      <c r="B855">
        <v>42</v>
      </c>
      <c r="C855" t="s">
        <v>51</v>
      </c>
      <c r="D855" t="s">
        <v>52</v>
      </c>
      <c r="E855">
        <v>1.56</v>
      </c>
      <c r="F855">
        <v>4.7</v>
      </c>
      <c r="G855" s="8">
        <f t="shared" si="13"/>
        <v>19.914893617021278</v>
      </c>
    </row>
    <row r="856" spans="1:7" x14ac:dyDescent="0.25">
      <c r="A856" s="5">
        <v>45806.677083333336</v>
      </c>
      <c r="B856">
        <v>43</v>
      </c>
      <c r="C856" t="s">
        <v>52</v>
      </c>
      <c r="D856" t="s">
        <v>53</v>
      </c>
      <c r="E856">
        <v>1.51</v>
      </c>
      <c r="F856">
        <v>3.77</v>
      </c>
      <c r="G856" s="8">
        <f t="shared" si="13"/>
        <v>24.031830238726791</v>
      </c>
    </row>
    <row r="857" spans="1:7" x14ac:dyDescent="0.25">
      <c r="A857" s="5">
        <v>45806.677083333336</v>
      </c>
      <c r="B857">
        <v>44</v>
      </c>
      <c r="C857" t="s">
        <v>54</v>
      </c>
      <c r="D857" t="s">
        <v>55</v>
      </c>
      <c r="E857">
        <v>1.51</v>
      </c>
      <c r="F857">
        <v>4.68</v>
      </c>
      <c r="G857" s="8">
        <f t="shared" si="13"/>
        <v>19.358974358974358</v>
      </c>
    </row>
    <row r="858" spans="1:7" x14ac:dyDescent="0.25">
      <c r="A858" s="5">
        <v>45806.677083333336</v>
      </c>
      <c r="B858">
        <v>45</v>
      </c>
      <c r="C858" t="s">
        <v>55</v>
      </c>
      <c r="D858" t="s">
        <v>56</v>
      </c>
      <c r="E858">
        <v>1.49</v>
      </c>
      <c r="F858">
        <v>3.93</v>
      </c>
      <c r="G858" s="8">
        <f t="shared" si="13"/>
        <v>22.748091603053435</v>
      </c>
    </row>
    <row r="859" spans="1:7" x14ac:dyDescent="0.25">
      <c r="A859" s="5">
        <v>45806.677083333336</v>
      </c>
      <c r="B859">
        <v>46</v>
      </c>
      <c r="C859" t="s">
        <v>56</v>
      </c>
      <c r="D859" t="s">
        <v>57</v>
      </c>
      <c r="E859">
        <v>1.52</v>
      </c>
      <c r="F859">
        <v>4.08</v>
      </c>
      <c r="G859" s="8">
        <f t="shared" si="13"/>
        <v>22.352941176470587</v>
      </c>
    </row>
    <row r="860" spans="1:7" x14ac:dyDescent="0.25">
      <c r="A860" s="5">
        <v>45806.677083333336</v>
      </c>
      <c r="B860">
        <v>47</v>
      </c>
      <c r="C860" t="s">
        <v>58</v>
      </c>
      <c r="D860" t="s">
        <v>59</v>
      </c>
      <c r="E860">
        <v>1.52</v>
      </c>
      <c r="F860">
        <v>4.53</v>
      </c>
      <c r="G860" s="8">
        <f t="shared" si="13"/>
        <v>20.132450331125828</v>
      </c>
    </row>
    <row r="861" spans="1:7" x14ac:dyDescent="0.25">
      <c r="A861" s="5">
        <v>45806.677083333336</v>
      </c>
      <c r="B861">
        <v>48</v>
      </c>
      <c r="C861" t="s">
        <v>59</v>
      </c>
      <c r="D861" t="s">
        <v>60</v>
      </c>
      <c r="E861">
        <v>1.5</v>
      </c>
      <c r="F861">
        <v>3.98</v>
      </c>
      <c r="G861" s="8">
        <f t="shared" si="13"/>
        <v>22.613065326633166</v>
      </c>
    </row>
    <row r="862" spans="1:7" x14ac:dyDescent="0.25">
      <c r="A862" s="5">
        <v>45806.677083333336</v>
      </c>
      <c r="B862">
        <v>49</v>
      </c>
      <c r="C862" t="s">
        <v>60</v>
      </c>
      <c r="D862" t="s">
        <v>61</v>
      </c>
      <c r="E862">
        <v>1.54</v>
      </c>
      <c r="F862">
        <v>4.33</v>
      </c>
      <c r="G862" s="8">
        <f t="shared" si="13"/>
        <v>21.339491916859124</v>
      </c>
    </row>
    <row r="863" spans="1:7" x14ac:dyDescent="0.25">
      <c r="A863" s="5">
        <v>45806.677083333336</v>
      </c>
      <c r="B863">
        <v>50</v>
      </c>
      <c r="C863" t="s">
        <v>62</v>
      </c>
      <c r="D863" t="s">
        <v>63</v>
      </c>
      <c r="E863">
        <v>1.38</v>
      </c>
      <c r="F863">
        <v>3.32</v>
      </c>
      <c r="G863" s="8">
        <f t="shared" si="13"/>
        <v>24.939759036144579</v>
      </c>
    </row>
    <row r="864" spans="1:7" x14ac:dyDescent="0.25">
      <c r="A864" s="5">
        <v>45806.677083333336</v>
      </c>
      <c r="B864">
        <v>51</v>
      </c>
      <c r="C864" t="s">
        <v>63</v>
      </c>
      <c r="D864" t="s">
        <v>64</v>
      </c>
      <c r="E864">
        <v>2.79</v>
      </c>
      <c r="F864">
        <v>5.88</v>
      </c>
      <c r="G864" s="8">
        <f t="shared" si="13"/>
        <v>28.469387755102041</v>
      </c>
    </row>
    <row r="865" spans="1:7" x14ac:dyDescent="0.25">
      <c r="A865" s="5">
        <v>45806.677083333336</v>
      </c>
      <c r="B865">
        <v>52</v>
      </c>
      <c r="C865" t="s">
        <v>64</v>
      </c>
      <c r="D865" t="s">
        <v>65</v>
      </c>
      <c r="E865">
        <v>1.5</v>
      </c>
      <c r="F865">
        <v>3.05</v>
      </c>
      <c r="G865" s="8">
        <f t="shared" si="13"/>
        <v>29.508196721311478</v>
      </c>
    </row>
    <row r="866" spans="1:7" x14ac:dyDescent="0.25">
      <c r="A866" s="5">
        <v>45806.677083333336</v>
      </c>
      <c r="B866">
        <v>53</v>
      </c>
      <c r="C866" t="s">
        <v>65</v>
      </c>
      <c r="D866" t="s">
        <v>66</v>
      </c>
      <c r="E866">
        <v>1.46</v>
      </c>
      <c r="F866">
        <v>4.2699999999999996</v>
      </c>
      <c r="G866" s="8">
        <f t="shared" si="13"/>
        <v>20.515222482435597</v>
      </c>
    </row>
    <row r="867" spans="1:7" x14ac:dyDescent="0.25">
      <c r="A867" s="5">
        <v>45806.677083333336</v>
      </c>
      <c r="B867">
        <v>54</v>
      </c>
      <c r="C867" t="s">
        <v>67</v>
      </c>
      <c r="D867" t="s">
        <v>68</v>
      </c>
      <c r="E867">
        <v>1.46</v>
      </c>
      <c r="F867">
        <v>3.35</v>
      </c>
      <c r="G867" s="8">
        <f t="shared" si="13"/>
        <v>26.149253731343283</v>
      </c>
    </row>
    <row r="868" spans="1:7" x14ac:dyDescent="0.25">
      <c r="A868" s="5">
        <v>45806.677083333336</v>
      </c>
      <c r="B868">
        <v>55</v>
      </c>
      <c r="C868" t="s">
        <v>68</v>
      </c>
      <c r="D868" t="s">
        <v>69</v>
      </c>
      <c r="E868">
        <v>1.5</v>
      </c>
      <c r="F868">
        <v>6.75</v>
      </c>
      <c r="G868" s="8">
        <f t="shared" si="13"/>
        <v>13.333333333333334</v>
      </c>
    </row>
    <row r="869" spans="1:7" x14ac:dyDescent="0.25">
      <c r="A869" s="5">
        <v>45806.677083333336</v>
      </c>
      <c r="B869">
        <v>56</v>
      </c>
      <c r="C869" t="s">
        <v>70</v>
      </c>
      <c r="D869" t="s">
        <v>71</v>
      </c>
      <c r="E869">
        <v>1.51</v>
      </c>
      <c r="F869">
        <v>4.83</v>
      </c>
      <c r="G869" s="8">
        <f t="shared" si="13"/>
        <v>18.757763975155278</v>
      </c>
    </row>
    <row r="870" spans="1:7" x14ac:dyDescent="0.25">
      <c r="A870" s="5">
        <v>45806.677083333336</v>
      </c>
      <c r="B870">
        <v>57</v>
      </c>
      <c r="C870" t="s">
        <v>71</v>
      </c>
      <c r="D870" t="s">
        <v>72</v>
      </c>
      <c r="E870">
        <v>1.52</v>
      </c>
      <c r="F870">
        <v>4.4800000000000004</v>
      </c>
      <c r="G870" s="8">
        <f t="shared" si="13"/>
        <v>20.357142857142854</v>
      </c>
    </row>
    <row r="871" spans="1:7" x14ac:dyDescent="0.25">
      <c r="A871" s="5">
        <v>45806.677083333336</v>
      </c>
      <c r="B871">
        <v>58</v>
      </c>
      <c r="C871" t="s">
        <v>72</v>
      </c>
      <c r="D871" t="s">
        <v>73</v>
      </c>
      <c r="E871">
        <v>1.5</v>
      </c>
      <c r="F871">
        <v>4.5</v>
      </c>
      <c r="G871" s="8">
        <f t="shared" si="13"/>
        <v>20</v>
      </c>
    </row>
    <row r="872" spans="1:7" x14ac:dyDescent="0.25">
      <c r="A872" s="5">
        <v>45806.6875</v>
      </c>
      <c r="B872">
        <v>1</v>
      </c>
      <c r="C872" t="s">
        <v>6</v>
      </c>
      <c r="D872" t="s">
        <v>7</v>
      </c>
      <c r="E872">
        <v>1.53</v>
      </c>
      <c r="F872">
        <v>3.42</v>
      </c>
      <c r="G872" s="8">
        <f t="shared" si="13"/>
        <v>26.842105263157894</v>
      </c>
    </row>
    <row r="873" spans="1:7" x14ac:dyDescent="0.25">
      <c r="A873" s="5">
        <v>45806.6875</v>
      </c>
      <c r="B873">
        <v>2</v>
      </c>
      <c r="C873" t="s">
        <v>7</v>
      </c>
      <c r="D873" t="s">
        <v>8</v>
      </c>
      <c r="E873">
        <v>1.57</v>
      </c>
      <c r="F873">
        <v>5.98</v>
      </c>
      <c r="G873" s="8">
        <f t="shared" si="13"/>
        <v>15.752508361204013</v>
      </c>
    </row>
    <row r="874" spans="1:7" x14ac:dyDescent="0.25">
      <c r="A874" s="5">
        <v>45806.6875</v>
      </c>
      <c r="B874">
        <v>3</v>
      </c>
      <c r="C874" t="s">
        <v>8</v>
      </c>
      <c r="D874" t="s">
        <v>9</v>
      </c>
      <c r="E874">
        <v>1.5</v>
      </c>
      <c r="F874">
        <v>3.38</v>
      </c>
      <c r="G874" s="8">
        <f t="shared" si="13"/>
        <v>26.627218934911244</v>
      </c>
    </row>
    <row r="875" spans="1:7" x14ac:dyDescent="0.25">
      <c r="A875" s="5">
        <v>45806.6875</v>
      </c>
      <c r="B875">
        <v>4</v>
      </c>
      <c r="C875" t="s">
        <v>9</v>
      </c>
      <c r="D875" t="s">
        <v>10</v>
      </c>
      <c r="E875">
        <v>1.5</v>
      </c>
      <c r="F875">
        <v>3.2</v>
      </c>
      <c r="G875" s="8">
        <f t="shared" si="13"/>
        <v>28.125</v>
      </c>
    </row>
    <row r="876" spans="1:7" x14ac:dyDescent="0.25">
      <c r="A876" s="5">
        <v>45806.6875</v>
      </c>
      <c r="B876">
        <v>5</v>
      </c>
      <c r="C876" t="s">
        <v>10</v>
      </c>
      <c r="D876" t="s">
        <v>11</v>
      </c>
      <c r="E876">
        <v>1.52</v>
      </c>
      <c r="F876">
        <v>4.2699999999999996</v>
      </c>
      <c r="G876" s="8">
        <f t="shared" si="13"/>
        <v>21.358313817330213</v>
      </c>
    </row>
    <row r="877" spans="1:7" x14ac:dyDescent="0.25">
      <c r="A877" s="5">
        <v>45806.6875</v>
      </c>
      <c r="B877">
        <v>6</v>
      </c>
      <c r="C877" t="s">
        <v>11</v>
      </c>
      <c r="D877" t="s">
        <v>12</v>
      </c>
      <c r="E877">
        <v>1.5</v>
      </c>
      <c r="F877">
        <v>2.83</v>
      </c>
      <c r="G877" s="8">
        <f t="shared" si="13"/>
        <v>31.802120141342755</v>
      </c>
    </row>
    <row r="878" spans="1:7" x14ac:dyDescent="0.25">
      <c r="A878" s="5">
        <v>45806.6875</v>
      </c>
      <c r="B878">
        <v>7</v>
      </c>
      <c r="C878" t="s">
        <v>12</v>
      </c>
      <c r="D878" t="s">
        <v>13</v>
      </c>
      <c r="E878">
        <v>1.54</v>
      </c>
      <c r="F878">
        <v>2.75</v>
      </c>
      <c r="G878" s="8">
        <f t="shared" si="13"/>
        <v>33.6</v>
      </c>
    </row>
    <row r="879" spans="1:7" x14ac:dyDescent="0.25">
      <c r="A879" s="5">
        <v>45806.6875</v>
      </c>
      <c r="B879">
        <v>8</v>
      </c>
      <c r="C879" t="s">
        <v>13</v>
      </c>
      <c r="D879" t="s">
        <v>14</v>
      </c>
      <c r="E879">
        <v>1.54</v>
      </c>
      <c r="F879">
        <v>3.55</v>
      </c>
      <c r="G879" s="8">
        <f t="shared" si="13"/>
        <v>26.028169014084511</v>
      </c>
    </row>
    <row r="880" spans="1:7" x14ac:dyDescent="0.25">
      <c r="A880" s="5">
        <v>45806.6875</v>
      </c>
      <c r="B880">
        <v>9</v>
      </c>
      <c r="C880" t="s">
        <v>14</v>
      </c>
      <c r="D880" t="s">
        <v>15</v>
      </c>
      <c r="E880">
        <v>1.52</v>
      </c>
      <c r="F880">
        <v>3.83</v>
      </c>
      <c r="G880" s="8">
        <f t="shared" si="13"/>
        <v>23.812010443864231</v>
      </c>
    </row>
    <row r="881" spans="1:7" x14ac:dyDescent="0.25">
      <c r="A881" s="5">
        <v>45806.6875</v>
      </c>
      <c r="B881">
        <v>10</v>
      </c>
      <c r="C881" t="s">
        <v>15</v>
      </c>
      <c r="D881" t="s">
        <v>16</v>
      </c>
      <c r="E881">
        <v>1.5</v>
      </c>
      <c r="F881">
        <v>4.7</v>
      </c>
      <c r="G881" s="8">
        <f t="shared" si="13"/>
        <v>19.148936170212764</v>
      </c>
    </row>
    <row r="882" spans="1:7" x14ac:dyDescent="0.25">
      <c r="A882" s="5">
        <v>45806.6875</v>
      </c>
      <c r="B882">
        <v>11</v>
      </c>
      <c r="C882" t="s">
        <v>16</v>
      </c>
      <c r="D882" t="s">
        <v>17</v>
      </c>
      <c r="E882">
        <v>1.48</v>
      </c>
      <c r="F882">
        <v>3.02</v>
      </c>
      <c r="G882" s="8">
        <f t="shared" si="13"/>
        <v>29.403973509933774</v>
      </c>
    </row>
    <row r="883" spans="1:7" x14ac:dyDescent="0.25">
      <c r="A883" s="5">
        <v>45806.6875</v>
      </c>
      <c r="B883">
        <v>12</v>
      </c>
      <c r="C883" t="s">
        <v>17</v>
      </c>
      <c r="D883" t="s">
        <v>18</v>
      </c>
      <c r="E883">
        <v>1.46</v>
      </c>
      <c r="F883">
        <v>4.3</v>
      </c>
      <c r="G883" s="8">
        <f t="shared" si="13"/>
        <v>20.372093023255815</v>
      </c>
    </row>
    <row r="884" spans="1:7" x14ac:dyDescent="0.25">
      <c r="A884" s="5">
        <v>45806.6875</v>
      </c>
      <c r="B884">
        <v>13</v>
      </c>
      <c r="C884" t="s">
        <v>18</v>
      </c>
      <c r="D884" t="s">
        <v>19</v>
      </c>
      <c r="E884">
        <v>1.52</v>
      </c>
      <c r="F884">
        <v>4.13</v>
      </c>
      <c r="G884" s="8">
        <f t="shared" si="13"/>
        <v>22.082324455205811</v>
      </c>
    </row>
    <row r="885" spans="1:7" x14ac:dyDescent="0.25">
      <c r="A885" s="5">
        <v>45806.6875</v>
      </c>
      <c r="B885">
        <v>14</v>
      </c>
      <c r="C885" t="s">
        <v>19</v>
      </c>
      <c r="D885" t="s">
        <v>20</v>
      </c>
      <c r="E885">
        <v>1.51</v>
      </c>
      <c r="F885">
        <v>4.37</v>
      </c>
      <c r="G885" s="8">
        <f t="shared" si="13"/>
        <v>20.732265446224254</v>
      </c>
    </row>
    <row r="886" spans="1:7" x14ac:dyDescent="0.25">
      <c r="A886" s="5">
        <v>45806.6875</v>
      </c>
      <c r="B886">
        <v>15</v>
      </c>
      <c r="C886" t="s">
        <v>20</v>
      </c>
      <c r="D886" t="s">
        <v>21</v>
      </c>
      <c r="E886">
        <v>1.47</v>
      </c>
      <c r="F886">
        <v>2.72</v>
      </c>
      <c r="G886" s="8">
        <f t="shared" si="13"/>
        <v>32.42647058823529</v>
      </c>
    </row>
    <row r="887" spans="1:7" x14ac:dyDescent="0.25">
      <c r="A887" s="5">
        <v>45806.6875</v>
      </c>
      <c r="B887">
        <v>16</v>
      </c>
      <c r="C887" t="s">
        <v>21</v>
      </c>
      <c r="D887" t="s">
        <v>22</v>
      </c>
      <c r="E887">
        <v>1.5</v>
      </c>
      <c r="F887">
        <v>1.93</v>
      </c>
      <c r="G887" s="8">
        <f t="shared" si="13"/>
        <v>46.632124352331608</v>
      </c>
    </row>
    <row r="888" spans="1:7" x14ac:dyDescent="0.25">
      <c r="A888" s="5">
        <v>45806.6875</v>
      </c>
      <c r="B888">
        <v>17</v>
      </c>
      <c r="C888" t="s">
        <v>22</v>
      </c>
      <c r="D888" t="s">
        <v>23</v>
      </c>
      <c r="E888">
        <v>1.51</v>
      </c>
      <c r="F888">
        <v>3.47</v>
      </c>
      <c r="G888" s="8">
        <f t="shared" si="13"/>
        <v>26.109510086455327</v>
      </c>
    </row>
    <row r="889" spans="1:7" x14ac:dyDescent="0.25">
      <c r="A889" s="5">
        <v>45806.6875</v>
      </c>
      <c r="B889">
        <v>18</v>
      </c>
      <c r="C889" t="s">
        <v>23</v>
      </c>
      <c r="D889" t="s">
        <v>24</v>
      </c>
      <c r="E889">
        <v>1.51</v>
      </c>
      <c r="F889">
        <v>3.8</v>
      </c>
      <c r="G889" s="8">
        <f t="shared" si="13"/>
        <v>23.842105263157894</v>
      </c>
    </row>
    <row r="890" spans="1:7" x14ac:dyDescent="0.25">
      <c r="A890" s="5">
        <v>45806.6875</v>
      </c>
      <c r="B890">
        <v>19</v>
      </c>
      <c r="C890" t="s">
        <v>25</v>
      </c>
      <c r="D890" t="s">
        <v>26</v>
      </c>
      <c r="E890">
        <v>1.5</v>
      </c>
      <c r="F890">
        <v>4.03</v>
      </c>
      <c r="G890" s="8">
        <f t="shared" si="13"/>
        <v>22.332506203473944</v>
      </c>
    </row>
    <row r="891" spans="1:7" x14ac:dyDescent="0.25">
      <c r="A891" s="5">
        <v>45806.6875</v>
      </c>
      <c r="B891">
        <v>20</v>
      </c>
      <c r="C891" t="s">
        <v>26</v>
      </c>
      <c r="D891" t="s">
        <v>27</v>
      </c>
      <c r="E891">
        <v>1.48</v>
      </c>
      <c r="F891">
        <v>3.78</v>
      </c>
      <c r="G891" s="8">
        <f t="shared" si="13"/>
        <v>23.492063492063494</v>
      </c>
    </row>
    <row r="892" spans="1:7" x14ac:dyDescent="0.25">
      <c r="A892" s="5">
        <v>45806.6875</v>
      </c>
      <c r="B892">
        <v>21</v>
      </c>
      <c r="C892" t="s">
        <v>27</v>
      </c>
      <c r="D892" t="s">
        <v>28</v>
      </c>
      <c r="E892">
        <v>1.51</v>
      </c>
      <c r="F892">
        <v>3.75</v>
      </c>
      <c r="G892" s="8">
        <f t="shared" si="13"/>
        <v>24.16</v>
      </c>
    </row>
    <row r="893" spans="1:7" x14ac:dyDescent="0.25">
      <c r="A893" s="5">
        <v>45806.6875</v>
      </c>
      <c r="B893">
        <v>22</v>
      </c>
      <c r="C893" t="s">
        <v>28</v>
      </c>
      <c r="D893" t="s">
        <v>29</v>
      </c>
      <c r="E893">
        <v>1.57</v>
      </c>
      <c r="F893">
        <v>3.88</v>
      </c>
      <c r="G893" s="8">
        <f t="shared" si="13"/>
        <v>24.27835051546392</v>
      </c>
    </row>
    <row r="894" spans="1:7" x14ac:dyDescent="0.25">
      <c r="A894" s="5">
        <v>45806.6875</v>
      </c>
      <c r="B894">
        <v>23</v>
      </c>
      <c r="C894" t="s">
        <v>29</v>
      </c>
      <c r="D894" t="s">
        <v>30</v>
      </c>
      <c r="E894">
        <v>1.43</v>
      </c>
      <c r="F894">
        <v>4.87</v>
      </c>
      <c r="G894" s="8">
        <f t="shared" si="13"/>
        <v>17.618069815195071</v>
      </c>
    </row>
    <row r="895" spans="1:7" x14ac:dyDescent="0.25">
      <c r="A895" s="5">
        <v>45806.6875</v>
      </c>
      <c r="B895">
        <v>24</v>
      </c>
      <c r="C895" t="s">
        <v>30</v>
      </c>
      <c r="D895" t="s">
        <v>31</v>
      </c>
      <c r="E895">
        <v>1.52</v>
      </c>
      <c r="F895">
        <v>3.93</v>
      </c>
      <c r="G895" s="8">
        <f t="shared" si="13"/>
        <v>23.206106870229007</v>
      </c>
    </row>
    <row r="896" spans="1:7" x14ac:dyDescent="0.25">
      <c r="A896" s="5">
        <v>45806.6875</v>
      </c>
      <c r="B896">
        <v>25</v>
      </c>
      <c r="C896" t="s">
        <v>31</v>
      </c>
      <c r="D896" t="s">
        <v>32</v>
      </c>
      <c r="E896">
        <v>1.52</v>
      </c>
      <c r="F896">
        <v>3.77</v>
      </c>
      <c r="G896" s="8">
        <f t="shared" si="13"/>
        <v>24.190981432360743</v>
      </c>
    </row>
    <row r="897" spans="1:7" x14ac:dyDescent="0.25">
      <c r="A897" s="5">
        <v>45806.6875</v>
      </c>
      <c r="B897">
        <v>26</v>
      </c>
      <c r="C897" t="s">
        <v>32</v>
      </c>
      <c r="D897" t="s">
        <v>33</v>
      </c>
      <c r="E897">
        <v>1.49</v>
      </c>
      <c r="F897">
        <v>6.13</v>
      </c>
      <c r="G897" s="8">
        <f t="shared" si="13"/>
        <v>14.584013050570963</v>
      </c>
    </row>
    <row r="898" spans="1:7" x14ac:dyDescent="0.25">
      <c r="A898" s="5">
        <v>45806.6875</v>
      </c>
      <c r="B898">
        <v>27</v>
      </c>
      <c r="C898" t="s">
        <v>33</v>
      </c>
      <c r="D898" t="s">
        <v>34</v>
      </c>
      <c r="E898">
        <v>1.53</v>
      </c>
      <c r="F898">
        <v>4.18</v>
      </c>
      <c r="G898" s="8">
        <f t="shared" si="13"/>
        <v>21.96172248803828</v>
      </c>
    </row>
    <row r="899" spans="1:7" x14ac:dyDescent="0.25">
      <c r="A899" s="5">
        <v>45806.6875</v>
      </c>
      <c r="B899">
        <v>28</v>
      </c>
      <c r="C899" t="s">
        <v>34</v>
      </c>
      <c r="D899" t="s">
        <v>35</v>
      </c>
      <c r="E899">
        <v>1.51</v>
      </c>
      <c r="F899">
        <v>4.63</v>
      </c>
      <c r="G899" s="8">
        <f t="shared" ref="G899:G962" si="14">E899*60/F899</f>
        <v>19.568034557235421</v>
      </c>
    </row>
    <row r="900" spans="1:7" x14ac:dyDescent="0.25">
      <c r="A900" s="5">
        <v>45806.6875</v>
      </c>
      <c r="B900">
        <v>29</v>
      </c>
      <c r="C900" t="s">
        <v>36</v>
      </c>
      <c r="D900" t="s">
        <v>37</v>
      </c>
      <c r="E900">
        <v>1.57</v>
      </c>
      <c r="F900">
        <v>4.3499999999999996</v>
      </c>
      <c r="G900" s="8">
        <f t="shared" si="14"/>
        <v>21.655172413793107</v>
      </c>
    </row>
    <row r="901" spans="1:7" x14ac:dyDescent="0.25">
      <c r="A901" s="5">
        <v>45806.6875</v>
      </c>
      <c r="B901">
        <v>30</v>
      </c>
      <c r="C901" t="s">
        <v>37</v>
      </c>
      <c r="D901" t="s">
        <v>38</v>
      </c>
      <c r="E901">
        <v>1.57</v>
      </c>
      <c r="F901">
        <v>4.75</v>
      </c>
      <c r="G901" s="8">
        <f t="shared" si="14"/>
        <v>19.831578947368421</v>
      </c>
    </row>
    <row r="902" spans="1:7" x14ac:dyDescent="0.25">
      <c r="A902" s="5">
        <v>45806.6875</v>
      </c>
      <c r="B902">
        <v>31</v>
      </c>
      <c r="C902" t="s">
        <v>38</v>
      </c>
      <c r="D902" t="s">
        <v>39</v>
      </c>
      <c r="E902">
        <v>1.52</v>
      </c>
      <c r="F902">
        <v>2.8</v>
      </c>
      <c r="G902" s="8">
        <f t="shared" si="14"/>
        <v>32.571428571428577</v>
      </c>
    </row>
    <row r="903" spans="1:7" x14ac:dyDescent="0.25">
      <c r="A903" s="5">
        <v>45806.6875</v>
      </c>
      <c r="B903">
        <v>32</v>
      </c>
      <c r="C903" t="s">
        <v>39</v>
      </c>
      <c r="D903" t="s">
        <v>40</v>
      </c>
      <c r="E903">
        <v>1.5</v>
      </c>
      <c r="F903">
        <v>1.9</v>
      </c>
      <c r="G903" s="8">
        <f t="shared" si="14"/>
        <v>47.368421052631582</v>
      </c>
    </row>
    <row r="904" spans="1:7" x14ac:dyDescent="0.25">
      <c r="A904" s="5">
        <v>45806.6875</v>
      </c>
      <c r="B904">
        <v>33</v>
      </c>
      <c r="C904" t="s">
        <v>40</v>
      </c>
      <c r="D904" t="s">
        <v>41</v>
      </c>
      <c r="E904">
        <v>1.51</v>
      </c>
      <c r="F904">
        <v>1.9</v>
      </c>
      <c r="G904" s="8">
        <f t="shared" si="14"/>
        <v>47.684210526315788</v>
      </c>
    </row>
    <row r="905" spans="1:7" x14ac:dyDescent="0.25">
      <c r="A905" s="5">
        <v>45806.6875</v>
      </c>
      <c r="B905">
        <v>34</v>
      </c>
      <c r="C905" t="s">
        <v>41</v>
      </c>
      <c r="D905" t="s">
        <v>42</v>
      </c>
      <c r="E905">
        <v>1.5</v>
      </c>
      <c r="F905">
        <v>1.98</v>
      </c>
      <c r="G905" s="8">
        <f t="shared" si="14"/>
        <v>45.454545454545453</v>
      </c>
    </row>
    <row r="906" spans="1:7" x14ac:dyDescent="0.25">
      <c r="A906" s="5">
        <v>45806.6875</v>
      </c>
      <c r="B906">
        <v>35</v>
      </c>
      <c r="C906" t="s">
        <v>43</v>
      </c>
      <c r="D906" t="s">
        <v>44</v>
      </c>
      <c r="E906">
        <v>1.55</v>
      </c>
      <c r="F906">
        <v>3.73</v>
      </c>
      <c r="G906" s="8">
        <f t="shared" si="14"/>
        <v>24.932975871313673</v>
      </c>
    </row>
    <row r="907" spans="1:7" x14ac:dyDescent="0.25">
      <c r="A907" s="5">
        <v>45806.6875</v>
      </c>
      <c r="B907">
        <v>36</v>
      </c>
      <c r="C907" t="s">
        <v>44</v>
      </c>
      <c r="D907" t="s">
        <v>45</v>
      </c>
      <c r="E907">
        <v>1.5</v>
      </c>
      <c r="F907">
        <v>3.32</v>
      </c>
      <c r="G907" s="8">
        <f t="shared" si="14"/>
        <v>27.108433734939759</v>
      </c>
    </row>
    <row r="908" spans="1:7" x14ac:dyDescent="0.25">
      <c r="A908" s="5">
        <v>45806.6875</v>
      </c>
      <c r="B908">
        <v>37</v>
      </c>
      <c r="C908" t="s">
        <v>45</v>
      </c>
      <c r="D908" t="s">
        <v>46</v>
      </c>
      <c r="E908">
        <v>1.38</v>
      </c>
      <c r="F908">
        <v>4.5199999999999996</v>
      </c>
      <c r="G908" s="8">
        <f t="shared" si="14"/>
        <v>18.318584070796462</v>
      </c>
    </row>
    <row r="909" spans="1:7" x14ac:dyDescent="0.25">
      <c r="A909" s="5">
        <v>45806.6875</v>
      </c>
      <c r="B909">
        <v>38</v>
      </c>
      <c r="C909" t="s">
        <v>46</v>
      </c>
      <c r="D909" t="s">
        <v>47</v>
      </c>
      <c r="E909">
        <v>1.61</v>
      </c>
      <c r="F909">
        <v>4.68</v>
      </c>
      <c r="G909" s="8">
        <f t="shared" si="14"/>
        <v>20.641025641025646</v>
      </c>
    </row>
    <row r="910" spans="1:7" x14ac:dyDescent="0.25">
      <c r="A910" s="5">
        <v>45806.6875</v>
      </c>
      <c r="B910">
        <v>39</v>
      </c>
      <c r="C910" t="s">
        <v>47</v>
      </c>
      <c r="D910" t="s">
        <v>48</v>
      </c>
      <c r="E910">
        <v>1.55</v>
      </c>
      <c r="F910">
        <v>3.82</v>
      </c>
      <c r="G910" s="8">
        <f t="shared" si="14"/>
        <v>24.345549738219898</v>
      </c>
    </row>
    <row r="911" spans="1:7" x14ac:dyDescent="0.25">
      <c r="A911" s="5">
        <v>45806.6875</v>
      </c>
      <c r="B911">
        <v>40</v>
      </c>
      <c r="C911" t="s">
        <v>48</v>
      </c>
      <c r="D911" t="s">
        <v>49</v>
      </c>
      <c r="E911">
        <v>1.39</v>
      </c>
      <c r="F911">
        <v>3.18</v>
      </c>
      <c r="G911" s="8">
        <f t="shared" si="14"/>
        <v>26.226415094339618</v>
      </c>
    </row>
    <row r="912" spans="1:7" x14ac:dyDescent="0.25">
      <c r="A912" s="5">
        <v>45806.6875</v>
      </c>
      <c r="B912">
        <v>41</v>
      </c>
      <c r="C912" t="s">
        <v>50</v>
      </c>
      <c r="D912" t="s">
        <v>51</v>
      </c>
      <c r="E912">
        <v>1.56</v>
      </c>
      <c r="F912">
        <v>4.53</v>
      </c>
      <c r="G912" s="8">
        <f t="shared" si="14"/>
        <v>20.662251655629142</v>
      </c>
    </row>
    <row r="913" spans="1:7" x14ac:dyDescent="0.25">
      <c r="A913" s="5">
        <v>45806.6875</v>
      </c>
      <c r="B913">
        <v>42</v>
      </c>
      <c r="C913" t="s">
        <v>51</v>
      </c>
      <c r="D913" t="s">
        <v>52</v>
      </c>
      <c r="E913">
        <v>1.56</v>
      </c>
      <c r="F913">
        <v>5.0199999999999996</v>
      </c>
      <c r="G913" s="8">
        <f t="shared" si="14"/>
        <v>18.645418326693232</v>
      </c>
    </row>
    <row r="914" spans="1:7" x14ac:dyDescent="0.25">
      <c r="A914" s="5">
        <v>45806.6875</v>
      </c>
      <c r="B914">
        <v>43</v>
      </c>
      <c r="C914" t="s">
        <v>52</v>
      </c>
      <c r="D914" t="s">
        <v>53</v>
      </c>
      <c r="E914">
        <v>1.51</v>
      </c>
      <c r="F914">
        <v>3.87</v>
      </c>
      <c r="G914" s="8">
        <f t="shared" si="14"/>
        <v>23.410852713178294</v>
      </c>
    </row>
    <row r="915" spans="1:7" x14ac:dyDescent="0.25">
      <c r="A915" s="5">
        <v>45806.6875</v>
      </c>
      <c r="B915">
        <v>44</v>
      </c>
      <c r="C915" t="s">
        <v>54</v>
      </c>
      <c r="D915" t="s">
        <v>55</v>
      </c>
      <c r="E915">
        <v>1.51</v>
      </c>
      <c r="F915">
        <v>4.6500000000000004</v>
      </c>
      <c r="G915" s="8">
        <f t="shared" si="14"/>
        <v>19.483870967741932</v>
      </c>
    </row>
    <row r="916" spans="1:7" x14ac:dyDescent="0.25">
      <c r="A916" s="5">
        <v>45806.6875</v>
      </c>
      <c r="B916">
        <v>45</v>
      </c>
      <c r="C916" t="s">
        <v>55</v>
      </c>
      <c r="D916" t="s">
        <v>56</v>
      </c>
      <c r="E916">
        <v>1.49</v>
      </c>
      <c r="F916">
        <v>4</v>
      </c>
      <c r="G916" s="8">
        <f t="shared" si="14"/>
        <v>22.35</v>
      </c>
    </row>
    <row r="917" spans="1:7" x14ac:dyDescent="0.25">
      <c r="A917" s="5">
        <v>45806.6875</v>
      </c>
      <c r="B917">
        <v>46</v>
      </c>
      <c r="C917" t="s">
        <v>56</v>
      </c>
      <c r="D917" t="s">
        <v>57</v>
      </c>
      <c r="E917">
        <v>1.52</v>
      </c>
      <c r="F917">
        <v>4.2</v>
      </c>
      <c r="G917" s="8">
        <f t="shared" si="14"/>
        <v>21.714285714285715</v>
      </c>
    </row>
    <row r="918" spans="1:7" x14ac:dyDescent="0.25">
      <c r="A918" s="5">
        <v>45806.6875</v>
      </c>
      <c r="B918">
        <v>47</v>
      </c>
      <c r="C918" t="s">
        <v>58</v>
      </c>
      <c r="D918" t="s">
        <v>59</v>
      </c>
      <c r="E918">
        <v>1.52</v>
      </c>
      <c r="F918">
        <v>4.67</v>
      </c>
      <c r="G918" s="8">
        <f t="shared" si="14"/>
        <v>19.528907922912207</v>
      </c>
    </row>
    <row r="919" spans="1:7" x14ac:dyDescent="0.25">
      <c r="A919" s="5">
        <v>45806.6875</v>
      </c>
      <c r="B919">
        <v>48</v>
      </c>
      <c r="C919" t="s">
        <v>59</v>
      </c>
      <c r="D919" t="s">
        <v>60</v>
      </c>
      <c r="E919">
        <v>1.5</v>
      </c>
      <c r="F919">
        <v>4.07</v>
      </c>
      <c r="G919" s="8">
        <f t="shared" si="14"/>
        <v>22.113022113022112</v>
      </c>
    </row>
    <row r="920" spans="1:7" x14ac:dyDescent="0.25">
      <c r="A920" s="5">
        <v>45806.6875</v>
      </c>
      <c r="B920">
        <v>49</v>
      </c>
      <c r="C920" t="s">
        <v>60</v>
      </c>
      <c r="D920" t="s">
        <v>61</v>
      </c>
      <c r="E920">
        <v>1.54</v>
      </c>
      <c r="F920">
        <v>4.47</v>
      </c>
      <c r="G920" s="8">
        <f t="shared" si="14"/>
        <v>20.671140939597318</v>
      </c>
    </row>
    <row r="921" spans="1:7" x14ac:dyDescent="0.25">
      <c r="A921" s="5">
        <v>45806.6875</v>
      </c>
      <c r="B921">
        <v>50</v>
      </c>
      <c r="C921" t="s">
        <v>62</v>
      </c>
      <c r="D921" t="s">
        <v>63</v>
      </c>
      <c r="E921">
        <v>1.38</v>
      </c>
      <c r="F921">
        <v>3.47</v>
      </c>
      <c r="G921" s="8">
        <f t="shared" si="14"/>
        <v>23.861671469740632</v>
      </c>
    </row>
    <row r="922" spans="1:7" x14ac:dyDescent="0.25">
      <c r="A922" s="5">
        <v>45806.6875</v>
      </c>
      <c r="B922">
        <v>51</v>
      </c>
      <c r="C922" t="s">
        <v>63</v>
      </c>
      <c r="D922" t="s">
        <v>64</v>
      </c>
      <c r="E922">
        <v>2.79</v>
      </c>
      <c r="F922">
        <v>6.1</v>
      </c>
      <c r="G922" s="8">
        <f t="shared" si="14"/>
        <v>27.442622950819676</v>
      </c>
    </row>
    <row r="923" spans="1:7" x14ac:dyDescent="0.25">
      <c r="A923" s="5">
        <v>45806.6875</v>
      </c>
      <c r="B923">
        <v>52</v>
      </c>
      <c r="C923" t="s">
        <v>64</v>
      </c>
      <c r="D923" t="s">
        <v>65</v>
      </c>
      <c r="E923">
        <v>1.5</v>
      </c>
      <c r="F923">
        <v>2.97</v>
      </c>
      <c r="G923" s="8">
        <f t="shared" si="14"/>
        <v>30.303030303030301</v>
      </c>
    </row>
    <row r="924" spans="1:7" x14ac:dyDescent="0.25">
      <c r="A924" s="5">
        <v>45806.6875</v>
      </c>
      <c r="B924">
        <v>53</v>
      </c>
      <c r="C924" t="s">
        <v>65</v>
      </c>
      <c r="D924" t="s">
        <v>66</v>
      </c>
      <c r="E924">
        <v>1.46</v>
      </c>
      <c r="F924">
        <v>4.13</v>
      </c>
      <c r="G924" s="8">
        <f t="shared" si="14"/>
        <v>21.210653753026634</v>
      </c>
    </row>
    <row r="925" spans="1:7" x14ac:dyDescent="0.25">
      <c r="A925" s="5">
        <v>45806.6875</v>
      </c>
      <c r="B925">
        <v>54</v>
      </c>
      <c r="C925" t="s">
        <v>67</v>
      </c>
      <c r="D925" t="s">
        <v>68</v>
      </c>
      <c r="E925">
        <v>1.46</v>
      </c>
      <c r="F925">
        <v>3.5</v>
      </c>
      <c r="G925" s="8">
        <f t="shared" si="14"/>
        <v>25.028571428571428</v>
      </c>
    </row>
    <row r="926" spans="1:7" x14ac:dyDescent="0.25">
      <c r="A926" s="5">
        <v>45806.6875</v>
      </c>
      <c r="B926">
        <v>55</v>
      </c>
      <c r="C926" t="s">
        <v>68</v>
      </c>
      <c r="D926" t="s">
        <v>69</v>
      </c>
      <c r="E926">
        <v>1.97</v>
      </c>
      <c r="F926">
        <v>7.22</v>
      </c>
      <c r="G926" s="8">
        <f t="shared" si="14"/>
        <v>16.371191135734072</v>
      </c>
    </row>
    <row r="927" spans="1:7" x14ac:dyDescent="0.25">
      <c r="A927" s="5">
        <v>45806.6875</v>
      </c>
      <c r="B927">
        <v>56</v>
      </c>
      <c r="C927" t="s">
        <v>70</v>
      </c>
      <c r="D927" t="s">
        <v>71</v>
      </c>
      <c r="E927">
        <v>1.51</v>
      </c>
      <c r="F927">
        <v>4.8</v>
      </c>
      <c r="G927" s="8">
        <f t="shared" si="14"/>
        <v>18.875</v>
      </c>
    </row>
    <row r="928" spans="1:7" x14ac:dyDescent="0.25">
      <c r="A928" s="5">
        <v>45806.6875</v>
      </c>
      <c r="B928">
        <v>57</v>
      </c>
      <c r="C928" t="s">
        <v>71</v>
      </c>
      <c r="D928" t="s">
        <v>72</v>
      </c>
      <c r="E928">
        <v>1.52</v>
      </c>
      <c r="F928">
        <v>4.9000000000000004</v>
      </c>
      <c r="G928" s="8">
        <f t="shared" si="14"/>
        <v>18.612244897959183</v>
      </c>
    </row>
    <row r="929" spans="1:7" x14ac:dyDescent="0.25">
      <c r="A929" s="5">
        <v>45806.6875</v>
      </c>
      <c r="B929">
        <v>58</v>
      </c>
      <c r="C929" t="s">
        <v>72</v>
      </c>
      <c r="D929" t="s">
        <v>73</v>
      </c>
      <c r="E929">
        <v>1.5</v>
      </c>
      <c r="F929">
        <v>4.45</v>
      </c>
      <c r="G929" s="8">
        <f t="shared" si="14"/>
        <v>20.224719101123593</v>
      </c>
    </row>
    <row r="930" spans="1:7" x14ac:dyDescent="0.25">
      <c r="A930" s="5">
        <v>45806.697916666664</v>
      </c>
      <c r="B930">
        <v>1</v>
      </c>
      <c r="C930" t="s">
        <v>6</v>
      </c>
      <c r="D930" t="s">
        <v>7</v>
      </c>
      <c r="E930">
        <v>1.53</v>
      </c>
      <c r="F930">
        <v>3.48</v>
      </c>
      <c r="G930" s="8">
        <f t="shared" si="14"/>
        <v>26.379310344827587</v>
      </c>
    </row>
    <row r="931" spans="1:7" x14ac:dyDescent="0.25">
      <c r="A931" s="5">
        <v>45806.697916666664</v>
      </c>
      <c r="B931">
        <v>2</v>
      </c>
      <c r="C931" t="s">
        <v>7</v>
      </c>
      <c r="D931" t="s">
        <v>8</v>
      </c>
      <c r="E931">
        <v>1.57</v>
      </c>
      <c r="F931">
        <v>5.63</v>
      </c>
      <c r="G931" s="8">
        <f t="shared" si="14"/>
        <v>16.731793960923625</v>
      </c>
    </row>
    <row r="932" spans="1:7" x14ac:dyDescent="0.25">
      <c r="A932" s="5">
        <v>45806.697916666664</v>
      </c>
      <c r="B932">
        <v>3</v>
      </c>
      <c r="C932" t="s">
        <v>8</v>
      </c>
      <c r="D932" t="s">
        <v>9</v>
      </c>
      <c r="E932">
        <v>1.5</v>
      </c>
      <c r="F932">
        <v>3.4</v>
      </c>
      <c r="G932" s="8">
        <f t="shared" si="14"/>
        <v>26.47058823529412</v>
      </c>
    </row>
    <row r="933" spans="1:7" x14ac:dyDescent="0.25">
      <c r="A933" s="5">
        <v>45806.697916666664</v>
      </c>
      <c r="B933">
        <v>4</v>
      </c>
      <c r="C933" t="s">
        <v>9</v>
      </c>
      <c r="D933" t="s">
        <v>10</v>
      </c>
      <c r="E933">
        <v>1.5</v>
      </c>
      <c r="F933">
        <v>3.17</v>
      </c>
      <c r="G933" s="8">
        <f t="shared" si="14"/>
        <v>28.391167192429023</v>
      </c>
    </row>
    <row r="934" spans="1:7" x14ac:dyDescent="0.25">
      <c r="A934" s="5">
        <v>45806.697916666664</v>
      </c>
      <c r="B934">
        <v>5</v>
      </c>
      <c r="C934" t="s">
        <v>10</v>
      </c>
      <c r="D934" t="s">
        <v>11</v>
      </c>
      <c r="E934">
        <v>1.52</v>
      </c>
      <c r="F934">
        <v>3.87</v>
      </c>
      <c r="G934" s="8">
        <f t="shared" si="14"/>
        <v>23.565891472868216</v>
      </c>
    </row>
    <row r="935" spans="1:7" x14ac:dyDescent="0.25">
      <c r="A935" s="5">
        <v>45806.697916666664</v>
      </c>
      <c r="B935">
        <v>6</v>
      </c>
      <c r="C935" t="s">
        <v>11</v>
      </c>
      <c r="D935" t="s">
        <v>12</v>
      </c>
      <c r="E935">
        <v>1.5</v>
      </c>
      <c r="F935">
        <v>2.85</v>
      </c>
      <c r="G935" s="8">
        <f t="shared" si="14"/>
        <v>31.578947368421051</v>
      </c>
    </row>
    <row r="936" spans="1:7" x14ac:dyDescent="0.25">
      <c r="A936" s="5">
        <v>45806.697916666664</v>
      </c>
      <c r="B936">
        <v>7</v>
      </c>
      <c r="C936" t="s">
        <v>12</v>
      </c>
      <c r="D936" t="s">
        <v>13</v>
      </c>
      <c r="E936">
        <v>1.54</v>
      </c>
      <c r="F936">
        <v>2.78</v>
      </c>
      <c r="G936" s="8">
        <f t="shared" si="14"/>
        <v>33.237410071942449</v>
      </c>
    </row>
    <row r="937" spans="1:7" x14ac:dyDescent="0.25">
      <c r="A937" s="5">
        <v>45806.697916666664</v>
      </c>
      <c r="B937">
        <v>8</v>
      </c>
      <c r="C937" t="s">
        <v>13</v>
      </c>
      <c r="D937" t="s">
        <v>14</v>
      </c>
      <c r="E937">
        <v>1.54</v>
      </c>
      <c r="F937">
        <v>3.35</v>
      </c>
      <c r="G937" s="8">
        <f t="shared" si="14"/>
        <v>27.582089552238806</v>
      </c>
    </row>
    <row r="938" spans="1:7" x14ac:dyDescent="0.25">
      <c r="A938" s="5">
        <v>45806.697916666664</v>
      </c>
      <c r="B938">
        <v>9</v>
      </c>
      <c r="C938" t="s">
        <v>14</v>
      </c>
      <c r="D938" t="s">
        <v>15</v>
      </c>
      <c r="E938">
        <v>1.52</v>
      </c>
      <c r="F938">
        <v>3.75</v>
      </c>
      <c r="G938" s="8">
        <f t="shared" si="14"/>
        <v>24.32</v>
      </c>
    </row>
    <row r="939" spans="1:7" x14ac:dyDescent="0.25">
      <c r="A939" s="5">
        <v>45806.697916666664</v>
      </c>
      <c r="B939">
        <v>10</v>
      </c>
      <c r="C939" t="s">
        <v>15</v>
      </c>
      <c r="D939" t="s">
        <v>16</v>
      </c>
      <c r="E939">
        <v>1.5</v>
      </c>
      <c r="F939">
        <v>4.37</v>
      </c>
      <c r="G939" s="8">
        <f t="shared" si="14"/>
        <v>20.594965675057207</v>
      </c>
    </row>
    <row r="940" spans="1:7" x14ac:dyDescent="0.25">
      <c r="A940" s="5">
        <v>45806.697916666664</v>
      </c>
      <c r="B940">
        <v>11</v>
      </c>
      <c r="C940" t="s">
        <v>16</v>
      </c>
      <c r="D940" t="s">
        <v>17</v>
      </c>
      <c r="E940">
        <v>1.48</v>
      </c>
      <c r="F940">
        <v>2.93</v>
      </c>
      <c r="G940" s="8">
        <f t="shared" si="14"/>
        <v>30.307167235494877</v>
      </c>
    </row>
    <row r="941" spans="1:7" x14ac:dyDescent="0.25">
      <c r="A941" s="5">
        <v>45806.697916666664</v>
      </c>
      <c r="B941">
        <v>12</v>
      </c>
      <c r="C941" t="s">
        <v>17</v>
      </c>
      <c r="D941" t="s">
        <v>18</v>
      </c>
      <c r="E941">
        <v>1.46</v>
      </c>
      <c r="F941">
        <v>4.28</v>
      </c>
      <c r="G941" s="8">
        <f t="shared" si="14"/>
        <v>20.467289719626166</v>
      </c>
    </row>
    <row r="942" spans="1:7" x14ac:dyDescent="0.25">
      <c r="A942" s="5">
        <v>45806.697916666664</v>
      </c>
      <c r="B942">
        <v>13</v>
      </c>
      <c r="C942" t="s">
        <v>18</v>
      </c>
      <c r="D942" t="s">
        <v>19</v>
      </c>
      <c r="E942">
        <v>1.52</v>
      </c>
      <c r="F942">
        <v>4.7699999999999996</v>
      </c>
      <c r="G942" s="8">
        <f t="shared" si="14"/>
        <v>19.119496855345915</v>
      </c>
    </row>
    <row r="943" spans="1:7" x14ac:dyDescent="0.25">
      <c r="A943" s="5">
        <v>45806.697916666664</v>
      </c>
      <c r="B943">
        <v>14</v>
      </c>
      <c r="C943" t="s">
        <v>19</v>
      </c>
      <c r="D943" t="s">
        <v>20</v>
      </c>
      <c r="E943">
        <v>1.51</v>
      </c>
      <c r="F943">
        <v>4.3</v>
      </c>
      <c r="G943" s="8">
        <f t="shared" si="14"/>
        <v>21.069767441860463</v>
      </c>
    </row>
    <row r="944" spans="1:7" x14ac:dyDescent="0.25">
      <c r="A944" s="5">
        <v>45806.697916666664</v>
      </c>
      <c r="B944">
        <v>15</v>
      </c>
      <c r="C944" t="s">
        <v>20</v>
      </c>
      <c r="D944" t="s">
        <v>21</v>
      </c>
      <c r="E944">
        <v>1.47</v>
      </c>
      <c r="F944">
        <v>2.98</v>
      </c>
      <c r="G944" s="8">
        <f t="shared" si="14"/>
        <v>29.597315436241612</v>
      </c>
    </row>
    <row r="945" spans="1:7" x14ac:dyDescent="0.25">
      <c r="A945" s="5">
        <v>45806.697916666664</v>
      </c>
      <c r="B945">
        <v>16</v>
      </c>
      <c r="C945" t="s">
        <v>21</v>
      </c>
      <c r="D945" t="s">
        <v>22</v>
      </c>
      <c r="E945">
        <v>1.5</v>
      </c>
      <c r="F945">
        <v>2.2999999999999998</v>
      </c>
      <c r="G945" s="8">
        <f t="shared" si="14"/>
        <v>39.130434782608695</v>
      </c>
    </row>
    <row r="946" spans="1:7" x14ac:dyDescent="0.25">
      <c r="A946" s="5">
        <v>45806.697916666664</v>
      </c>
      <c r="B946">
        <v>17</v>
      </c>
      <c r="C946" t="s">
        <v>22</v>
      </c>
      <c r="D946" t="s">
        <v>23</v>
      </c>
      <c r="E946">
        <v>1.51</v>
      </c>
      <c r="F946">
        <v>3.93</v>
      </c>
      <c r="G946" s="8">
        <f t="shared" si="14"/>
        <v>23.053435114503813</v>
      </c>
    </row>
    <row r="947" spans="1:7" x14ac:dyDescent="0.25">
      <c r="A947" s="5">
        <v>45806.697916666664</v>
      </c>
      <c r="B947">
        <v>18</v>
      </c>
      <c r="C947" t="s">
        <v>23</v>
      </c>
      <c r="D947" t="s">
        <v>24</v>
      </c>
      <c r="E947">
        <v>1.51</v>
      </c>
      <c r="F947">
        <v>3.73</v>
      </c>
      <c r="G947" s="8">
        <f t="shared" si="14"/>
        <v>24.289544235924932</v>
      </c>
    </row>
    <row r="948" spans="1:7" x14ac:dyDescent="0.25">
      <c r="A948" s="5">
        <v>45806.697916666664</v>
      </c>
      <c r="B948">
        <v>19</v>
      </c>
      <c r="C948" t="s">
        <v>25</v>
      </c>
      <c r="D948" t="s">
        <v>26</v>
      </c>
      <c r="E948">
        <v>1.5</v>
      </c>
      <c r="F948">
        <v>3.98</v>
      </c>
      <c r="G948" s="8">
        <f t="shared" si="14"/>
        <v>22.613065326633166</v>
      </c>
    </row>
    <row r="949" spans="1:7" x14ac:dyDescent="0.25">
      <c r="A949" s="5">
        <v>45806.697916666664</v>
      </c>
      <c r="B949">
        <v>20</v>
      </c>
      <c r="C949" t="s">
        <v>26</v>
      </c>
      <c r="D949" t="s">
        <v>27</v>
      </c>
      <c r="E949">
        <v>1.48</v>
      </c>
      <c r="F949">
        <v>4</v>
      </c>
      <c r="G949" s="8">
        <f t="shared" si="14"/>
        <v>22.2</v>
      </c>
    </row>
    <row r="950" spans="1:7" x14ac:dyDescent="0.25">
      <c r="A950" s="5">
        <v>45806.697916666664</v>
      </c>
      <c r="B950">
        <v>21</v>
      </c>
      <c r="C950" t="s">
        <v>27</v>
      </c>
      <c r="D950" t="s">
        <v>28</v>
      </c>
      <c r="E950">
        <v>1.51</v>
      </c>
      <c r="F950">
        <v>4.17</v>
      </c>
      <c r="G950" s="8">
        <f t="shared" si="14"/>
        <v>21.726618705035971</v>
      </c>
    </row>
    <row r="951" spans="1:7" x14ac:dyDescent="0.25">
      <c r="A951" s="5">
        <v>45806.697916666664</v>
      </c>
      <c r="B951">
        <v>22</v>
      </c>
      <c r="C951" t="s">
        <v>28</v>
      </c>
      <c r="D951" t="s">
        <v>29</v>
      </c>
      <c r="E951">
        <v>1.57</v>
      </c>
      <c r="F951">
        <v>3.87</v>
      </c>
      <c r="G951" s="8">
        <f t="shared" si="14"/>
        <v>24.34108527131783</v>
      </c>
    </row>
    <row r="952" spans="1:7" x14ac:dyDescent="0.25">
      <c r="A952" s="5">
        <v>45806.697916666664</v>
      </c>
      <c r="B952">
        <v>23</v>
      </c>
      <c r="C952" t="s">
        <v>29</v>
      </c>
      <c r="D952" t="s">
        <v>30</v>
      </c>
      <c r="E952">
        <v>1.43</v>
      </c>
      <c r="F952">
        <v>4.9000000000000004</v>
      </c>
      <c r="G952" s="8">
        <f t="shared" si="14"/>
        <v>17.510204081632651</v>
      </c>
    </row>
    <row r="953" spans="1:7" x14ac:dyDescent="0.25">
      <c r="A953" s="5">
        <v>45806.697916666664</v>
      </c>
      <c r="B953">
        <v>24</v>
      </c>
      <c r="C953" t="s">
        <v>30</v>
      </c>
      <c r="D953" t="s">
        <v>31</v>
      </c>
      <c r="E953">
        <v>1.52</v>
      </c>
      <c r="F953">
        <v>4.25</v>
      </c>
      <c r="G953" s="8">
        <f t="shared" si="14"/>
        <v>21.458823529411767</v>
      </c>
    </row>
    <row r="954" spans="1:7" x14ac:dyDescent="0.25">
      <c r="A954" s="5">
        <v>45806.697916666664</v>
      </c>
      <c r="B954">
        <v>25</v>
      </c>
      <c r="C954" t="s">
        <v>31</v>
      </c>
      <c r="D954" t="s">
        <v>32</v>
      </c>
      <c r="E954">
        <v>1.52</v>
      </c>
      <c r="F954">
        <v>3.85</v>
      </c>
      <c r="G954" s="8">
        <f t="shared" si="14"/>
        <v>23.688311688311689</v>
      </c>
    </row>
    <row r="955" spans="1:7" x14ac:dyDescent="0.25">
      <c r="A955" s="5">
        <v>45806.697916666664</v>
      </c>
      <c r="B955">
        <v>26</v>
      </c>
      <c r="C955" t="s">
        <v>32</v>
      </c>
      <c r="D955" t="s">
        <v>33</v>
      </c>
      <c r="E955">
        <v>1.49</v>
      </c>
      <c r="F955">
        <v>9.9700000000000006</v>
      </c>
      <c r="G955" s="8">
        <f t="shared" si="14"/>
        <v>8.9669007021063187</v>
      </c>
    </row>
    <row r="956" spans="1:7" x14ac:dyDescent="0.25">
      <c r="A956" s="5">
        <v>45806.697916666664</v>
      </c>
      <c r="B956">
        <v>27</v>
      </c>
      <c r="C956" t="s">
        <v>33</v>
      </c>
      <c r="D956" t="s">
        <v>34</v>
      </c>
      <c r="E956">
        <v>1.53</v>
      </c>
      <c r="F956">
        <v>3.72</v>
      </c>
      <c r="G956" s="8">
        <f t="shared" si="14"/>
        <v>24.677419354838708</v>
      </c>
    </row>
    <row r="957" spans="1:7" x14ac:dyDescent="0.25">
      <c r="A957" s="5">
        <v>45806.697916666664</v>
      </c>
      <c r="B957">
        <v>28</v>
      </c>
      <c r="C957" t="s">
        <v>34</v>
      </c>
      <c r="D957" t="s">
        <v>35</v>
      </c>
      <c r="E957">
        <v>1.51</v>
      </c>
      <c r="F957">
        <v>4.42</v>
      </c>
      <c r="G957" s="8">
        <f t="shared" si="14"/>
        <v>20.497737556561084</v>
      </c>
    </row>
    <row r="958" spans="1:7" x14ac:dyDescent="0.25">
      <c r="A958" s="5">
        <v>45806.697916666664</v>
      </c>
      <c r="B958">
        <v>29</v>
      </c>
      <c r="C958" t="s">
        <v>36</v>
      </c>
      <c r="D958" t="s">
        <v>37</v>
      </c>
      <c r="E958">
        <v>1.57</v>
      </c>
      <c r="F958">
        <v>4.5</v>
      </c>
      <c r="G958" s="8">
        <f t="shared" si="14"/>
        <v>20.933333333333334</v>
      </c>
    </row>
    <row r="959" spans="1:7" x14ac:dyDescent="0.25">
      <c r="A959" s="5">
        <v>45806.697916666664</v>
      </c>
      <c r="B959">
        <v>30</v>
      </c>
      <c r="C959" t="s">
        <v>37</v>
      </c>
      <c r="D959" t="s">
        <v>38</v>
      </c>
      <c r="E959">
        <v>1.57</v>
      </c>
      <c r="F959">
        <v>4.5199999999999996</v>
      </c>
      <c r="G959" s="8">
        <f t="shared" si="14"/>
        <v>20.840707964601773</v>
      </c>
    </row>
    <row r="960" spans="1:7" x14ac:dyDescent="0.25">
      <c r="A960" s="5">
        <v>45806.697916666664</v>
      </c>
      <c r="B960">
        <v>31</v>
      </c>
      <c r="C960" t="s">
        <v>38</v>
      </c>
      <c r="D960" t="s">
        <v>39</v>
      </c>
      <c r="E960">
        <v>1.52</v>
      </c>
      <c r="F960">
        <v>3.47</v>
      </c>
      <c r="G960" s="8">
        <f t="shared" si="14"/>
        <v>26.282420749279538</v>
      </c>
    </row>
    <row r="961" spans="1:7" x14ac:dyDescent="0.25">
      <c r="A961" s="5">
        <v>45806.697916666664</v>
      </c>
      <c r="B961">
        <v>32</v>
      </c>
      <c r="C961" t="s">
        <v>39</v>
      </c>
      <c r="D961" t="s">
        <v>40</v>
      </c>
      <c r="E961">
        <v>1.5</v>
      </c>
      <c r="F961">
        <v>2.13</v>
      </c>
      <c r="G961" s="8">
        <f t="shared" si="14"/>
        <v>42.253521126760567</v>
      </c>
    </row>
    <row r="962" spans="1:7" x14ac:dyDescent="0.25">
      <c r="A962" s="5">
        <v>45806.697916666664</v>
      </c>
      <c r="B962">
        <v>33</v>
      </c>
      <c r="C962" t="s">
        <v>40</v>
      </c>
      <c r="D962" t="s">
        <v>41</v>
      </c>
      <c r="E962">
        <v>1.51</v>
      </c>
      <c r="F962">
        <v>2.2000000000000002</v>
      </c>
      <c r="G962" s="8">
        <f t="shared" si="14"/>
        <v>41.181818181818173</v>
      </c>
    </row>
    <row r="963" spans="1:7" x14ac:dyDescent="0.25">
      <c r="A963" s="5">
        <v>45806.697916666664</v>
      </c>
      <c r="B963">
        <v>34</v>
      </c>
      <c r="C963" t="s">
        <v>41</v>
      </c>
      <c r="D963" t="s">
        <v>42</v>
      </c>
      <c r="E963">
        <v>1.5</v>
      </c>
      <c r="F963">
        <v>1.98</v>
      </c>
      <c r="G963" s="8">
        <f t="shared" ref="G963:G1026" si="15">E963*60/F963</f>
        <v>45.454545454545453</v>
      </c>
    </row>
    <row r="964" spans="1:7" x14ac:dyDescent="0.25">
      <c r="A964" s="5">
        <v>45806.697916666664</v>
      </c>
      <c r="B964">
        <v>35</v>
      </c>
      <c r="C964" t="s">
        <v>43</v>
      </c>
      <c r="D964" t="s">
        <v>44</v>
      </c>
      <c r="E964">
        <v>1.55</v>
      </c>
      <c r="F964">
        <v>4</v>
      </c>
      <c r="G964" s="8">
        <f t="shared" si="15"/>
        <v>23.25</v>
      </c>
    </row>
    <row r="965" spans="1:7" x14ac:dyDescent="0.25">
      <c r="A965" s="5">
        <v>45806.697916666664</v>
      </c>
      <c r="B965">
        <v>36</v>
      </c>
      <c r="C965" t="s">
        <v>44</v>
      </c>
      <c r="D965" t="s">
        <v>45</v>
      </c>
      <c r="E965">
        <v>1.5</v>
      </c>
      <c r="F965">
        <v>3.38</v>
      </c>
      <c r="G965" s="8">
        <f t="shared" si="15"/>
        <v>26.627218934911244</v>
      </c>
    </row>
    <row r="966" spans="1:7" x14ac:dyDescent="0.25">
      <c r="A966" s="5">
        <v>45806.697916666664</v>
      </c>
      <c r="B966">
        <v>37</v>
      </c>
      <c r="C966" t="s">
        <v>45</v>
      </c>
      <c r="D966" t="s">
        <v>46</v>
      </c>
      <c r="E966">
        <v>1.38</v>
      </c>
      <c r="F966">
        <v>5.2</v>
      </c>
      <c r="G966" s="8">
        <f t="shared" si="15"/>
        <v>15.923076923076922</v>
      </c>
    </row>
    <row r="967" spans="1:7" x14ac:dyDescent="0.25">
      <c r="A967" s="5">
        <v>45806.697916666664</v>
      </c>
      <c r="B967">
        <v>38</v>
      </c>
      <c r="C967" t="s">
        <v>46</v>
      </c>
      <c r="D967" t="s">
        <v>47</v>
      </c>
      <c r="E967">
        <v>1.61</v>
      </c>
      <c r="F967">
        <v>4.68</v>
      </c>
      <c r="G967" s="8">
        <f t="shared" si="15"/>
        <v>20.641025641025646</v>
      </c>
    </row>
    <row r="968" spans="1:7" x14ac:dyDescent="0.25">
      <c r="A968" s="5">
        <v>45806.697916666664</v>
      </c>
      <c r="B968">
        <v>39</v>
      </c>
      <c r="C968" t="s">
        <v>47</v>
      </c>
      <c r="D968" t="s">
        <v>48</v>
      </c>
      <c r="E968">
        <v>1.55</v>
      </c>
      <c r="F968">
        <v>3.92</v>
      </c>
      <c r="G968" s="8">
        <f t="shared" si="15"/>
        <v>23.724489795918366</v>
      </c>
    </row>
    <row r="969" spans="1:7" x14ac:dyDescent="0.25">
      <c r="A969" s="5">
        <v>45806.697916666664</v>
      </c>
      <c r="B969">
        <v>40</v>
      </c>
      <c r="C969" t="s">
        <v>48</v>
      </c>
      <c r="D969" t="s">
        <v>49</v>
      </c>
      <c r="E969">
        <v>1.39</v>
      </c>
      <c r="F969">
        <v>3.17</v>
      </c>
      <c r="G969" s="8">
        <f t="shared" si="15"/>
        <v>26.309148264984223</v>
      </c>
    </row>
    <row r="970" spans="1:7" x14ac:dyDescent="0.25">
      <c r="A970" s="5">
        <v>45806.697916666664</v>
      </c>
      <c r="B970">
        <v>41</v>
      </c>
      <c r="C970" t="s">
        <v>50</v>
      </c>
      <c r="D970" t="s">
        <v>51</v>
      </c>
      <c r="E970">
        <v>1.56</v>
      </c>
      <c r="F970">
        <v>5.05</v>
      </c>
      <c r="G970" s="8">
        <f t="shared" si="15"/>
        <v>18.534653465346537</v>
      </c>
    </row>
    <row r="971" spans="1:7" x14ac:dyDescent="0.25">
      <c r="A971" s="5">
        <v>45806.697916666664</v>
      </c>
      <c r="B971">
        <v>42</v>
      </c>
      <c r="C971" t="s">
        <v>51</v>
      </c>
      <c r="D971" t="s">
        <v>52</v>
      </c>
      <c r="E971">
        <v>1.56</v>
      </c>
      <c r="F971">
        <v>5.42</v>
      </c>
      <c r="G971" s="8">
        <f t="shared" si="15"/>
        <v>17.26937269372694</v>
      </c>
    </row>
    <row r="972" spans="1:7" x14ac:dyDescent="0.25">
      <c r="A972" s="5">
        <v>45806.697916666664</v>
      </c>
      <c r="B972">
        <v>43</v>
      </c>
      <c r="C972" t="s">
        <v>52</v>
      </c>
      <c r="D972" t="s">
        <v>53</v>
      </c>
      <c r="E972">
        <v>1.51</v>
      </c>
      <c r="F972">
        <v>3.98</v>
      </c>
      <c r="G972" s="8">
        <f t="shared" si="15"/>
        <v>22.763819095477384</v>
      </c>
    </row>
    <row r="973" spans="1:7" x14ac:dyDescent="0.25">
      <c r="A973" s="5">
        <v>45806.697916666664</v>
      </c>
      <c r="B973">
        <v>44</v>
      </c>
      <c r="C973" t="s">
        <v>54</v>
      </c>
      <c r="D973" t="s">
        <v>55</v>
      </c>
      <c r="E973">
        <v>1.51</v>
      </c>
      <c r="F973">
        <v>4.78</v>
      </c>
      <c r="G973" s="8">
        <f t="shared" si="15"/>
        <v>18.953974895397486</v>
      </c>
    </row>
    <row r="974" spans="1:7" x14ac:dyDescent="0.25">
      <c r="A974" s="5">
        <v>45806.697916666664</v>
      </c>
      <c r="B974">
        <v>45</v>
      </c>
      <c r="C974" t="s">
        <v>55</v>
      </c>
      <c r="D974" t="s">
        <v>56</v>
      </c>
      <c r="E974">
        <v>1.49</v>
      </c>
      <c r="F974">
        <v>4.0199999999999996</v>
      </c>
      <c r="G974" s="8">
        <f t="shared" si="15"/>
        <v>22.238805970149258</v>
      </c>
    </row>
    <row r="975" spans="1:7" x14ac:dyDescent="0.25">
      <c r="A975" s="5">
        <v>45806.697916666664</v>
      </c>
      <c r="B975">
        <v>46</v>
      </c>
      <c r="C975" t="s">
        <v>56</v>
      </c>
      <c r="D975" t="s">
        <v>57</v>
      </c>
      <c r="E975">
        <v>1.52</v>
      </c>
      <c r="F975">
        <v>4.03</v>
      </c>
      <c r="G975" s="8">
        <f t="shared" si="15"/>
        <v>22.630272952853598</v>
      </c>
    </row>
    <row r="976" spans="1:7" x14ac:dyDescent="0.25">
      <c r="A976" s="5">
        <v>45806.697916666664</v>
      </c>
      <c r="B976">
        <v>47</v>
      </c>
      <c r="C976" t="s">
        <v>58</v>
      </c>
      <c r="D976" t="s">
        <v>59</v>
      </c>
      <c r="E976">
        <v>1.52</v>
      </c>
      <c r="F976">
        <v>6.07</v>
      </c>
      <c r="G976" s="8">
        <f t="shared" si="15"/>
        <v>15.024711696869851</v>
      </c>
    </row>
    <row r="977" spans="1:7" x14ac:dyDescent="0.25">
      <c r="A977" s="5">
        <v>45806.697916666664</v>
      </c>
      <c r="B977">
        <v>48</v>
      </c>
      <c r="C977" t="s">
        <v>59</v>
      </c>
      <c r="D977" t="s">
        <v>60</v>
      </c>
      <c r="E977">
        <v>1.5</v>
      </c>
      <c r="F977">
        <v>4.5199999999999996</v>
      </c>
      <c r="G977" s="8">
        <f t="shared" si="15"/>
        <v>19.911504424778762</v>
      </c>
    </row>
    <row r="978" spans="1:7" x14ac:dyDescent="0.25">
      <c r="A978" s="5">
        <v>45806.697916666664</v>
      </c>
      <c r="B978">
        <v>49</v>
      </c>
      <c r="C978" t="s">
        <v>60</v>
      </c>
      <c r="D978" t="s">
        <v>61</v>
      </c>
      <c r="E978">
        <v>1.54</v>
      </c>
      <c r="F978">
        <v>4.5999999999999996</v>
      </c>
      <c r="G978" s="8">
        <f t="shared" si="15"/>
        <v>20.086956521739133</v>
      </c>
    </row>
    <row r="979" spans="1:7" x14ac:dyDescent="0.25">
      <c r="A979" s="5">
        <v>45806.697916666664</v>
      </c>
      <c r="B979">
        <v>50</v>
      </c>
      <c r="C979" t="s">
        <v>62</v>
      </c>
      <c r="D979" t="s">
        <v>63</v>
      </c>
      <c r="E979">
        <v>1.38</v>
      </c>
      <c r="F979">
        <v>3.48</v>
      </c>
      <c r="G979" s="8">
        <f t="shared" si="15"/>
        <v>23.793103448275861</v>
      </c>
    </row>
    <row r="980" spans="1:7" x14ac:dyDescent="0.25">
      <c r="A980" s="5">
        <v>45806.697916666664</v>
      </c>
      <c r="B980">
        <v>51</v>
      </c>
      <c r="C980" t="s">
        <v>63</v>
      </c>
      <c r="D980" t="s">
        <v>64</v>
      </c>
      <c r="E980">
        <v>2.79</v>
      </c>
      <c r="F980">
        <v>6.9</v>
      </c>
      <c r="G980" s="8">
        <f t="shared" si="15"/>
        <v>24.260869565217391</v>
      </c>
    </row>
    <row r="981" spans="1:7" x14ac:dyDescent="0.25">
      <c r="A981" s="5">
        <v>45806.697916666664</v>
      </c>
      <c r="B981">
        <v>52</v>
      </c>
      <c r="C981" t="s">
        <v>64</v>
      </c>
      <c r="D981" t="s">
        <v>65</v>
      </c>
      <c r="E981">
        <v>1.5</v>
      </c>
      <c r="F981">
        <v>3.05</v>
      </c>
      <c r="G981" s="8">
        <f t="shared" si="15"/>
        <v>29.508196721311478</v>
      </c>
    </row>
    <row r="982" spans="1:7" x14ac:dyDescent="0.25">
      <c r="A982" s="5">
        <v>45806.697916666664</v>
      </c>
      <c r="B982">
        <v>53</v>
      </c>
      <c r="C982" t="s">
        <v>65</v>
      </c>
      <c r="D982" t="s">
        <v>66</v>
      </c>
      <c r="E982">
        <v>1.46</v>
      </c>
      <c r="F982">
        <v>4.2699999999999996</v>
      </c>
      <c r="G982" s="8">
        <f t="shared" si="15"/>
        <v>20.515222482435597</v>
      </c>
    </row>
    <row r="983" spans="1:7" x14ac:dyDescent="0.25">
      <c r="A983" s="5">
        <v>45806.697916666664</v>
      </c>
      <c r="B983">
        <v>54</v>
      </c>
      <c r="C983" t="s">
        <v>67</v>
      </c>
      <c r="D983" t="s">
        <v>68</v>
      </c>
      <c r="E983">
        <v>1.46</v>
      </c>
      <c r="F983">
        <v>3.4</v>
      </c>
      <c r="G983" s="8">
        <f t="shared" si="15"/>
        <v>25.764705882352938</v>
      </c>
    </row>
    <row r="984" spans="1:7" x14ac:dyDescent="0.25">
      <c r="A984" s="5">
        <v>45806.697916666664</v>
      </c>
      <c r="B984">
        <v>55</v>
      </c>
      <c r="C984" t="s">
        <v>68</v>
      </c>
      <c r="D984" t="s">
        <v>69</v>
      </c>
      <c r="E984">
        <v>1.5</v>
      </c>
      <c r="F984">
        <v>2.38</v>
      </c>
      <c r="G984" s="8">
        <f t="shared" si="15"/>
        <v>37.815126050420169</v>
      </c>
    </row>
    <row r="985" spans="1:7" x14ac:dyDescent="0.25">
      <c r="A985" s="5">
        <v>45806.697916666664</v>
      </c>
      <c r="B985">
        <v>56</v>
      </c>
      <c r="C985" t="s">
        <v>70</v>
      </c>
      <c r="D985" t="s">
        <v>71</v>
      </c>
      <c r="E985">
        <v>1.51</v>
      </c>
      <c r="F985">
        <v>5</v>
      </c>
      <c r="G985" s="8">
        <f t="shared" si="15"/>
        <v>18.119999999999997</v>
      </c>
    </row>
    <row r="986" spans="1:7" x14ac:dyDescent="0.25">
      <c r="A986" s="5">
        <v>45806.697916666664</v>
      </c>
      <c r="B986">
        <v>57</v>
      </c>
      <c r="C986" t="s">
        <v>71</v>
      </c>
      <c r="D986" t="s">
        <v>72</v>
      </c>
      <c r="E986">
        <v>1.52</v>
      </c>
      <c r="F986">
        <v>5.05</v>
      </c>
      <c r="G986" s="8">
        <f t="shared" si="15"/>
        <v>18.059405940594061</v>
      </c>
    </row>
    <row r="987" spans="1:7" x14ac:dyDescent="0.25">
      <c r="A987" s="5">
        <v>45806.697916666664</v>
      </c>
      <c r="B987">
        <v>58</v>
      </c>
      <c r="C987" t="s">
        <v>72</v>
      </c>
      <c r="D987" t="s">
        <v>73</v>
      </c>
      <c r="E987">
        <v>1.5</v>
      </c>
      <c r="F987">
        <v>4.68</v>
      </c>
      <c r="G987" s="8">
        <f t="shared" si="15"/>
        <v>19.230769230769234</v>
      </c>
    </row>
    <row r="988" spans="1:7" x14ac:dyDescent="0.25">
      <c r="A988" s="5">
        <v>45806.708333333336</v>
      </c>
      <c r="B988">
        <v>1</v>
      </c>
      <c r="C988" t="s">
        <v>6</v>
      </c>
      <c r="D988" t="s">
        <v>7</v>
      </c>
      <c r="E988">
        <v>1.53</v>
      </c>
      <c r="F988">
        <v>3.45</v>
      </c>
      <c r="G988" s="8">
        <f t="shared" si="15"/>
        <v>26.60869565217391</v>
      </c>
    </row>
    <row r="989" spans="1:7" x14ac:dyDescent="0.25">
      <c r="A989" s="5">
        <v>45806.708333333336</v>
      </c>
      <c r="B989">
        <v>2</v>
      </c>
      <c r="C989" t="s">
        <v>7</v>
      </c>
      <c r="D989" t="s">
        <v>8</v>
      </c>
      <c r="E989">
        <v>1.57</v>
      </c>
      <c r="F989">
        <v>5.5</v>
      </c>
      <c r="G989" s="8">
        <f t="shared" si="15"/>
        <v>17.127272727272729</v>
      </c>
    </row>
    <row r="990" spans="1:7" x14ac:dyDescent="0.25">
      <c r="A990" s="5">
        <v>45806.708333333336</v>
      </c>
      <c r="B990">
        <v>3</v>
      </c>
      <c r="C990" t="s">
        <v>8</v>
      </c>
      <c r="D990" t="s">
        <v>9</v>
      </c>
      <c r="E990">
        <v>1.5</v>
      </c>
      <c r="F990">
        <v>3.58</v>
      </c>
      <c r="G990" s="8">
        <f t="shared" si="15"/>
        <v>25.139664804469273</v>
      </c>
    </row>
    <row r="991" spans="1:7" x14ac:dyDescent="0.25">
      <c r="A991" s="5">
        <v>45806.708333333336</v>
      </c>
      <c r="B991">
        <v>4</v>
      </c>
      <c r="C991" t="s">
        <v>9</v>
      </c>
      <c r="D991" t="s">
        <v>10</v>
      </c>
      <c r="E991">
        <v>1.5</v>
      </c>
      <c r="F991">
        <v>3.05</v>
      </c>
      <c r="G991" s="8">
        <f t="shared" si="15"/>
        <v>29.508196721311478</v>
      </c>
    </row>
    <row r="992" spans="1:7" x14ac:dyDescent="0.25">
      <c r="A992" s="5">
        <v>45806.708333333336</v>
      </c>
      <c r="B992">
        <v>5</v>
      </c>
      <c r="C992" t="s">
        <v>10</v>
      </c>
      <c r="D992" t="s">
        <v>11</v>
      </c>
      <c r="E992">
        <v>1.52</v>
      </c>
      <c r="F992">
        <v>4.22</v>
      </c>
      <c r="G992" s="8">
        <f t="shared" si="15"/>
        <v>21.611374407582939</v>
      </c>
    </row>
    <row r="993" spans="1:7" x14ac:dyDescent="0.25">
      <c r="A993" s="5">
        <v>45806.708333333336</v>
      </c>
      <c r="B993">
        <v>6</v>
      </c>
      <c r="C993" t="s">
        <v>11</v>
      </c>
      <c r="D993" t="s">
        <v>12</v>
      </c>
      <c r="E993">
        <v>1.5</v>
      </c>
      <c r="F993">
        <v>2.9</v>
      </c>
      <c r="G993" s="8">
        <f t="shared" si="15"/>
        <v>31.03448275862069</v>
      </c>
    </row>
    <row r="994" spans="1:7" x14ac:dyDescent="0.25">
      <c r="A994" s="5">
        <v>45806.708333333336</v>
      </c>
      <c r="B994">
        <v>7</v>
      </c>
      <c r="C994" t="s">
        <v>12</v>
      </c>
      <c r="D994" t="s">
        <v>13</v>
      </c>
      <c r="E994">
        <v>1.54</v>
      </c>
      <c r="F994">
        <v>3</v>
      </c>
      <c r="G994" s="8">
        <f t="shared" si="15"/>
        <v>30.8</v>
      </c>
    </row>
    <row r="995" spans="1:7" x14ac:dyDescent="0.25">
      <c r="A995" s="5">
        <v>45806.708333333336</v>
      </c>
      <c r="B995">
        <v>8</v>
      </c>
      <c r="C995" t="s">
        <v>13</v>
      </c>
      <c r="D995" t="s">
        <v>14</v>
      </c>
      <c r="E995">
        <v>1.54</v>
      </c>
      <c r="F995">
        <v>3.37</v>
      </c>
      <c r="G995" s="8">
        <f t="shared" si="15"/>
        <v>27.41839762611276</v>
      </c>
    </row>
    <row r="996" spans="1:7" x14ac:dyDescent="0.25">
      <c r="A996" s="5">
        <v>45806.708333333336</v>
      </c>
      <c r="B996">
        <v>9</v>
      </c>
      <c r="C996" t="s">
        <v>14</v>
      </c>
      <c r="D996" t="s">
        <v>15</v>
      </c>
      <c r="E996">
        <v>1.52</v>
      </c>
      <c r="F996">
        <v>3.98</v>
      </c>
      <c r="G996" s="8">
        <f t="shared" si="15"/>
        <v>22.91457286432161</v>
      </c>
    </row>
    <row r="997" spans="1:7" x14ac:dyDescent="0.25">
      <c r="A997" s="5">
        <v>45806.708333333336</v>
      </c>
      <c r="B997">
        <v>10</v>
      </c>
      <c r="C997" t="s">
        <v>15</v>
      </c>
      <c r="D997" t="s">
        <v>16</v>
      </c>
      <c r="E997">
        <v>1.5</v>
      </c>
      <c r="F997">
        <v>4.5</v>
      </c>
      <c r="G997" s="8">
        <f t="shared" si="15"/>
        <v>20</v>
      </c>
    </row>
    <row r="998" spans="1:7" x14ac:dyDescent="0.25">
      <c r="A998" s="5">
        <v>45806.708333333336</v>
      </c>
      <c r="B998">
        <v>11</v>
      </c>
      <c r="C998" t="s">
        <v>16</v>
      </c>
      <c r="D998" t="s">
        <v>17</v>
      </c>
      <c r="E998">
        <v>1.48</v>
      </c>
      <c r="F998">
        <v>4.28</v>
      </c>
      <c r="G998" s="8">
        <f t="shared" si="15"/>
        <v>20.747663551401867</v>
      </c>
    </row>
    <row r="999" spans="1:7" x14ac:dyDescent="0.25">
      <c r="A999" s="5">
        <v>45806.708333333336</v>
      </c>
      <c r="B999">
        <v>12</v>
      </c>
      <c r="C999" t="s">
        <v>17</v>
      </c>
      <c r="D999" t="s">
        <v>18</v>
      </c>
      <c r="E999">
        <v>1.46</v>
      </c>
      <c r="F999">
        <v>4.82</v>
      </c>
      <c r="G999" s="8">
        <f t="shared" si="15"/>
        <v>18.174273858921161</v>
      </c>
    </row>
    <row r="1000" spans="1:7" x14ac:dyDescent="0.25">
      <c r="A1000" s="5">
        <v>45806.708333333336</v>
      </c>
      <c r="B1000">
        <v>13</v>
      </c>
      <c r="C1000" t="s">
        <v>18</v>
      </c>
      <c r="D1000" t="s">
        <v>19</v>
      </c>
      <c r="E1000">
        <v>1.52</v>
      </c>
      <c r="F1000">
        <v>5.08</v>
      </c>
      <c r="G1000" s="8">
        <f t="shared" si="15"/>
        <v>17.952755905511811</v>
      </c>
    </row>
    <row r="1001" spans="1:7" x14ac:dyDescent="0.25">
      <c r="A1001" s="5">
        <v>45806.708333333336</v>
      </c>
      <c r="B1001">
        <v>14</v>
      </c>
      <c r="C1001" t="s">
        <v>19</v>
      </c>
      <c r="D1001" t="s">
        <v>20</v>
      </c>
      <c r="E1001">
        <v>1.51</v>
      </c>
      <c r="F1001">
        <v>4.55</v>
      </c>
      <c r="G1001" s="8">
        <f t="shared" si="15"/>
        <v>19.912087912087912</v>
      </c>
    </row>
    <row r="1002" spans="1:7" x14ac:dyDescent="0.25">
      <c r="A1002" s="5">
        <v>45806.708333333336</v>
      </c>
      <c r="B1002">
        <v>15</v>
      </c>
      <c r="C1002" t="s">
        <v>20</v>
      </c>
      <c r="D1002" t="s">
        <v>21</v>
      </c>
      <c r="E1002">
        <v>1.47</v>
      </c>
      <c r="F1002">
        <v>3.13</v>
      </c>
      <c r="G1002" s="8">
        <f t="shared" si="15"/>
        <v>28.178913738019173</v>
      </c>
    </row>
    <row r="1003" spans="1:7" x14ac:dyDescent="0.25">
      <c r="A1003" s="5">
        <v>45806.708333333336</v>
      </c>
      <c r="B1003">
        <v>16</v>
      </c>
      <c r="C1003" t="s">
        <v>21</v>
      </c>
      <c r="D1003" t="s">
        <v>22</v>
      </c>
      <c r="E1003">
        <v>1.5</v>
      </c>
      <c r="F1003">
        <v>2.13</v>
      </c>
      <c r="G1003" s="8">
        <f t="shared" si="15"/>
        <v>42.253521126760567</v>
      </c>
    </row>
    <row r="1004" spans="1:7" x14ac:dyDescent="0.25">
      <c r="A1004" s="5">
        <v>45806.708333333336</v>
      </c>
      <c r="B1004">
        <v>17</v>
      </c>
      <c r="C1004" t="s">
        <v>22</v>
      </c>
      <c r="D1004" t="s">
        <v>23</v>
      </c>
      <c r="E1004">
        <v>1.51</v>
      </c>
      <c r="F1004">
        <v>3.48</v>
      </c>
      <c r="G1004" s="8">
        <f t="shared" si="15"/>
        <v>26.034482758620687</v>
      </c>
    </row>
    <row r="1005" spans="1:7" x14ac:dyDescent="0.25">
      <c r="A1005" s="5">
        <v>45806.708333333336</v>
      </c>
      <c r="B1005">
        <v>18</v>
      </c>
      <c r="C1005" t="s">
        <v>23</v>
      </c>
      <c r="D1005" t="s">
        <v>24</v>
      </c>
      <c r="E1005">
        <v>1.51</v>
      </c>
      <c r="F1005">
        <v>3.62</v>
      </c>
      <c r="G1005" s="8">
        <f t="shared" si="15"/>
        <v>25.027624309392262</v>
      </c>
    </row>
    <row r="1006" spans="1:7" x14ac:dyDescent="0.25">
      <c r="A1006" s="5">
        <v>45806.708333333336</v>
      </c>
      <c r="B1006">
        <v>19</v>
      </c>
      <c r="C1006" t="s">
        <v>25</v>
      </c>
      <c r="D1006" t="s">
        <v>26</v>
      </c>
      <c r="E1006">
        <v>1.5</v>
      </c>
      <c r="F1006">
        <v>4</v>
      </c>
      <c r="G1006" s="8">
        <f t="shared" si="15"/>
        <v>22.5</v>
      </c>
    </row>
    <row r="1007" spans="1:7" x14ac:dyDescent="0.25">
      <c r="A1007" s="5">
        <v>45806.708333333336</v>
      </c>
      <c r="B1007">
        <v>20</v>
      </c>
      <c r="C1007" t="s">
        <v>26</v>
      </c>
      <c r="D1007" t="s">
        <v>27</v>
      </c>
      <c r="E1007">
        <v>1.48</v>
      </c>
      <c r="F1007">
        <v>4.07</v>
      </c>
      <c r="G1007" s="8">
        <f t="shared" si="15"/>
        <v>21.818181818181817</v>
      </c>
    </row>
    <row r="1008" spans="1:7" x14ac:dyDescent="0.25">
      <c r="A1008" s="5">
        <v>45806.708333333336</v>
      </c>
      <c r="B1008">
        <v>21</v>
      </c>
      <c r="C1008" t="s">
        <v>27</v>
      </c>
      <c r="D1008" t="s">
        <v>28</v>
      </c>
      <c r="E1008">
        <v>1.51</v>
      </c>
      <c r="F1008">
        <v>4.2699999999999996</v>
      </c>
      <c r="G1008" s="8">
        <f t="shared" si="15"/>
        <v>21.217798594847775</v>
      </c>
    </row>
    <row r="1009" spans="1:7" x14ac:dyDescent="0.25">
      <c r="A1009" s="5">
        <v>45806.708333333336</v>
      </c>
      <c r="B1009">
        <v>22</v>
      </c>
      <c r="C1009" t="s">
        <v>28</v>
      </c>
      <c r="D1009" t="s">
        <v>29</v>
      </c>
      <c r="E1009">
        <v>1.57</v>
      </c>
      <c r="F1009">
        <v>3.87</v>
      </c>
      <c r="G1009" s="8">
        <f t="shared" si="15"/>
        <v>24.34108527131783</v>
      </c>
    </row>
    <row r="1010" spans="1:7" x14ac:dyDescent="0.25">
      <c r="A1010" s="5">
        <v>45806.708333333336</v>
      </c>
      <c r="B1010">
        <v>23</v>
      </c>
      <c r="C1010" t="s">
        <v>29</v>
      </c>
      <c r="D1010" t="s">
        <v>30</v>
      </c>
      <c r="E1010">
        <v>1.43</v>
      </c>
      <c r="F1010">
        <v>5.32</v>
      </c>
      <c r="G1010" s="8">
        <f t="shared" si="15"/>
        <v>16.127819548872179</v>
      </c>
    </row>
    <row r="1011" spans="1:7" x14ac:dyDescent="0.25">
      <c r="A1011" s="5">
        <v>45806.708333333336</v>
      </c>
      <c r="B1011">
        <v>24</v>
      </c>
      <c r="C1011" t="s">
        <v>30</v>
      </c>
      <c r="D1011" t="s">
        <v>31</v>
      </c>
      <c r="E1011">
        <v>1.52</v>
      </c>
      <c r="F1011">
        <v>4.42</v>
      </c>
      <c r="G1011" s="8">
        <f t="shared" si="15"/>
        <v>20.633484162895929</v>
      </c>
    </row>
    <row r="1012" spans="1:7" x14ac:dyDescent="0.25">
      <c r="A1012" s="5">
        <v>45806.708333333336</v>
      </c>
      <c r="B1012">
        <v>25</v>
      </c>
      <c r="C1012" t="s">
        <v>31</v>
      </c>
      <c r="D1012" t="s">
        <v>32</v>
      </c>
      <c r="E1012">
        <v>1.52</v>
      </c>
      <c r="F1012">
        <v>3.85</v>
      </c>
      <c r="G1012" s="8">
        <f t="shared" si="15"/>
        <v>23.688311688311689</v>
      </c>
    </row>
    <row r="1013" spans="1:7" x14ac:dyDescent="0.25">
      <c r="A1013" s="5">
        <v>45806.708333333336</v>
      </c>
      <c r="B1013">
        <v>26</v>
      </c>
      <c r="C1013" t="s">
        <v>32</v>
      </c>
      <c r="D1013" t="s">
        <v>33</v>
      </c>
      <c r="E1013">
        <v>1.49</v>
      </c>
      <c r="F1013">
        <v>9.1199999999999992</v>
      </c>
      <c r="G1013" s="8">
        <f t="shared" si="15"/>
        <v>9.8026315789473699</v>
      </c>
    </row>
    <row r="1014" spans="1:7" x14ac:dyDescent="0.25">
      <c r="A1014" s="5">
        <v>45806.708333333336</v>
      </c>
      <c r="B1014">
        <v>27</v>
      </c>
      <c r="C1014" t="s">
        <v>33</v>
      </c>
      <c r="D1014" t="s">
        <v>34</v>
      </c>
      <c r="E1014">
        <v>1.53</v>
      </c>
      <c r="F1014">
        <v>4.03</v>
      </c>
      <c r="G1014" s="8">
        <f t="shared" si="15"/>
        <v>22.779156327543422</v>
      </c>
    </row>
    <row r="1015" spans="1:7" x14ac:dyDescent="0.25">
      <c r="A1015" s="5">
        <v>45806.708333333336</v>
      </c>
      <c r="B1015">
        <v>28</v>
      </c>
      <c r="C1015" t="s">
        <v>34</v>
      </c>
      <c r="D1015" t="s">
        <v>35</v>
      </c>
      <c r="E1015">
        <v>1.51</v>
      </c>
      <c r="F1015">
        <v>4.53</v>
      </c>
      <c r="G1015" s="8">
        <f t="shared" si="15"/>
        <v>19.999999999999996</v>
      </c>
    </row>
    <row r="1016" spans="1:7" x14ac:dyDescent="0.25">
      <c r="A1016" s="5">
        <v>45806.708333333336</v>
      </c>
      <c r="B1016">
        <v>29</v>
      </c>
      <c r="C1016" t="s">
        <v>36</v>
      </c>
      <c r="D1016" t="s">
        <v>37</v>
      </c>
      <c r="E1016">
        <v>1.57</v>
      </c>
      <c r="F1016">
        <v>4.72</v>
      </c>
      <c r="G1016" s="8">
        <f t="shared" si="15"/>
        <v>19.957627118644069</v>
      </c>
    </row>
    <row r="1017" spans="1:7" x14ac:dyDescent="0.25">
      <c r="A1017" s="5">
        <v>45806.708333333336</v>
      </c>
      <c r="B1017">
        <v>30</v>
      </c>
      <c r="C1017" t="s">
        <v>37</v>
      </c>
      <c r="D1017" t="s">
        <v>38</v>
      </c>
      <c r="E1017">
        <v>1.57</v>
      </c>
      <c r="F1017">
        <v>4.2300000000000004</v>
      </c>
      <c r="G1017" s="8">
        <f t="shared" si="15"/>
        <v>22.269503546099291</v>
      </c>
    </row>
    <row r="1018" spans="1:7" x14ac:dyDescent="0.25">
      <c r="A1018" s="5">
        <v>45806.708333333336</v>
      </c>
      <c r="B1018">
        <v>31</v>
      </c>
      <c r="C1018" t="s">
        <v>38</v>
      </c>
      <c r="D1018" t="s">
        <v>39</v>
      </c>
      <c r="E1018">
        <v>1.52</v>
      </c>
      <c r="F1018">
        <v>2.95</v>
      </c>
      <c r="G1018" s="8">
        <f t="shared" si="15"/>
        <v>30.915254237288135</v>
      </c>
    </row>
    <row r="1019" spans="1:7" x14ac:dyDescent="0.25">
      <c r="A1019" s="5">
        <v>45806.708333333336</v>
      </c>
      <c r="B1019">
        <v>32</v>
      </c>
      <c r="C1019" t="s">
        <v>39</v>
      </c>
      <c r="D1019" t="s">
        <v>40</v>
      </c>
      <c r="E1019">
        <v>1.5</v>
      </c>
      <c r="F1019">
        <v>1.95</v>
      </c>
      <c r="G1019" s="8">
        <f t="shared" si="15"/>
        <v>46.153846153846153</v>
      </c>
    </row>
    <row r="1020" spans="1:7" x14ac:dyDescent="0.25">
      <c r="A1020" s="5">
        <v>45806.708333333336</v>
      </c>
      <c r="B1020">
        <v>33</v>
      </c>
      <c r="C1020" t="s">
        <v>40</v>
      </c>
      <c r="D1020" t="s">
        <v>41</v>
      </c>
      <c r="E1020">
        <v>1.51</v>
      </c>
      <c r="F1020">
        <v>2.23</v>
      </c>
      <c r="G1020" s="8">
        <f t="shared" si="15"/>
        <v>40.627802690582961</v>
      </c>
    </row>
    <row r="1021" spans="1:7" x14ac:dyDescent="0.25">
      <c r="A1021" s="5">
        <v>45806.708333333336</v>
      </c>
      <c r="B1021">
        <v>34</v>
      </c>
      <c r="C1021" t="s">
        <v>41</v>
      </c>
      <c r="D1021" t="s">
        <v>42</v>
      </c>
      <c r="E1021">
        <v>1.5</v>
      </c>
      <c r="F1021">
        <v>2.1800000000000002</v>
      </c>
      <c r="G1021" s="8">
        <f t="shared" si="15"/>
        <v>41.284403669724767</v>
      </c>
    </row>
    <row r="1022" spans="1:7" x14ac:dyDescent="0.25">
      <c r="A1022" s="5">
        <v>45806.708333333336</v>
      </c>
      <c r="B1022">
        <v>35</v>
      </c>
      <c r="C1022" t="s">
        <v>43</v>
      </c>
      <c r="D1022" t="s">
        <v>44</v>
      </c>
      <c r="E1022">
        <v>1.55</v>
      </c>
      <c r="F1022">
        <v>3.98</v>
      </c>
      <c r="G1022" s="8">
        <f t="shared" si="15"/>
        <v>23.366834170854272</v>
      </c>
    </row>
    <row r="1023" spans="1:7" x14ac:dyDescent="0.25">
      <c r="A1023" s="5">
        <v>45806.708333333336</v>
      </c>
      <c r="B1023">
        <v>36</v>
      </c>
      <c r="C1023" t="s">
        <v>44</v>
      </c>
      <c r="D1023" t="s">
        <v>45</v>
      </c>
      <c r="E1023">
        <v>1.5</v>
      </c>
      <c r="F1023">
        <v>3.32</v>
      </c>
      <c r="G1023" s="8">
        <f t="shared" si="15"/>
        <v>27.108433734939759</v>
      </c>
    </row>
    <row r="1024" spans="1:7" x14ac:dyDescent="0.25">
      <c r="A1024" s="5">
        <v>45806.708333333336</v>
      </c>
      <c r="B1024">
        <v>37</v>
      </c>
      <c r="C1024" t="s">
        <v>45</v>
      </c>
      <c r="D1024" t="s">
        <v>46</v>
      </c>
      <c r="E1024">
        <v>1.38</v>
      </c>
      <c r="F1024">
        <v>5.67</v>
      </c>
      <c r="G1024" s="8">
        <f t="shared" si="15"/>
        <v>14.603174603174603</v>
      </c>
    </row>
    <row r="1025" spans="1:7" x14ac:dyDescent="0.25">
      <c r="A1025" s="5">
        <v>45806.708333333336</v>
      </c>
      <c r="B1025">
        <v>38</v>
      </c>
      <c r="C1025" t="s">
        <v>46</v>
      </c>
      <c r="D1025" t="s">
        <v>47</v>
      </c>
      <c r="E1025">
        <v>1.61</v>
      </c>
      <c r="F1025">
        <v>4.6500000000000004</v>
      </c>
      <c r="G1025" s="8">
        <f t="shared" si="15"/>
        <v>20.774193548387096</v>
      </c>
    </row>
    <row r="1026" spans="1:7" x14ac:dyDescent="0.25">
      <c r="A1026" s="5">
        <v>45806.708333333336</v>
      </c>
      <c r="B1026">
        <v>39</v>
      </c>
      <c r="C1026" t="s">
        <v>47</v>
      </c>
      <c r="D1026" t="s">
        <v>48</v>
      </c>
      <c r="E1026">
        <v>1.55</v>
      </c>
      <c r="F1026">
        <v>3.88</v>
      </c>
      <c r="G1026" s="8">
        <f t="shared" si="15"/>
        <v>23.969072164948454</v>
      </c>
    </row>
    <row r="1027" spans="1:7" x14ac:dyDescent="0.25">
      <c r="A1027" s="5">
        <v>45806.708333333336</v>
      </c>
      <c r="B1027">
        <v>40</v>
      </c>
      <c r="C1027" t="s">
        <v>48</v>
      </c>
      <c r="D1027" t="s">
        <v>49</v>
      </c>
      <c r="E1027">
        <v>1.39</v>
      </c>
      <c r="F1027">
        <v>3.38</v>
      </c>
      <c r="G1027" s="8">
        <f t="shared" ref="G1027:G1090" si="16">E1027*60/F1027</f>
        <v>24.674556213017748</v>
      </c>
    </row>
    <row r="1028" spans="1:7" x14ac:dyDescent="0.25">
      <c r="A1028" s="5">
        <v>45806.708333333336</v>
      </c>
      <c r="B1028">
        <v>41</v>
      </c>
      <c r="C1028" t="s">
        <v>50</v>
      </c>
      <c r="D1028" t="s">
        <v>51</v>
      </c>
      <c r="E1028">
        <v>1.56</v>
      </c>
      <c r="F1028">
        <v>4.8499999999999996</v>
      </c>
      <c r="G1028" s="8">
        <f t="shared" si="16"/>
        <v>19.298969072164951</v>
      </c>
    </row>
    <row r="1029" spans="1:7" x14ac:dyDescent="0.25">
      <c r="A1029" s="5">
        <v>45806.708333333336</v>
      </c>
      <c r="B1029">
        <v>42</v>
      </c>
      <c r="C1029" t="s">
        <v>51</v>
      </c>
      <c r="D1029" t="s">
        <v>52</v>
      </c>
      <c r="E1029">
        <v>1.56</v>
      </c>
      <c r="F1029">
        <v>4.6500000000000004</v>
      </c>
      <c r="G1029" s="8">
        <f t="shared" si="16"/>
        <v>20.129032258064516</v>
      </c>
    </row>
    <row r="1030" spans="1:7" x14ac:dyDescent="0.25">
      <c r="A1030" s="5">
        <v>45806.708333333336</v>
      </c>
      <c r="B1030">
        <v>43</v>
      </c>
      <c r="C1030" t="s">
        <v>52</v>
      </c>
      <c r="D1030" t="s">
        <v>53</v>
      </c>
      <c r="E1030">
        <v>1.51</v>
      </c>
      <c r="F1030">
        <v>3.88</v>
      </c>
      <c r="G1030" s="8">
        <f t="shared" si="16"/>
        <v>23.350515463917525</v>
      </c>
    </row>
    <row r="1031" spans="1:7" x14ac:dyDescent="0.25">
      <c r="A1031" s="5">
        <v>45806.708333333336</v>
      </c>
      <c r="B1031">
        <v>44</v>
      </c>
      <c r="C1031" t="s">
        <v>54</v>
      </c>
      <c r="D1031" t="s">
        <v>55</v>
      </c>
      <c r="E1031">
        <v>1.51</v>
      </c>
      <c r="F1031">
        <v>4.55</v>
      </c>
      <c r="G1031" s="8">
        <f t="shared" si="16"/>
        <v>19.912087912087912</v>
      </c>
    </row>
    <row r="1032" spans="1:7" x14ac:dyDescent="0.25">
      <c r="A1032" s="5">
        <v>45806.708333333336</v>
      </c>
      <c r="B1032">
        <v>45</v>
      </c>
      <c r="C1032" t="s">
        <v>55</v>
      </c>
      <c r="D1032" t="s">
        <v>56</v>
      </c>
      <c r="E1032">
        <v>1.49</v>
      </c>
      <c r="F1032">
        <v>3.83</v>
      </c>
      <c r="G1032" s="8">
        <f t="shared" si="16"/>
        <v>23.342036553524807</v>
      </c>
    </row>
    <row r="1033" spans="1:7" x14ac:dyDescent="0.25">
      <c r="A1033" s="5">
        <v>45806.708333333336</v>
      </c>
      <c r="B1033">
        <v>46</v>
      </c>
      <c r="C1033" t="s">
        <v>56</v>
      </c>
      <c r="D1033" t="s">
        <v>57</v>
      </c>
      <c r="E1033">
        <v>1.52</v>
      </c>
      <c r="F1033">
        <v>4.07</v>
      </c>
      <c r="G1033" s="8">
        <f t="shared" si="16"/>
        <v>22.407862407862407</v>
      </c>
    </row>
    <row r="1034" spans="1:7" x14ac:dyDescent="0.25">
      <c r="A1034" s="5">
        <v>45806.708333333336</v>
      </c>
      <c r="B1034">
        <v>47</v>
      </c>
      <c r="C1034" t="s">
        <v>58</v>
      </c>
      <c r="D1034" t="s">
        <v>59</v>
      </c>
      <c r="E1034">
        <v>1.52</v>
      </c>
      <c r="F1034">
        <v>9.23</v>
      </c>
      <c r="G1034" s="8">
        <f t="shared" si="16"/>
        <v>9.8808234019501615</v>
      </c>
    </row>
    <row r="1035" spans="1:7" x14ac:dyDescent="0.25">
      <c r="A1035" s="5">
        <v>45806.708333333336</v>
      </c>
      <c r="B1035">
        <v>48</v>
      </c>
      <c r="C1035" t="s">
        <v>59</v>
      </c>
      <c r="D1035" t="s">
        <v>60</v>
      </c>
      <c r="E1035">
        <v>1.5</v>
      </c>
      <c r="F1035">
        <v>4.55</v>
      </c>
      <c r="G1035" s="8">
        <f t="shared" si="16"/>
        <v>19.780219780219781</v>
      </c>
    </row>
    <row r="1036" spans="1:7" x14ac:dyDescent="0.25">
      <c r="A1036" s="5">
        <v>45806.708333333336</v>
      </c>
      <c r="B1036">
        <v>49</v>
      </c>
      <c r="C1036" t="s">
        <v>60</v>
      </c>
      <c r="D1036" t="s">
        <v>61</v>
      </c>
      <c r="E1036">
        <v>1.54</v>
      </c>
      <c r="F1036">
        <v>4.87</v>
      </c>
      <c r="G1036" s="8">
        <f t="shared" si="16"/>
        <v>18.973305954825463</v>
      </c>
    </row>
    <row r="1037" spans="1:7" x14ac:dyDescent="0.25">
      <c r="A1037" s="5">
        <v>45806.708333333336</v>
      </c>
      <c r="B1037">
        <v>50</v>
      </c>
      <c r="C1037" t="s">
        <v>62</v>
      </c>
      <c r="D1037" t="s">
        <v>63</v>
      </c>
      <c r="E1037">
        <v>1.38</v>
      </c>
      <c r="F1037">
        <v>3.53</v>
      </c>
      <c r="G1037" s="8">
        <f t="shared" si="16"/>
        <v>23.456090651558075</v>
      </c>
    </row>
    <row r="1038" spans="1:7" x14ac:dyDescent="0.25">
      <c r="A1038" s="5">
        <v>45806.708333333336</v>
      </c>
      <c r="B1038">
        <v>51</v>
      </c>
      <c r="C1038" t="s">
        <v>63</v>
      </c>
      <c r="D1038" t="s">
        <v>64</v>
      </c>
      <c r="E1038">
        <v>2.79</v>
      </c>
      <c r="F1038">
        <v>6.32</v>
      </c>
      <c r="G1038" s="8">
        <f t="shared" si="16"/>
        <v>26.487341772151897</v>
      </c>
    </row>
    <row r="1039" spans="1:7" x14ac:dyDescent="0.25">
      <c r="A1039" s="5">
        <v>45806.708333333336</v>
      </c>
      <c r="B1039">
        <v>52</v>
      </c>
      <c r="C1039" t="s">
        <v>64</v>
      </c>
      <c r="D1039" t="s">
        <v>65</v>
      </c>
      <c r="E1039">
        <v>1.5</v>
      </c>
      <c r="F1039">
        <v>3.03</v>
      </c>
      <c r="G1039" s="8">
        <f t="shared" si="16"/>
        <v>29.702970297029704</v>
      </c>
    </row>
    <row r="1040" spans="1:7" x14ac:dyDescent="0.25">
      <c r="A1040" s="5">
        <v>45806.708333333336</v>
      </c>
      <c r="B1040">
        <v>53</v>
      </c>
      <c r="C1040" t="s">
        <v>65</v>
      </c>
      <c r="D1040" t="s">
        <v>66</v>
      </c>
      <c r="E1040">
        <v>1.46</v>
      </c>
      <c r="F1040">
        <v>4.2699999999999996</v>
      </c>
      <c r="G1040" s="8">
        <f t="shared" si="16"/>
        <v>20.515222482435597</v>
      </c>
    </row>
    <row r="1041" spans="1:7" x14ac:dyDescent="0.25">
      <c r="A1041" s="5">
        <v>45806.708333333336</v>
      </c>
      <c r="B1041">
        <v>54</v>
      </c>
      <c r="C1041" t="s">
        <v>67</v>
      </c>
      <c r="D1041" t="s">
        <v>68</v>
      </c>
      <c r="E1041">
        <v>1.46</v>
      </c>
      <c r="F1041">
        <v>3.22</v>
      </c>
      <c r="G1041" s="8">
        <f t="shared" si="16"/>
        <v>27.204968944099374</v>
      </c>
    </row>
    <row r="1042" spans="1:7" x14ac:dyDescent="0.25">
      <c r="A1042" s="5">
        <v>45806.708333333336</v>
      </c>
      <c r="B1042">
        <v>55</v>
      </c>
      <c r="C1042" t="s">
        <v>68</v>
      </c>
      <c r="D1042" t="s">
        <v>69</v>
      </c>
      <c r="E1042">
        <v>1.5</v>
      </c>
      <c r="F1042">
        <v>2.33</v>
      </c>
      <c r="G1042" s="8">
        <f t="shared" si="16"/>
        <v>38.626609442060087</v>
      </c>
    </row>
    <row r="1043" spans="1:7" x14ac:dyDescent="0.25">
      <c r="A1043" s="5">
        <v>45806.708333333336</v>
      </c>
      <c r="B1043">
        <v>56</v>
      </c>
      <c r="C1043" t="s">
        <v>70</v>
      </c>
      <c r="D1043" t="s">
        <v>71</v>
      </c>
      <c r="E1043">
        <v>1.51</v>
      </c>
      <c r="F1043">
        <v>4.9800000000000004</v>
      </c>
      <c r="G1043" s="8">
        <f t="shared" si="16"/>
        <v>18.192771084337348</v>
      </c>
    </row>
    <row r="1044" spans="1:7" x14ac:dyDescent="0.25">
      <c r="A1044" s="5">
        <v>45806.708333333336</v>
      </c>
      <c r="B1044">
        <v>57</v>
      </c>
      <c r="C1044" t="s">
        <v>71</v>
      </c>
      <c r="D1044" t="s">
        <v>72</v>
      </c>
      <c r="E1044">
        <v>1.52</v>
      </c>
      <c r="F1044">
        <v>5.07</v>
      </c>
      <c r="G1044" s="8">
        <f t="shared" si="16"/>
        <v>17.988165680473372</v>
      </c>
    </row>
    <row r="1045" spans="1:7" x14ac:dyDescent="0.25">
      <c r="A1045" s="5">
        <v>45806.708333333336</v>
      </c>
      <c r="B1045">
        <v>58</v>
      </c>
      <c r="C1045" t="s">
        <v>72</v>
      </c>
      <c r="D1045" t="s">
        <v>73</v>
      </c>
      <c r="E1045">
        <v>1.5</v>
      </c>
      <c r="F1045">
        <v>4.8499999999999996</v>
      </c>
      <c r="G1045" s="8">
        <f t="shared" si="16"/>
        <v>18.556701030927837</v>
      </c>
    </row>
    <row r="1046" spans="1:7" x14ac:dyDescent="0.25">
      <c r="A1046" s="5">
        <v>45806.71875</v>
      </c>
      <c r="B1046">
        <v>1</v>
      </c>
      <c r="C1046" t="s">
        <v>6</v>
      </c>
      <c r="D1046" t="s">
        <v>7</v>
      </c>
      <c r="E1046">
        <v>1.53</v>
      </c>
      <c r="F1046">
        <v>3.4</v>
      </c>
      <c r="G1046" s="8">
        <f t="shared" si="16"/>
        <v>27</v>
      </c>
    </row>
    <row r="1047" spans="1:7" x14ac:dyDescent="0.25">
      <c r="A1047" s="5">
        <v>45806.71875</v>
      </c>
      <c r="B1047">
        <v>2</v>
      </c>
      <c r="C1047" t="s">
        <v>7</v>
      </c>
      <c r="D1047" t="s">
        <v>8</v>
      </c>
      <c r="E1047">
        <v>1.57</v>
      </c>
      <c r="F1047">
        <v>5.85</v>
      </c>
      <c r="G1047" s="8">
        <f t="shared" si="16"/>
        <v>16.102564102564106</v>
      </c>
    </row>
    <row r="1048" spans="1:7" x14ac:dyDescent="0.25">
      <c r="A1048" s="5">
        <v>45806.71875</v>
      </c>
      <c r="B1048">
        <v>3</v>
      </c>
      <c r="C1048" t="s">
        <v>8</v>
      </c>
      <c r="D1048" t="s">
        <v>9</v>
      </c>
      <c r="E1048">
        <v>1.5</v>
      </c>
      <c r="F1048">
        <v>3.7</v>
      </c>
      <c r="G1048" s="8">
        <f t="shared" si="16"/>
        <v>24.324324324324323</v>
      </c>
    </row>
    <row r="1049" spans="1:7" x14ac:dyDescent="0.25">
      <c r="A1049" s="5">
        <v>45806.71875</v>
      </c>
      <c r="B1049">
        <v>4</v>
      </c>
      <c r="C1049" t="s">
        <v>9</v>
      </c>
      <c r="D1049" t="s">
        <v>10</v>
      </c>
      <c r="E1049">
        <v>1.5</v>
      </c>
      <c r="F1049">
        <v>3.07</v>
      </c>
      <c r="G1049" s="8">
        <f t="shared" si="16"/>
        <v>29.31596091205212</v>
      </c>
    </row>
    <row r="1050" spans="1:7" x14ac:dyDescent="0.25">
      <c r="A1050" s="5">
        <v>45806.71875</v>
      </c>
      <c r="B1050">
        <v>5</v>
      </c>
      <c r="C1050" t="s">
        <v>10</v>
      </c>
      <c r="D1050" t="s">
        <v>11</v>
      </c>
      <c r="E1050">
        <v>1.52</v>
      </c>
      <c r="F1050">
        <v>3.68</v>
      </c>
      <c r="G1050" s="8">
        <f t="shared" si="16"/>
        <v>24.782608695652172</v>
      </c>
    </row>
    <row r="1051" spans="1:7" x14ac:dyDescent="0.25">
      <c r="A1051" s="5">
        <v>45806.71875</v>
      </c>
      <c r="B1051">
        <v>6</v>
      </c>
      <c r="C1051" t="s">
        <v>11</v>
      </c>
      <c r="D1051" t="s">
        <v>12</v>
      </c>
      <c r="E1051">
        <v>1.5</v>
      </c>
      <c r="F1051">
        <v>2.78</v>
      </c>
      <c r="G1051" s="8">
        <f t="shared" si="16"/>
        <v>32.374100719424462</v>
      </c>
    </row>
    <row r="1052" spans="1:7" x14ac:dyDescent="0.25">
      <c r="A1052" s="5">
        <v>45806.71875</v>
      </c>
      <c r="B1052">
        <v>7</v>
      </c>
      <c r="C1052" t="s">
        <v>12</v>
      </c>
      <c r="D1052" t="s">
        <v>13</v>
      </c>
      <c r="E1052">
        <v>1.54</v>
      </c>
      <c r="F1052">
        <v>2.75</v>
      </c>
      <c r="G1052" s="8">
        <f t="shared" si="16"/>
        <v>33.6</v>
      </c>
    </row>
    <row r="1053" spans="1:7" x14ac:dyDescent="0.25">
      <c r="A1053" s="5">
        <v>45806.71875</v>
      </c>
      <c r="B1053">
        <v>8</v>
      </c>
      <c r="C1053" t="s">
        <v>13</v>
      </c>
      <c r="D1053" t="s">
        <v>14</v>
      </c>
      <c r="E1053">
        <v>1.54</v>
      </c>
      <c r="F1053">
        <v>3.35</v>
      </c>
      <c r="G1053" s="8">
        <f t="shared" si="16"/>
        <v>27.582089552238806</v>
      </c>
    </row>
    <row r="1054" spans="1:7" x14ac:dyDescent="0.25">
      <c r="A1054" s="5">
        <v>45806.71875</v>
      </c>
      <c r="B1054">
        <v>9</v>
      </c>
      <c r="C1054" t="s">
        <v>14</v>
      </c>
      <c r="D1054" t="s">
        <v>15</v>
      </c>
      <c r="E1054">
        <v>1.52</v>
      </c>
      <c r="F1054">
        <v>3.78</v>
      </c>
      <c r="G1054" s="8">
        <f t="shared" si="16"/>
        <v>24.12698412698413</v>
      </c>
    </row>
    <row r="1055" spans="1:7" x14ac:dyDescent="0.25">
      <c r="A1055" s="5">
        <v>45806.71875</v>
      </c>
      <c r="B1055">
        <v>10</v>
      </c>
      <c r="C1055" t="s">
        <v>15</v>
      </c>
      <c r="D1055" t="s">
        <v>16</v>
      </c>
      <c r="E1055">
        <v>1.5</v>
      </c>
      <c r="F1055">
        <v>4.37</v>
      </c>
      <c r="G1055" s="8">
        <f t="shared" si="16"/>
        <v>20.594965675057207</v>
      </c>
    </row>
    <row r="1056" spans="1:7" x14ac:dyDescent="0.25">
      <c r="A1056" s="5">
        <v>45806.71875</v>
      </c>
      <c r="B1056">
        <v>11</v>
      </c>
      <c r="C1056" t="s">
        <v>16</v>
      </c>
      <c r="D1056" t="s">
        <v>17</v>
      </c>
      <c r="E1056">
        <v>1.48</v>
      </c>
      <c r="F1056">
        <v>3.45</v>
      </c>
      <c r="G1056" s="8">
        <f t="shared" si="16"/>
        <v>25.739130434782606</v>
      </c>
    </row>
    <row r="1057" spans="1:7" x14ac:dyDescent="0.25">
      <c r="A1057" s="5">
        <v>45806.71875</v>
      </c>
      <c r="B1057">
        <v>12</v>
      </c>
      <c r="C1057" t="s">
        <v>17</v>
      </c>
      <c r="D1057" t="s">
        <v>18</v>
      </c>
      <c r="E1057">
        <v>1.46</v>
      </c>
      <c r="F1057">
        <v>4.78</v>
      </c>
      <c r="G1057" s="8">
        <f t="shared" si="16"/>
        <v>18.32635983263598</v>
      </c>
    </row>
    <row r="1058" spans="1:7" x14ac:dyDescent="0.25">
      <c r="A1058" s="5">
        <v>45806.71875</v>
      </c>
      <c r="B1058">
        <v>13</v>
      </c>
      <c r="C1058" t="s">
        <v>18</v>
      </c>
      <c r="D1058" t="s">
        <v>19</v>
      </c>
      <c r="E1058">
        <v>1.52</v>
      </c>
      <c r="F1058">
        <v>4.7</v>
      </c>
      <c r="G1058" s="8">
        <f t="shared" si="16"/>
        <v>19.404255319148938</v>
      </c>
    </row>
    <row r="1059" spans="1:7" x14ac:dyDescent="0.25">
      <c r="A1059" s="5">
        <v>45806.71875</v>
      </c>
      <c r="B1059">
        <v>14</v>
      </c>
      <c r="C1059" t="s">
        <v>19</v>
      </c>
      <c r="D1059" t="s">
        <v>20</v>
      </c>
      <c r="E1059">
        <v>1.51</v>
      </c>
      <c r="F1059">
        <v>4.53</v>
      </c>
      <c r="G1059" s="8">
        <f t="shared" si="16"/>
        <v>19.999999999999996</v>
      </c>
    </row>
    <row r="1060" spans="1:7" x14ac:dyDescent="0.25">
      <c r="A1060" s="5">
        <v>45806.71875</v>
      </c>
      <c r="B1060">
        <v>15</v>
      </c>
      <c r="C1060" t="s">
        <v>20</v>
      </c>
      <c r="D1060" t="s">
        <v>21</v>
      </c>
      <c r="E1060">
        <v>1.47</v>
      </c>
      <c r="F1060">
        <v>3.38</v>
      </c>
      <c r="G1060" s="8">
        <f t="shared" si="16"/>
        <v>26.094674556213018</v>
      </c>
    </row>
    <row r="1061" spans="1:7" x14ac:dyDescent="0.25">
      <c r="A1061" s="5">
        <v>45806.71875</v>
      </c>
      <c r="B1061">
        <v>16</v>
      </c>
      <c r="C1061" t="s">
        <v>21</v>
      </c>
      <c r="D1061" t="s">
        <v>22</v>
      </c>
      <c r="E1061">
        <v>1.5</v>
      </c>
      <c r="F1061">
        <v>2.12</v>
      </c>
      <c r="G1061" s="8">
        <f t="shared" si="16"/>
        <v>42.452830188679243</v>
      </c>
    </row>
    <row r="1062" spans="1:7" x14ac:dyDescent="0.25">
      <c r="A1062" s="5">
        <v>45806.71875</v>
      </c>
      <c r="B1062">
        <v>17</v>
      </c>
      <c r="C1062" t="s">
        <v>22</v>
      </c>
      <c r="D1062" t="s">
        <v>23</v>
      </c>
      <c r="E1062">
        <v>1.51</v>
      </c>
      <c r="F1062">
        <v>3.82</v>
      </c>
      <c r="G1062" s="8">
        <f t="shared" si="16"/>
        <v>23.717277486910994</v>
      </c>
    </row>
    <row r="1063" spans="1:7" x14ac:dyDescent="0.25">
      <c r="A1063" s="5">
        <v>45806.71875</v>
      </c>
      <c r="B1063">
        <v>18</v>
      </c>
      <c r="C1063" t="s">
        <v>23</v>
      </c>
      <c r="D1063" t="s">
        <v>24</v>
      </c>
      <c r="E1063">
        <v>1.51</v>
      </c>
      <c r="F1063">
        <v>3.65</v>
      </c>
      <c r="G1063" s="8">
        <f t="shared" si="16"/>
        <v>24.821917808219176</v>
      </c>
    </row>
    <row r="1064" spans="1:7" x14ac:dyDescent="0.25">
      <c r="A1064" s="5">
        <v>45806.71875</v>
      </c>
      <c r="B1064">
        <v>19</v>
      </c>
      <c r="C1064" t="s">
        <v>25</v>
      </c>
      <c r="D1064" t="s">
        <v>26</v>
      </c>
      <c r="E1064">
        <v>1.5</v>
      </c>
      <c r="F1064">
        <v>3.83</v>
      </c>
      <c r="G1064" s="8">
        <f t="shared" si="16"/>
        <v>23.49869451697128</v>
      </c>
    </row>
    <row r="1065" spans="1:7" x14ac:dyDescent="0.25">
      <c r="A1065" s="5">
        <v>45806.71875</v>
      </c>
      <c r="B1065">
        <v>20</v>
      </c>
      <c r="C1065" t="s">
        <v>26</v>
      </c>
      <c r="D1065" t="s">
        <v>27</v>
      </c>
      <c r="E1065">
        <v>1.48</v>
      </c>
      <c r="F1065">
        <v>3.77</v>
      </c>
      <c r="G1065" s="8">
        <f t="shared" si="16"/>
        <v>23.554376657824932</v>
      </c>
    </row>
    <row r="1066" spans="1:7" x14ac:dyDescent="0.25">
      <c r="A1066" s="5">
        <v>45806.71875</v>
      </c>
      <c r="B1066">
        <v>21</v>
      </c>
      <c r="C1066" t="s">
        <v>27</v>
      </c>
      <c r="D1066" t="s">
        <v>28</v>
      </c>
      <c r="E1066">
        <v>1.51</v>
      </c>
      <c r="F1066">
        <v>4.1500000000000004</v>
      </c>
      <c r="G1066" s="8">
        <f t="shared" si="16"/>
        <v>21.831325301204817</v>
      </c>
    </row>
    <row r="1067" spans="1:7" x14ac:dyDescent="0.25">
      <c r="A1067" s="5">
        <v>45806.71875</v>
      </c>
      <c r="B1067">
        <v>22</v>
      </c>
      <c r="C1067" t="s">
        <v>28</v>
      </c>
      <c r="D1067" t="s">
        <v>29</v>
      </c>
      <c r="E1067">
        <v>1.57</v>
      </c>
      <c r="F1067">
        <v>4.1500000000000004</v>
      </c>
      <c r="G1067" s="8">
        <f t="shared" si="16"/>
        <v>22.69879518072289</v>
      </c>
    </row>
    <row r="1068" spans="1:7" x14ac:dyDescent="0.25">
      <c r="A1068" s="5">
        <v>45806.71875</v>
      </c>
      <c r="B1068">
        <v>23</v>
      </c>
      <c r="C1068" t="s">
        <v>29</v>
      </c>
      <c r="D1068" t="s">
        <v>30</v>
      </c>
      <c r="E1068">
        <v>1.43</v>
      </c>
      <c r="F1068">
        <v>4.18</v>
      </c>
      <c r="G1068" s="8">
        <f t="shared" si="16"/>
        <v>20.526315789473685</v>
      </c>
    </row>
    <row r="1069" spans="1:7" x14ac:dyDescent="0.25">
      <c r="A1069" s="5">
        <v>45806.71875</v>
      </c>
      <c r="B1069">
        <v>24</v>
      </c>
      <c r="C1069" t="s">
        <v>30</v>
      </c>
      <c r="D1069" t="s">
        <v>31</v>
      </c>
      <c r="E1069">
        <v>1.52</v>
      </c>
      <c r="F1069">
        <v>4.1500000000000004</v>
      </c>
      <c r="G1069" s="8">
        <f t="shared" si="16"/>
        <v>21.975903614457831</v>
      </c>
    </row>
    <row r="1070" spans="1:7" x14ac:dyDescent="0.25">
      <c r="A1070" s="5">
        <v>45806.71875</v>
      </c>
      <c r="B1070">
        <v>25</v>
      </c>
      <c r="C1070" t="s">
        <v>31</v>
      </c>
      <c r="D1070" t="s">
        <v>32</v>
      </c>
      <c r="E1070">
        <v>1.52</v>
      </c>
      <c r="F1070">
        <v>3.52</v>
      </c>
      <c r="G1070" s="8">
        <f t="shared" si="16"/>
        <v>25.90909090909091</v>
      </c>
    </row>
    <row r="1071" spans="1:7" x14ac:dyDescent="0.25">
      <c r="A1071" s="5">
        <v>45806.71875</v>
      </c>
      <c r="B1071">
        <v>26</v>
      </c>
      <c r="C1071" t="s">
        <v>32</v>
      </c>
      <c r="D1071" t="s">
        <v>33</v>
      </c>
      <c r="E1071">
        <v>1.49</v>
      </c>
      <c r="F1071">
        <v>7.1</v>
      </c>
      <c r="G1071" s="8">
        <f t="shared" si="16"/>
        <v>12.59154929577465</v>
      </c>
    </row>
    <row r="1072" spans="1:7" x14ac:dyDescent="0.25">
      <c r="A1072" s="5">
        <v>45806.71875</v>
      </c>
      <c r="B1072">
        <v>27</v>
      </c>
      <c r="C1072" t="s">
        <v>33</v>
      </c>
      <c r="D1072" t="s">
        <v>34</v>
      </c>
      <c r="E1072">
        <v>1.53</v>
      </c>
      <c r="F1072">
        <v>5.27</v>
      </c>
      <c r="G1072" s="8">
        <f t="shared" si="16"/>
        <v>17.41935483870968</v>
      </c>
    </row>
    <row r="1073" spans="1:7" x14ac:dyDescent="0.25">
      <c r="A1073" s="5">
        <v>45806.71875</v>
      </c>
      <c r="B1073">
        <v>28</v>
      </c>
      <c r="C1073" t="s">
        <v>34</v>
      </c>
      <c r="D1073" t="s">
        <v>35</v>
      </c>
      <c r="E1073">
        <v>1.51</v>
      </c>
      <c r="F1073">
        <v>4.7300000000000004</v>
      </c>
      <c r="G1073" s="8">
        <f t="shared" si="16"/>
        <v>19.154334038054966</v>
      </c>
    </row>
    <row r="1074" spans="1:7" x14ac:dyDescent="0.25">
      <c r="A1074" s="5">
        <v>45806.71875</v>
      </c>
      <c r="B1074">
        <v>29</v>
      </c>
      <c r="C1074" t="s">
        <v>36</v>
      </c>
      <c r="D1074" t="s">
        <v>37</v>
      </c>
      <c r="E1074">
        <v>1.57</v>
      </c>
      <c r="F1074">
        <v>4.32</v>
      </c>
      <c r="G1074" s="8">
        <f t="shared" si="16"/>
        <v>21.805555555555554</v>
      </c>
    </row>
    <row r="1075" spans="1:7" x14ac:dyDescent="0.25">
      <c r="A1075" s="5">
        <v>45806.71875</v>
      </c>
      <c r="B1075">
        <v>30</v>
      </c>
      <c r="C1075" t="s">
        <v>37</v>
      </c>
      <c r="D1075" t="s">
        <v>38</v>
      </c>
      <c r="E1075">
        <v>1.57</v>
      </c>
      <c r="F1075">
        <v>4.17</v>
      </c>
      <c r="G1075" s="8">
        <f t="shared" si="16"/>
        <v>22.589928057553958</v>
      </c>
    </row>
    <row r="1076" spans="1:7" x14ac:dyDescent="0.25">
      <c r="A1076" s="5">
        <v>45806.71875</v>
      </c>
      <c r="B1076">
        <v>31</v>
      </c>
      <c r="C1076" t="s">
        <v>38</v>
      </c>
      <c r="D1076" t="s">
        <v>39</v>
      </c>
      <c r="E1076">
        <v>1.52</v>
      </c>
      <c r="F1076">
        <v>2.97</v>
      </c>
      <c r="G1076" s="8">
        <f t="shared" si="16"/>
        <v>30.707070707070706</v>
      </c>
    </row>
    <row r="1077" spans="1:7" x14ac:dyDescent="0.25">
      <c r="A1077" s="5">
        <v>45806.71875</v>
      </c>
      <c r="B1077">
        <v>32</v>
      </c>
      <c r="C1077" t="s">
        <v>39</v>
      </c>
      <c r="D1077" t="s">
        <v>40</v>
      </c>
      <c r="E1077">
        <v>1.5</v>
      </c>
      <c r="F1077">
        <v>1.88</v>
      </c>
      <c r="G1077" s="8">
        <f t="shared" si="16"/>
        <v>47.872340425531917</v>
      </c>
    </row>
    <row r="1078" spans="1:7" x14ac:dyDescent="0.25">
      <c r="A1078" s="5">
        <v>45806.71875</v>
      </c>
      <c r="B1078">
        <v>33</v>
      </c>
      <c r="C1078" t="s">
        <v>40</v>
      </c>
      <c r="D1078" t="s">
        <v>41</v>
      </c>
      <c r="E1078">
        <v>1.51</v>
      </c>
      <c r="F1078">
        <v>2.2799999999999998</v>
      </c>
      <c r="G1078" s="8">
        <f t="shared" si="16"/>
        <v>39.736842105263158</v>
      </c>
    </row>
    <row r="1079" spans="1:7" x14ac:dyDescent="0.25">
      <c r="A1079" s="5">
        <v>45806.71875</v>
      </c>
      <c r="B1079">
        <v>34</v>
      </c>
      <c r="C1079" t="s">
        <v>41</v>
      </c>
      <c r="D1079" t="s">
        <v>42</v>
      </c>
      <c r="E1079">
        <v>1.5</v>
      </c>
      <c r="F1079">
        <v>2.48</v>
      </c>
      <c r="G1079" s="8">
        <f t="shared" si="16"/>
        <v>36.29032258064516</v>
      </c>
    </row>
    <row r="1080" spans="1:7" x14ac:dyDescent="0.25">
      <c r="A1080" s="5">
        <v>45806.71875</v>
      </c>
      <c r="B1080">
        <v>35</v>
      </c>
      <c r="C1080" t="s">
        <v>43</v>
      </c>
      <c r="D1080" t="s">
        <v>44</v>
      </c>
      <c r="E1080">
        <v>1.55</v>
      </c>
      <c r="F1080">
        <v>3.78</v>
      </c>
      <c r="G1080" s="8">
        <f t="shared" si="16"/>
        <v>24.603174603174605</v>
      </c>
    </row>
    <row r="1081" spans="1:7" x14ac:dyDescent="0.25">
      <c r="A1081" s="5">
        <v>45806.71875</v>
      </c>
      <c r="B1081">
        <v>36</v>
      </c>
      <c r="C1081" t="s">
        <v>44</v>
      </c>
      <c r="D1081" t="s">
        <v>45</v>
      </c>
      <c r="E1081">
        <v>1.5</v>
      </c>
      <c r="F1081">
        <v>3.4</v>
      </c>
      <c r="G1081" s="8">
        <f t="shared" si="16"/>
        <v>26.47058823529412</v>
      </c>
    </row>
    <row r="1082" spans="1:7" x14ac:dyDescent="0.25">
      <c r="A1082" s="5">
        <v>45806.71875</v>
      </c>
      <c r="B1082">
        <v>37</v>
      </c>
      <c r="C1082" t="s">
        <v>45</v>
      </c>
      <c r="D1082" t="s">
        <v>46</v>
      </c>
      <c r="E1082">
        <v>1.38</v>
      </c>
      <c r="F1082">
        <v>5.0199999999999996</v>
      </c>
      <c r="G1082" s="8">
        <f t="shared" si="16"/>
        <v>16.49402390438247</v>
      </c>
    </row>
    <row r="1083" spans="1:7" x14ac:dyDescent="0.25">
      <c r="A1083" s="5">
        <v>45806.71875</v>
      </c>
      <c r="B1083">
        <v>38</v>
      </c>
      <c r="C1083" t="s">
        <v>46</v>
      </c>
      <c r="D1083" t="s">
        <v>47</v>
      </c>
      <c r="E1083">
        <v>1.61</v>
      </c>
      <c r="F1083">
        <v>4.95</v>
      </c>
      <c r="G1083" s="8">
        <f t="shared" si="16"/>
        <v>19.515151515151516</v>
      </c>
    </row>
    <row r="1084" spans="1:7" x14ac:dyDescent="0.25">
      <c r="A1084" s="5">
        <v>45806.71875</v>
      </c>
      <c r="B1084">
        <v>39</v>
      </c>
      <c r="C1084" t="s">
        <v>47</v>
      </c>
      <c r="D1084" t="s">
        <v>48</v>
      </c>
      <c r="E1084">
        <v>1.55</v>
      </c>
      <c r="F1084">
        <v>3.82</v>
      </c>
      <c r="G1084" s="8">
        <f t="shared" si="16"/>
        <v>24.345549738219898</v>
      </c>
    </row>
    <row r="1085" spans="1:7" x14ac:dyDescent="0.25">
      <c r="A1085" s="5">
        <v>45806.71875</v>
      </c>
      <c r="B1085">
        <v>40</v>
      </c>
      <c r="C1085" t="s">
        <v>48</v>
      </c>
      <c r="D1085" t="s">
        <v>49</v>
      </c>
      <c r="E1085">
        <v>1.39</v>
      </c>
      <c r="F1085">
        <v>3.53</v>
      </c>
      <c r="G1085" s="8">
        <f t="shared" si="16"/>
        <v>23.626062322946176</v>
      </c>
    </row>
    <row r="1086" spans="1:7" x14ac:dyDescent="0.25">
      <c r="A1086" s="5">
        <v>45806.71875</v>
      </c>
      <c r="B1086">
        <v>41</v>
      </c>
      <c r="C1086" t="s">
        <v>50</v>
      </c>
      <c r="D1086" t="s">
        <v>51</v>
      </c>
      <c r="E1086">
        <v>1.56</v>
      </c>
      <c r="F1086">
        <v>4.6500000000000004</v>
      </c>
      <c r="G1086" s="8">
        <f t="shared" si="16"/>
        <v>20.129032258064516</v>
      </c>
    </row>
    <row r="1087" spans="1:7" x14ac:dyDescent="0.25">
      <c r="A1087" s="5">
        <v>45806.71875</v>
      </c>
      <c r="B1087">
        <v>42</v>
      </c>
      <c r="C1087" t="s">
        <v>51</v>
      </c>
      <c r="D1087" t="s">
        <v>52</v>
      </c>
      <c r="E1087">
        <v>1.56</v>
      </c>
      <c r="F1087">
        <v>4.67</v>
      </c>
      <c r="G1087" s="8">
        <f t="shared" si="16"/>
        <v>20.042826552462529</v>
      </c>
    </row>
    <row r="1088" spans="1:7" x14ac:dyDescent="0.25">
      <c r="A1088" s="5">
        <v>45806.71875</v>
      </c>
      <c r="B1088">
        <v>43</v>
      </c>
      <c r="C1088" t="s">
        <v>52</v>
      </c>
      <c r="D1088" t="s">
        <v>53</v>
      </c>
      <c r="E1088">
        <v>1.51</v>
      </c>
      <c r="F1088">
        <v>4.07</v>
      </c>
      <c r="G1088" s="8">
        <f t="shared" si="16"/>
        <v>22.260442260442257</v>
      </c>
    </row>
    <row r="1089" spans="1:7" x14ac:dyDescent="0.25">
      <c r="A1089" s="5">
        <v>45806.71875</v>
      </c>
      <c r="B1089">
        <v>44</v>
      </c>
      <c r="C1089" t="s">
        <v>54</v>
      </c>
      <c r="D1089" t="s">
        <v>55</v>
      </c>
      <c r="E1089">
        <v>1.51</v>
      </c>
      <c r="F1089">
        <v>4.7</v>
      </c>
      <c r="G1089" s="8">
        <f t="shared" si="16"/>
        <v>19.276595744680851</v>
      </c>
    </row>
    <row r="1090" spans="1:7" x14ac:dyDescent="0.25">
      <c r="A1090" s="5">
        <v>45806.71875</v>
      </c>
      <c r="B1090">
        <v>45</v>
      </c>
      <c r="C1090" t="s">
        <v>55</v>
      </c>
      <c r="D1090" t="s">
        <v>56</v>
      </c>
      <c r="E1090">
        <v>1.49</v>
      </c>
      <c r="F1090">
        <v>3.68</v>
      </c>
      <c r="G1090" s="8">
        <f t="shared" si="16"/>
        <v>24.293478260869566</v>
      </c>
    </row>
    <row r="1091" spans="1:7" x14ac:dyDescent="0.25">
      <c r="A1091" s="5">
        <v>45806.71875</v>
      </c>
      <c r="B1091">
        <v>46</v>
      </c>
      <c r="C1091" t="s">
        <v>56</v>
      </c>
      <c r="D1091" t="s">
        <v>57</v>
      </c>
      <c r="E1091">
        <v>1.52</v>
      </c>
      <c r="F1091">
        <v>4.12</v>
      </c>
      <c r="G1091" s="8">
        <f t="shared" ref="G1091:G1154" si="17">E1091*60/F1091</f>
        <v>22.135922330097088</v>
      </c>
    </row>
    <row r="1092" spans="1:7" x14ac:dyDescent="0.25">
      <c r="A1092" s="5">
        <v>45806.71875</v>
      </c>
      <c r="B1092">
        <v>47</v>
      </c>
      <c r="C1092" t="s">
        <v>58</v>
      </c>
      <c r="D1092" t="s">
        <v>59</v>
      </c>
      <c r="E1092">
        <v>1.52</v>
      </c>
      <c r="F1092">
        <v>6.55</v>
      </c>
      <c r="G1092" s="8">
        <f t="shared" si="17"/>
        <v>13.923664122137405</v>
      </c>
    </row>
    <row r="1093" spans="1:7" x14ac:dyDescent="0.25">
      <c r="A1093" s="5">
        <v>45806.71875</v>
      </c>
      <c r="B1093">
        <v>48</v>
      </c>
      <c r="C1093" t="s">
        <v>59</v>
      </c>
      <c r="D1093" t="s">
        <v>60</v>
      </c>
      <c r="E1093">
        <v>1.5</v>
      </c>
      <c r="F1093">
        <v>4.5</v>
      </c>
      <c r="G1093" s="8">
        <f t="shared" si="17"/>
        <v>20</v>
      </c>
    </row>
    <row r="1094" spans="1:7" x14ac:dyDescent="0.25">
      <c r="A1094" s="5">
        <v>45806.71875</v>
      </c>
      <c r="B1094">
        <v>49</v>
      </c>
      <c r="C1094" t="s">
        <v>60</v>
      </c>
      <c r="D1094" t="s">
        <v>61</v>
      </c>
      <c r="E1094">
        <v>1.54</v>
      </c>
      <c r="F1094">
        <v>5.23</v>
      </c>
      <c r="G1094" s="8">
        <f t="shared" si="17"/>
        <v>17.667304015296367</v>
      </c>
    </row>
    <row r="1095" spans="1:7" x14ac:dyDescent="0.25">
      <c r="A1095" s="5">
        <v>45806.71875</v>
      </c>
      <c r="B1095">
        <v>50</v>
      </c>
      <c r="C1095" t="s">
        <v>62</v>
      </c>
      <c r="D1095" t="s">
        <v>63</v>
      </c>
      <c r="E1095">
        <v>1.38</v>
      </c>
      <c r="F1095">
        <v>3.57</v>
      </c>
      <c r="G1095" s="8">
        <f t="shared" si="17"/>
        <v>23.193277310924369</v>
      </c>
    </row>
    <row r="1096" spans="1:7" x14ac:dyDescent="0.25">
      <c r="A1096" s="5">
        <v>45806.71875</v>
      </c>
      <c r="B1096">
        <v>51</v>
      </c>
      <c r="C1096" t="s">
        <v>63</v>
      </c>
      <c r="D1096" t="s">
        <v>64</v>
      </c>
      <c r="E1096">
        <v>2.79</v>
      </c>
      <c r="F1096">
        <v>6.22</v>
      </c>
      <c r="G1096" s="8">
        <f t="shared" si="17"/>
        <v>26.913183279742768</v>
      </c>
    </row>
    <row r="1097" spans="1:7" x14ac:dyDescent="0.25">
      <c r="A1097" s="5">
        <v>45806.71875</v>
      </c>
      <c r="B1097">
        <v>52</v>
      </c>
      <c r="C1097" t="s">
        <v>64</v>
      </c>
      <c r="D1097" t="s">
        <v>65</v>
      </c>
      <c r="E1097">
        <v>1.5</v>
      </c>
      <c r="F1097">
        <v>2.95</v>
      </c>
      <c r="G1097" s="8">
        <f t="shared" si="17"/>
        <v>30.508474576271183</v>
      </c>
    </row>
    <row r="1098" spans="1:7" x14ac:dyDescent="0.25">
      <c r="A1098" s="5">
        <v>45806.71875</v>
      </c>
      <c r="B1098">
        <v>53</v>
      </c>
      <c r="C1098" t="s">
        <v>65</v>
      </c>
      <c r="D1098" t="s">
        <v>66</v>
      </c>
      <c r="E1098">
        <v>1.46</v>
      </c>
      <c r="F1098">
        <v>3.93</v>
      </c>
      <c r="G1098" s="8">
        <f t="shared" si="17"/>
        <v>22.29007633587786</v>
      </c>
    </row>
    <row r="1099" spans="1:7" x14ac:dyDescent="0.25">
      <c r="A1099" s="5">
        <v>45806.71875</v>
      </c>
      <c r="B1099">
        <v>54</v>
      </c>
      <c r="C1099" t="s">
        <v>67</v>
      </c>
      <c r="D1099" t="s">
        <v>68</v>
      </c>
      <c r="E1099">
        <v>1.46</v>
      </c>
      <c r="F1099">
        <v>3.28</v>
      </c>
      <c r="G1099" s="8">
        <f t="shared" si="17"/>
        <v>26.707317073170731</v>
      </c>
    </row>
    <row r="1100" spans="1:7" x14ac:dyDescent="0.25">
      <c r="A1100" s="5">
        <v>45806.71875</v>
      </c>
      <c r="B1100">
        <v>55</v>
      </c>
      <c r="C1100" t="s">
        <v>68</v>
      </c>
      <c r="D1100" t="s">
        <v>69</v>
      </c>
      <c r="E1100">
        <v>1.5</v>
      </c>
      <c r="F1100">
        <v>2.38</v>
      </c>
      <c r="G1100" s="8">
        <f t="shared" si="17"/>
        <v>37.815126050420169</v>
      </c>
    </row>
    <row r="1101" spans="1:7" x14ac:dyDescent="0.25">
      <c r="A1101" s="5">
        <v>45806.71875</v>
      </c>
      <c r="B1101">
        <v>56</v>
      </c>
      <c r="C1101" t="s">
        <v>70</v>
      </c>
      <c r="D1101" t="s">
        <v>71</v>
      </c>
      <c r="E1101">
        <v>1.51</v>
      </c>
      <c r="F1101">
        <v>5.2</v>
      </c>
      <c r="G1101" s="8">
        <f t="shared" si="17"/>
        <v>17.42307692307692</v>
      </c>
    </row>
    <row r="1102" spans="1:7" x14ac:dyDescent="0.25">
      <c r="A1102" s="5">
        <v>45806.71875</v>
      </c>
      <c r="B1102">
        <v>57</v>
      </c>
      <c r="C1102" t="s">
        <v>71</v>
      </c>
      <c r="D1102" t="s">
        <v>72</v>
      </c>
      <c r="E1102">
        <v>1.52</v>
      </c>
      <c r="F1102">
        <v>5.37</v>
      </c>
      <c r="G1102" s="8">
        <f t="shared" si="17"/>
        <v>16.983240223463689</v>
      </c>
    </row>
    <row r="1103" spans="1:7" x14ac:dyDescent="0.25">
      <c r="A1103" s="5">
        <v>45806.71875</v>
      </c>
      <c r="B1103">
        <v>58</v>
      </c>
      <c r="C1103" t="s">
        <v>72</v>
      </c>
      <c r="D1103" t="s">
        <v>73</v>
      </c>
      <c r="E1103">
        <v>1.5</v>
      </c>
      <c r="F1103">
        <v>4.72</v>
      </c>
      <c r="G1103" s="8">
        <f t="shared" si="17"/>
        <v>19.067796610169491</v>
      </c>
    </row>
    <row r="1104" spans="1:7" x14ac:dyDescent="0.25">
      <c r="A1104" s="5">
        <v>45806.729166666664</v>
      </c>
      <c r="B1104">
        <v>1</v>
      </c>
      <c r="C1104" t="s">
        <v>6</v>
      </c>
      <c r="D1104" t="s">
        <v>7</v>
      </c>
      <c r="E1104">
        <v>1.53</v>
      </c>
      <c r="F1104">
        <v>3.38</v>
      </c>
      <c r="G1104" s="8">
        <f t="shared" si="17"/>
        <v>27.159763313609467</v>
      </c>
    </row>
    <row r="1105" spans="1:7" x14ac:dyDescent="0.25">
      <c r="A1105" s="5">
        <v>45806.729166666664</v>
      </c>
      <c r="B1105">
        <v>2</v>
      </c>
      <c r="C1105" t="s">
        <v>7</v>
      </c>
      <c r="D1105" t="s">
        <v>8</v>
      </c>
      <c r="E1105">
        <v>1.57</v>
      </c>
      <c r="F1105">
        <v>5.95</v>
      </c>
      <c r="G1105" s="8">
        <f t="shared" si="17"/>
        <v>15.831932773109244</v>
      </c>
    </row>
    <row r="1106" spans="1:7" x14ac:dyDescent="0.25">
      <c r="A1106" s="5">
        <v>45806.729166666664</v>
      </c>
      <c r="B1106">
        <v>3</v>
      </c>
      <c r="C1106" t="s">
        <v>8</v>
      </c>
      <c r="D1106" t="s">
        <v>9</v>
      </c>
      <c r="E1106">
        <v>1.5</v>
      </c>
      <c r="F1106">
        <v>3.32</v>
      </c>
      <c r="G1106" s="8">
        <f t="shared" si="17"/>
        <v>27.108433734939759</v>
      </c>
    </row>
    <row r="1107" spans="1:7" x14ac:dyDescent="0.25">
      <c r="A1107" s="5">
        <v>45806.729166666664</v>
      </c>
      <c r="B1107">
        <v>4</v>
      </c>
      <c r="C1107" t="s">
        <v>9</v>
      </c>
      <c r="D1107" t="s">
        <v>10</v>
      </c>
      <c r="E1107">
        <v>1.5</v>
      </c>
      <c r="F1107">
        <v>3.08</v>
      </c>
      <c r="G1107" s="8">
        <f t="shared" si="17"/>
        <v>29.220779220779221</v>
      </c>
    </row>
    <row r="1108" spans="1:7" x14ac:dyDescent="0.25">
      <c r="A1108" s="5">
        <v>45806.729166666664</v>
      </c>
      <c r="B1108">
        <v>5</v>
      </c>
      <c r="C1108" t="s">
        <v>10</v>
      </c>
      <c r="D1108" t="s">
        <v>11</v>
      </c>
      <c r="E1108">
        <v>1.52</v>
      </c>
      <c r="F1108">
        <v>3.6</v>
      </c>
      <c r="G1108" s="8">
        <f t="shared" si="17"/>
        <v>25.333333333333332</v>
      </c>
    </row>
    <row r="1109" spans="1:7" x14ac:dyDescent="0.25">
      <c r="A1109" s="5">
        <v>45806.729166666664</v>
      </c>
      <c r="B1109">
        <v>6</v>
      </c>
      <c r="C1109" t="s">
        <v>11</v>
      </c>
      <c r="D1109" t="s">
        <v>12</v>
      </c>
      <c r="E1109">
        <v>1.5</v>
      </c>
      <c r="F1109">
        <v>2.88</v>
      </c>
      <c r="G1109" s="8">
        <f t="shared" si="17"/>
        <v>31.25</v>
      </c>
    </row>
    <row r="1110" spans="1:7" x14ac:dyDescent="0.25">
      <c r="A1110" s="5">
        <v>45806.729166666664</v>
      </c>
      <c r="B1110">
        <v>7</v>
      </c>
      <c r="C1110" t="s">
        <v>12</v>
      </c>
      <c r="D1110" t="s">
        <v>13</v>
      </c>
      <c r="E1110">
        <v>1.54</v>
      </c>
      <c r="F1110">
        <v>2.75</v>
      </c>
      <c r="G1110" s="8">
        <f t="shared" si="17"/>
        <v>33.6</v>
      </c>
    </row>
    <row r="1111" spans="1:7" x14ac:dyDescent="0.25">
      <c r="A1111" s="5">
        <v>45806.729166666664</v>
      </c>
      <c r="B1111">
        <v>8</v>
      </c>
      <c r="C1111" t="s">
        <v>13</v>
      </c>
      <c r="D1111" t="s">
        <v>14</v>
      </c>
      <c r="E1111">
        <v>1.54</v>
      </c>
      <c r="F1111">
        <v>3.28</v>
      </c>
      <c r="G1111" s="8">
        <f t="shared" si="17"/>
        <v>28.170731707317078</v>
      </c>
    </row>
    <row r="1112" spans="1:7" x14ac:dyDescent="0.25">
      <c r="A1112" s="5">
        <v>45806.729166666664</v>
      </c>
      <c r="B1112">
        <v>9</v>
      </c>
      <c r="C1112" t="s">
        <v>14</v>
      </c>
      <c r="D1112" t="s">
        <v>15</v>
      </c>
      <c r="E1112">
        <v>1.52</v>
      </c>
      <c r="F1112">
        <v>3.6</v>
      </c>
      <c r="G1112" s="8">
        <f t="shared" si="17"/>
        <v>25.333333333333332</v>
      </c>
    </row>
    <row r="1113" spans="1:7" x14ac:dyDescent="0.25">
      <c r="A1113" s="5">
        <v>45806.729166666664</v>
      </c>
      <c r="B1113">
        <v>10</v>
      </c>
      <c r="C1113" t="s">
        <v>15</v>
      </c>
      <c r="D1113" t="s">
        <v>16</v>
      </c>
      <c r="E1113">
        <v>1.5</v>
      </c>
      <c r="F1113">
        <v>4.3499999999999996</v>
      </c>
      <c r="G1113" s="8">
        <f t="shared" si="17"/>
        <v>20.689655172413794</v>
      </c>
    </row>
    <row r="1114" spans="1:7" x14ac:dyDescent="0.25">
      <c r="A1114" s="5">
        <v>45806.729166666664</v>
      </c>
      <c r="B1114">
        <v>11</v>
      </c>
      <c r="C1114" t="s">
        <v>16</v>
      </c>
      <c r="D1114" t="s">
        <v>17</v>
      </c>
      <c r="E1114">
        <v>1.48</v>
      </c>
      <c r="F1114">
        <v>3.02</v>
      </c>
      <c r="G1114" s="8">
        <f t="shared" si="17"/>
        <v>29.403973509933774</v>
      </c>
    </row>
    <row r="1115" spans="1:7" x14ac:dyDescent="0.25">
      <c r="A1115" s="5">
        <v>45806.729166666664</v>
      </c>
      <c r="B1115">
        <v>12</v>
      </c>
      <c r="C1115" t="s">
        <v>17</v>
      </c>
      <c r="D1115" t="s">
        <v>18</v>
      </c>
      <c r="E1115">
        <v>1.46</v>
      </c>
      <c r="F1115">
        <v>4.5999999999999996</v>
      </c>
      <c r="G1115" s="8">
        <f t="shared" si="17"/>
        <v>19.043478260869566</v>
      </c>
    </row>
    <row r="1116" spans="1:7" x14ac:dyDescent="0.25">
      <c r="A1116" s="5">
        <v>45806.729166666664</v>
      </c>
      <c r="B1116">
        <v>13</v>
      </c>
      <c r="C1116" t="s">
        <v>18</v>
      </c>
      <c r="D1116" t="s">
        <v>19</v>
      </c>
      <c r="E1116">
        <v>1.52</v>
      </c>
      <c r="F1116">
        <v>4.57</v>
      </c>
      <c r="G1116" s="8">
        <f t="shared" si="17"/>
        <v>19.956236323851204</v>
      </c>
    </row>
    <row r="1117" spans="1:7" x14ac:dyDescent="0.25">
      <c r="A1117" s="5">
        <v>45806.729166666664</v>
      </c>
      <c r="B1117">
        <v>14</v>
      </c>
      <c r="C1117" t="s">
        <v>19</v>
      </c>
      <c r="D1117" t="s">
        <v>20</v>
      </c>
      <c r="E1117">
        <v>1.51</v>
      </c>
      <c r="F1117">
        <v>4.5999999999999996</v>
      </c>
      <c r="G1117" s="8">
        <f t="shared" si="17"/>
        <v>19.695652173913043</v>
      </c>
    </row>
    <row r="1118" spans="1:7" x14ac:dyDescent="0.25">
      <c r="A1118" s="5">
        <v>45806.729166666664</v>
      </c>
      <c r="B1118">
        <v>15</v>
      </c>
      <c r="C1118" t="s">
        <v>20</v>
      </c>
      <c r="D1118" t="s">
        <v>21</v>
      </c>
      <c r="E1118">
        <v>1.47</v>
      </c>
      <c r="F1118">
        <v>2.95</v>
      </c>
      <c r="G1118" s="8">
        <f t="shared" si="17"/>
        <v>29.898305084745761</v>
      </c>
    </row>
    <row r="1119" spans="1:7" x14ac:dyDescent="0.25">
      <c r="A1119" s="5">
        <v>45806.729166666664</v>
      </c>
      <c r="B1119">
        <v>16</v>
      </c>
      <c r="C1119" t="s">
        <v>21</v>
      </c>
      <c r="D1119" t="s">
        <v>22</v>
      </c>
      <c r="E1119">
        <v>1.5</v>
      </c>
      <c r="F1119">
        <v>1.85</v>
      </c>
      <c r="G1119" s="8">
        <f t="shared" si="17"/>
        <v>48.648648648648646</v>
      </c>
    </row>
    <row r="1120" spans="1:7" x14ac:dyDescent="0.25">
      <c r="A1120" s="5">
        <v>45806.729166666664</v>
      </c>
      <c r="B1120">
        <v>17</v>
      </c>
      <c r="C1120" t="s">
        <v>22</v>
      </c>
      <c r="D1120" t="s">
        <v>23</v>
      </c>
      <c r="E1120">
        <v>1.51</v>
      </c>
      <c r="F1120">
        <v>3.35</v>
      </c>
      <c r="G1120" s="8">
        <f t="shared" si="17"/>
        <v>27.044776119402982</v>
      </c>
    </row>
    <row r="1121" spans="1:7" x14ac:dyDescent="0.25">
      <c r="A1121" s="5">
        <v>45806.729166666664</v>
      </c>
      <c r="B1121">
        <v>18</v>
      </c>
      <c r="C1121" t="s">
        <v>23</v>
      </c>
      <c r="D1121" t="s">
        <v>24</v>
      </c>
      <c r="E1121">
        <v>1.51</v>
      </c>
      <c r="F1121">
        <v>3.45</v>
      </c>
      <c r="G1121" s="8">
        <f t="shared" si="17"/>
        <v>26.260869565217387</v>
      </c>
    </row>
    <row r="1122" spans="1:7" x14ac:dyDescent="0.25">
      <c r="A1122" s="5">
        <v>45806.729166666664</v>
      </c>
      <c r="B1122">
        <v>19</v>
      </c>
      <c r="C1122" t="s">
        <v>25</v>
      </c>
      <c r="D1122" t="s">
        <v>26</v>
      </c>
      <c r="E1122">
        <v>1.5</v>
      </c>
      <c r="F1122">
        <v>3.72</v>
      </c>
      <c r="G1122" s="8">
        <f t="shared" si="17"/>
        <v>24.193548387096772</v>
      </c>
    </row>
    <row r="1123" spans="1:7" x14ac:dyDescent="0.25">
      <c r="A1123" s="5">
        <v>45806.729166666664</v>
      </c>
      <c r="B1123">
        <v>20</v>
      </c>
      <c r="C1123" t="s">
        <v>26</v>
      </c>
      <c r="D1123" t="s">
        <v>27</v>
      </c>
      <c r="E1123">
        <v>1.48</v>
      </c>
      <c r="F1123">
        <v>3.55</v>
      </c>
      <c r="G1123" s="8">
        <f t="shared" si="17"/>
        <v>25.014084507042256</v>
      </c>
    </row>
    <row r="1124" spans="1:7" x14ac:dyDescent="0.25">
      <c r="A1124" s="5">
        <v>45806.729166666664</v>
      </c>
      <c r="B1124">
        <v>21</v>
      </c>
      <c r="C1124" t="s">
        <v>27</v>
      </c>
      <c r="D1124" t="s">
        <v>28</v>
      </c>
      <c r="E1124">
        <v>1.51</v>
      </c>
      <c r="F1124">
        <v>3.43</v>
      </c>
      <c r="G1124" s="8">
        <f t="shared" si="17"/>
        <v>26.413994169096206</v>
      </c>
    </row>
    <row r="1125" spans="1:7" x14ac:dyDescent="0.25">
      <c r="A1125" s="5">
        <v>45806.729166666664</v>
      </c>
      <c r="B1125">
        <v>22</v>
      </c>
      <c r="C1125" t="s">
        <v>28</v>
      </c>
      <c r="D1125" t="s">
        <v>29</v>
      </c>
      <c r="E1125">
        <v>1.57</v>
      </c>
      <c r="F1125">
        <v>3.95</v>
      </c>
      <c r="G1125" s="8">
        <f t="shared" si="17"/>
        <v>23.848101265822784</v>
      </c>
    </row>
    <row r="1126" spans="1:7" x14ac:dyDescent="0.25">
      <c r="A1126" s="5">
        <v>45806.729166666664</v>
      </c>
      <c r="B1126">
        <v>23</v>
      </c>
      <c r="C1126" t="s">
        <v>29</v>
      </c>
      <c r="D1126" t="s">
        <v>30</v>
      </c>
      <c r="E1126">
        <v>1.43</v>
      </c>
      <c r="F1126">
        <v>4.32</v>
      </c>
      <c r="G1126" s="8">
        <f t="shared" si="17"/>
        <v>19.861111111111111</v>
      </c>
    </row>
    <row r="1127" spans="1:7" x14ac:dyDescent="0.25">
      <c r="A1127" s="5">
        <v>45806.729166666664</v>
      </c>
      <c r="B1127">
        <v>24</v>
      </c>
      <c r="C1127" t="s">
        <v>30</v>
      </c>
      <c r="D1127" t="s">
        <v>31</v>
      </c>
      <c r="E1127">
        <v>1.52</v>
      </c>
      <c r="F1127">
        <v>4.25</v>
      </c>
      <c r="G1127" s="8">
        <f t="shared" si="17"/>
        <v>21.458823529411767</v>
      </c>
    </row>
    <row r="1128" spans="1:7" x14ac:dyDescent="0.25">
      <c r="A1128" s="5">
        <v>45806.729166666664</v>
      </c>
      <c r="B1128">
        <v>25</v>
      </c>
      <c r="C1128" t="s">
        <v>31</v>
      </c>
      <c r="D1128" t="s">
        <v>32</v>
      </c>
      <c r="E1128">
        <v>1.52</v>
      </c>
      <c r="F1128">
        <v>3.92</v>
      </c>
      <c r="G1128" s="8">
        <f t="shared" si="17"/>
        <v>23.26530612244898</v>
      </c>
    </row>
    <row r="1129" spans="1:7" x14ac:dyDescent="0.25">
      <c r="A1129" s="5">
        <v>45806.729166666664</v>
      </c>
      <c r="B1129">
        <v>26</v>
      </c>
      <c r="C1129" t="s">
        <v>32</v>
      </c>
      <c r="D1129" t="s">
        <v>33</v>
      </c>
      <c r="E1129">
        <v>1.49</v>
      </c>
      <c r="F1129">
        <v>4.92</v>
      </c>
      <c r="G1129" s="8">
        <f t="shared" si="17"/>
        <v>18.170731707317074</v>
      </c>
    </row>
    <row r="1130" spans="1:7" x14ac:dyDescent="0.25">
      <c r="A1130" s="5">
        <v>45806.729166666664</v>
      </c>
      <c r="B1130">
        <v>27</v>
      </c>
      <c r="C1130" t="s">
        <v>33</v>
      </c>
      <c r="D1130" t="s">
        <v>34</v>
      </c>
      <c r="E1130">
        <v>1.53</v>
      </c>
      <c r="F1130">
        <v>4.58</v>
      </c>
      <c r="G1130" s="8">
        <f t="shared" si="17"/>
        <v>20.043668122270741</v>
      </c>
    </row>
    <row r="1131" spans="1:7" x14ac:dyDescent="0.25">
      <c r="A1131" s="5">
        <v>45806.729166666664</v>
      </c>
      <c r="B1131">
        <v>28</v>
      </c>
      <c r="C1131" t="s">
        <v>34</v>
      </c>
      <c r="D1131" t="s">
        <v>35</v>
      </c>
      <c r="E1131">
        <v>1.51</v>
      </c>
      <c r="F1131">
        <v>5.18</v>
      </c>
      <c r="G1131" s="8">
        <f t="shared" si="17"/>
        <v>17.490347490347489</v>
      </c>
    </row>
    <row r="1132" spans="1:7" x14ac:dyDescent="0.25">
      <c r="A1132" s="5">
        <v>45806.729166666664</v>
      </c>
      <c r="B1132">
        <v>29</v>
      </c>
      <c r="C1132" t="s">
        <v>36</v>
      </c>
      <c r="D1132" t="s">
        <v>37</v>
      </c>
      <c r="E1132">
        <v>1.57</v>
      </c>
      <c r="F1132">
        <v>4.17</v>
      </c>
      <c r="G1132" s="8">
        <f t="shared" si="17"/>
        <v>22.589928057553958</v>
      </c>
    </row>
    <row r="1133" spans="1:7" x14ac:dyDescent="0.25">
      <c r="A1133" s="5">
        <v>45806.729166666664</v>
      </c>
      <c r="B1133">
        <v>30</v>
      </c>
      <c r="C1133" t="s">
        <v>37</v>
      </c>
      <c r="D1133" t="s">
        <v>38</v>
      </c>
      <c r="E1133">
        <v>1.57</v>
      </c>
      <c r="F1133">
        <v>4.18</v>
      </c>
      <c r="G1133" s="8">
        <f t="shared" si="17"/>
        <v>22.535885167464116</v>
      </c>
    </row>
    <row r="1134" spans="1:7" x14ac:dyDescent="0.25">
      <c r="A1134" s="5">
        <v>45806.729166666664</v>
      </c>
      <c r="B1134">
        <v>31</v>
      </c>
      <c r="C1134" t="s">
        <v>38</v>
      </c>
      <c r="D1134" t="s">
        <v>39</v>
      </c>
      <c r="E1134">
        <v>1.52</v>
      </c>
      <c r="F1134">
        <v>2.83</v>
      </c>
      <c r="G1134" s="8">
        <f t="shared" si="17"/>
        <v>32.226148409893995</v>
      </c>
    </row>
    <row r="1135" spans="1:7" x14ac:dyDescent="0.25">
      <c r="A1135" s="5">
        <v>45806.729166666664</v>
      </c>
      <c r="B1135">
        <v>32</v>
      </c>
      <c r="C1135" t="s">
        <v>39</v>
      </c>
      <c r="D1135" t="s">
        <v>40</v>
      </c>
      <c r="E1135">
        <v>1.5</v>
      </c>
      <c r="F1135">
        <v>2.17</v>
      </c>
      <c r="G1135" s="8">
        <f t="shared" si="17"/>
        <v>41.474654377880185</v>
      </c>
    </row>
    <row r="1136" spans="1:7" x14ac:dyDescent="0.25">
      <c r="A1136" s="5">
        <v>45806.729166666664</v>
      </c>
      <c r="B1136">
        <v>33</v>
      </c>
      <c r="C1136" t="s">
        <v>40</v>
      </c>
      <c r="D1136" t="s">
        <v>41</v>
      </c>
      <c r="E1136">
        <v>1.51</v>
      </c>
      <c r="F1136">
        <v>2.2200000000000002</v>
      </c>
      <c r="G1136" s="8">
        <f t="shared" si="17"/>
        <v>40.810810810810807</v>
      </c>
    </row>
    <row r="1137" spans="1:7" x14ac:dyDescent="0.25">
      <c r="A1137" s="5">
        <v>45806.729166666664</v>
      </c>
      <c r="B1137">
        <v>34</v>
      </c>
      <c r="C1137" t="s">
        <v>41</v>
      </c>
      <c r="D1137" t="s">
        <v>42</v>
      </c>
      <c r="E1137">
        <v>1.5</v>
      </c>
      <c r="F1137">
        <v>2.2000000000000002</v>
      </c>
      <c r="G1137" s="8">
        <f t="shared" si="17"/>
        <v>40.909090909090907</v>
      </c>
    </row>
    <row r="1138" spans="1:7" x14ac:dyDescent="0.25">
      <c r="A1138" s="5">
        <v>45806.729166666664</v>
      </c>
      <c r="B1138">
        <v>35</v>
      </c>
      <c r="C1138" t="s">
        <v>43</v>
      </c>
      <c r="D1138" t="s">
        <v>44</v>
      </c>
      <c r="E1138">
        <v>1.55</v>
      </c>
      <c r="F1138">
        <v>3.97</v>
      </c>
      <c r="G1138" s="8">
        <f t="shared" si="17"/>
        <v>23.425692695214103</v>
      </c>
    </row>
    <row r="1139" spans="1:7" x14ac:dyDescent="0.25">
      <c r="A1139" s="5">
        <v>45806.729166666664</v>
      </c>
      <c r="B1139">
        <v>36</v>
      </c>
      <c r="C1139" t="s">
        <v>44</v>
      </c>
      <c r="D1139" t="s">
        <v>45</v>
      </c>
      <c r="E1139">
        <v>1.5</v>
      </c>
      <c r="F1139">
        <v>3.52</v>
      </c>
      <c r="G1139" s="8">
        <f t="shared" si="17"/>
        <v>25.568181818181817</v>
      </c>
    </row>
    <row r="1140" spans="1:7" x14ac:dyDescent="0.25">
      <c r="A1140" s="5">
        <v>45806.729166666664</v>
      </c>
      <c r="B1140">
        <v>37</v>
      </c>
      <c r="C1140" t="s">
        <v>45</v>
      </c>
      <c r="D1140" t="s">
        <v>46</v>
      </c>
      <c r="E1140">
        <v>1.38</v>
      </c>
      <c r="F1140">
        <v>4.4000000000000004</v>
      </c>
      <c r="G1140" s="8">
        <f t="shared" si="17"/>
        <v>18.818181818181817</v>
      </c>
    </row>
    <row r="1141" spans="1:7" x14ac:dyDescent="0.25">
      <c r="A1141" s="5">
        <v>45806.729166666664</v>
      </c>
      <c r="B1141">
        <v>38</v>
      </c>
      <c r="C1141" t="s">
        <v>46</v>
      </c>
      <c r="D1141" t="s">
        <v>47</v>
      </c>
      <c r="E1141">
        <v>1.61</v>
      </c>
      <c r="F1141">
        <v>4.6500000000000004</v>
      </c>
      <c r="G1141" s="8">
        <f t="shared" si="17"/>
        <v>20.774193548387096</v>
      </c>
    </row>
    <row r="1142" spans="1:7" x14ac:dyDescent="0.25">
      <c r="A1142" s="5">
        <v>45806.729166666664</v>
      </c>
      <c r="B1142">
        <v>39</v>
      </c>
      <c r="C1142" t="s">
        <v>47</v>
      </c>
      <c r="D1142" t="s">
        <v>48</v>
      </c>
      <c r="E1142">
        <v>1.55</v>
      </c>
      <c r="F1142">
        <v>3.8</v>
      </c>
      <c r="G1142" s="8">
        <f t="shared" si="17"/>
        <v>24.473684210526319</v>
      </c>
    </row>
    <row r="1143" spans="1:7" x14ac:dyDescent="0.25">
      <c r="A1143" s="5">
        <v>45806.729166666664</v>
      </c>
      <c r="B1143">
        <v>40</v>
      </c>
      <c r="C1143" t="s">
        <v>48</v>
      </c>
      <c r="D1143" t="s">
        <v>49</v>
      </c>
      <c r="E1143">
        <v>1.39</v>
      </c>
      <c r="F1143">
        <v>3.42</v>
      </c>
      <c r="G1143" s="8">
        <f t="shared" si="17"/>
        <v>24.385964912280699</v>
      </c>
    </row>
    <row r="1144" spans="1:7" x14ac:dyDescent="0.25">
      <c r="A1144" s="5">
        <v>45806.729166666664</v>
      </c>
      <c r="B1144">
        <v>41</v>
      </c>
      <c r="C1144" t="s">
        <v>50</v>
      </c>
      <c r="D1144" t="s">
        <v>51</v>
      </c>
      <c r="E1144">
        <v>1.56</v>
      </c>
      <c r="F1144">
        <v>4.82</v>
      </c>
      <c r="G1144" s="8">
        <f t="shared" si="17"/>
        <v>19.419087136929463</v>
      </c>
    </row>
    <row r="1145" spans="1:7" x14ac:dyDescent="0.25">
      <c r="A1145" s="5">
        <v>45806.729166666664</v>
      </c>
      <c r="B1145">
        <v>42</v>
      </c>
      <c r="C1145" t="s">
        <v>51</v>
      </c>
      <c r="D1145" t="s">
        <v>52</v>
      </c>
      <c r="E1145">
        <v>1.56</v>
      </c>
      <c r="F1145">
        <v>4.12</v>
      </c>
      <c r="G1145" s="8">
        <f t="shared" si="17"/>
        <v>22.71844660194175</v>
      </c>
    </row>
    <row r="1146" spans="1:7" x14ac:dyDescent="0.25">
      <c r="A1146" s="5">
        <v>45806.729166666664</v>
      </c>
      <c r="B1146">
        <v>43</v>
      </c>
      <c r="C1146" t="s">
        <v>52</v>
      </c>
      <c r="D1146" t="s">
        <v>53</v>
      </c>
      <c r="E1146">
        <v>1.51</v>
      </c>
      <c r="F1146">
        <v>3.97</v>
      </c>
      <c r="G1146" s="8">
        <f t="shared" si="17"/>
        <v>22.821158690176318</v>
      </c>
    </row>
    <row r="1147" spans="1:7" x14ac:dyDescent="0.25">
      <c r="A1147" s="5">
        <v>45806.729166666664</v>
      </c>
      <c r="B1147">
        <v>44</v>
      </c>
      <c r="C1147" t="s">
        <v>54</v>
      </c>
      <c r="D1147" t="s">
        <v>55</v>
      </c>
      <c r="E1147">
        <v>1.51</v>
      </c>
      <c r="F1147">
        <v>4.57</v>
      </c>
      <c r="G1147" s="8">
        <f t="shared" si="17"/>
        <v>19.824945295404813</v>
      </c>
    </row>
    <row r="1148" spans="1:7" x14ac:dyDescent="0.25">
      <c r="A1148" s="5">
        <v>45806.729166666664</v>
      </c>
      <c r="B1148">
        <v>45</v>
      </c>
      <c r="C1148" t="s">
        <v>55</v>
      </c>
      <c r="D1148" t="s">
        <v>56</v>
      </c>
      <c r="E1148">
        <v>1.49</v>
      </c>
      <c r="F1148">
        <v>4.5199999999999996</v>
      </c>
      <c r="G1148" s="8">
        <f t="shared" si="17"/>
        <v>19.778761061946906</v>
      </c>
    </row>
    <row r="1149" spans="1:7" x14ac:dyDescent="0.25">
      <c r="A1149" s="5">
        <v>45806.729166666664</v>
      </c>
      <c r="B1149">
        <v>46</v>
      </c>
      <c r="C1149" t="s">
        <v>56</v>
      </c>
      <c r="D1149" t="s">
        <v>57</v>
      </c>
      <c r="E1149">
        <v>1.52</v>
      </c>
      <c r="F1149">
        <v>4.2</v>
      </c>
      <c r="G1149" s="8">
        <f t="shared" si="17"/>
        <v>21.714285714285715</v>
      </c>
    </row>
    <row r="1150" spans="1:7" x14ac:dyDescent="0.25">
      <c r="A1150" s="5">
        <v>45806.729166666664</v>
      </c>
      <c r="B1150">
        <v>47</v>
      </c>
      <c r="C1150" t="s">
        <v>58</v>
      </c>
      <c r="D1150" t="s">
        <v>59</v>
      </c>
      <c r="E1150">
        <v>1.52</v>
      </c>
      <c r="F1150">
        <v>4.5</v>
      </c>
      <c r="G1150" s="8">
        <f t="shared" si="17"/>
        <v>20.266666666666666</v>
      </c>
    </row>
    <row r="1151" spans="1:7" x14ac:dyDescent="0.25">
      <c r="A1151" s="5">
        <v>45806.729166666664</v>
      </c>
      <c r="B1151">
        <v>48</v>
      </c>
      <c r="C1151" t="s">
        <v>59</v>
      </c>
      <c r="D1151" t="s">
        <v>60</v>
      </c>
      <c r="E1151">
        <v>1.5</v>
      </c>
      <c r="F1151">
        <v>4.22</v>
      </c>
      <c r="G1151" s="8">
        <f t="shared" si="17"/>
        <v>21.327014218009481</v>
      </c>
    </row>
    <row r="1152" spans="1:7" x14ac:dyDescent="0.25">
      <c r="A1152" s="5">
        <v>45806.729166666664</v>
      </c>
      <c r="B1152">
        <v>49</v>
      </c>
      <c r="C1152" t="s">
        <v>60</v>
      </c>
      <c r="D1152" t="s">
        <v>61</v>
      </c>
      <c r="E1152">
        <v>1.54</v>
      </c>
      <c r="F1152">
        <v>4.88</v>
      </c>
      <c r="G1152" s="8">
        <f t="shared" si="17"/>
        <v>18.934426229508198</v>
      </c>
    </row>
    <row r="1153" spans="1:7" x14ac:dyDescent="0.25">
      <c r="A1153" s="5">
        <v>45806.729166666664</v>
      </c>
      <c r="B1153">
        <v>50</v>
      </c>
      <c r="C1153" t="s">
        <v>62</v>
      </c>
      <c r="D1153" t="s">
        <v>63</v>
      </c>
      <c r="E1153">
        <v>1.38</v>
      </c>
      <c r="F1153">
        <v>3.57</v>
      </c>
      <c r="G1153" s="8">
        <f t="shared" si="17"/>
        <v>23.193277310924369</v>
      </c>
    </row>
    <row r="1154" spans="1:7" x14ac:dyDescent="0.25">
      <c r="A1154" s="5">
        <v>45806.729166666664</v>
      </c>
      <c r="B1154">
        <v>51</v>
      </c>
      <c r="C1154" t="s">
        <v>63</v>
      </c>
      <c r="D1154" t="s">
        <v>64</v>
      </c>
      <c r="E1154">
        <v>2.79</v>
      </c>
      <c r="F1154">
        <v>5.73</v>
      </c>
      <c r="G1154" s="8">
        <f t="shared" si="17"/>
        <v>29.214659685863872</v>
      </c>
    </row>
    <row r="1155" spans="1:7" x14ac:dyDescent="0.25">
      <c r="A1155" s="5">
        <v>45806.729166666664</v>
      </c>
      <c r="B1155">
        <v>52</v>
      </c>
      <c r="C1155" t="s">
        <v>64</v>
      </c>
      <c r="D1155" t="s">
        <v>65</v>
      </c>
      <c r="E1155">
        <v>1.5</v>
      </c>
      <c r="F1155">
        <v>2.93</v>
      </c>
      <c r="G1155" s="8">
        <f t="shared" ref="G1155:G1218" si="18">E1155*60/F1155</f>
        <v>30.716723549488052</v>
      </c>
    </row>
    <row r="1156" spans="1:7" x14ac:dyDescent="0.25">
      <c r="A1156" s="5">
        <v>45806.729166666664</v>
      </c>
      <c r="B1156">
        <v>53</v>
      </c>
      <c r="C1156" t="s">
        <v>65</v>
      </c>
      <c r="D1156" t="s">
        <v>66</v>
      </c>
      <c r="E1156">
        <v>1.46</v>
      </c>
      <c r="F1156">
        <v>3.88</v>
      </c>
      <c r="G1156" s="8">
        <f t="shared" si="18"/>
        <v>22.577319587628864</v>
      </c>
    </row>
    <row r="1157" spans="1:7" x14ac:dyDescent="0.25">
      <c r="A1157" s="5">
        <v>45806.729166666664</v>
      </c>
      <c r="B1157">
        <v>54</v>
      </c>
      <c r="C1157" t="s">
        <v>67</v>
      </c>
      <c r="D1157" t="s">
        <v>68</v>
      </c>
      <c r="E1157">
        <v>1.46</v>
      </c>
      <c r="F1157">
        <v>2.88</v>
      </c>
      <c r="G1157" s="8">
        <f t="shared" si="18"/>
        <v>30.416666666666664</v>
      </c>
    </row>
    <row r="1158" spans="1:7" x14ac:dyDescent="0.25">
      <c r="A1158" s="5">
        <v>45806.729166666664</v>
      </c>
      <c r="B1158">
        <v>55</v>
      </c>
      <c r="C1158" t="s">
        <v>68</v>
      </c>
      <c r="D1158" t="s">
        <v>69</v>
      </c>
      <c r="E1158">
        <v>1.5</v>
      </c>
      <c r="F1158">
        <v>2.2200000000000002</v>
      </c>
      <c r="G1158" s="8">
        <f t="shared" si="18"/>
        <v>40.54054054054054</v>
      </c>
    </row>
    <row r="1159" spans="1:7" x14ac:dyDescent="0.25">
      <c r="A1159" s="5">
        <v>45806.729166666664</v>
      </c>
      <c r="B1159">
        <v>56</v>
      </c>
      <c r="C1159" t="s">
        <v>70</v>
      </c>
      <c r="D1159" t="s">
        <v>71</v>
      </c>
      <c r="E1159">
        <v>1.51</v>
      </c>
      <c r="F1159">
        <v>5.43</v>
      </c>
      <c r="G1159" s="8">
        <f t="shared" si="18"/>
        <v>16.685082872928177</v>
      </c>
    </row>
    <row r="1160" spans="1:7" x14ac:dyDescent="0.25">
      <c r="A1160" s="5">
        <v>45806.729166666664</v>
      </c>
      <c r="B1160">
        <v>57</v>
      </c>
      <c r="C1160" t="s">
        <v>71</v>
      </c>
      <c r="D1160" t="s">
        <v>72</v>
      </c>
      <c r="E1160">
        <v>1.52</v>
      </c>
      <c r="F1160">
        <v>5.48</v>
      </c>
      <c r="G1160" s="8">
        <f t="shared" si="18"/>
        <v>16.642335766423358</v>
      </c>
    </row>
    <row r="1161" spans="1:7" x14ac:dyDescent="0.25">
      <c r="A1161" s="5">
        <v>45806.729166666664</v>
      </c>
      <c r="B1161">
        <v>58</v>
      </c>
      <c r="C1161" t="s">
        <v>72</v>
      </c>
      <c r="D1161" t="s">
        <v>73</v>
      </c>
      <c r="E1161">
        <v>1.5</v>
      </c>
      <c r="F1161">
        <v>4.68</v>
      </c>
      <c r="G1161" s="8">
        <f t="shared" si="18"/>
        <v>19.230769230769234</v>
      </c>
    </row>
    <row r="1162" spans="1:7" x14ac:dyDescent="0.25">
      <c r="A1162" s="5">
        <v>45806.739583333336</v>
      </c>
      <c r="B1162">
        <v>1</v>
      </c>
      <c r="C1162" t="s">
        <v>6</v>
      </c>
      <c r="D1162" t="s">
        <v>7</v>
      </c>
      <c r="E1162">
        <v>1.53</v>
      </c>
      <c r="F1162">
        <v>3.53</v>
      </c>
      <c r="G1162" s="8">
        <f t="shared" si="18"/>
        <v>26.005665722379604</v>
      </c>
    </row>
    <row r="1163" spans="1:7" x14ac:dyDescent="0.25">
      <c r="A1163" s="5">
        <v>45806.739583333336</v>
      </c>
      <c r="B1163">
        <v>2</v>
      </c>
      <c r="C1163" t="s">
        <v>7</v>
      </c>
      <c r="D1163" t="s">
        <v>8</v>
      </c>
      <c r="E1163">
        <v>1.57</v>
      </c>
      <c r="F1163">
        <v>6.2</v>
      </c>
      <c r="G1163" s="8">
        <f t="shared" si="18"/>
        <v>15.193548387096774</v>
      </c>
    </row>
    <row r="1164" spans="1:7" x14ac:dyDescent="0.25">
      <c r="A1164" s="5">
        <v>45806.739583333336</v>
      </c>
      <c r="B1164">
        <v>3</v>
      </c>
      <c r="C1164" t="s">
        <v>8</v>
      </c>
      <c r="D1164" t="s">
        <v>9</v>
      </c>
      <c r="E1164">
        <v>1.5</v>
      </c>
      <c r="F1164">
        <v>3.57</v>
      </c>
      <c r="G1164" s="8">
        <f t="shared" si="18"/>
        <v>25.210084033613448</v>
      </c>
    </row>
    <row r="1165" spans="1:7" x14ac:dyDescent="0.25">
      <c r="A1165" s="5">
        <v>45806.739583333336</v>
      </c>
      <c r="B1165">
        <v>4</v>
      </c>
      <c r="C1165" t="s">
        <v>9</v>
      </c>
      <c r="D1165" t="s">
        <v>10</v>
      </c>
      <c r="E1165">
        <v>1.5</v>
      </c>
      <c r="F1165">
        <v>3.12</v>
      </c>
      <c r="G1165" s="8">
        <f t="shared" si="18"/>
        <v>28.846153846153847</v>
      </c>
    </row>
    <row r="1166" spans="1:7" x14ac:dyDescent="0.25">
      <c r="A1166" s="5">
        <v>45806.739583333336</v>
      </c>
      <c r="B1166">
        <v>5</v>
      </c>
      <c r="C1166" t="s">
        <v>10</v>
      </c>
      <c r="D1166" t="s">
        <v>11</v>
      </c>
      <c r="E1166">
        <v>1.52</v>
      </c>
      <c r="F1166">
        <v>3.57</v>
      </c>
      <c r="G1166" s="8">
        <f t="shared" si="18"/>
        <v>25.54621848739496</v>
      </c>
    </row>
    <row r="1167" spans="1:7" x14ac:dyDescent="0.25">
      <c r="A1167" s="5">
        <v>45806.739583333336</v>
      </c>
      <c r="B1167">
        <v>6</v>
      </c>
      <c r="C1167" t="s">
        <v>11</v>
      </c>
      <c r="D1167" t="s">
        <v>12</v>
      </c>
      <c r="E1167">
        <v>1.5</v>
      </c>
      <c r="F1167">
        <v>2.82</v>
      </c>
      <c r="G1167" s="8">
        <f t="shared" si="18"/>
        <v>31.914893617021278</v>
      </c>
    </row>
    <row r="1168" spans="1:7" x14ac:dyDescent="0.25">
      <c r="A1168" s="5">
        <v>45806.739583333336</v>
      </c>
      <c r="B1168">
        <v>7</v>
      </c>
      <c r="C1168" t="s">
        <v>12</v>
      </c>
      <c r="D1168" t="s">
        <v>13</v>
      </c>
      <c r="E1168">
        <v>1.54</v>
      </c>
      <c r="F1168">
        <v>2.83</v>
      </c>
      <c r="G1168" s="8">
        <f t="shared" si="18"/>
        <v>32.650176678445234</v>
      </c>
    </row>
    <row r="1169" spans="1:7" x14ac:dyDescent="0.25">
      <c r="A1169" s="5">
        <v>45806.739583333336</v>
      </c>
      <c r="B1169">
        <v>8</v>
      </c>
      <c r="C1169" t="s">
        <v>13</v>
      </c>
      <c r="D1169" t="s">
        <v>14</v>
      </c>
      <c r="E1169">
        <v>1.54</v>
      </c>
      <c r="F1169">
        <v>3.55</v>
      </c>
      <c r="G1169" s="8">
        <f t="shared" si="18"/>
        <v>26.028169014084511</v>
      </c>
    </row>
    <row r="1170" spans="1:7" x14ac:dyDescent="0.25">
      <c r="A1170" s="5">
        <v>45806.739583333336</v>
      </c>
      <c r="B1170">
        <v>9</v>
      </c>
      <c r="C1170" t="s">
        <v>14</v>
      </c>
      <c r="D1170" t="s">
        <v>15</v>
      </c>
      <c r="E1170">
        <v>1.52</v>
      </c>
      <c r="F1170">
        <v>3.97</v>
      </c>
      <c r="G1170" s="8">
        <f t="shared" si="18"/>
        <v>22.972292191435766</v>
      </c>
    </row>
    <row r="1171" spans="1:7" x14ac:dyDescent="0.25">
      <c r="A1171" s="5">
        <v>45806.739583333336</v>
      </c>
      <c r="B1171">
        <v>10</v>
      </c>
      <c r="C1171" t="s">
        <v>15</v>
      </c>
      <c r="D1171" t="s">
        <v>16</v>
      </c>
      <c r="E1171">
        <v>1.5</v>
      </c>
      <c r="F1171">
        <v>4.2300000000000004</v>
      </c>
      <c r="G1171" s="8">
        <f t="shared" si="18"/>
        <v>21.276595744680851</v>
      </c>
    </row>
    <row r="1172" spans="1:7" x14ac:dyDescent="0.25">
      <c r="A1172" s="5">
        <v>45806.739583333336</v>
      </c>
      <c r="B1172">
        <v>11</v>
      </c>
      <c r="C1172" t="s">
        <v>16</v>
      </c>
      <c r="D1172" t="s">
        <v>17</v>
      </c>
      <c r="E1172">
        <v>1.48</v>
      </c>
      <c r="F1172">
        <v>3.67</v>
      </c>
      <c r="G1172" s="8">
        <f t="shared" si="18"/>
        <v>24.196185286103542</v>
      </c>
    </row>
    <row r="1173" spans="1:7" x14ac:dyDescent="0.25">
      <c r="A1173" s="5">
        <v>45806.739583333336</v>
      </c>
      <c r="B1173">
        <v>12</v>
      </c>
      <c r="C1173" t="s">
        <v>17</v>
      </c>
      <c r="D1173" t="s">
        <v>18</v>
      </c>
      <c r="E1173">
        <v>1.46</v>
      </c>
      <c r="F1173">
        <v>4.7300000000000004</v>
      </c>
      <c r="G1173" s="8">
        <f t="shared" si="18"/>
        <v>18.520084566596193</v>
      </c>
    </row>
    <row r="1174" spans="1:7" x14ac:dyDescent="0.25">
      <c r="A1174" s="5">
        <v>45806.739583333336</v>
      </c>
      <c r="B1174">
        <v>13</v>
      </c>
      <c r="C1174" t="s">
        <v>18</v>
      </c>
      <c r="D1174" t="s">
        <v>19</v>
      </c>
      <c r="E1174">
        <v>1.52</v>
      </c>
      <c r="F1174">
        <v>5.42</v>
      </c>
      <c r="G1174" s="8">
        <f t="shared" si="18"/>
        <v>16.826568265682656</v>
      </c>
    </row>
    <row r="1175" spans="1:7" x14ac:dyDescent="0.25">
      <c r="A1175" s="5">
        <v>45806.739583333336</v>
      </c>
      <c r="B1175">
        <v>14</v>
      </c>
      <c r="C1175" t="s">
        <v>19</v>
      </c>
      <c r="D1175" t="s">
        <v>20</v>
      </c>
      <c r="E1175">
        <v>1.51</v>
      </c>
      <c r="F1175">
        <v>4.7</v>
      </c>
      <c r="G1175" s="8">
        <f t="shared" si="18"/>
        <v>19.276595744680851</v>
      </c>
    </row>
    <row r="1176" spans="1:7" x14ac:dyDescent="0.25">
      <c r="A1176" s="5">
        <v>45806.739583333336</v>
      </c>
      <c r="B1176">
        <v>15</v>
      </c>
      <c r="C1176" t="s">
        <v>20</v>
      </c>
      <c r="D1176" t="s">
        <v>21</v>
      </c>
      <c r="E1176">
        <v>1.47</v>
      </c>
      <c r="F1176">
        <v>3.22</v>
      </c>
      <c r="G1176" s="8">
        <f t="shared" si="18"/>
        <v>27.391304347826086</v>
      </c>
    </row>
    <row r="1177" spans="1:7" x14ac:dyDescent="0.25">
      <c r="A1177" s="5">
        <v>45806.739583333336</v>
      </c>
      <c r="B1177">
        <v>16</v>
      </c>
      <c r="C1177" t="s">
        <v>21</v>
      </c>
      <c r="D1177" t="s">
        <v>22</v>
      </c>
      <c r="E1177">
        <v>1.5</v>
      </c>
      <c r="F1177">
        <v>2.25</v>
      </c>
      <c r="G1177" s="8">
        <f t="shared" si="18"/>
        <v>40</v>
      </c>
    </row>
    <row r="1178" spans="1:7" x14ac:dyDescent="0.25">
      <c r="A1178" s="5">
        <v>45806.739583333336</v>
      </c>
      <c r="B1178">
        <v>17</v>
      </c>
      <c r="C1178" t="s">
        <v>22</v>
      </c>
      <c r="D1178" t="s">
        <v>23</v>
      </c>
      <c r="E1178">
        <v>1.51</v>
      </c>
      <c r="F1178">
        <v>3.92</v>
      </c>
      <c r="G1178" s="8">
        <f t="shared" si="18"/>
        <v>23.112244897959183</v>
      </c>
    </row>
    <row r="1179" spans="1:7" x14ac:dyDescent="0.25">
      <c r="A1179" s="5">
        <v>45806.739583333336</v>
      </c>
      <c r="B1179">
        <v>18</v>
      </c>
      <c r="C1179" t="s">
        <v>23</v>
      </c>
      <c r="D1179" t="s">
        <v>24</v>
      </c>
      <c r="E1179">
        <v>1.51</v>
      </c>
      <c r="F1179">
        <v>3.85</v>
      </c>
      <c r="G1179" s="8">
        <f t="shared" si="18"/>
        <v>23.532467532467532</v>
      </c>
    </row>
    <row r="1180" spans="1:7" x14ac:dyDescent="0.25">
      <c r="A1180" s="5">
        <v>45806.739583333336</v>
      </c>
      <c r="B1180">
        <v>19</v>
      </c>
      <c r="C1180" t="s">
        <v>25</v>
      </c>
      <c r="D1180" t="s">
        <v>26</v>
      </c>
      <c r="E1180">
        <v>1.5</v>
      </c>
      <c r="F1180">
        <v>3.78</v>
      </c>
      <c r="G1180" s="8">
        <f t="shared" si="18"/>
        <v>23.80952380952381</v>
      </c>
    </row>
    <row r="1181" spans="1:7" x14ac:dyDescent="0.25">
      <c r="A1181" s="5">
        <v>45806.739583333336</v>
      </c>
      <c r="B1181">
        <v>20</v>
      </c>
      <c r="C1181" t="s">
        <v>26</v>
      </c>
      <c r="D1181" t="s">
        <v>27</v>
      </c>
      <c r="E1181">
        <v>1.48</v>
      </c>
      <c r="F1181">
        <v>3.32</v>
      </c>
      <c r="G1181" s="8">
        <f t="shared" si="18"/>
        <v>26.746987951807231</v>
      </c>
    </row>
    <row r="1182" spans="1:7" x14ac:dyDescent="0.25">
      <c r="A1182" s="5">
        <v>45806.739583333336</v>
      </c>
      <c r="B1182">
        <v>21</v>
      </c>
      <c r="C1182" t="s">
        <v>27</v>
      </c>
      <c r="D1182" t="s">
        <v>28</v>
      </c>
      <c r="E1182">
        <v>1.51</v>
      </c>
      <c r="F1182">
        <v>3.87</v>
      </c>
      <c r="G1182" s="8">
        <f t="shared" si="18"/>
        <v>23.410852713178294</v>
      </c>
    </row>
    <row r="1183" spans="1:7" x14ac:dyDescent="0.25">
      <c r="A1183" s="5">
        <v>45806.739583333336</v>
      </c>
      <c r="B1183">
        <v>22</v>
      </c>
      <c r="C1183" t="s">
        <v>28</v>
      </c>
      <c r="D1183" t="s">
        <v>29</v>
      </c>
      <c r="E1183">
        <v>1.57</v>
      </c>
      <c r="F1183">
        <v>4.05</v>
      </c>
      <c r="G1183" s="8">
        <f t="shared" si="18"/>
        <v>23.25925925925926</v>
      </c>
    </row>
    <row r="1184" spans="1:7" x14ac:dyDescent="0.25">
      <c r="A1184" s="5">
        <v>45806.739583333336</v>
      </c>
      <c r="B1184">
        <v>23</v>
      </c>
      <c r="C1184" t="s">
        <v>29</v>
      </c>
      <c r="D1184" t="s">
        <v>30</v>
      </c>
      <c r="E1184">
        <v>1.43</v>
      </c>
      <c r="F1184">
        <v>5.43</v>
      </c>
      <c r="G1184" s="8">
        <f t="shared" si="18"/>
        <v>15.801104972375692</v>
      </c>
    </row>
    <row r="1185" spans="1:7" x14ac:dyDescent="0.25">
      <c r="A1185" s="5">
        <v>45806.739583333336</v>
      </c>
      <c r="B1185">
        <v>24</v>
      </c>
      <c r="C1185" t="s">
        <v>30</v>
      </c>
      <c r="D1185" t="s">
        <v>31</v>
      </c>
      <c r="E1185">
        <v>1.52</v>
      </c>
      <c r="F1185">
        <v>4.53</v>
      </c>
      <c r="G1185" s="8">
        <f t="shared" si="18"/>
        <v>20.132450331125828</v>
      </c>
    </row>
    <row r="1186" spans="1:7" x14ac:dyDescent="0.25">
      <c r="A1186" s="5">
        <v>45806.739583333336</v>
      </c>
      <c r="B1186">
        <v>25</v>
      </c>
      <c r="C1186" t="s">
        <v>31</v>
      </c>
      <c r="D1186" t="s">
        <v>32</v>
      </c>
      <c r="E1186">
        <v>1.52</v>
      </c>
      <c r="F1186">
        <v>3.58</v>
      </c>
      <c r="G1186" s="8">
        <f t="shared" si="18"/>
        <v>25.47486033519553</v>
      </c>
    </row>
    <row r="1187" spans="1:7" x14ac:dyDescent="0.25">
      <c r="A1187" s="5">
        <v>45806.739583333336</v>
      </c>
      <c r="B1187">
        <v>26</v>
      </c>
      <c r="C1187" t="s">
        <v>32</v>
      </c>
      <c r="D1187" t="s">
        <v>33</v>
      </c>
      <c r="E1187">
        <v>1.49</v>
      </c>
      <c r="F1187">
        <v>5.17</v>
      </c>
      <c r="G1187" s="8">
        <f t="shared" si="18"/>
        <v>17.292069632495167</v>
      </c>
    </row>
    <row r="1188" spans="1:7" x14ac:dyDescent="0.25">
      <c r="A1188" s="5">
        <v>45806.739583333336</v>
      </c>
      <c r="B1188">
        <v>27</v>
      </c>
      <c r="C1188" t="s">
        <v>33</v>
      </c>
      <c r="D1188" t="s">
        <v>34</v>
      </c>
      <c r="E1188">
        <v>1.53</v>
      </c>
      <c r="F1188">
        <v>4.25</v>
      </c>
      <c r="G1188" s="8">
        <f t="shared" si="18"/>
        <v>21.599999999999998</v>
      </c>
    </row>
    <row r="1189" spans="1:7" x14ac:dyDescent="0.25">
      <c r="A1189" s="5">
        <v>45806.739583333336</v>
      </c>
      <c r="B1189">
        <v>28</v>
      </c>
      <c r="C1189" t="s">
        <v>34</v>
      </c>
      <c r="D1189" t="s">
        <v>35</v>
      </c>
      <c r="E1189">
        <v>1.51</v>
      </c>
      <c r="F1189">
        <v>4.62</v>
      </c>
      <c r="G1189" s="8">
        <f t="shared" si="18"/>
        <v>19.61038961038961</v>
      </c>
    </row>
    <row r="1190" spans="1:7" x14ac:dyDescent="0.25">
      <c r="A1190" s="5">
        <v>45806.739583333336</v>
      </c>
      <c r="B1190">
        <v>29</v>
      </c>
      <c r="C1190" t="s">
        <v>36</v>
      </c>
      <c r="D1190" t="s">
        <v>37</v>
      </c>
      <c r="E1190">
        <v>1.57</v>
      </c>
      <c r="F1190">
        <v>4.58</v>
      </c>
      <c r="G1190" s="8">
        <f t="shared" si="18"/>
        <v>20.567685589519652</v>
      </c>
    </row>
    <row r="1191" spans="1:7" x14ac:dyDescent="0.25">
      <c r="A1191" s="5">
        <v>45806.739583333336</v>
      </c>
      <c r="B1191">
        <v>30</v>
      </c>
      <c r="C1191" t="s">
        <v>37</v>
      </c>
      <c r="D1191" t="s">
        <v>38</v>
      </c>
      <c r="E1191">
        <v>1.57</v>
      </c>
      <c r="F1191">
        <v>4.08</v>
      </c>
      <c r="G1191" s="8">
        <f t="shared" si="18"/>
        <v>23.088235294117649</v>
      </c>
    </row>
    <row r="1192" spans="1:7" x14ac:dyDescent="0.25">
      <c r="A1192" s="5">
        <v>45806.739583333336</v>
      </c>
      <c r="B1192">
        <v>31</v>
      </c>
      <c r="C1192" t="s">
        <v>38</v>
      </c>
      <c r="D1192" t="s">
        <v>39</v>
      </c>
      <c r="E1192">
        <v>1.52</v>
      </c>
      <c r="F1192">
        <v>3.4</v>
      </c>
      <c r="G1192" s="8">
        <f t="shared" si="18"/>
        <v>26.823529411764707</v>
      </c>
    </row>
    <row r="1193" spans="1:7" x14ac:dyDescent="0.25">
      <c r="A1193" s="5">
        <v>45806.739583333336</v>
      </c>
      <c r="B1193">
        <v>32</v>
      </c>
      <c r="C1193" t="s">
        <v>39</v>
      </c>
      <c r="D1193" t="s">
        <v>40</v>
      </c>
      <c r="E1193">
        <v>1.5</v>
      </c>
      <c r="F1193">
        <v>3.23</v>
      </c>
      <c r="G1193" s="8">
        <f t="shared" si="18"/>
        <v>27.86377708978328</v>
      </c>
    </row>
    <row r="1194" spans="1:7" x14ac:dyDescent="0.25">
      <c r="A1194" s="5">
        <v>45806.739583333336</v>
      </c>
      <c r="B1194">
        <v>33</v>
      </c>
      <c r="C1194" t="s">
        <v>40</v>
      </c>
      <c r="D1194" t="s">
        <v>41</v>
      </c>
      <c r="E1194">
        <v>1.51</v>
      </c>
      <c r="F1194">
        <v>2.33</v>
      </c>
      <c r="G1194" s="8">
        <f t="shared" si="18"/>
        <v>38.884120171673814</v>
      </c>
    </row>
    <row r="1195" spans="1:7" x14ac:dyDescent="0.25">
      <c r="A1195" s="5">
        <v>45806.739583333336</v>
      </c>
      <c r="B1195">
        <v>34</v>
      </c>
      <c r="C1195" t="s">
        <v>41</v>
      </c>
      <c r="D1195" t="s">
        <v>42</v>
      </c>
      <c r="E1195">
        <v>1.5</v>
      </c>
      <c r="F1195">
        <v>2.15</v>
      </c>
      <c r="G1195" s="8">
        <f t="shared" si="18"/>
        <v>41.860465116279073</v>
      </c>
    </row>
    <row r="1196" spans="1:7" x14ac:dyDescent="0.25">
      <c r="A1196" s="5">
        <v>45806.739583333336</v>
      </c>
      <c r="B1196">
        <v>35</v>
      </c>
      <c r="C1196" t="s">
        <v>43</v>
      </c>
      <c r="D1196" t="s">
        <v>44</v>
      </c>
      <c r="E1196">
        <v>1.55</v>
      </c>
      <c r="F1196">
        <v>4.43</v>
      </c>
      <c r="G1196" s="8">
        <f t="shared" si="18"/>
        <v>20.993227990970656</v>
      </c>
    </row>
    <row r="1197" spans="1:7" x14ac:dyDescent="0.25">
      <c r="A1197" s="5">
        <v>45806.739583333336</v>
      </c>
      <c r="B1197">
        <v>36</v>
      </c>
      <c r="C1197" t="s">
        <v>44</v>
      </c>
      <c r="D1197" t="s">
        <v>45</v>
      </c>
      <c r="E1197">
        <v>1.5</v>
      </c>
      <c r="F1197">
        <v>3.93</v>
      </c>
      <c r="G1197" s="8">
        <f t="shared" si="18"/>
        <v>22.900763358778626</v>
      </c>
    </row>
    <row r="1198" spans="1:7" x14ac:dyDescent="0.25">
      <c r="A1198" s="5">
        <v>45806.739583333336</v>
      </c>
      <c r="B1198">
        <v>37</v>
      </c>
      <c r="C1198" t="s">
        <v>45</v>
      </c>
      <c r="D1198" t="s">
        <v>46</v>
      </c>
      <c r="E1198">
        <v>1.38</v>
      </c>
      <c r="F1198">
        <v>5.68</v>
      </c>
      <c r="G1198" s="8">
        <f t="shared" si="18"/>
        <v>14.577464788732394</v>
      </c>
    </row>
    <row r="1199" spans="1:7" x14ac:dyDescent="0.25">
      <c r="A1199" s="5">
        <v>45806.739583333336</v>
      </c>
      <c r="B1199">
        <v>38</v>
      </c>
      <c r="C1199" t="s">
        <v>46</v>
      </c>
      <c r="D1199" t="s">
        <v>47</v>
      </c>
      <c r="E1199">
        <v>1.61</v>
      </c>
      <c r="F1199">
        <v>4.5</v>
      </c>
      <c r="G1199" s="8">
        <f t="shared" si="18"/>
        <v>21.466666666666669</v>
      </c>
    </row>
    <row r="1200" spans="1:7" x14ac:dyDescent="0.25">
      <c r="A1200" s="5">
        <v>45806.739583333336</v>
      </c>
      <c r="B1200">
        <v>39</v>
      </c>
      <c r="C1200" t="s">
        <v>47</v>
      </c>
      <c r="D1200" t="s">
        <v>48</v>
      </c>
      <c r="E1200">
        <v>1.55</v>
      </c>
      <c r="F1200">
        <v>3.88</v>
      </c>
      <c r="G1200" s="8">
        <f t="shared" si="18"/>
        <v>23.969072164948454</v>
      </c>
    </row>
    <row r="1201" spans="1:7" x14ac:dyDescent="0.25">
      <c r="A1201" s="5">
        <v>45806.739583333336</v>
      </c>
      <c r="B1201">
        <v>40</v>
      </c>
      <c r="C1201" t="s">
        <v>48</v>
      </c>
      <c r="D1201" t="s">
        <v>49</v>
      </c>
      <c r="E1201">
        <v>1.39</v>
      </c>
      <c r="F1201">
        <v>3.43</v>
      </c>
      <c r="G1201" s="8">
        <f t="shared" si="18"/>
        <v>24.314868804664719</v>
      </c>
    </row>
    <row r="1202" spans="1:7" x14ac:dyDescent="0.25">
      <c r="A1202" s="5">
        <v>45806.739583333336</v>
      </c>
      <c r="B1202">
        <v>41</v>
      </c>
      <c r="C1202" t="s">
        <v>50</v>
      </c>
      <c r="D1202" t="s">
        <v>51</v>
      </c>
      <c r="E1202">
        <v>1.56</v>
      </c>
      <c r="F1202">
        <v>5</v>
      </c>
      <c r="G1202" s="8">
        <f t="shared" si="18"/>
        <v>18.720000000000002</v>
      </c>
    </row>
    <row r="1203" spans="1:7" x14ac:dyDescent="0.25">
      <c r="A1203" s="5">
        <v>45806.739583333336</v>
      </c>
      <c r="B1203">
        <v>42</v>
      </c>
      <c r="C1203" t="s">
        <v>51</v>
      </c>
      <c r="D1203" t="s">
        <v>52</v>
      </c>
      <c r="E1203">
        <v>1.56</v>
      </c>
      <c r="F1203">
        <v>4.6500000000000004</v>
      </c>
      <c r="G1203" s="8">
        <f t="shared" si="18"/>
        <v>20.129032258064516</v>
      </c>
    </row>
    <row r="1204" spans="1:7" x14ac:dyDescent="0.25">
      <c r="A1204" s="5">
        <v>45806.739583333336</v>
      </c>
      <c r="B1204">
        <v>43</v>
      </c>
      <c r="C1204" t="s">
        <v>52</v>
      </c>
      <c r="D1204" t="s">
        <v>53</v>
      </c>
      <c r="E1204">
        <v>1.51</v>
      </c>
      <c r="F1204">
        <v>4.25</v>
      </c>
      <c r="G1204" s="8">
        <f t="shared" si="18"/>
        <v>21.317647058823528</v>
      </c>
    </row>
    <row r="1205" spans="1:7" x14ac:dyDescent="0.25">
      <c r="A1205" s="5">
        <v>45806.739583333336</v>
      </c>
      <c r="B1205">
        <v>44</v>
      </c>
      <c r="C1205" t="s">
        <v>54</v>
      </c>
      <c r="D1205" t="s">
        <v>55</v>
      </c>
      <c r="E1205">
        <v>1.51</v>
      </c>
      <c r="F1205">
        <v>4.83</v>
      </c>
      <c r="G1205" s="8">
        <f t="shared" si="18"/>
        <v>18.757763975155278</v>
      </c>
    </row>
    <row r="1206" spans="1:7" x14ac:dyDescent="0.25">
      <c r="A1206" s="5">
        <v>45806.739583333336</v>
      </c>
      <c r="B1206">
        <v>45</v>
      </c>
      <c r="C1206" t="s">
        <v>55</v>
      </c>
      <c r="D1206" t="s">
        <v>56</v>
      </c>
      <c r="E1206">
        <v>1.49</v>
      </c>
      <c r="F1206">
        <v>4.92</v>
      </c>
      <c r="G1206" s="8">
        <f t="shared" si="18"/>
        <v>18.170731707317074</v>
      </c>
    </row>
    <row r="1207" spans="1:7" x14ac:dyDescent="0.25">
      <c r="A1207" s="5">
        <v>45806.739583333336</v>
      </c>
      <c r="B1207">
        <v>46</v>
      </c>
      <c r="C1207" t="s">
        <v>56</v>
      </c>
      <c r="D1207" t="s">
        <v>57</v>
      </c>
      <c r="E1207">
        <v>1.52</v>
      </c>
      <c r="F1207">
        <v>4.7</v>
      </c>
      <c r="G1207" s="8">
        <f t="shared" si="18"/>
        <v>19.404255319148938</v>
      </c>
    </row>
    <row r="1208" spans="1:7" x14ac:dyDescent="0.25">
      <c r="A1208" s="5">
        <v>45806.739583333336</v>
      </c>
      <c r="B1208">
        <v>47</v>
      </c>
      <c r="C1208" t="s">
        <v>58</v>
      </c>
      <c r="D1208" t="s">
        <v>59</v>
      </c>
      <c r="E1208">
        <v>1.52</v>
      </c>
      <c r="F1208">
        <v>5.8</v>
      </c>
      <c r="G1208" s="8">
        <f t="shared" si="18"/>
        <v>15.724137931034484</v>
      </c>
    </row>
    <row r="1209" spans="1:7" x14ac:dyDescent="0.25">
      <c r="A1209" s="5">
        <v>45806.739583333336</v>
      </c>
      <c r="B1209">
        <v>48</v>
      </c>
      <c r="C1209" t="s">
        <v>59</v>
      </c>
      <c r="D1209" t="s">
        <v>60</v>
      </c>
      <c r="E1209">
        <v>1.5</v>
      </c>
      <c r="F1209">
        <v>4.9800000000000004</v>
      </c>
      <c r="G1209" s="8">
        <f t="shared" si="18"/>
        <v>18.072289156626503</v>
      </c>
    </row>
    <row r="1210" spans="1:7" x14ac:dyDescent="0.25">
      <c r="A1210" s="5">
        <v>45806.739583333336</v>
      </c>
      <c r="B1210">
        <v>49</v>
      </c>
      <c r="C1210" t="s">
        <v>60</v>
      </c>
      <c r="D1210" t="s">
        <v>61</v>
      </c>
      <c r="E1210">
        <v>1.54</v>
      </c>
      <c r="F1210">
        <v>5.15</v>
      </c>
      <c r="G1210" s="8">
        <f t="shared" si="18"/>
        <v>17.941747572815533</v>
      </c>
    </row>
    <row r="1211" spans="1:7" x14ac:dyDescent="0.25">
      <c r="A1211" s="5">
        <v>45806.739583333336</v>
      </c>
      <c r="B1211">
        <v>50</v>
      </c>
      <c r="C1211" t="s">
        <v>62</v>
      </c>
      <c r="D1211" t="s">
        <v>63</v>
      </c>
      <c r="E1211">
        <v>1.38</v>
      </c>
      <c r="F1211">
        <v>3.42</v>
      </c>
      <c r="G1211" s="8">
        <f t="shared" si="18"/>
        <v>24.210526315789473</v>
      </c>
    </row>
    <row r="1212" spans="1:7" x14ac:dyDescent="0.25">
      <c r="A1212" s="5">
        <v>45806.739583333336</v>
      </c>
      <c r="B1212">
        <v>51</v>
      </c>
      <c r="C1212" t="s">
        <v>63</v>
      </c>
      <c r="D1212" t="s">
        <v>64</v>
      </c>
      <c r="E1212">
        <v>2.79</v>
      </c>
      <c r="F1212">
        <v>6.22</v>
      </c>
      <c r="G1212" s="8">
        <f t="shared" si="18"/>
        <v>26.913183279742768</v>
      </c>
    </row>
    <row r="1213" spans="1:7" x14ac:dyDescent="0.25">
      <c r="A1213" s="5">
        <v>45806.739583333336</v>
      </c>
      <c r="B1213">
        <v>52</v>
      </c>
      <c r="C1213" t="s">
        <v>64</v>
      </c>
      <c r="D1213" t="s">
        <v>65</v>
      </c>
      <c r="E1213">
        <v>1.5</v>
      </c>
      <c r="F1213">
        <v>2.97</v>
      </c>
      <c r="G1213" s="8">
        <f t="shared" si="18"/>
        <v>30.303030303030301</v>
      </c>
    </row>
    <row r="1214" spans="1:7" x14ac:dyDescent="0.25">
      <c r="A1214" s="5">
        <v>45806.739583333336</v>
      </c>
      <c r="B1214">
        <v>53</v>
      </c>
      <c r="C1214" t="s">
        <v>65</v>
      </c>
      <c r="D1214" t="s">
        <v>66</v>
      </c>
      <c r="E1214">
        <v>1.46</v>
      </c>
      <c r="F1214">
        <v>4.07</v>
      </c>
      <c r="G1214" s="8">
        <f t="shared" si="18"/>
        <v>21.523341523341522</v>
      </c>
    </row>
    <row r="1215" spans="1:7" x14ac:dyDescent="0.25">
      <c r="A1215" s="5">
        <v>45806.739583333336</v>
      </c>
      <c r="B1215">
        <v>54</v>
      </c>
      <c r="C1215" t="s">
        <v>67</v>
      </c>
      <c r="D1215" t="s">
        <v>68</v>
      </c>
      <c r="E1215">
        <v>1.46</v>
      </c>
      <c r="F1215">
        <v>3.18</v>
      </c>
      <c r="G1215" s="8">
        <f t="shared" si="18"/>
        <v>27.547169811320753</v>
      </c>
    </row>
    <row r="1216" spans="1:7" x14ac:dyDescent="0.25">
      <c r="A1216" s="5">
        <v>45806.739583333336</v>
      </c>
      <c r="B1216">
        <v>55</v>
      </c>
      <c r="C1216" t="s">
        <v>68</v>
      </c>
      <c r="D1216" t="s">
        <v>69</v>
      </c>
      <c r="E1216">
        <v>1.5</v>
      </c>
      <c r="F1216">
        <v>2.27</v>
      </c>
      <c r="G1216" s="8">
        <f t="shared" si="18"/>
        <v>39.647577092511014</v>
      </c>
    </row>
    <row r="1217" spans="1:7" x14ac:dyDescent="0.25">
      <c r="A1217" s="5">
        <v>45806.739583333336</v>
      </c>
      <c r="B1217">
        <v>56</v>
      </c>
      <c r="C1217" t="s">
        <v>70</v>
      </c>
      <c r="D1217" t="s">
        <v>71</v>
      </c>
      <c r="E1217">
        <v>1.51</v>
      </c>
      <c r="F1217">
        <v>4.93</v>
      </c>
      <c r="G1217" s="8">
        <f t="shared" si="18"/>
        <v>18.377281947261665</v>
      </c>
    </row>
    <row r="1218" spans="1:7" x14ac:dyDescent="0.25">
      <c r="A1218" s="5">
        <v>45806.739583333336</v>
      </c>
      <c r="B1218">
        <v>57</v>
      </c>
      <c r="C1218" t="s">
        <v>71</v>
      </c>
      <c r="D1218" t="s">
        <v>72</v>
      </c>
      <c r="E1218">
        <v>1.52</v>
      </c>
      <c r="F1218">
        <v>5.67</v>
      </c>
      <c r="G1218" s="8">
        <f t="shared" si="18"/>
        <v>16.084656084656086</v>
      </c>
    </row>
    <row r="1219" spans="1:7" x14ac:dyDescent="0.25">
      <c r="A1219" s="5">
        <v>45806.739583333336</v>
      </c>
      <c r="B1219">
        <v>58</v>
      </c>
      <c r="C1219" t="s">
        <v>72</v>
      </c>
      <c r="D1219" t="s">
        <v>73</v>
      </c>
      <c r="E1219">
        <v>1.5</v>
      </c>
      <c r="F1219">
        <v>5.15</v>
      </c>
      <c r="G1219" s="8">
        <f t="shared" ref="G1219:G1282" si="19">E1219*60/F1219</f>
        <v>17.475728155339805</v>
      </c>
    </row>
    <row r="1220" spans="1:7" x14ac:dyDescent="0.25">
      <c r="A1220" s="5">
        <v>45806.75</v>
      </c>
      <c r="B1220">
        <v>1</v>
      </c>
      <c r="C1220" t="s">
        <v>6</v>
      </c>
      <c r="D1220" t="s">
        <v>7</v>
      </c>
      <c r="E1220">
        <v>1.53</v>
      </c>
      <c r="F1220">
        <v>3.35</v>
      </c>
      <c r="G1220" s="8">
        <f t="shared" si="19"/>
        <v>27.402985074626866</v>
      </c>
    </row>
    <row r="1221" spans="1:7" x14ac:dyDescent="0.25">
      <c r="A1221" s="5">
        <v>45806.75</v>
      </c>
      <c r="B1221">
        <v>2</v>
      </c>
      <c r="C1221" t="s">
        <v>7</v>
      </c>
      <c r="D1221" t="s">
        <v>8</v>
      </c>
      <c r="E1221">
        <v>1.57</v>
      </c>
      <c r="F1221">
        <v>6.77</v>
      </c>
      <c r="G1221" s="8">
        <f t="shared" si="19"/>
        <v>13.914327917282128</v>
      </c>
    </row>
    <row r="1222" spans="1:7" x14ac:dyDescent="0.25">
      <c r="A1222" s="5">
        <v>45806.75</v>
      </c>
      <c r="B1222">
        <v>3</v>
      </c>
      <c r="C1222" t="s">
        <v>8</v>
      </c>
      <c r="D1222" t="s">
        <v>9</v>
      </c>
      <c r="E1222">
        <v>1.5</v>
      </c>
      <c r="F1222">
        <v>3.83</v>
      </c>
      <c r="G1222" s="8">
        <f t="shared" si="19"/>
        <v>23.49869451697128</v>
      </c>
    </row>
    <row r="1223" spans="1:7" x14ac:dyDescent="0.25">
      <c r="A1223" s="5">
        <v>45806.75</v>
      </c>
      <c r="B1223">
        <v>4</v>
      </c>
      <c r="C1223" t="s">
        <v>9</v>
      </c>
      <c r="D1223" t="s">
        <v>10</v>
      </c>
      <c r="E1223">
        <v>1.5</v>
      </c>
      <c r="F1223">
        <v>3.18</v>
      </c>
      <c r="G1223" s="8">
        <f t="shared" si="19"/>
        <v>28.30188679245283</v>
      </c>
    </row>
    <row r="1224" spans="1:7" x14ac:dyDescent="0.25">
      <c r="A1224" s="5">
        <v>45806.75</v>
      </c>
      <c r="B1224">
        <v>5</v>
      </c>
      <c r="C1224" t="s">
        <v>10</v>
      </c>
      <c r="D1224" t="s">
        <v>11</v>
      </c>
      <c r="E1224">
        <v>1.52</v>
      </c>
      <c r="F1224">
        <v>5.2</v>
      </c>
      <c r="G1224" s="8">
        <f t="shared" si="19"/>
        <v>17.53846153846154</v>
      </c>
    </row>
    <row r="1225" spans="1:7" x14ac:dyDescent="0.25">
      <c r="A1225" s="5">
        <v>45806.75</v>
      </c>
      <c r="B1225">
        <v>6</v>
      </c>
      <c r="C1225" t="s">
        <v>11</v>
      </c>
      <c r="D1225" t="s">
        <v>12</v>
      </c>
      <c r="E1225">
        <v>1.5</v>
      </c>
      <c r="F1225">
        <v>2.63</v>
      </c>
      <c r="G1225" s="8">
        <f t="shared" si="19"/>
        <v>34.220532319391637</v>
      </c>
    </row>
    <row r="1226" spans="1:7" x14ac:dyDescent="0.25">
      <c r="A1226" s="5">
        <v>45806.75</v>
      </c>
      <c r="B1226">
        <v>7</v>
      </c>
      <c r="C1226" t="s">
        <v>12</v>
      </c>
      <c r="D1226" t="s">
        <v>13</v>
      </c>
      <c r="E1226">
        <v>1.54</v>
      </c>
      <c r="F1226">
        <v>2.7</v>
      </c>
      <c r="G1226" s="8">
        <f t="shared" si="19"/>
        <v>34.222222222222221</v>
      </c>
    </row>
    <row r="1227" spans="1:7" x14ac:dyDescent="0.25">
      <c r="A1227" s="5">
        <v>45806.75</v>
      </c>
      <c r="B1227">
        <v>8</v>
      </c>
      <c r="C1227" t="s">
        <v>13</v>
      </c>
      <c r="D1227" t="s">
        <v>14</v>
      </c>
      <c r="E1227">
        <v>1.54</v>
      </c>
      <c r="F1227">
        <v>3.48</v>
      </c>
      <c r="G1227" s="8">
        <f t="shared" si="19"/>
        <v>26.551724137931036</v>
      </c>
    </row>
    <row r="1228" spans="1:7" x14ac:dyDescent="0.25">
      <c r="A1228" s="5">
        <v>45806.75</v>
      </c>
      <c r="B1228">
        <v>9</v>
      </c>
      <c r="C1228" t="s">
        <v>14</v>
      </c>
      <c r="D1228" t="s">
        <v>15</v>
      </c>
      <c r="E1228">
        <v>1.52</v>
      </c>
      <c r="F1228">
        <v>4.2</v>
      </c>
      <c r="G1228" s="8">
        <f t="shared" si="19"/>
        <v>21.714285714285715</v>
      </c>
    </row>
    <row r="1229" spans="1:7" x14ac:dyDescent="0.25">
      <c r="A1229" s="5">
        <v>45806.75</v>
      </c>
      <c r="B1229">
        <v>10</v>
      </c>
      <c r="C1229" t="s">
        <v>15</v>
      </c>
      <c r="D1229" t="s">
        <v>16</v>
      </c>
      <c r="E1229">
        <v>1.5</v>
      </c>
      <c r="F1229">
        <v>4.5</v>
      </c>
      <c r="G1229" s="8">
        <f t="shared" si="19"/>
        <v>20</v>
      </c>
    </row>
    <row r="1230" spans="1:7" x14ac:dyDescent="0.25">
      <c r="A1230" s="5">
        <v>45806.75</v>
      </c>
      <c r="B1230">
        <v>11</v>
      </c>
      <c r="C1230" t="s">
        <v>16</v>
      </c>
      <c r="D1230" t="s">
        <v>17</v>
      </c>
      <c r="E1230">
        <v>1.48</v>
      </c>
      <c r="F1230">
        <v>3.92</v>
      </c>
      <c r="G1230" s="8">
        <f t="shared" si="19"/>
        <v>22.653061224489797</v>
      </c>
    </row>
    <row r="1231" spans="1:7" x14ac:dyDescent="0.25">
      <c r="A1231" s="5">
        <v>45806.75</v>
      </c>
      <c r="B1231">
        <v>12</v>
      </c>
      <c r="C1231" t="s">
        <v>17</v>
      </c>
      <c r="D1231" t="s">
        <v>18</v>
      </c>
      <c r="E1231">
        <v>1.46</v>
      </c>
      <c r="F1231">
        <v>6.32</v>
      </c>
      <c r="G1231" s="8">
        <f t="shared" si="19"/>
        <v>13.860759493670885</v>
      </c>
    </row>
    <row r="1232" spans="1:7" x14ac:dyDescent="0.25">
      <c r="A1232" s="5">
        <v>45806.75</v>
      </c>
      <c r="B1232">
        <v>13</v>
      </c>
      <c r="C1232" t="s">
        <v>18</v>
      </c>
      <c r="D1232" t="s">
        <v>19</v>
      </c>
      <c r="E1232">
        <v>1.52</v>
      </c>
      <c r="F1232">
        <v>6.02</v>
      </c>
      <c r="G1232" s="8">
        <f t="shared" si="19"/>
        <v>15.14950166112957</v>
      </c>
    </row>
    <row r="1233" spans="1:7" x14ac:dyDescent="0.25">
      <c r="A1233" s="5">
        <v>45806.75</v>
      </c>
      <c r="B1233">
        <v>14</v>
      </c>
      <c r="C1233" t="s">
        <v>19</v>
      </c>
      <c r="D1233" t="s">
        <v>20</v>
      </c>
      <c r="E1233">
        <v>1.51</v>
      </c>
      <c r="F1233">
        <v>4.47</v>
      </c>
      <c r="G1233" s="8">
        <f t="shared" si="19"/>
        <v>20.268456375838927</v>
      </c>
    </row>
    <row r="1234" spans="1:7" x14ac:dyDescent="0.25">
      <c r="A1234" s="5">
        <v>45806.75</v>
      </c>
      <c r="B1234">
        <v>15</v>
      </c>
      <c r="C1234" t="s">
        <v>20</v>
      </c>
      <c r="D1234" t="s">
        <v>21</v>
      </c>
      <c r="E1234">
        <v>1.47</v>
      </c>
      <c r="F1234">
        <v>3.52</v>
      </c>
      <c r="G1234" s="8">
        <f t="shared" si="19"/>
        <v>25.056818181818183</v>
      </c>
    </row>
    <row r="1235" spans="1:7" x14ac:dyDescent="0.25">
      <c r="A1235" s="5">
        <v>45806.75</v>
      </c>
      <c r="B1235">
        <v>16</v>
      </c>
      <c r="C1235" t="s">
        <v>21</v>
      </c>
      <c r="D1235" t="s">
        <v>22</v>
      </c>
      <c r="E1235">
        <v>1.5</v>
      </c>
      <c r="F1235">
        <v>3.17</v>
      </c>
      <c r="G1235" s="8">
        <f t="shared" si="19"/>
        <v>28.391167192429023</v>
      </c>
    </row>
    <row r="1236" spans="1:7" x14ac:dyDescent="0.25">
      <c r="A1236" s="5">
        <v>45806.75</v>
      </c>
      <c r="B1236">
        <v>17</v>
      </c>
      <c r="C1236" t="s">
        <v>22</v>
      </c>
      <c r="D1236" t="s">
        <v>23</v>
      </c>
      <c r="E1236">
        <v>1.51</v>
      </c>
      <c r="F1236">
        <v>4.43</v>
      </c>
      <c r="G1236" s="8">
        <f t="shared" si="19"/>
        <v>20.451467268623023</v>
      </c>
    </row>
    <row r="1237" spans="1:7" x14ac:dyDescent="0.25">
      <c r="A1237" s="5">
        <v>45806.75</v>
      </c>
      <c r="B1237">
        <v>18</v>
      </c>
      <c r="C1237" t="s">
        <v>23</v>
      </c>
      <c r="D1237" t="s">
        <v>24</v>
      </c>
      <c r="E1237">
        <v>1.51</v>
      </c>
      <c r="F1237">
        <v>4.2699999999999996</v>
      </c>
      <c r="G1237" s="8">
        <f t="shared" si="19"/>
        <v>21.217798594847775</v>
      </c>
    </row>
    <row r="1238" spans="1:7" x14ac:dyDescent="0.25">
      <c r="A1238" s="5">
        <v>45806.75</v>
      </c>
      <c r="B1238">
        <v>19</v>
      </c>
      <c r="C1238" t="s">
        <v>25</v>
      </c>
      <c r="D1238" t="s">
        <v>26</v>
      </c>
      <c r="E1238">
        <v>1.5</v>
      </c>
      <c r="F1238">
        <v>3.92</v>
      </c>
      <c r="G1238" s="8">
        <f t="shared" si="19"/>
        <v>22.95918367346939</v>
      </c>
    </row>
    <row r="1239" spans="1:7" x14ac:dyDescent="0.25">
      <c r="A1239" s="5">
        <v>45806.75</v>
      </c>
      <c r="B1239">
        <v>20</v>
      </c>
      <c r="C1239" t="s">
        <v>26</v>
      </c>
      <c r="D1239" t="s">
        <v>27</v>
      </c>
      <c r="E1239">
        <v>1.48</v>
      </c>
      <c r="F1239">
        <v>3.63</v>
      </c>
      <c r="G1239" s="8">
        <f t="shared" si="19"/>
        <v>24.462809917355372</v>
      </c>
    </row>
    <row r="1240" spans="1:7" x14ac:dyDescent="0.25">
      <c r="A1240" s="5">
        <v>45806.75</v>
      </c>
      <c r="B1240">
        <v>21</v>
      </c>
      <c r="C1240" t="s">
        <v>27</v>
      </c>
      <c r="D1240" t="s">
        <v>28</v>
      </c>
      <c r="E1240">
        <v>1.51</v>
      </c>
      <c r="F1240">
        <v>4.13</v>
      </c>
      <c r="G1240" s="8">
        <f t="shared" si="19"/>
        <v>21.937046004842614</v>
      </c>
    </row>
    <row r="1241" spans="1:7" x14ac:dyDescent="0.25">
      <c r="A1241" s="5">
        <v>45806.75</v>
      </c>
      <c r="B1241">
        <v>22</v>
      </c>
      <c r="C1241" t="s">
        <v>28</v>
      </c>
      <c r="D1241" t="s">
        <v>29</v>
      </c>
      <c r="E1241">
        <v>1.57</v>
      </c>
      <c r="F1241">
        <v>5.08</v>
      </c>
      <c r="G1241" s="8">
        <f t="shared" si="19"/>
        <v>18.543307086614174</v>
      </c>
    </row>
    <row r="1242" spans="1:7" x14ac:dyDescent="0.25">
      <c r="A1242" s="5">
        <v>45806.75</v>
      </c>
      <c r="B1242">
        <v>23</v>
      </c>
      <c r="C1242" t="s">
        <v>29</v>
      </c>
      <c r="D1242" t="s">
        <v>30</v>
      </c>
      <c r="E1242">
        <v>1.43</v>
      </c>
      <c r="F1242">
        <v>6.87</v>
      </c>
      <c r="G1242" s="8">
        <f t="shared" si="19"/>
        <v>12.489082969432314</v>
      </c>
    </row>
    <row r="1243" spans="1:7" x14ac:dyDescent="0.25">
      <c r="A1243" s="5">
        <v>45806.75</v>
      </c>
      <c r="B1243">
        <v>24</v>
      </c>
      <c r="C1243" t="s">
        <v>30</v>
      </c>
      <c r="D1243" t="s">
        <v>31</v>
      </c>
      <c r="E1243">
        <v>1.52</v>
      </c>
      <c r="F1243">
        <v>5</v>
      </c>
      <c r="G1243" s="8">
        <f t="shared" si="19"/>
        <v>18.240000000000002</v>
      </c>
    </row>
    <row r="1244" spans="1:7" x14ac:dyDescent="0.25">
      <c r="A1244" s="5">
        <v>45806.75</v>
      </c>
      <c r="B1244">
        <v>25</v>
      </c>
      <c r="C1244" t="s">
        <v>31</v>
      </c>
      <c r="D1244" t="s">
        <v>32</v>
      </c>
      <c r="E1244">
        <v>1.52</v>
      </c>
      <c r="F1244">
        <v>4.47</v>
      </c>
      <c r="G1244" s="8">
        <f t="shared" si="19"/>
        <v>20.402684563758392</v>
      </c>
    </row>
    <row r="1245" spans="1:7" x14ac:dyDescent="0.25">
      <c r="A1245" s="5">
        <v>45806.75</v>
      </c>
      <c r="B1245">
        <v>26</v>
      </c>
      <c r="C1245" t="s">
        <v>32</v>
      </c>
      <c r="D1245" t="s">
        <v>33</v>
      </c>
      <c r="E1245">
        <v>1.49</v>
      </c>
      <c r="F1245">
        <v>7.78</v>
      </c>
      <c r="G1245" s="8">
        <f t="shared" si="19"/>
        <v>11.491002570694087</v>
      </c>
    </row>
    <row r="1246" spans="1:7" x14ac:dyDescent="0.25">
      <c r="A1246" s="5">
        <v>45806.75</v>
      </c>
      <c r="B1246">
        <v>27</v>
      </c>
      <c r="C1246" t="s">
        <v>33</v>
      </c>
      <c r="D1246" t="s">
        <v>34</v>
      </c>
      <c r="E1246">
        <v>1.53</v>
      </c>
      <c r="F1246">
        <v>4.9800000000000004</v>
      </c>
      <c r="G1246" s="8">
        <f t="shared" si="19"/>
        <v>18.433734939759034</v>
      </c>
    </row>
    <row r="1247" spans="1:7" x14ac:dyDescent="0.25">
      <c r="A1247" s="5">
        <v>45806.75</v>
      </c>
      <c r="B1247">
        <v>28</v>
      </c>
      <c r="C1247" t="s">
        <v>34</v>
      </c>
      <c r="D1247" t="s">
        <v>35</v>
      </c>
      <c r="E1247">
        <v>1.51</v>
      </c>
      <c r="F1247">
        <v>4.75</v>
      </c>
      <c r="G1247" s="8">
        <f t="shared" si="19"/>
        <v>19.073684210526313</v>
      </c>
    </row>
    <row r="1248" spans="1:7" x14ac:dyDescent="0.25">
      <c r="A1248" s="5">
        <v>45806.75</v>
      </c>
      <c r="B1248">
        <v>29</v>
      </c>
      <c r="C1248" t="s">
        <v>36</v>
      </c>
      <c r="D1248" t="s">
        <v>37</v>
      </c>
      <c r="E1248">
        <v>1.57</v>
      </c>
      <c r="F1248">
        <v>4.43</v>
      </c>
      <c r="G1248" s="8">
        <f t="shared" si="19"/>
        <v>21.264108352144472</v>
      </c>
    </row>
    <row r="1249" spans="1:7" x14ac:dyDescent="0.25">
      <c r="A1249" s="5">
        <v>45806.75</v>
      </c>
      <c r="B1249">
        <v>30</v>
      </c>
      <c r="C1249" t="s">
        <v>37</v>
      </c>
      <c r="D1249" t="s">
        <v>38</v>
      </c>
      <c r="E1249">
        <v>1.57</v>
      </c>
      <c r="F1249">
        <v>4.3499999999999996</v>
      </c>
      <c r="G1249" s="8">
        <f t="shared" si="19"/>
        <v>21.655172413793107</v>
      </c>
    </row>
    <row r="1250" spans="1:7" x14ac:dyDescent="0.25">
      <c r="A1250" s="5">
        <v>45806.75</v>
      </c>
      <c r="B1250">
        <v>31</v>
      </c>
      <c r="C1250" t="s">
        <v>38</v>
      </c>
      <c r="D1250" t="s">
        <v>39</v>
      </c>
      <c r="E1250">
        <v>1.52</v>
      </c>
      <c r="F1250">
        <v>7.03</v>
      </c>
      <c r="G1250" s="8">
        <f t="shared" si="19"/>
        <v>12.972972972972974</v>
      </c>
    </row>
    <row r="1251" spans="1:7" x14ac:dyDescent="0.25">
      <c r="A1251" s="5">
        <v>45806.75</v>
      </c>
      <c r="B1251">
        <v>32</v>
      </c>
      <c r="C1251" t="s">
        <v>39</v>
      </c>
      <c r="D1251" t="s">
        <v>40</v>
      </c>
      <c r="E1251">
        <v>1.52</v>
      </c>
      <c r="F1251">
        <v>3.4</v>
      </c>
      <c r="G1251" s="8">
        <f t="shared" si="19"/>
        <v>26.823529411764707</v>
      </c>
    </row>
    <row r="1252" spans="1:7" x14ac:dyDescent="0.25">
      <c r="A1252" s="5">
        <v>45806.75</v>
      </c>
      <c r="B1252">
        <v>33</v>
      </c>
      <c r="C1252" t="s">
        <v>40</v>
      </c>
      <c r="D1252" t="s">
        <v>41</v>
      </c>
      <c r="E1252">
        <v>1.51</v>
      </c>
      <c r="F1252">
        <v>2.58</v>
      </c>
      <c r="G1252" s="8">
        <f t="shared" si="19"/>
        <v>35.116279069767437</v>
      </c>
    </row>
    <row r="1253" spans="1:7" x14ac:dyDescent="0.25">
      <c r="A1253" s="5">
        <v>45806.75</v>
      </c>
      <c r="B1253">
        <v>34</v>
      </c>
      <c r="C1253" t="s">
        <v>41</v>
      </c>
      <c r="D1253" t="s">
        <v>42</v>
      </c>
      <c r="E1253">
        <v>1.5</v>
      </c>
      <c r="F1253">
        <v>2.17</v>
      </c>
      <c r="G1253" s="8">
        <f t="shared" si="19"/>
        <v>41.474654377880185</v>
      </c>
    </row>
    <row r="1254" spans="1:7" x14ac:dyDescent="0.25">
      <c r="A1254" s="5">
        <v>45806.75</v>
      </c>
      <c r="B1254">
        <v>35</v>
      </c>
      <c r="C1254" t="s">
        <v>43</v>
      </c>
      <c r="D1254" t="s">
        <v>44</v>
      </c>
      <c r="E1254">
        <v>1.55</v>
      </c>
      <c r="F1254">
        <v>4.75</v>
      </c>
      <c r="G1254" s="8">
        <f t="shared" si="19"/>
        <v>19.578947368421051</v>
      </c>
    </row>
    <row r="1255" spans="1:7" x14ac:dyDescent="0.25">
      <c r="A1255" s="5">
        <v>45806.75</v>
      </c>
      <c r="B1255">
        <v>36</v>
      </c>
      <c r="C1255" t="s">
        <v>44</v>
      </c>
      <c r="D1255" t="s">
        <v>45</v>
      </c>
      <c r="E1255">
        <v>1.5</v>
      </c>
      <c r="F1255">
        <v>4.37</v>
      </c>
      <c r="G1255" s="8">
        <f t="shared" si="19"/>
        <v>20.594965675057207</v>
      </c>
    </row>
    <row r="1256" spans="1:7" x14ac:dyDescent="0.25">
      <c r="A1256" s="5">
        <v>45806.75</v>
      </c>
      <c r="B1256">
        <v>37</v>
      </c>
      <c r="C1256" t="s">
        <v>45</v>
      </c>
      <c r="D1256" t="s">
        <v>46</v>
      </c>
      <c r="E1256">
        <v>1.38</v>
      </c>
      <c r="F1256">
        <v>7.62</v>
      </c>
      <c r="G1256" s="8">
        <f t="shared" si="19"/>
        <v>10.866141732283465</v>
      </c>
    </row>
    <row r="1257" spans="1:7" x14ac:dyDescent="0.25">
      <c r="A1257" s="5">
        <v>45806.75</v>
      </c>
      <c r="B1257">
        <v>38</v>
      </c>
      <c r="C1257" t="s">
        <v>46</v>
      </c>
      <c r="D1257" t="s">
        <v>47</v>
      </c>
      <c r="E1257">
        <v>1.61</v>
      </c>
      <c r="F1257">
        <v>4.83</v>
      </c>
      <c r="G1257" s="8">
        <f t="shared" si="19"/>
        <v>20</v>
      </c>
    </row>
    <row r="1258" spans="1:7" x14ac:dyDescent="0.25">
      <c r="A1258" s="5">
        <v>45806.75</v>
      </c>
      <c r="B1258">
        <v>39</v>
      </c>
      <c r="C1258" t="s">
        <v>47</v>
      </c>
      <c r="D1258" t="s">
        <v>48</v>
      </c>
      <c r="E1258">
        <v>1.55</v>
      </c>
      <c r="F1258">
        <v>4.13</v>
      </c>
      <c r="G1258" s="8">
        <f t="shared" si="19"/>
        <v>22.518159806295401</v>
      </c>
    </row>
    <row r="1259" spans="1:7" x14ac:dyDescent="0.25">
      <c r="A1259" s="5">
        <v>45806.75</v>
      </c>
      <c r="B1259">
        <v>40</v>
      </c>
      <c r="C1259" t="s">
        <v>48</v>
      </c>
      <c r="D1259" t="s">
        <v>49</v>
      </c>
      <c r="E1259">
        <v>1.39</v>
      </c>
      <c r="F1259">
        <v>3.58</v>
      </c>
      <c r="G1259" s="8">
        <f t="shared" si="19"/>
        <v>23.296089385474858</v>
      </c>
    </row>
    <row r="1260" spans="1:7" x14ac:dyDescent="0.25">
      <c r="A1260" s="5">
        <v>45806.75</v>
      </c>
      <c r="B1260">
        <v>41</v>
      </c>
      <c r="C1260" t="s">
        <v>50</v>
      </c>
      <c r="D1260" t="s">
        <v>51</v>
      </c>
      <c r="E1260">
        <v>1.56</v>
      </c>
      <c r="F1260">
        <v>7.28</v>
      </c>
      <c r="G1260" s="8">
        <f t="shared" si="19"/>
        <v>12.857142857142858</v>
      </c>
    </row>
    <row r="1261" spans="1:7" x14ac:dyDescent="0.25">
      <c r="A1261" s="5">
        <v>45806.75</v>
      </c>
      <c r="B1261">
        <v>42</v>
      </c>
      <c r="C1261" t="s">
        <v>51</v>
      </c>
      <c r="D1261" t="s">
        <v>52</v>
      </c>
      <c r="E1261">
        <v>1.56</v>
      </c>
      <c r="F1261">
        <v>6.22</v>
      </c>
      <c r="G1261" s="8">
        <f t="shared" si="19"/>
        <v>15.048231511254022</v>
      </c>
    </row>
    <row r="1262" spans="1:7" x14ac:dyDescent="0.25">
      <c r="A1262" s="5">
        <v>45806.75</v>
      </c>
      <c r="B1262">
        <v>43</v>
      </c>
      <c r="C1262" t="s">
        <v>52</v>
      </c>
      <c r="D1262" t="s">
        <v>53</v>
      </c>
      <c r="E1262">
        <v>1.51</v>
      </c>
      <c r="F1262">
        <v>5.35</v>
      </c>
      <c r="G1262" s="8">
        <f t="shared" si="19"/>
        <v>16.934579439252335</v>
      </c>
    </row>
    <row r="1263" spans="1:7" x14ac:dyDescent="0.25">
      <c r="A1263" s="5">
        <v>45806.75</v>
      </c>
      <c r="B1263">
        <v>44</v>
      </c>
      <c r="C1263" t="s">
        <v>54</v>
      </c>
      <c r="D1263" t="s">
        <v>55</v>
      </c>
      <c r="E1263">
        <v>1.51</v>
      </c>
      <c r="F1263">
        <v>4.97</v>
      </c>
      <c r="G1263" s="8">
        <f t="shared" si="19"/>
        <v>18.229376257545272</v>
      </c>
    </row>
    <row r="1264" spans="1:7" x14ac:dyDescent="0.25">
      <c r="A1264" s="5">
        <v>45806.75</v>
      </c>
      <c r="B1264">
        <v>45</v>
      </c>
      <c r="C1264" t="s">
        <v>55</v>
      </c>
      <c r="D1264" t="s">
        <v>56</v>
      </c>
      <c r="E1264">
        <v>1.49</v>
      </c>
      <c r="F1264">
        <v>6.25</v>
      </c>
      <c r="G1264" s="8">
        <f t="shared" si="19"/>
        <v>14.304</v>
      </c>
    </row>
    <row r="1265" spans="1:7" x14ac:dyDescent="0.25">
      <c r="A1265" s="5">
        <v>45806.75</v>
      </c>
      <c r="B1265">
        <v>46</v>
      </c>
      <c r="C1265" t="s">
        <v>56</v>
      </c>
      <c r="D1265" t="s">
        <v>57</v>
      </c>
      <c r="E1265">
        <v>1.52</v>
      </c>
      <c r="F1265">
        <v>5.12</v>
      </c>
      <c r="G1265" s="8">
        <f t="shared" si="19"/>
        <v>17.8125</v>
      </c>
    </row>
    <row r="1266" spans="1:7" x14ac:dyDescent="0.25">
      <c r="A1266" s="5">
        <v>45806.75</v>
      </c>
      <c r="B1266">
        <v>47</v>
      </c>
      <c r="C1266" t="s">
        <v>58</v>
      </c>
      <c r="D1266" t="s">
        <v>59</v>
      </c>
      <c r="E1266">
        <v>1.52</v>
      </c>
      <c r="F1266">
        <v>7.68</v>
      </c>
      <c r="G1266" s="8">
        <f t="shared" si="19"/>
        <v>11.875</v>
      </c>
    </row>
    <row r="1267" spans="1:7" x14ac:dyDescent="0.25">
      <c r="A1267" s="5">
        <v>45806.75</v>
      </c>
      <c r="B1267">
        <v>48</v>
      </c>
      <c r="C1267" t="s">
        <v>59</v>
      </c>
      <c r="D1267" t="s">
        <v>60</v>
      </c>
      <c r="E1267">
        <v>1.5</v>
      </c>
      <c r="F1267">
        <v>5.6</v>
      </c>
      <c r="G1267" s="8">
        <f t="shared" si="19"/>
        <v>16.071428571428573</v>
      </c>
    </row>
    <row r="1268" spans="1:7" x14ac:dyDescent="0.25">
      <c r="A1268" s="5">
        <v>45806.75</v>
      </c>
      <c r="B1268">
        <v>49</v>
      </c>
      <c r="C1268" t="s">
        <v>60</v>
      </c>
      <c r="D1268" t="s">
        <v>61</v>
      </c>
      <c r="E1268">
        <v>1.54</v>
      </c>
      <c r="F1268">
        <v>6.08</v>
      </c>
      <c r="G1268" s="8">
        <f t="shared" si="19"/>
        <v>15.197368421052632</v>
      </c>
    </row>
    <row r="1269" spans="1:7" x14ac:dyDescent="0.25">
      <c r="A1269" s="5">
        <v>45806.75</v>
      </c>
      <c r="B1269">
        <v>50</v>
      </c>
      <c r="C1269" t="s">
        <v>62</v>
      </c>
      <c r="D1269" t="s">
        <v>63</v>
      </c>
      <c r="E1269">
        <v>1.38</v>
      </c>
      <c r="F1269">
        <v>3.48</v>
      </c>
      <c r="G1269" s="8">
        <f t="shared" si="19"/>
        <v>23.793103448275861</v>
      </c>
    </row>
    <row r="1270" spans="1:7" x14ac:dyDescent="0.25">
      <c r="A1270" s="5">
        <v>45806.75</v>
      </c>
      <c r="B1270">
        <v>51</v>
      </c>
      <c r="C1270" t="s">
        <v>63</v>
      </c>
      <c r="D1270" t="s">
        <v>64</v>
      </c>
      <c r="E1270">
        <v>2.79</v>
      </c>
      <c r="F1270">
        <v>6.63</v>
      </c>
      <c r="G1270" s="8">
        <f t="shared" si="19"/>
        <v>25.248868778280546</v>
      </c>
    </row>
    <row r="1271" spans="1:7" x14ac:dyDescent="0.25">
      <c r="A1271" s="5">
        <v>45806.75</v>
      </c>
      <c r="B1271">
        <v>52</v>
      </c>
      <c r="C1271" t="s">
        <v>64</v>
      </c>
      <c r="D1271" t="s">
        <v>65</v>
      </c>
      <c r="E1271">
        <v>1.5</v>
      </c>
      <c r="F1271">
        <v>2.92</v>
      </c>
      <c r="G1271" s="8">
        <f t="shared" si="19"/>
        <v>30.82191780821918</v>
      </c>
    </row>
    <row r="1272" spans="1:7" x14ac:dyDescent="0.25">
      <c r="A1272" s="5">
        <v>45806.75</v>
      </c>
      <c r="B1272">
        <v>53</v>
      </c>
      <c r="C1272" t="s">
        <v>65</v>
      </c>
      <c r="D1272" t="s">
        <v>66</v>
      </c>
      <c r="E1272">
        <v>1.46</v>
      </c>
      <c r="F1272">
        <v>4.0199999999999996</v>
      </c>
      <c r="G1272" s="8">
        <f t="shared" si="19"/>
        <v>21.791044776119403</v>
      </c>
    </row>
    <row r="1273" spans="1:7" x14ac:dyDescent="0.25">
      <c r="A1273" s="5">
        <v>45806.75</v>
      </c>
      <c r="B1273">
        <v>54</v>
      </c>
      <c r="C1273" t="s">
        <v>67</v>
      </c>
      <c r="D1273" t="s">
        <v>68</v>
      </c>
      <c r="E1273">
        <v>1.46</v>
      </c>
      <c r="F1273">
        <v>4.42</v>
      </c>
      <c r="G1273" s="8">
        <f t="shared" si="19"/>
        <v>19.819004524886878</v>
      </c>
    </row>
    <row r="1274" spans="1:7" x14ac:dyDescent="0.25">
      <c r="A1274" s="5">
        <v>45806.75</v>
      </c>
      <c r="B1274">
        <v>55</v>
      </c>
      <c r="C1274" t="s">
        <v>68</v>
      </c>
      <c r="D1274" t="s">
        <v>69</v>
      </c>
      <c r="E1274">
        <v>1.5</v>
      </c>
      <c r="F1274">
        <v>2.4500000000000002</v>
      </c>
      <c r="G1274" s="8">
        <f t="shared" si="19"/>
        <v>36.734693877551017</v>
      </c>
    </row>
    <row r="1275" spans="1:7" x14ac:dyDescent="0.25">
      <c r="A1275" s="5">
        <v>45806.75</v>
      </c>
      <c r="B1275">
        <v>56</v>
      </c>
      <c r="C1275" t="s">
        <v>70</v>
      </c>
      <c r="D1275" t="s">
        <v>71</v>
      </c>
      <c r="E1275">
        <v>1.51</v>
      </c>
      <c r="F1275">
        <v>6.22</v>
      </c>
      <c r="G1275" s="8">
        <f t="shared" si="19"/>
        <v>14.565916398713826</v>
      </c>
    </row>
    <row r="1276" spans="1:7" x14ac:dyDescent="0.25">
      <c r="A1276" s="5">
        <v>45806.75</v>
      </c>
      <c r="B1276">
        <v>57</v>
      </c>
      <c r="C1276" t="s">
        <v>71</v>
      </c>
      <c r="D1276" t="s">
        <v>72</v>
      </c>
      <c r="E1276">
        <v>1.52</v>
      </c>
      <c r="F1276">
        <v>6.45</v>
      </c>
      <c r="G1276" s="8">
        <f t="shared" si="19"/>
        <v>14.13953488372093</v>
      </c>
    </row>
    <row r="1277" spans="1:7" x14ac:dyDescent="0.25">
      <c r="A1277" s="5">
        <v>45806.75</v>
      </c>
      <c r="B1277">
        <v>58</v>
      </c>
      <c r="C1277" t="s">
        <v>72</v>
      </c>
      <c r="D1277" t="s">
        <v>73</v>
      </c>
      <c r="E1277">
        <v>1.5</v>
      </c>
      <c r="F1277">
        <v>5.9</v>
      </c>
      <c r="G1277" s="8">
        <f t="shared" si="19"/>
        <v>15.254237288135592</v>
      </c>
    </row>
    <row r="1278" spans="1:7" x14ac:dyDescent="0.25">
      <c r="A1278" s="5">
        <v>45806.760416666664</v>
      </c>
      <c r="B1278">
        <v>1</v>
      </c>
      <c r="C1278" t="s">
        <v>6</v>
      </c>
      <c r="D1278" t="s">
        <v>7</v>
      </c>
      <c r="E1278">
        <v>1.53</v>
      </c>
      <c r="F1278">
        <v>3.37</v>
      </c>
      <c r="G1278" s="8">
        <f t="shared" si="19"/>
        <v>27.240356083086052</v>
      </c>
    </row>
    <row r="1279" spans="1:7" x14ac:dyDescent="0.25">
      <c r="A1279" s="5">
        <v>45806.760416666664</v>
      </c>
      <c r="B1279">
        <v>2</v>
      </c>
      <c r="C1279" t="s">
        <v>7</v>
      </c>
      <c r="D1279" t="s">
        <v>8</v>
      </c>
      <c r="E1279">
        <v>1.57</v>
      </c>
      <c r="F1279">
        <v>5.9</v>
      </c>
      <c r="G1279" s="8">
        <f t="shared" si="19"/>
        <v>15.966101694915254</v>
      </c>
    </row>
    <row r="1280" spans="1:7" x14ac:dyDescent="0.25">
      <c r="A1280" s="5">
        <v>45806.760416666664</v>
      </c>
      <c r="B1280">
        <v>3</v>
      </c>
      <c r="C1280" t="s">
        <v>8</v>
      </c>
      <c r="D1280" t="s">
        <v>9</v>
      </c>
      <c r="E1280">
        <v>1.5</v>
      </c>
      <c r="F1280">
        <v>4.12</v>
      </c>
      <c r="G1280" s="8">
        <f t="shared" si="19"/>
        <v>21.844660194174757</v>
      </c>
    </row>
    <row r="1281" spans="1:7" x14ac:dyDescent="0.25">
      <c r="A1281" s="5">
        <v>45806.760416666664</v>
      </c>
      <c r="B1281">
        <v>4</v>
      </c>
      <c r="C1281" t="s">
        <v>9</v>
      </c>
      <c r="D1281" t="s">
        <v>10</v>
      </c>
      <c r="E1281">
        <v>1.5</v>
      </c>
      <c r="F1281">
        <v>3.13</v>
      </c>
      <c r="G1281" s="8">
        <f t="shared" si="19"/>
        <v>28.753993610223642</v>
      </c>
    </row>
    <row r="1282" spans="1:7" x14ac:dyDescent="0.25">
      <c r="A1282" s="5">
        <v>45806.760416666664</v>
      </c>
      <c r="B1282">
        <v>5</v>
      </c>
      <c r="C1282" t="s">
        <v>10</v>
      </c>
      <c r="D1282" t="s">
        <v>11</v>
      </c>
      <c r="E1282">
        <v>1.52</v>
      </c>
      <c r="F1282">
        <v>6.12</v>
      </c>
      <c r="G1282" s="8">
        <f t="shared" si="19"/>
        <v>14.901960784313726</v>
      </c>
    </row>
    <row r="1283" spans="1:7" x14ac:dyDescent="0.25">
      <c r="A1283" s="5">
        <v>45806.760416666664</v>
      </c>
      <c r="B1283">
        <v>6</v>
      </c>
      <c r="C1283" t="s">
        <v>11</v>
      </c>
      <c r="D1283" t="s">
        <v>12</v>
      </c>
      <c r="E1283">
        <v>1.5</v>
      </c>
      <c r="F1283">
        <v>2.93</v>
      </c>
      <c r="G1283" s="8">
        <f t="shared" ref="G1283:G1346" si="20">E1283*60/F1283</f>
        <v>30.716723549488052</v>
      </c>
    </row>
    <row r="1284" spans="1:7" x14ac:dyDescent="0.25">
      <c r="A1284" s="5">
        <v>45806.760416666664</v>
      </c>
      <c r="B1284">
        <v>7</v>
      </c>
      <c r="C1284" t="s">
        <v>12</v>
      </c>
      <c r="D1284" t="s">
        <v>13</v>
      </c>
      <c r="E1284">
        <v>1.54</v>
      </c>
      <c r="F1284">
        <v>2.9</v>
      </c>
      <c r="G1284" s="8">
        <f t="shared" si="20"/>
        <v>31.862068965517246</v>
      </c>
    </row>
    <row r="1285" spans="1:7" x14ac:dyDescent="0.25">
      <c r="A1285" s="5">
        <v>45806.760416666664</v>
      </c>
      <c r="B1285">
        <v>8</v>
      </c>
      <c r="C1285" t="s">
        <v>13</v>
      </c>
      <c r="D1285" t="s">
        <v>14</v>
      </c>
      <c r="E1285">
        <v>1.54</v>
      </c>
      <c r="F1285">
        <v>3.4</v>
      </c>
      <c r="G1285" s="8">
        <f t="shared" si="20"/>
        <v>27.176470588235297</v>
      </c>
    </row>
    <row r="1286" spans="1:7" x14ac:dyDescent="0.25">
      <c r="A1286" s="5">
        <v>45806.760416666664</v>
      </c>
      <c r="B1286">
        <v>9</v>
      </c>
      <c r="C1286" t="s">
        <v>14</v>
      </c>
      <c r="D1286" t="s">
        <v>15</v>
      </c>
      <c r="E1286">
        <v>1.52</v>
      </c>
      <c r="F1286">
        <v>4.13</v>
      </c>
      <c r="G1286" s="8">
        <f t="shared" si="20"/>
        <v>22.082324455205811</v>
      </c>
    </row>
    <row r="1287" spans="1:7" x14ac:dyDescent="0.25">
      <c r="A1287" s="5">
        <v>45806.760416666664</v>
      </c>
      <c r="B1287">
        <v>10</v>
      </c>
      <c r="C1287" t="s">
        <v>15</v>
      </c>
      <c r="D1287" t="s">
        <v>16</v>
      </c>
      <c r="E1287">
        <v>1.5</v>
      </c>
      <c r="F1287">
        <v>4.5199999999999996</v>
      </c>
      <c r="G1287" s="8">
        <f t="shared" si="20"/>
        <v>19.911504424778762</v>
      </c>
    </row>
    <row r="1288" spans="1:7" x14ac:dyDescent="0.25">
      <c r="A1288" s="5">
        <v>45806.760416666664</v>
      </c>
      <c r="B1288">
        <v>11</v>
      </c>
      <c r="C1288" t="s">
        <v>16</v>
      </c>
      <c r="D1288" t="s">
        <v>17</v>
      </c>
      <c r="E1288">
        <v>1.48</v>
      </c>
      <c r="F1288">
        <v>5.98</v>
      </c>
      <c r="G1288" s="8">
        <f t="shared" si="20"/>
        <v>14.849498327759196</v>
      </c>
    </row>
    <row r="1289" spans="1:7" x14ac:dyDescent="0.25">
      <c r="A1289" s="5">
        <v>45806.760416666664</v>
      </c>
      <c r="B1289">
        <v>12</v>
      </c>
      <c r="C1289" t="s">
        <v>17</v>
      </c>
      <c r="D1289" t="s">
        <v>18</v>
      </c>
      <c r="E1289">
        <v>1.46</v>
      </c>
      <c r="F1289">
        <v>5.22</v>
      </c>
      <c r="G1289" s="8">
        <f t="shared" si="20"/>
        <v>16.7816091954023</v>
      </c>
    </row>
    <row r="1290" spans="1:7" x14ac:dyDescent="0.25">
      <c r="A1290" s="5">
        <v>45806.760416666664</v>
      </c>
      <c r="B1290">
        <v>13</v>
      </c>
      <c r="C1290" t="s">
        <v>18</v>
      </c>
      <c r="D1290" t="s">
        <v>19</v>
      </c>
      <c r="E1290">
        <v>1.52</v>
      </c>
      <c r="F1290">
        <v>5.93</v>
      </c>
      <c r="G1290" s="8">
        <f t="shared" si="20"/>
        <v>15.379426644182127</v>
      </c>
    </row>
    <row r="1291" spans="1:7" x14ac:dyDescent="0.25">
      <c r="A1291" s="5">
        <v>45806.760416666664</v>
      </c>
      <c r="B1291">
        <v>14</v>
      </c>
      <c r="C1291" t="s">
        <v>19</v>
      </c>
      <c r="D1291" t="s">
        <v>20</v>
      </c>
      <c r="E1291">
        <v>1.51</v>
      </c>
      <c r="F1291">
        <v>4.3499999999999996</v>
      </c>
      <c r="G1291" s="8">
        <f t="shared" si="20"/>
        <v>20.827586206896552</v>
      </c>
    </row>
    <row r="1292" spans="1:7" x14ac:dyDescent="0.25">
      <c r="A1292" s="5">
        <v>45806.760416666664</v>
      </c>
      <c r="B1292">
        <v>15</v>
      </c>
      <c r="C1292" t="s">
        <v>20</v>
      </c>
      <c r="D1292" t="s">
        <v>21</v>
      </c>
      <c r="E1292">
        <v>1.47</v>
      </c>
      <c r="F1292">
        <v>3.3</v>
      </c>
      <c r="G1292" s="8">
        <f t="shared" si="20"/>
        <v>26.72727272727273</v>
      </c>
    </row>
    <row r="1293" spans="1:7" x14ac:dyDescent="0.25">
      <c r="A1293" s="5">
        <v>45806.760416666664</v>
      </c>
      <c r="B1293">
        <v>16</v>
      </c>
      <c r="C1293" t="s">
        <v>21</v>
      </c>
      <c r="D1293" t="s">
        <v>22</v>
      </c>
      <c r="E1293">
        <v>1.5</v>
      </c>
      <c r="F1293">
        <v>3.35</v>
      </c>
      <c r="G1293" s="8">
        <f t="shared" si="20"/>
        <v>26.865671641791042</v>
      </c>
    </row>
    <row r="1294" spans="1:7" x14ac:dyDescent="0.25">
      <c r="A1294" s="5">
        <v>45806.760416666664</v>
      </c>
      <c r="B1294">
        <v>17</v>
      </c>
      <c r="C1294" t="s">
        <v>22</v>
      </c>
      <c r="D1294" t="s">
        <v>23</v>
      </c>
      <c r="E1294">
        <v>1.51</v>
      </c>
      <c r="F1294">
        <v>4.33</v>
      </c>
      <c r="G1294" s="8">
        <f t="shared" si="20"/>
        <v>20.92378752886836</v>
      </c>
    </row>
    <row r="1295" spans="1:7" x14ac:dyDescent="0.25">
      <c r="A1295" s="5">
        <v>45806.760416666664</v>
      </c>
      <c r="B1295">
        <v>18</v>
      </c>
      <c r="C1295" t="s">
        <v>23</v>
      </c>
      <c r="D1295" t="s">
        <v>24</v>
      </c>
      <c r="E1295">
        <v>1.51</v>
      </c>
      <c r="F1295">
        <v>4.28</v>
      </c>
      <c r="G1295" s="8">
        <f t="shared" si="20"/>
        <v>21.168224299065418</v>
      </c>
    </row>
    <row r="1296" spans="1:7" x14ac:dyDescent="0.25">
      <c r="A1296" s="5">
        <v>45806.760416666664</v>
      </c>
      <c r="B1296">
        <v>19</v>
      </c>
      <c r="C1296" t="s">
        <v>25</v>
      </c>
      <c r="D1296" t="s">
        <v>26</v>
      </c>
      <c r="E1296">
        <v>1.5</v>
      </c>
      <c r="F1296">
        <v>3.77</v>
      </c>
      <c r="G1296" s="8">
        <f t="shared" si="20"/>
        <v>23.872679045092838</v>
      </c>
    </row>
    <row r="1297" spans="1:7" x14ac:dyDescent="0.25">
      <c r="A1297" s="5">
        <v>45806.760416666664</v>
      </c>
      <c r="B1297">
        <v>20</v>
      </c>
      <c r="C1297" t="s">
        <v>26</v>
      </c>
      <c r="D1297" t="s">
        <v>27</v>
      </c>
      <c r="E1297">
        <v>1.48</v>
      </c>
      <c r="F1297">
        <v>3.47</v>
      </c>
      <c r="G1297" s="8">
        <f t="shared" si="20"/>
        <v>25.590778097982707</v>
      </c>
    </row>
    <row r="1298" spans="1:7" x14ac:dyDescent="0.25">
      <c r="A1298" s="5">
        <v>45806.760416666664</v>
      </c>
      <c r="B1298">
        <v>21</v>
      </c>
      <c r="C1298" t="s">
        <v>27</v>
      </c>
      <c r="D1298" t="s">
        <v>28</v>
      </c>
      <c r="E1298">
        <v>1.51</v>
      </c>
      <c r="F1298">
        <v>3.93</v>
      </c>
      <c r="G1298" s="8">
        <f t="shared" si="20"/>
        <v>23.053435114503813</v>
      </c>
    </row>
    <row r="1299" spans="1:7" x14ac:dyDescent="0.25">
      <c r="A1299" s="5">
        <v>45806.760416666664</v>
      </c>
      <c r="B1299">
        <v>22</v>
      </c>
      <c r="C1299" t="s">
        <v>28</v>
      </c>
      <c r="D1299" t="s">
        <v>29</v>
      </c>
      <c r="E1299">
        <v>1.57</v>
      </c>
      <c r="F1299">
        <v>6.38</v>
      </c>
      <c r="G1299" s="8">
        <f t="shared" si="20"/>
        <v>14.764890282131661</v>
      </c>
    </row>
    <row r="1300" spans="1:7" x14ac:dyDescent="0.25">
      <c r="A1300" s="5">
        <v>45806.760416666664</v>
      </c>
      <c r="B1300">
        <v>23</v>
      </c>
      <c r="C1300" t="s">
        <v>29</v>
      </c>
      <c r="D1300" t="s">
        <v>30</v>
      </c>
      <c r="E1300">
        <v>1.43</v>
      </c>
      <c r="F1300">
        <v>7.68</v>
      </c>
      <c r="G1300" s="8">
        <f t="shared" si="20"/>
        <v>11.171875</v>
      </c>
    </row>
    <row r="1301" spans="1:7" x14ac:dyDescent="0.25">
      <c r="A1301" s="5">
        <v>45806.760416666664</v>
      </c>
      <c r="B1301">
        <v>24</v>
      </c>
      <c r="C1301" t="s">
        <v>30</v>
      </c>
      <c r="D1301" t="s">
        <v>31</v>
      </c>
      <c r="E1301">
        <v>1.52</v>
      </c>
      <c r="F1301">
        <v>5.45</v>
      </c>
      <c r="G1301" s="8">
        <f t="shared" si="20"/>
        <v>16.73394495412844</v>
      </c>
    </row>
    <row r="1302" spans="1:7" x14ac:dyDescent="0.25">
      <c r="A1302" s="5">
        <v>45806.760416666664</v>
      </c>
      <c r="B1302">
        <v>25</v>
      </c>
      <c r="C1302" t="s">
        <v>31</v>
      </c>
      <c r="D1302" t="s">
        <v>32</v>
      </c>
      <c r="E1302">
        <v>1.52</v>
      </c>
      <c r="F1302">
        <v>4.25</v>
      </c>
      <c r="G1302" s="8">
        <f t="shared" si="20"/>
        <v>21.458823529411767</v>
      </c>
    </row>
    <row r="1303" spans="1:7" x14ac:dyDescent="0.25">
      <c r="A1303" s="5">
        <v>45806.760416666664</v>
      </c>
      <c r="B1303">
        <v>26</v>
      </c>
      <c r="C1303" t="s">
        <v>32</v>
      </c>
      <c r="D1303" t="s">
        <v>33</v>
      </c>
      <c r="E1303">
        <v>1.49</v>
      </c>
      <c r="F1303">
        <v>8.8000000000000007</v>
      </c>
      <c r="G1303" s="8">
        <f t="shared" si="20"/>
        <v>10.159090909090908</v>
      </c>
    </row>
    <row r="1304" spans="1:7" x14ac:dyDescent="0.25">
      <c r="A1304" s="5">
        <v>45806.760416666664</v>
      </c>
      <c r="B1304">
        <v>27</v>
      </c>
      <c r="C1304" t="s">
        <v>33</v>
      </c>
      <c r="D1304" t="s">
        <v>34</v>
      </c>
      <c r="E1304">
        <v>1.53</v>
      </c>
      <c r="F1304">
        <v>5.68</v>
      </c>
      <c r="G1304" s="8">
        <f t="shared" si="20"/>
        <v>16.161971830985916</v>
      </c>
    </row>
    <row r="1305" spans="1:7" x14ac:dyDescent="0.25">
      <c r="A1305" s="5">
        <v>45806.760416666664</v>
      </c>
      <c r="B1305">
        <v>28</v>
      </c>
      <c r="C1305" t="s">
        <v>34</v>
      </c>
      <c r="D1305" t="s">
        <v>35</v>
      </c>
      <c r="E1305">
        <v>1.51</v>
      </c>
      <c r="F1305">
        <v>4.68</v>
      </c>
      <c r="G1305" s="8">
        <f t="shared" si="20"/>
        <v>19.358974358974358</v>
      </c>
    </row>
    <row r="1306" spans="1:7" x14ac:dyDescent="0.25">
      <c r="A1306" s="5">
        <v>45806.760416666664</v>
      </c>
      <c r="B1306">
        <v>29</v>
      </c>
      <c r="C1306" t="s">
        <v>36</v>
      </c>
      <c r="D1306" t="s">
        <v>37</v>
      </c>
      <c r="E1306">
        <v>1.57</v>
      </c>
      <c r="F1306">
        <v>4.43</v>
      </c>
      <c r="G1306" s="8">
        <f t="shared" si="20"/>
        <v>21.264108352144472</v>
      </c>
    </row>
    <row r="1307" spans="1:7" x14ac:dyDescent="0.25">
      <c r="A1307" s="5">
        <v>45806.760416666664</v>
      </c>
      <c r="B1307">
        <v>30</v>
      </c>
      <c r="C1307" t="s">
        <v>37</v>
      </c>
      <c r="D1307" t="s">
        <v>38</v>
      </c>
      <c r="E1307">
        <v>1.57</v>
      </c>
      <c r="F1307">
        <v>4.18</v>
      </c>
      <c r="G1307" s="8">
        <f t="shared" si="20"/>
        <v>22.535885167464116</v>
      </c>
    </row>
    <row r="1308" spans="1:7" x14ac:dyDescent="0.25">
      <c r="A1308" s="5">
        <v>45806.760416666664</v>
      </c>
      <c r="B1308">
        <v>31</v>
      </c>
      <c r="C1308" t="s">
        <v>38</v>
      </c>
      <c r="D1308" t="s">
        <v>39</v>
      </c>
      <c r="E1308">
        <v>1.52</v>
      </c>
      <c r="F1308">
        <v>9.93</v>
      </c>
      <c r="G1308" s="8">
        <f t="shared" si="20"/>
        <v>9.1842900302114803</v>
      </c>
    </row>
    <row r="1309" spans="1:7" x14ac:dyDescent="0.25">
      <c r="A1309" s="5">
        <v>45806.760416666664</v>
      </c>
      <c r="B1309">
        <v>32</v>
      </c>
      <c r="C1309" t="s">
        <v>39</v>
      </c>
      <c r="D1309" t="s">
        <v>40</v>
      </c>
      <c r="E1309">
        <v>1.5</v>
      </c>
      <c r="F1309">
        <v>3.25</v>
      </c>
      <c r="G1309" s="8">
        <f t="shared" si="20"/>
        <v>27.692307692307693</v>
      </c>
    </row>
    <row r="1310" spans="1:7" x14ac:dyDescent="0.25">
      <c r="A1310" s="5">
        <v>45806.760416666664</v>
      </c>
      <c r="B1310">
        <v>33</v>
      </c>
      <c r="C1310" t="s">
        <v>40</v>
      </c>
      <c r="D1310" t="s">
        <v>41</v>
      </c>
      <c r="E1310">
        <v>1.51</v>
      </c>
      <c r="F1310">
        <v>2.87</v>
      </c>
      <c r="G1310" s="8">
        <f t="shared" si="20"/>
        <v>31.567944250871076</v>
      </c>
    </row>
    <row r="1311" spans="1:7" x14ac:dyDescent="0.25">
      <c r="A1311" s="5">
        <v>45806.760416666664</v>
      </c>
      <c r="B1311">
        <v>34</v>
      </c>
      <c r="C1311" t="s">
        <v>41</v>
      </c>
      <c r="D1311" t="s">
        <v>42</v>
      </c>
      <c r="E1311">
        <v>1.5</v>
      </c>
      <c r="F1311">
        <v>2.2000000000000002</v>
      </c>
      <c r="G1311" s="8">
        <f t="shared" si="20"/>
        <v>40.909090909090907</v>
      </c>
    </row>
    <row r="1312" spans="1:7" x14ac:dyDescent="0.25">
      <c r="A1312" s="5">
        <v>45806.760416666664</v>
      </c>
      <c r="B1312">
        <v>35</v>
      </c>
      <c r="C1312" t="s">
        <v>43</v>
      </c>
      <c r="D1312" t="s">
        <v>44</v>
      </c>
      <c r="E1312">
        <v>1.55</v>
      </c>
      <c r="F1312">
        <v>5.32</v>
      </c>
      <c r="G1312" s="8">
        <f t="shared" si="20"/>
        <v>17.481203007518797</v>
      </c>
    </row>
    <row r="1313" spans="1:7" x14ac:dyDescent="0.25">
      <c r="A1313" s="5">
        <v>45806.760416666664</v>
      </c>
      <c r="B1313">
        <v>36</v>
      </c>
      <c r="C1313" t="s">
        <v>44</v>
      </c>
      <c r="D1313" t="s">
        <v>45</v>
      </c>
      <c r="E1313">
        <v>1.5</v>
      </c>
      <c r="F1313">
        <v>4.33</v>
      </c>
      <c r="G1313" s="8">
        <f t="shared" si="20"/>
        <v>20.785219399538107</v>
      </c>
    </row>
    <row r="1314" spans="1:7" x14ac:dyDescent="0.25">
      <c r="A1314" s="5">
        <v>45806.760416666664</v>
      </c>
      <c r="B1314">
        <v>37</v>
      </c>
      <c r="C1314" t="s">
        <v>45</v>
      </c>
      <c r="D1314" t="s">
        <v>46</v>
      </c>
      <c r="E1314">
        <v>1.38</v>
      </c>
      <c r="F1314">
        <v>6.33</v>
      </c>
      <c r="G1314" s="8">
        <f t="shared" si="20"/>
        <v>13.080568720379146</v>
      </c>
    </row>
    <row r="1315" spans="1:7" x14ac:dyDescent="0.25">
      <c r="A1315" s="5">
        <v>45806.760416666664</v>
      </c>
      <c r="B1315">
        <v>38</v>
      </c>
      <c r="C1315" t="s">
        <v>46</v>
      </c>
      <c r="D1315" t="s">
        <v>47</v>
      </c>
      <c r="E1315">
        <v>1.61</v>
      </c>
      <c r="F1315">
        <v>4.9000000000000004</v>
      </c>
      <c r="G1315" s="8">
        <f t="shared" si="20"/>
        <v>19.714285714285715</v>
      </c>
    </row>
    <row r="1316" spans="1:7" x14ac:dyDescent="0.25">
      <c r="A1316" s="5">
        <v>45806.760416666664</v>
      </c>
      <c r="B1316">
        <v>39</v>
      </c>
      <c r="C1316" t="s">
        <v>47</v>
      </c>
      <c r="D1316" t="s">
        <v>48</v>
      </c>
      <c r="E1316">
        <v>1.55</v>
      </c>
      <c r="F1316">
        <v>4.12</v>
      </c>
      <c r="G1316" s="8">
        <f t="shared" si="20"/>
        <v>22.572815533980581</v>
      </c>
    </row>
    <row r="1317" spans="1:7" x14ac:dyDescent="0.25">
      <c r="A1317" s="5">
        <v>45806.760416666664</v>
      </c>
      <c r="B1317">
        <v>40</v>
      </c>
      <c r="C1317" t="s">
        <v>48</v>
      </c>
      <c r="D1317" t="s">
        <v>49</v>
      </c>
      <c r="E1317">
        <v>1.39</v>
      </c>
      <c r="F1317">
        <v>3.5</v>
      </c>
      <c r="G1317" s="8">
        <f t="shared" si="20"/>
        <v>23.828571428571426</v>
      </c>
    </row>
    <row r="1318" spans="1:7" x14ac:dyDescent="0.25">
      <c r="A1318" s="5">
        <v>45806.760416666664</v>
      </c>
      <c r="B1318">
        <v>41</v>
      </c>
      <c r="C1318" t="s">
        <v>50</v>
      </c>
      <c r="D1318" t="s">
        <v>51</v>
      </c>
      <c r="E1318">
        <v>1.56</v>
      </c>
      <c r="F1318">
        <v>6.62</v>
      </c>
      <c r="G1318" s="8">
        <f t="shared" si="20"/>
        <v>14.138972809667674</v>
      </c>
    </row>
    <row r="1319" spans="1:7" x14ac:dyDescent="0.25">
      <c r="A1319" s="5">
        <v>45806.760416666664</v>
      </c>
      <c r="B1319">
        <v>42</v>
      </c>
      <c r="C1319" t="s">
        <v>51</v>
      </c>
      <c r="D1319" t="s">
        <v>52</v>
      </c>
      <c r="E1319">
        <v>1.56</v>
      </c>
      <c r="F1319">
        <v>5.0199999999999996</v>
      </c>
      <c r="G1319" s="8">
        <f t="shared" si="20"/>
        <v>18.645418326693232</v>
      </c>
    </row>
    <row r="1320" spans="1:7" x14ac:dyDescent="0.25">
      <c r="A1320" s="5">
        <v>45806.760416666664</v>
      </c>
      <c r="B1320">
        <v>43</v>
      </c>
      <c r="C1320" t="s">
        <v>52</v>
      </c>
      <c r="D1320" t="s">
        <v>53</v>
      </c>
      <c r="E1320">
        <v>1.51</v>
      </c>
      <c r="F1320">
        <v>4.72</v>
      </c>
      <c r="G1320" s="8">
        <f t="shared" si="20"/>
        <v>19.194915254237287</v>
      </c>
    </row>
    <row r="1321" spans="1:7" x14ac:dyDescent="0.25">
      <c r="A1321" s="5">
        <v>45806.760416666664</v>
      </c>
      <c r="B1321">
        <v>44</v>
      </c>
      <c r="C1321" t="s">
        <v>54</v>
      </c>
      <c r="D1321" t="s">
        <v>55</v>
      </c>
      <c r="E1321">
        <v>1.51</v>
      </c>
      <c r="F1321">
        <v>4.88</v>
      </c>
      <c r="G1321" s="8">
        <f t="shared" si="20"/>
        <v>18.565573770491802</v>
      </c>
    </row>
    <row r="1322" spans="1:7" x14ac:dyDescent="0.25">
      <c r="A1322" s="5">
        <v>45806.760416666664</v>
      </c>
      <c r="B1322">
        <v>45</v>
      </c>
      <c r="C1322" t="s">
        <v>55</v>
      </c>
      <c r="D1322" t="s">
        <v>56</v>
      </c>
      <c r="E1322">
        <v>1.49</v>
      </c>
      <c r="F1322">
        <v>4.95</v>
      </c>
      <c r="G1322" s="8">
        <f t="shared" si="20"/>
        <v>18.060606060606062</v>
      </c>
    </row>
    <row r="1323" spans="1:7" x14ac:dyDescent="0.25">
      <c r="A1323" s="5">
        <v>45806.760416666664</v>
      </c>
      <c r="B1323">
        <v>46</v>
      </c>
      <c r="C1323" t="s">
        <v>56</v>
      </c>
      <c r="D1323" t="s">
        <v>57</v>
      </c>
      <c r="E1323">
        <v>1.52</v>
      </c>
      <c r="F1323">
        <v>5.57</v>
      </c>
      <c r="G1323" s="8">
        <f t="shared" si="20"/>
        <v>16.373429084380611</v>
      </c>
    </row>
    <row r="1324" spans="1:7" x14ac:dyDescent="0.25">
      <c r="A1324" s="5">
        <v>45806.760416666664</v>
      </c>
      <c r="B1324">
        <v>47</v>
      </c>
      <c r="C1324" t="s">
        <v>58</v>
      </c>
      <c r="D1324" t="s">
        <v>59</v>
      </c>
      <c r="E1324">
        <v>1.52</v>
      </c>
      <c r="F1324">
        <v>8.6199999999999992</v>
      </c>
      <c r="G1324" s="8">
        <f t="shared" si="20"/>
        <v>10.580046403712299</v>
      </c>
    </row>
    <row r="1325" spans="1:7" x14ac:dyDescent="0.25">
      <c r="A1325" s="5">
        <v>45806.760416666664</v>
      </c>
      <c r="B1325">
        <v>48</v>
      </c>
      <c r="C1325" t="s">
        <v>59</v>
      </c>
      <c r="D1325" t="s">
        <v>60</v>
      </c>
      <c r="E1325">
        <v>1.5</v>
      </c>
      <c r="F1325">
        <v>4.5999999999999996</v>
      </c>
      <c r="G1325" s="8">
        <f t="shared" si="20"/>
        <v>19.565217391304348</v>
      </c>
    </row>
    <row r="1326" spans="1:7" x14ac:dyDescent="0.25">
      <c r="A1326" s="5">
        <v>45806.760416666664</v>
      </c>
      <c r="B1326">
        <v>49</v>
      </c>
      <c r="C1326" t="s">
        <v>60</v>
      </c>
      <c r="D1326" t="s">
        <v>61</v>
      </c>
      <c r="E1326">
        <v>1.54</v>
      </c>
      <c r="F1326">
        <v>6.4</v>
      </c>
      <c r="G1326" s="8">
        <f t="shared" si="20"/>
        <v>14.4375</v>
      </c>
    </row>
    <row r="1327" spans="1:7" x14ac:dyDescent="0.25">
      <c r="A1327" s="5">
        <v>45806.760416666664</v>
      </c>
      <c r="B1327">
        <v>50</v>
      </c>
      <c r="C1327" t="s">
        <v>62</v>
      </c>
      <c r="D1327" t="s">
        <v>63</v>
      </c>
      <c r="E1327">
        <v>1.38</v>
      </c>
      <c r="F1327">
        <v>3.32</v>
      </c>
      <c r="G1327" s="8">
        <f t="shared" si="20"/>
        <v>24.939759036144579</v>
      </c>
    </row>
    <row r="1328" spans="1:7" x14ac:dyDescent="0.25">
      <c r="A1328" s="5">
        <v>45806.760416666664</v>
      </c>
      <c r="B1328">
        <v>51</v>
      </c>
      <c r="C1328" t="s">
        <v>63</v>
      </c>
      <c r="D1328" t="s">
        <v>64</v>
      </c>
      <c r="E1328">
        <v>2.79</v>
      </c>
      <c r="F1328">
        <v>6.45</v>
      </c>
      <c r="G1328" s="8">
        <f t="shared" si="20"/>
        <v>25.953488372093023</v>
      </c>
    </row>
    <row r="1329" spans="1:7" x14ac:dyDescent="0.25">
      <c r="A1329" s="5">
        <v>45806.760416666664</v>
      </c>
      <c r="B1329">
        <v>52</v>
      </c>
      <c r="C1329" t="s">
        <v>64</v>
      </c>
      <c r="D1329" t="s">
        <v>65</v>
      </c>
      <c r="E1329">
        <v>1.5</v>
      </c>
      <c r="F1329">
        <v>2.97</v>
      </c>
      <c r="G1329" s="8">
        <f t="shared" si="20"/>
        <v>30.303030303030301</v>
      </c>
    </row>
    <row r="1330" spans="1:7" x14ac:dyDescent="0.25">
      <c r="A1330" s="5">
        <v>45806.760416666664</v>
      </c>
      <c r="B1330">
        <v>53</v>
      </c>
      <c r="C1330" t="s">
        <v>65</v>
      </c>
      <c r="D1330" t="s">
        <v>66</v>
      </c>
      <c r="E1330">
        <v>1.46</v>
      </c>
      <c r="F1330">
        <v>4.12</v>
      </c>
      <c r="G1330" s="8">
        <f t="shared" si="20"/>
        <v>21.262135922330096</v>
      </c>
    </row>
    <row r="1331" spans="1:7" x14ac:dyDescent="0.25">
      <c r="A1331" s="5">
        <v>45806.760416666664</v>
      </c>
      <c r="B1331">
        <v>54</v>
      </c>
      <c r="C1331" t="s">
        <v>67</v>
      </c>
      <c r="D1331" t="s">
        <v>68</v>
      </c>
      <c r="E1331">
        <v>1.46</v>
      </c>
      <c r="F1331">
        <v>3.48</v>
      </c>
      <c r="G1331" s="8">
        <f t="shared" si="20"/>
        <v>25.172413793103448</v>
      </c>
    </row>
    <row r="1332" spans="1:7" x14ac:dyDescent="0.25">
      <c r="A1332" s="5">
        <v>45806.760416666664</v>
      </c>
      <c r="B1332">
        <v>55</v>
      </c>
      <c r="C1332" t="s">
        <v>68</v>
      </c>
      <c r="D1332" t="s">
        <v>69</v>
      </c>
      <c r="E1332">
        <v>1.5</v>
      </c>
      <c r="F1332">
        <v>2.38</v>
      </c>
      <c r="G1332" s="8">
        <f t="shared" si="20"/>
        <v>37.815126050420169</v>
      </c>
    </row>
    <row r="1333" spans="1:7" x14ac:dyDescent="0.25">
      <c r="A1333" s="5">
        <v>45806.760416666664</v>
      </c>
      <c r="B1333">
        <v>56</v>
      </c>
      <c r="C1333" t="s">
        <v>70</v>
      </c>
      <c r="D1333" t="s">
        <v>71</v>
      </c>
      <c r="E1333">
        <v>1.51</v>
      </c>
      <c r="F1333">
        <v>6.73</v>
      </c>
      <c r="G1333" s="8">
        <f t="shared" si="20"/>
        <v>13.462109955423475</v>
      </c>
    </row>
    <row r="1334" spans="1:7" x14ac:dyDescent="0.25">
      <c r="A1334" s="5">
        <v>45806.760416666664</v>
      </c>
      <c r="B1334">
        <v>57</v>
      </c>
      <c r="C1334" t="s">
        <v>71</v>
      </c>
      <c r="D1334" t="s">
        <v>72</v>
      </c>
      <c r="E1334">
        <v>2</v>
      </c>
      <c r="F1334">
        <v>7.43</v>
      </c>
      <c r="G1334" s="8">
        <f t="shared" si="20"/>
        <v>16.150740242261104</v>
      </c>
    </row>
    <row r="1335" spans="1:7" x14ac:dyDescent="0.25">
      <c r="A1335" s="5">
        <v>45806.760416666664</v>
      </c>
      <c r="B1335">
        <v>58</v>
      </c>
      <c r="C1335" t="s">
        <v>72</v>
      </c>
      <c r="D1335" t="s">
        <v>73</v>
      </c>
      <c r="E1335">
        <v>1.5</v>
      </c>
      <c r="F1335">
        <v>5.67</v>
      </c>
      <c r="G1335" s="8">
        <f t="shared" si="20"/>
        <v>15.873015873015873</v>
      </c>
    </row>
    <row r="1336" spans="1:7" x14ac:dyDescent="0.25">
      <c r="A1336" s="5">
        <v>45806.770833333336</v>
      </c>
      <c r="B1336">
        <v>1</v>
      </c>
      <c r="C1336" t="s">
        <v>6</v>
      </c>
      <c r="D1336" t="s">
        <v>7</v>
      </c>
      <c r="E1336">
        <v>1.53</v>
      </c>
      <c r="F1336">
        <v>3.28</v>
      </c>
      <c r="G1336" s="8">
        <f t="shared" si="20"/>
        <v>27.987804878048781</v>
      </c>
    </row>
    <row r="1337" spans="1:7" x14ac:dyDescent="0.25">
      <c r="A1337" s="5">
        <v>45806.770833333336</v>
      </c>
      <c r="B1337">
        <v>2</v>
      </c>
      <c r="C1337" t="s">
        <v>7</v>
      </c>
      <c r="D1337" t="s">
        <v>8</v>
      </c>
      <c r="E1337">
        <v>1.57</v>
      </c>
      <c r="F1337">
        <v>5.82</v>
      </c>
      <c r="G1337" s="8">
        <f t="shared" si="20"/>
        <v>16.185567010309278</v>
      </c>
    </row>
    <row r="1338" spans="1:7" x14ac:dyDescent="0.25">
      <c r="A1338" s="5">
        <v>45806.770833333336</v>
      </c>
      <c r="B1338">
        <v>3</v>
      </c>
      <c r="C1338" t="s">
        <v>8</v>
      </c>
      <c r="D1338" t="s">
        <v>9</v>
      </c>
      <c r="E1338">
        <v>1.5</v>
      </c>
      <c r="F1338">
        <v>3.93</v>
      </c>
      <c r="G1338" s="8">
        <f t="shared" si="20"/>
        <v>22.900763358778626</v>
      </c>
    </row>
    <row r="1339" spans="1:7" x14ac:dyDescent="0.25">
      <c r="A1339" s="5">
        <v>45806.770833333336</v>
      </c>
      <c r="B1339">
        <v>4</v>
      </c>
      <c r="C1339" t="s">
        <v>9</v>
      </c>
      <c r="D1339" t="s">
        <v>10</v>
      </c>
      <c r="E1339">
        <v>1.5</v>
      </c>
      <c r="F1339">
        <v>3.32</v>
      </c>
      <c r="G1339" s="8">
        <f t="shared" si="20"/>
        <v>27.108433734939759</v>
      </c>
    </row>
    <row r="1340" spans="1:7" x14ac:dyDescent="0.25">
      <c r="A1340" s="5">
        <v>45806.770833333336</v>
      </c>
      <c r="B1340">
        <v>5</v>
      </c>
      <c r="C1340" t="s">
        <v>10</v>
      </c>
      <c r="D1340" t="s">
        <v>11</v>
      </c>
      <c r="E1340">
        <v>1.52</v>
      </c>
      <c r="F1340">
        <v>7</v>
      </c>
      <c r="G1340" s="8">
        <f t="shared" si="20"/>
        <v>13.028571428571428</v>
      </c>
    </row>
    <row r="1341" spans="1:7" x14ac:dyDescent="0.25">
      <c r="A1341" s="5">
        <v>45806.770833333336</v>
      </c>
      <c r="B1341">
        <v>6</v>
      </c>
      <c r="C1341" t="s">
        <v>11</v>
      </c>
      <c r="D1341" t="s">
        <v>12</v>
      </c>
      <c r="E1341">
        <v>1.5</v>
      </c>
      <c r="F1341">
        <v>2.85</v>
      </c>
      <c r="G1341" s="8">
        <f t="shared" si="20"/>
        <v>31.578947368421051</v>
      </c>
    </row>
    <row r="1342" spans="1:7" x14ac:dyDescent="0.25">
      <c r="A1342" s="5">
        <v>45806.770833333336</v>
      </c>
      <c r="B1342">
        <v>7</v>
      </c>
      <c r="C1342" t="s">
        <v>12</v>
      </c>
      <c r="D1342" t="s">
        <v>13</v>
      </c>
      <c r="E1342">
        <v>1.54</v>
      </c>
      <c r="F1342">
        <v>2.8</v>
      </c>
      <c r="G1342" s="8">
        <f t="shared" si="20"/>
        <v>33.000000000000007</v>
      </c>
    </row>
    <row r="1343" spans="1:7" x14ac:dyDescent="0.25">
      <c r="A1343" s="5">
        <v>45806.770833333336</v>
      </c>
      <c r="B1343">
        <v>8</v>
      </c>
      <c r="C1343" t="s">
        <v>13</v>
      </c>
      <c r="D1343" t="s">
        <v>14</v>
      </c>
      <c r="E1343">
        <v>1.54</v>
      </c>
      <c r="F1343">
        <v>3.47</v>
      </c>
      <c r="G1343" s="8">
        <f t="shared" si="20"/>
        <v>26.628242074927954</v>
      </c>
    </row>
    <row r="1344" spans="1:7" x14ac:dyDescent="0.25">
      <c r="A1344" s="5">
        <v>45806.770833333336</v>
      </c>
      <c r="B1344">
        <v>9</v>
      </c>
      <c r="C1344" t="s">
        <v>14</v>
      </c>
      <c r="D1344" t="s">
        <v>15</v>
      </c>
      <c r="E1344">
        <v>1.52</v>
      </c>
      <c r="F1344">
        <v>4.13</v>
      </c>
      <c r="G1344" s="8">
        <f t="shared" si="20"/>
        <v>22.082324455205811</v>
      </c>
    </row>
    <row r="1345" spans="1:7" x14ac:dyDescent="0.25">
      <c r="A1345" s="5">
        <v>45806.770833333336</v>
      </c>
      <c r="B1345">
        <v>10</v>
      </c>
      <c r="C1345" t="s">
        <v>15</v>
      </c>
      <c r="D1345" t="s">
        <v>16</v>
      </c>
      <c r="E1345">
        <v>1.5</v>
      </c>
      <c r="F1345">
        <v>4.08</v>
      </c>
      <c r="G1345" s="8">
        <f t="shared" si="20"/>
        <v>22.058823529411764</v>
      </c>
    </row>
    <row r="1346" spans="1:7" x14ac:dyDescent="0.25">
      <c r="A1346" s="5">
        <v>45806.770833333336</v>
      </c>
      <c r="B1346">
        <v>11</v>
      </c>
      <c r="C1346" t="s">
        <v>16</v>
      </c>
      <c r="D1346" t="s">
        <v>17</v>
      </c>
      <c r="E1346">
        <v>1.48</v>
      </c>
      <c r="F1346">
        <v>5.62</v>
      </c>
      <c r="G1346" s="8">
        <f t="shared" si="20"/>
        <v>15.800711743772242</v>
      </c>
    </row>
    <row r="1347" spans="1:7" x14ac:dyDescent="0.25">
      <c r="A1347" s="5">
        <v>45806.770833333336</v>
      </c>
      <c r="B1347">
        <v>12</v>
      </c>
      <c r="C1347" t="s">
        <v>17</v>
      </c>
      <c r="D1347" t="s">
        <v>18</v>
      </c>
      <c r="E1347">
        <v>1.46</v>
      </c>
      <c r="F1347">
        <v>4.78</v>
      </c>
      <c r="G1347" s="8">
        <f t="shared" ref="G1347:G1410" si="21">E1347*60/F1347</f>
        <v>18.32635983263598</v>
      </c>
    </row>
    <row r="1348" spans="1:7" x14ac:dyDescent="0.25">
      <c r="A1348" s="5">
        <v>45806.770833333336</v>
      </c>
      <c r="B1348">
        <v>13</v>
      </c>
      <c r="C1348" t="s">
        <v>18</v>
      </c>
      <c r="D1348" t="s">
        <v>19</v>
      </c>
      <c r="E1348">
        <v>1.52</v>
      </c>
      <c r="F1348">
        <v>5.75</v>
      </c>
      <c r="G1348" s="8">
        <f t="shared" si="21"/>
        <v>15.860869565217392</v>
      </c>
    </row>
    <row r="1349" spans="1:7" x14ac:dyDescent="0.25">
      <c r="A1349" s="5">
        <v>45806.770833333336</v>
      </c>
      <c r="B1349">
        <v>14</v>
      </c>
      <c r="C1349" t="s">
        <v>19</v>
      </c>
      <c r="D1349" t="s">
        <v>20</v>
      </c>
      <c r="E1349">
        <v>1.51</v>
      </c>
      <c r="F1349">
        <v>4.2300000000000004</v>
      </c>
      <c r="G1349" s="8">
        <f t="shared" si="21"/>
        <v>21.418439716312054</v>
      </c>
    </row>
    <row r="1350" spans="1:7" x14ac:dyDescent="0.25">
      <c r="A1350" s="5">
        <v>45806.770833333336</v>
      </c>
      <c r="B1350">
        <v>15</v>
      </c>
      <c r="C1350" t="s">
        <v>20</v>
      </c>
      <c r="D1350" t="s">
        <v>21</v>
      </c>
      <c r="E1350">
        <v>1.47</v>
      </c>
      <c r="F1350">
        <v>2.77</v>
      </c>
      <c r="G1350" s="8">
        <f t="shared" si="21"/>
        <v>31.841155234657041</v>
      </c>
    </row>
    <row r="1351" spans="1:7" x14ac:dyDescent="0.25">
      <c r="A1351" s="5">
        <v>45806.770833333336</v>
      </c>
      <c r="B1351">
        <v>16</v>
      </c>
      <c r="C1351" t="s">
        <v>21</v>
      </c>
      <c r="D1351" t="s">
        <v>22</v>
      </c>
      <c r="E1351">
        <v>1.5</v>
      </c>
      <c r="F1351">
        <v>1.98</v>
      </c>
      <c r="G1351" s="8">
        <f t="shared" si="21"/>
        <v>45.454545454545453</v>
      </c>
    </row>
    <row r="1352" spans="1:7" x14ac:dyDescent="0.25">
      <c r="A1352" s="5">
        <v>45806.770833333336</v>
      </c>
      <c r="B1352">
        <v>17</v>
      </c>
      <c r="C1352" t="s">
        <v>22</v>
      </c>
      <c r="D1352" t="s">
        <v>23</v>
      </c>
      <c r="E1352">
        <v>1.51</v>
      </c>
      <c r="F1352">
        <v>3.6</v>
      </c>
      <c r="G1352" s="8">
        <f t="shared" si="21"/>
        <v>25.166666666666664</v>
      </c>
    </row>
    <row r="1353" spans="1:7" x14ac:dyDescent="0.25">
      <c r="A1353" s="5">
        <v>45806.770833333336</v>
      </c>
      <c r="B1353">
        <v>18</v>
      </c>
      <c r="C1353" t="s">
        <v>23</v>
      </c>
      <c r="D1353" t="s">
        <v>24</v>
      </c>
      <c r="E1353">
        <v>1.51</v>
      </c>
      <c r="F1353">
        <v>4.28</v>
      </c>
      <c r="G1353" s="8">
        <f t="shared" si="21"/>
        <v>21.168224299065418</v>
      </c>
    </row>
    <row r="1354" spans="1:7" x14ac:dyDescent="0.25">
      <c r="A1354" s="5">
        <v>45806.770833333336</v>
      </c>
      <c r="B1354">
        <v>19</v>
      </c>
      <c r="C1354" t="s">
        <v>25</v>
      </c>
      <c r="D1354" t="s">
        <v>26</v>
      </c>
      <c r="E1354">
        <v>1.5</v>
      </c>
      <c r="F1354">
        <v>3.6</v>
      </c>
      <c r="G1354" s="8">
        <f t="shared" si="21"/>
        <v>25</v>
      </c>
    </row>
    <row r="1355" spans="1:7" x14ac:dyDescent="0.25">
      <c r="A1355" s="5">
        <v>45806.770833333336</v>
      </c>
      <c r="B1355">
        <v>20</v>
      </c>
      <c r="C1355" t="s">
        <v>26</v>
      </c>
      <c r="D1355" t="s">
        <v>27</v>
      </c>
      <c r="E1355">
        <v>1.48</v>
      </c>
      <c r="F1355">
        <v>3.53</v>
      </c>
      <c r="G1355" s="8">
        <f t="shared" si="21"/>
        <v>25.155807365439095</v>
      </c>
    </row>
    <row r="1356" spans="1:7" x14ac:dyDescent="0.25">
      <c r="A1356" s="5">
        <v>45806.770833333336</v>
      </c>
      <c r="B1356">
        <v>21</v>
      </c>
      <c r="C1356" t="s">
        <v>27</v>
      </c>
      <c r="D1356" t="s">
        <v>28</v>
      </c>
      <c r="E1356">
        <v>1.51</v>
      </c>
      <c r="F1356">
        <v>3.57</v>
      </c>
      <c r="G1356" s="8">
        <f t="shared" si="21"/>
        <v>25.3781512605042</v>
      </c>
    </row>
    <row r="1357" spans="1:7" x14ac:dyDescent="0.25">
      <c r="A1357" s="5">
        <v>45806.770833333336</v>
      </c>
      <c r="B1357">
        <v>22</v>
      </c>
      <c r="C1357" t="s">
        <v>28</v>
      </c>
      <c r="D1357" t="s">
        <v>29</v>
      </c>
      <c r="E1357">
        <v>1.57</v>
      </c>
      <c r="F1357">
        <v>4.3</v>
      </c>
      <c r="G1357" s="8">
        <f t="shared" si="21"/>
        <v>21.906976744186046</v>
      </c>
    </row>
    <row r="1358" spans="1:7" x14ac:dyDescent="0.25">
      <c r="A1358" s="5">
        <v>45806.770833333336</v>
      </c>
      <c r="B1358">
        <v>23</v>
      </c>
      <c r="C1358" t="s">
        <v>29</v>
      </c>
      <c r="D1358" t="s">
        <v>30</v>
      </c>
      <c r="E1358">
        <v>1.43</v>
      </c>
      <c r="F1358">
        <v>5.47</v>
      </c>
      <c r="G1358" s="8">
        <f t="shared" si="21"/>
        <v>15.685557586837295</v>
      </c>
    </row>
    <row r="1359" spans="1:7" x14ac:dyDescent="0.25">
      <c r="A1359" s="5">
        <v>45806.770833333336</v>
      </c>
      <c r="B1359">
        <v>24</v>
      </c>
      <c r="C1359" t="s">
        <v>30</v>
      </c>
      <c r="D1359" t="s">
        <v>31</v>
      </c>
      <c r="E1359">
        <v>1.52</v>
      </c>
      <c r="F1359">
        <v>4.63</v>
      </c>
      <c r="G1359" s="8">
        <f t="shared" si="21"/>
        <v>19.697624190064797</v>
      </c>
    </row>
    <row r="1360" spans="1:7" x14ac:dyDescent="0.25">
      <c r="A1360" s="5">
        <v>45806.770833333336</v>
      </c>
      <c r="B1360">
        <v>25</v>
      </c>
      <c r="C1360" t="s">
        <v>31</v>
      </c>
      <c r="D1360" t="s">
        <v>32</v>
      </c>
      <c r="E1360">
        <v>1.52</v>
      </c>
      <c r="F1360">
        <v>3.78</v>
      </c>
      <c r="G1360" s="8">
        <f t="shared" si="21"/>
        <v>24.12698412698413</v>
      </c>
    </row>
    <row r="1361" spans="1:7" x14ac:dyDescent="0.25">
      <c r="A1361" s="5">
        <v>45806.770833333336</v>
      </c>
      <c r="B1361">
        <v>26</v>
      </c>
      <c r="C1361" t="s">
        <v>32</v>
      </c>
      <c r="D1361" t="s">
        <v>33</v>
      </c>
      <c r="E1361">
        <v>1.49</v>
      </c>
      <c r="F1361">
        <v>7.57</v>
      </c>
      <c r="G1361" s="8">
        <f t="shared" si="21"/>
        <v>11.809775429326288</v>
      </c>
    </row>
    <row r="1362" spans="1:7" x14ac:dyDescent="0.25">
      <c r="A1362" s="5">
        <v>45806.770833333336</v>
      </c>
      <c r="B1362">
        <v>27</v>
      </c>
      <c r="C1362" t="s">
        <v>33</v>
      </c>
      <c r="D1362" t="s">
        <v>34</v>
      </c>
      <c r="E1362">
        <v>1.53</v>
      </c>
      <c r="F1362">
        <v>6.28</v>
      </c>
      <c r="G1362" s="8">
        <f t="shared" si="21"/>
        <v>14.617834394904458</v>
      </c>
    </row>
    <row r="1363" spans="1:7" x14ac:dyDescent="0.25">
      <c r="A1363" s="5">
        <v>45806.770833333336</v>
      </c>
      <c r="B1363">
        <v>28</v>
      </c>
      <c r="C1363" t="s">
        <v>34</v>
      </c>
      <c r="D1363" t="s">
        <v>35</v>
      </c>
      <c r="E1363">
        <v>1.51</v>
      </c>
      <c r="F1363">
        <v>4.82</v>
      </c>
      <c r="G1363" s="8">
        <f t="shared" si="21"/>
        <v>18.796680497925308</v>
      </c>
    </row>
    <row r="1364" spans="1:7" x14ac:dyDescent="0.25">
      <c r="A1364" s="5">
        <v>45806.770833333336</v>
      </c>
      <c r="B1364">
        <v>29</v>
      </c>
      <c r="C1364" t="s">
        <v>36</v>
      </c>
      <c r="D1364" t="s">
        <v>37</v>
      </c>
      <c r="E1364">
        <v>1.57</v>
      </c>
      <c r="F1364">
        <v>4.25</v>
      </c>
      <c r="G1364" s="8">
        <f t="shared" si="21"/>
        <v>22.164705882352941</v>
      </c>
    </row>
    <row r="1365" spans="1:7" x14ac:dyDescent="0.25">
      <c r="A1365" s="5">
        <v>45806.770833333336</v>
      </c>
      <c r="B1365">
        <v>30</v>
      </c>
      <c r="C1365" t="s">
        <v>37</v>
      </c>
      <c r="D1365" t="s">
        <v>38</v>
      </c>
      <c r="E1365">
        <v>1.57</v>
      </c>
      <c r="F1365">
        <v>3.85</v>
      </c>
      <c r="G1365" s="8">
        <f t="shared" si="21"/>
        <v>24.467532467532468</v>
      </c>
    </row>
    <row r="1366" spans="1:7" x14ac:dyDescent="0.25">
      <c r="A1366" s="5">
        <v>45806.770833333336</v>
      </c>
      <c r="B1366">
        <v>31</v>
      </c>
      <c r="C1366" t="s">
        <v>38</v>
      </c>
      <c r="D1366" t="s">
        <v>39</v>
      </c>
      <c r="E1366">
        <v>1.52</v>
      </c>
      <c r="F1366">
        <v>4.32</v>
      </c>
      <c r="G1366" s="8">
        <f t="shared" si="21"/>
        <v>21.111111111111111</v>
      </c>
    </row>
    <row r="1367" spans="1:7" x14ac:dyDescent="0.25">
      <c r="A1367" s="5">
        <v>45806.770833333336</v>
      </c>
      <c r="B1367">
        <v>32</v>
      </c>
      <c r="C1367" t="s">
        <v>39</v>
      </c>
      <c r="D1367" t="s">
        <v>40</v>
      </c>
      <c r="E1367">
        <v>1.5</v>
      </c>
      <c r="F1367">
        <v>3.45</v>
      </c>
      <c r="G1367" s="8">
        <f t="shared" si="21"/>
        <v>26.086956521739129</v>
      </c>
    </row>
    <row r="1368" spans="1:7" x14ac:dyDescent="0.25">
      <c r="A1368" s="5">
        <v>45806.770833333336</v>
      </c>
      <c r="B1368">
        <v>33</v>
      </c>
      <c r="C1368" t="s">
        <v>40</v>
      </c>
      <c r="D1368" t="s">
        <v>41</v>
      </c>
      <c r="E1368">
        <v>1.51</v>
      </c>
      <c r="F1368">
        <v>2.7</v>
      </c>
      <c r="G1368" s="8">
        <f t="shared" si="21"/>
        <v>33.55555555555555</v>
      </c>
    </row>
    <row r="1369" spans="1:7" x14ac:dyDescent="0.25">
      <c r="A1369" s="5">
        <v>45806.770833333336</v>
      </c>
      <c r="B1369">
        <v>34</v>
      </c>
      <c r="C1369" t="s">
        <v>41</v>
      </c>
      <c r="D1369" t="s">
        <v>42</v>
      </c>
      <c r="E1369">
        <v>1.5</v>
      </c>
      <c r="F1369">
        <v>2.3199999999999998</v>
      </c>
      <c r="G1369" s="8">
        <f t="shared" si="21"/>
        <v>38.793103448275865</v>
      </c>
    </row>
    <row r="1370" spans="1:7" x14ac:dyDescent="0.25">
      <c r="A1370" s="5">
        <v>45806.770833333336</v>
      </c>
      <c r="B1370">
        <v>35</v>
      </c>
      <c r="C1370" t="s">
        <v>43</v>
      </c>
      <c r="D1370" t="s">
        <v>44</v>
      </c>
      <c r="E1370">
        <v>1.55</v>
      </c>
      <c r="F1370">
        <v>4.93</v>
      </c>
      <c r="G1370" s="8">
        <f t="shared" si="21"/>
        <v>18.864097363083165</v>
      </c>
    </row>
    <row r="1371" spans="1:7" x14ac:dyDescent="0.25">
      <c r="A1371" s="5">
        <v>45806.770833333336</v>
      </c>
      <c r="B1371">
        <v>36</v>
      </c>
      <c r="C1371" t="s">
        <v>44</v>
      </c>
      <c r="D1371" t="s">
        <v>45</v>
      </c>
      <c r="E1371">
        <v>1.5</v>
      </c>
      <c r="F1371">
        <v>3.77</v>
      </c>
      <c r="G1371" s="8">
        <f t="shared" si="21"/>
        <v>23.872679045092838</v>
      </c>
    </row>
    <row r="1372" spans="1:7" x14ac:dyDescent="0.25">
      <c r="A1372" s="5">
        <v>45806.770833333336</v>
      </c>
      <c r="B1372">
        <v>37</v>
      </c>
      <c r="C1372" t="s">
        <v>45</v>
      </c>
      <c r="D1372" t="s">
        <v>46</v>
      </c>
      <c r="E1372">
        <v>1.38</v>
      </c>
      <c r="F1372">
        <v>5.45</v>
      </c>
      <c r="G1372" s="8">
        <f t="shared" si="21"/>
        <v>15.192660550458715</v>
      </c>
    </row>
    <row r="1373" spans="1:7" x14ac:dyDescent="0.25">
      <c r="A1373" s="5">
        <v>45806.770833333336</v>
      </c>
      <c r="B1373">
        <v>38</v>
      </c>
      <c r="C1373" t="s">
        <v>46</v>
      </c>
      <c r="D1373" t="s">
        <v>47</v>
      </c>
      <c r="E1373">
        <v>1.61</v>
      </c>
      <c r="F1373">
        <v>5.87</v>
      </c>
      <c r="G1373" s="8">
        <f t="shared" si="21"/>
        <v>16.456558773424192</v>
      </c>
    </row>
    <row r="1374" spans="1:7" x14ac:dyDescent="0.25">
      <c r="A1374" s="5">
        <v>45806.770833333336</v>
      </c>
      <c r="B1374">
        <v>39</v>
      </c>
      <c r="C1374" t="s">
        <v>47</v>
      </c>
      <c r="D1374" t="s">
        <v>48</v>
      </c>
      <c r="E1374">
        <v>1.55</v>
      </c>
      <c r="F1374">
        <v>4.1500000000000004</v>
      </c>
      <c r="G1374" s="8">
        <f t="shared" si="21"/>
        <v>22.409638554216865</v>
      </c>
    </row>
    <row r="1375" spans="1:7" x14ac:dyDescent="0.25">
      <c r="A1375" s="5">
        <v>45806.770833333336</v>
      </c>
      <c r="B1375">
        <v>40</v>
      </c>
      <c r="C1375" t="s">
        <v>48</v>
      </c>
      <c r="D1375" t="s">
        <v>49</v>
      </c>
      <c r="E1375">
        <v>1.39</v>
      </c>
      <c r="F1375">
        <v>3.55</v>
      </c>
      <c r="G1375" s="8">
        <f t="shared" si="21"/>
        <v>23.492957746478872</v>
      </c>
    </row>
    <row r="1376" spans="1:7" x14ac:dyDescent="0.25">
      <c r="A1376" s="5">
        <v>45806.770833333336</v>
      </c>
      <c r="B1376">
        <v>41</v>
      </c>
      <c r="C1376" t="s">
        <v>50</v>
      </c>
      <c r="D1376" t="s">
        <v>51</v>
      </c>
      <c r="E1376">
        <v>1.56</v>
      </c>
      <c r="F1376">
        <v>6.08</v>
      </c>
      <c r="G1376" s="8">
        <f t="shared" si="21"/>
        <v>15.394736842105264</v>
      </c>
    </row>
    <row r="1377" spans="1:7" x14ac:dyDescent="0.25">
      <c r="A1377" s="5">
        <v>45806.770833333336</v>
      </c>
      <c r="B1377">
        <v>42</v>
      </c>
      <c r="C1377" t="s">
        <v>51</v>
      </c>
      <c r="D1377" t="s">
        <v>52</v>
      </c>
      <c r="E1377">
        <v>1.56</v>
      </c>
      <c r="F1377">
        <v>4.87</v>
      </c>
      <c r="G1377" s="8">
        <f t="shared" si="21"/>
        <v>19.219712525667351</v>
      </c>
    </row>
    <row r="1378" spans="1:7" x14ac:dyDescent="0.25">
      <c r="A1378" s="5">
        <v>45806.770833333336</v>
      </c>
      <c r="B1378">
        <v>43</v>
      </c>
      <c r="C1378" t="s">
        <v>52</v>
      </c>
      <c r="D1378" t="s">
        <v>53</v>
      </c>
      <c r="E1378">
        <v>1.51</v>
      </c>
      <c r="F1378">
        <v>3.88</v>
      </c>
      <c r="G1378" s="8">
        <f t="shared" si="21"/>
        <v>23.350515463917525</v>
      </c>
    </row>
    <row r="1379" spans="1:7" x14ac:dyDescent="0.25">
      <c r="A1379" s="5">
        <v>45806.770833333336</v>
      </c>
      <c r="B1379">
        <v>44</v>
      </c>
      <c r="C1379" t="s">
        <v>54</v>
      </c>
      <c r="D1379" t="s">
        <v>55</v>
      </c>
      <c r="E1379">
        <v>1.51</v>
      </c>
      <c r="F1379">
        <v>4.55</v>
      </c>
      <c r="G1379" s="8">
        <f t="shared" si="21"/>
        <v>19.912087912087912</v>
      </c>
    </row>
    <row r="1380" spans="1:7" x14ac:dyDescent="0.25">
      <c r="A1380" s="5">
        <v>45806.770833333336</v>
      </c>
      <c r="B1380">
        <v>45</v>
      </c>
      <c r="C1380" t="s">
        <v>55</v>
      </c>
      <c r="D1380" t="s">
        <v>56</v>
      </c>
      <c r="E1380">
        <v>1.49</v>
      </c>
      <c r="F1380">
        <v>5.28</v>
      </c>
      <c r="G1380" s="8">
        <f t="shared" si="21"/>
        <v>16.931818181818183</v>
      </c>
    </row>
    <row r="1381" spans="1:7" x14ac:dyDescent="0.25">
      <c r="A1381" s="5">
        <v>45806.770833333336</v>
      </c>
      <c r="B1381">
        <v>46</v>
      </c>
      <c r="C1381" t="s">
        <v>56</v>
      </c>
      <c r="D1381" t="s">
        <v>57</v>
      </c>
      <c r="E1381">
        <v>1.52</v>
      </c>
      <c r="F1381">
        <v>5.43</v>
      </c>
      <c r="G1381" s="8">
        <f t="shared" si="21"/>
        <v>16.795580110497237</v>
      </c>
    </row>
    <row r="1382" spans="1:7" x14ac:dyDescent="0.25">
      <c r="A1382" s="5">
        <v>45806.770833333336</v>
      </c>
      <c r="B1382">
        <v>47</v>
      </c>
      <c r="C1382" t="s">
        <v>58</v>
      </c>
      <c r="D1382" t="s">
        <v>59</v>
      </c>
      <c r="E1382">
        <v>1.52</v>
      </c>
      <c r="F1382">
        <v>8.2799999999999994</v>
      </c>
      <c r="G1382" s="8">
        <f t="shared" si="21"/>
        <v>11.014492753623189</v>
      </c>
    </row>
    <row r="1383" spans="1:7" x14ac:dyDescent="0.25">
      <c r="A1383" s="5">
        <v>45806.770833333336</v>
      </c>
      <c r="B1383">
        <v>48</v>
      </c>
      <c r="C1383" t="s">
        <v>59</v>
      </c>
      <c r="D1383" t="s">
        <v>60</v>
      </c>
      <c r="E1383">
        <v>1.5</v>
      </c>
      <c r="F1383">
        <v>4.3</v>
      </c>
      <c r="G1383" s="8">
        <f t="shared" si="21"/>
        <v>20.930232558139537</v>
      </c>
    </row>
    <row r="1384" spans="1:7" x14ac:dyDescent="0.25">
      <c r="A1384" s="5">
        <v>45806.770833333336</v>
      </c>
      <c r="B1384">
        <v>49</v>
      </c>
      <c r="C1384" t="s">
        <v>60</v>
      </c>
      <c r="D1384" t="s">
        <v>61</v>
      </c>
      <c r="E1384">
        <v>1.54</v>
      </c>
      <c r="F1384">
        <v>7.37</v>
      </c>
      <c r="G1384" s="8">
        <f t="shared" si="21"/>
        <v>12.537313432835822</v>
      </c>
    </row>
    <row r="1385" spans="1:7" x14ac:dyDescent="0.25">
      <c r="A1385" s="5">
        <v>45806.770833333336</v>
      </c>
      <c r="B1385">
        <v>50</v>
      </c>
      <c r="C1385" t="s">
        <v>62</v>
      </c>
      <c r="D1385" t="s">
        <v>63</v>
      </c>
      <c r="E1385">
        <v>1.38</v>
      </c>
      <c r="F1385">
        <v>3.45</v>
      </c>
      <c r="G1385" s="8">
        <f t="shared" si="21"/>
        <v>23.999999999999996</v>
      </c>
    </row>
    <row r="1386" spans="1:7" x14ac:dyDescent="0.25">
      <c r="A1386" s="5">
        <v>45806.770833333336</v>
      </c>
      <c r="B1386">
        <v>51</v>
      </c>
      <c r="C1386" t="s">
        <v>63</v>
      </c>
      <c r="D1386" t="s">
        <v>64</v>
      </c>
      <c r="E1386">
        <v>2.79</v>
      </c>
      <c r="F1386">
        <v>6.1</v>
      </c>
      <c r="G1386" s="8">
        <f t="shared" si="21"/>
        <v>27.442622950819676</v>
      </c>
    </row>
    <row r="1387" spans="1:7" x14ac:dyDescent="0.25">
      <c r="A1387" s="5">
        <v>45806.770833333336</v>
      </c>
      <c r="B1387">
        <v>52</v>
      </c>
      <c r="C1387" t="s">
        <v>64</v>
      </c>
      <c r="D1387" t="s">
        <v>65</v>
      </c>
      <c r="E1387">
        <v>1.5</v>
      </c>
      <c r="F1387">
        <v>2.88</v>
      </c>
      <c r="G1387" s="8">
        <f t="shared" si="21"/>
        <v>31.25</v>
      </c>
    </row>
    <row r="1388" spans="1:7" x14ac:dyDescent="0.25">
      <c r="A1388" s="5">
        <v>45806.770833333336</v>
      </c>
      <c r="B1388">
        <v>53</v>
      </c>
      <c r="C1388" t="s">
        <v>65</v>
      </c>
      <c r="D1388" t="s">
        <v>66</v>
      </c>
      <c r="E1388">
        <v>1.46</v>
      </c>
      <c r="F1388">
        <v>4</v>
      </c>
      <c r="G1388" s="8">
        <f t="shared" si="21"/>
        <v>21.9</v>
      </c>
    </row>
    <row r="1389" spans="1:7" x14ac:dyDescent="0.25">
      <c r="A1389" s="5">
        <v>45806.770833333336</v>
      </c>
      <c r="B1389">
        <v>54</v>
      </c>
      <c r="C1389" t="s">
        <v>67</v>
      </c>
      <c r="D1389" t="s">
        <v>68</v>
      </c>
      <c r="E1389">
        <v>1.46</v>
      </c>
      <c r="F1389">
        <v>3.33</v>
      </c>
      <c r="G1389" s="8">
        <f t="shared" si="21"/>
        <v>26.306306306306304</v>
      </c>
    </row>
    <row r="1390" spans="1:7" x14ac:dyDescent="0.25">
      <c r="A1390" s="5">
        <v>45806.770833333336</v>
      </c>
      <c r="B1390">
        <v>55</v>
      </c>
      <c r="C1390" t="s">
        <v>68</v>
      </c>
      <c r="D1390" t="s">
        <v>69</v>
      </c>
      <c r="E1390">
        <v>1.5</v>
      </c>
      <c r="F1390">
        <v>2.33</v>
      </c>
      <c r="G1390" s="8">
        <f t="shared" si="21"/>
        <v>38.626609442060087</v>
      </c>
    </row>
    <row r="1391" spans="1:7" x14ac:dyDescent="0.25">
      <c r="A1391" s="5">
        <v>45806.770833333336</v>
      </c>
      <c r="B1391">
        <v>56</v>
      </c>
      <c r="C1391" t="s">
        <v>70</v>
      </c>
      <c r="D1391" t="s">
        <v>71</v>
      </c>
      <c r="E1391">
        <v>1.51</v>
      </c>
      <c r="F1391">
        <v>7.18</v>
      </c>
      <c r="G1391" s="8">
        <f t="shared" si="21"/>
        <v>12.618384401114206</v>
      </c>
    </row>
    <row r="1392" spans="1:7" x14ac:dyDescent="0.25">
      <c r="A1392" s="5">
        <v>45806.770833333336</v>
      </c>
      <c r="B1392">
        <v>57</v>
      </c>
      <c r="C1392" t="s">
        <v>71</v>
      </c>
      <c r="D1392" t="s">
        <v>72</v>
      </c>
      <c r="E1392">
        <v>1.94</v>
      </c>
      <c r="F1392">
        <v>6.78</v>
      </c>
      <c r="G1392" s="8">
        <f t="shared" si="21"/>
        <v>17.168141592920353</v>
      </c>
    </row>
    <row r="1393" spans="1:7" x14ac:dyDescent="0.25">
      <c r="A1393" s="5">
        <v>45806.770833333336</v>
      </c>
      <c r="B1393">
        <v>58</v>
      </c>
      <c r="C1393" t="s">
        <v>72</v>
      </c>
      <c r="D1393" t="s">
        <v>73</v>
      </c>
      <c r="E1393">
        <v>1.5</v>
      </c>
      <c r="F1393">
        <v>5.03</v>
      </c>
      <c r="G1393" s="8">
        <f t="shared" si="21"/>
        <v>17.892644135188867</v>
      </c>
    </row>
    <row r="1394" spans="1:7" x14ac:dyDescent="0.25">
      <c r="A1394" s="5">
        <v>45806.78125</v>
      </c>
      <c r="B1394">
        <v>1</v>
      </c>
      <c r="C1394" t="s">
        <v>6</v>
      </c>
      <c r="D1394" t="s">
        <v>7</v>
      </c>
      <c r="E1394">
        <v>1.53</v>
      </c>
      <c r="F1394">
        <v>3.37</v>
      </c>
      <c r="G1394" s="8">
        <f t="shared" si="21"/>
        <v>27.240356083086052</v>
      </c>
    </row>
    <row r="1395" spans="1:7" x14ac:dyDescent="0.25">
      <c r="A1395" s="5">
        <v>45806.78125</v>
      </c>
      <c r="B1395">
        <v>2</v>
      </c>
      <c r="C1395" t="s">
        <v>7</v>
      </c>
      <c r="D1395" t="s">
        <v>8</v>
      </c>
      <c r="E1395">
        <v>1.57</v>
      </c>
      <c r="F1395">
        <v>6.47</v>
      </c>
      <c r="G1395" s="8">
        <f t="shared" si="21"/>
        <v>14.559505409582691</v>
      </c>
    </row>
    <row r="1396" spans="1:7" x14ac:dyDescent="0.25">
      <c r="A1396" s="5">
        <v>45806.78125</v>
      </c>
      <c r="B1396">
        <v>3</v>
      </c>
      <c r="C1396" t="s">
        <v>8</v>
      </c>
      <c r="D1396" t="s">
        <v>9</v>
      </c>
      <c r="E1396">
        <v>1.5</v>
      </c>
      <c r="F1396">
        <v>3.82</v>
      </c>
      <c r="G1396" s="8">
        <f t="shared" si="21"/>
        <v>23.560209424083769</v>
      </c>
    </row>
    <row r="1397" spans="1:7" x14ac:dyDescent="0.25">
      <c r="A1397" s="5">
        <v>45806.78125</v>
      </c>
      <c r="B1397">
        <v>4</v>
      </c>
      <c r="C1397" t="s">
        <v>9</v>
      </c>
      <c r="D1397" t="s">
        <v>10</v>
      </c>
      <c r="E1397">
        <v>1.5</v>
      </c>
      <c r="F1397">
        <v>3.25</v>
      </c>
      <c r="G1397" s="8">
        <f t="shared" si="21"/>
        <v>27.692307692307693</v>
      </c>
    </row>
    <row r="1398" spans="1:7" x14ac:dyDescent="0.25">
      <c r="A1398" s="5">
        <v>45806.78125</v>
      </c>
      <c r="B1398">
        <v>5</v>
      </c>
      <c r="C1398" t="s">
        <v>10</v>
      </c>
      <c r="D1398" t="s">
        <v>11</v>
      </c>
      <c r="E1398">
        <v>1.52</v>
      </c>
      <c r="F1398">
        <v>5.13</v>
      </c>
      <c r="G1398" s="8">
        <f t="shared" si="21"/>
        <v>17.777777777777779</v>
      </c>
    </row>
    <row r="1399" spans="1:7" x14ac:dyDescent="0.25">
      <c r="A1399" s="5">
        <v>45806.78125</v>
      </c>
      <c r="B1399">
        <v>6</v>
      </c>
      <c r="C1399" t="s">
        <v>11</v>
      </c>
      <c r="D1399" t="s">
        <v>12</v>
      </c>
      <c r="E1399">
        <v>1.5</v>
      </c>
      <c r="F1399">
        <v>2.78</v>
      </c>
      <c r="G1399" s="8">
        <f t="shared" si="21"/>
        <v>32.374100719424462</v>
      </c>
    </row>
    <row r="1400" spans="1:7" x14ac:dyDescent="0.25">
      <c r="A1400" s="5">
        <v>45806.78125</v>
      </c>
      <c r="B1400">
        <v>7</v>
      </c>
      <c r="C1400" t="s">
        <v>12</v>
      </c>
      <c r="D1400" t="s">
        <v>13</v>
      </c>
      <c r="E1400">
        <v>1.54</v>
      </c>
      <c r="F1400">
        <v>2.67</v>
      </c>
      <c r="G1400" s="8">
        <f t="shared" si="21"/>
        <v>34.606741573033709</v>
      </c>
    </row>
    <row r="1401" spans="1:7" x14ac:dyDescent="0.25">
      <c r="A1401" s="5">
        <v>45806.78125</v>
      </c>
      <c r="B1401">
        <v>8</v>
      </c>
      <c r="C1401" t="s">
        <v>13</v>
      </c>
      <c r="D1401" t="s">
        <v>14</v>
      </c>
      <c r="E1401">
        <v>1.54</v>
      </c>
      <c r="F1401">
        <v>3.4</v>
      </c>
      <c r="G1401" s="8">
        <f t="shared" si="21"/>
        <v>27.176470588235297</v>
      </c>
    </row>
    <row r="1402" spans="1:7" x14ac:dyDescent="0.25">
      <c r="A1402" s="5">
        <v>45806.78125</v>
      </c>
      <c r="B1402">
        <v>9</v>
      </c>
      <c r="C1402" t="s">
        <v>14</v>
      </c>
      <c r="D1402" t="s">
        <v>15</v>
      </c>
      <c r="E1402">
        <v>1.52</v>
      </c>
      <c r="F1402">
        <v>3.7</v>
      </c>
      <c r="G1402" s="8">
        <f t="shared" si="21"/>
        <v>24.648648648648649</v>
      </c>
    </row>
    <row r="1403" spans="1:7" x14ac:dyDescent="0.25">
      <c r="A1403" s="5">
        <v>45806.78125</v>
      </c>
      <c r="B1403">
        <v>10</v>
      </c>
      <c r="C1403" t="s">
        <v>15</v>
      </c>
      <c r="D1403" t="s">
        <v>16</v>
      </c>
      <c r="E1403">
        <v>1.5</v>
      </c>
      <c r="F1403">
        <v>3.75</v>
      </c>
      <c r="G1403" s="8">
        <f t="shared" si="21"/>
        <v>24</v>
      </c>
    </row>
    <row r="1404" spans="1:7" x14ac:dyDescent="0.25">
      <c r="A1404" s="5">
        <v>45806.78125</v>
      </c>
      <c r="B1404">
        <v>11</v>
      </c>
      <c r="C1404" t="s">
        <v>16</v>
      </c>
      <c r="D1404" t="s">
        <v>17</v>
      </c>
      <c r="E1404">
        <v>1.48</v>
      </c>
      <c r="F1404">
        <v>5.15</v>
      </c>
      <c r="G1404" s="8">
        <f t="shared" si="21"/>
        <v>17.242718446601941</v>
      </c>
    </row>
    <row r="1405" spans="1:7" x14ac:dyDescent="0.25">
      <c r="A1405" s="5">
        <v>45806.78125</v>
      </c>
      <c r="B1405">
        <v>12</v>
      </c>
      <c r="C1405" t="s">
        <v>17</v>
      </c>
      <c r="D1405" t="s">
        <v>18</v>
      </c>
      <c r="E1405">
        <v>1.46</v>
      </c>
      <c r="F1405">
        <v>4.12</v>
      </c>
      <c r="G1405" s="8">
        <f t="shared" si="21"/>
        <v>21.262135922330096</v>
      </c>
    </row>
    <row r="1406" spans="1:7" x14ac:dyDescent="0.25">
      <c r="A1406" s="5">
        <v>45806.78125</v>
      </c>
      <c r="B1406">
        <v>13</v>
      </c>
      <c r="C1406" t="s">
        <v>18</v>
      </c>
      <c r="D1406" t="s">
        <v>19</v>
      </c>
      <c r="E1406">
        <v>1.52</v>
      </c>
      <c r="F1406">
        <v>5.3</v>
      </c>
      <c r="G1406" s="8">
        <f t="shared" si="21"/>
        <v>17.20754716981132</v>
      </c>
    </row>
    <row r="1407" spans="1:7" x14ac:dyDescent="0.25">
      <c r="A1407" s="5">
        <v>45806.78125</v>
      </c>
      <c r="B1407">
        <v>14</v>
      </c>
      <c r="C1407" t="s">
        <v>19</v>
      </c>
      <c r="D1407" t="s">
        <v>20</v>
      </c>
      <c r="E1407">
        <v>1.51</v>
      </c>
      <c r="F1407">
        <v>5.23</v>
      </c>
      <c r="G1407" s="8">
        <f t="shared" si="21"/>
        <v>17.323135755258125</v>
      </c>
    </row>
    <row r="1408" spans="1:7" x14ac:dyDescent="0.25">
      <c r="A1408" s="5">
        <v>45806.78125</v>
      </c>
      <c r="B1408">
        <v>15</v>
      </c>
      <c r="C1408" t="s">
        <v>20</v>
      </c>
      <c r="D1408" t="s">
        <v>21</v>
      </c>
      <c r="E1408">
        <v>1.47</v>
      </c>
      <c r="F1408">
        <v>3.23</v>
      </c>
      <c r="G1408" s="8">
        <f t="shared" si="21"/>
        <v>27.306501547987619</v>
      </c>
    </row>
    <row r="1409" spans="1:7" x14ac:dyDescent="0.25">
      <c r="A1409" s="5">
        <v>45806.78125</v>
      </c>
      <c r="B1409">
        <v>16</v>
      </c>
      <c r="C1409" t="s">
        <v>21</v>
      </c>
      <c r="D1409" t="s">
        <v>22</v>
      </c>
      <c r="E1409">
        <v>1.5</v>
      </c>
      <c r="F1409">
        <v>2.5299999999999998</v>
      </c>
      <c r="G1409" s="8">
        <f t="shared" si="21"/>
        <v>35.573122529644273</v>
      </c>
    </row>
    <row r="1410" spans="1:7" x14ac:dyDescent="0.25">
      <c r="A1410" s="5">
        <v>45806.78125</v>
      </c>
      <c r="B1410">
        <v>17</v>
      </c>
      <c r="C1410" t="s">
        <v>22</v>
      </c>
      <c r="D1410" t="s">
        <v>23</v>
      </c>
      <c r="E1410">
        <v>1.51</v>
      </c>
      <c r="F1410">
        <v>4.2300000000000004</v>
      </c>
      <c r="G1410" s="8">
        <f t="shared" si="21"/>
        <v>21.418439716312054</v>
      </c>
    </row>
    <row r="1411" spans="1:7" x14ac:dyDescent="0.25">
      <c r="A1411" s="5">
        <v>45806.78125</v>
      </c>
      <c r="B1411">
        <v>18</v>
      </c>
      <c r="C1411" t="s">
        <v>23</v>
      </c>
      <c r="D1411" t="s">
        <v>24</v>
      </c>
      <c r="E1411">
        <v>1.51</v>
      </c>
      <c r="F1411">
        <v>4.63</v>
      </c>
      <c r="G1411" s="8">
        <f t="shared" ref="G1411:G1474" si="22">E1411*60/F1411</f>
        <v>19.568034557235421</v>
      </c>
    </row>
    <row r="1412" spans="1:7" x14ac:dyDescent="0.25">
      <c r="A1412" s="5">
        <v>45806.78125</v>
      </c>
      <c r="B1412">
        <v>19</v>
      </c>
      <c r="C1412" t="s">
        <v>25</v>
      </c>
      <c r="D1412" t="s">
        <v>26</v>
      </c>
      <c r="E1412">
        <v>1.5</v>
      </c>
      <c r="F1412">
        <v>3.72</v>
      </c>
      <c r="G1412" s="8">
        <f t="shared" si="22"/>
        <v>24.193548387096772</v>
      </c>
    </row>
    <row r="1413" spans="1:7" x14ac:dyDescent="0.25">
      <c r="A1413" s="5">
        <v>45806.78125</v>
      </c>
      <c r="B1413">
        <v>20</v>
      </c>
      <c r="C1413" t="s">
        <v>26</v>
      </c>
      <c r="D1413" t="s">
        <v>27</v>
      </c>
      <c r="E1413">
        <v>1.48</v>
      </c>
      <c r="F1413">
        <v>3.27</v>
      </c>
      <c r="G1413" s="8">
        <f t="shared" si="22"/>
        <v>27.155963302752294</v>
      </c>
    </row>
    <row r="1414" spans="1:7" x14ac:dyDescent="0.25">
      <c r="A1414" s="5">
        <v>45806.78125</v>
      </c>
      <c r="B1414">
        <v>21</v>
      </c>
      <c r="C1414" t="s">
        <v>27</v>
      </c>
      <c r="D1414" t="s">
        <v>28</v>
      </c>
      <c r="E1414">
        <v>1.51</v>
      </c>
      <c r="F1414">
        <v>3.4</v>
      </c>
      <c r="G1414" s="8">
        <f t="shared" si="22"/>
        <v>26.647058823529409</v>
      </c>
    </row>
    <row r="1415" spans="1:7" x14ac:dyDescent="0.25">
      <c r="A1415" s="5">
        <v>45806.78125</v>
      </c>
      <c r="B1415">
        <v>22</v>
      </c>
      <c r="C1415" t="s">
        <v>28</v>
      </c>
      <c r="D1415" t="s">
        <v>29</v>
      </c>
      <c r="E1415">
        <v>1.57</v>
      </c>
      <c r="F1415">
        <v>4.92</v>
      </c>
      <c r="G1415" s="8">
        <f t="shared" si="22"/>
        <v>19.146341463414636</v>
      </c>
    </row>
    <row r="1416" spans="1:7" x14ac:dyDescent="0.25">
      <c r="A1416" s="5">
        <v>45806.78125</v>
      </c>
      <c r="B1416">
        <v>23</v>
      </c>
      <c r="C1416" t="s">
        <v>29</v>
      </c>
      <c r="D1416" t="s">
        <v>30</v>
      </c>
      <c r="E1416">
        <v>1.43</v>
      </c>
      <c r="F1416">
        <v>3.98</v>
      </c>
      <c r="G1416" s="8">
        <f t="shared" si="22"/>
        <v>21.557788944723619</v>
      </c>
    </row>
    <row r="1417" spans="1:7" x14ac:dyDescent="0.25">
      <c r="A1417" s="5">
        <v>45806.78125</v>
      </c>
      <c r="B1417">
        <v>24</v>
      </c>
      <c r="C1417" t="s">
        <v>30</v>
      </c>
      <c r="D1417" t="s">
        <v>31</v>
      </c>
      <c r="E1417">
        <v>1.52</v>
      </c>
      <c r="F1417">
        <v>4.0199999999999996</v>
      </c>
      <c r="G1417" s="8">
        <f t="shared" si="22"/>
        <v>22.686567164179106</v>
      </c>
    </row>
    <row r="1418" spans="1:7" x14ac:dyDescent="0.25">
      <c r="A1418" s="5">
        <v>45806.78125</v>
      </c>
      <c r="B1418">
        <v>25</v>
      </c>
      <c r="C1418" t="s">
        <v>31</v>
      </c>
      <c r="D1418" t="s">
        <v>32</v>
      </c>
      <c r="E1418">
        <v>1.52</v>
      </c>
      <c r="F1418">
        <v>3.83</v>
      </c>
      <c r="G1418" s="8">
        <f t="shared" si="22"/>
        <v>23.812010443864231</v>
      </c>
    </row>
    <row r="1419" spans="1:7" x14ac:dyDescent="0.25">
      <c r="A1419" s="5">
        <v>45806.78125</v>
      </c>
      <c r="B1419">
        <v>26</v>
      </c>
      <c r="C1419" t="s">
        <v>32</v>
      </c>
      <c r="D1419" t="s">
        <v>33</v>
      </c>
      <c r="E1419">
        <v>1.49</v>
      </c>
      <c r="F1419">
        <v>7.9</v>
      </c>
      <c r="G1419" s="8">
        <f t="shared" si="22"/>
        <v>11.316455696202532</v>
      </c>
    </row>
    <row r="1420" spans="1:7" x14ac:dyDescent="0.25">
      <c r="A1420" s="5">
        <v>45806.78125</v>
      </c>
      <c r="B1420">
        <v>27</v>
      </c>
      <c r="C1420" t="s">
        <v>33</v>
      </c>
      <c r="D1420" t="s">
        <v>34</v>
      </c>
      <c r="E1420">
        <v>1.53</v>
      </c>
      <c r="F1420">
        <v>5.98</v>
      </c>
      <c r="G1420" s="8">
        <f t="shared" si="22"/>
        <v>15.351170568561871</v>
      </c>
    </row>
    <row r="1421" spans="1:7" x14ac:dyDescent="0.25">
      <c r="A1421" s="5">
        <v>45806.78125</v>
      </c>
      <c r="B1421">
        <v>28</v>
      </c>
      <c r="C1421" t="s">
        <v>34</v>
      </c>
      <c r="D1421" t="s">
        <v>35</v>
      </c>
      <c r="E1421">
        <v>1.51</v>
      </c>
      <c r="F1421">
        <v>5.07</v>
      </c>
      <c r="G1421" s="8">
        <f t="shared" si="22"/>
        <v>17.869822485207099</v>
      </c>
    </row>
    <row r="1422" spans="1:7" x14ac:dyDescent="0.25">
      <c r="A1422" s="5">
        <v>45806.78125</v>
      </c>
      <c r="B1422">
        <v>29</v>
      </c>
      <c r="C1422" t="s">
        <v>36</v>
      </c>
      <c r="D1422" t="s">
        <v>37</v>
      </c>
      <c r="E1422">
        <v>1.57</v>
      </c>
      <c r="F1422">
        <v>4.03</v>
      </c>
      <c r="G1422" s="8">
        <f t="shared" si="22"/>
        <v>23.374689826302728</v>
      </c>
    </row>
    <row r="1423" spans="1:7" x14ac:dyDescent="0.25">
      <c r="A1423" s="5">
        <v>45806.78125</v>
      </c>
      <c r="B1423">
        <v>30</v>
      </c>
      <c r="C1423" t="s">
        <v>37</v>
      </c>
      <c r="D1423" t="s">
        <v>38</v>
      </c>
      <c r="E1423">
        <v>1.57</v>
      </c>
      <c r="F1423">
        <v>3.98</v>
      </c>
      <c r="G1423" s="8">
        <f t="shared" si="22"/>
        <v>23.668341708542716</v>
      </c>
    </row>
    <row r="1424" spans="1:7" x14ac:dyDescent="0.25">
      <c r="A1424" s="5">
        <v>45806.78125</v>
      </c>
      <c r="B1424">
        <v>31</v>
      </c>
      <c r="C1424" t="s">
        <v>38</v>
      </c>
      <c r="D1424" t="s">
        <v>39</v>
      </c>
      <c r="E1424">
        <v>1.52</v>
      </c>
      <c r="F1424">
        <v>3.18</v>
      </c>
      <c r="G1424" s="8">
        <f t="shared" si="22"/>
        <v>28.679245283018869</v>
      </c>
    </row>
    <row r="1425" spans="1:7" x14ac:dyDescent="0.25">
      <c r="A1425" s="5">
        <v>45806.78125</v>
      </c>
      <c r="B1425">
        <v>32</v>
      </c>
      <c r="C1425" t="s">
        <v>39</v>
      </c>
      <c r="D1425" t="s">
        <v>40</v>
      </c>
      <c r="E1425">
        <v>1.5</v>
      </c>
      <c r="F1425">
        <v>2.98</v>
      </c>
      <c r="G1425" s="8">
        <f t="shared" si="22"/>
        <v>30.201342281879196</v>
      </c>
    </row>
    <row r="1426" spans="1:7" x14ac:dyDescent="0.25">
      <c r="A1426" s="5">
        <v>45806.78125</v>
      </c>
      <c r="B1426">
        <v>33</v>
      </c>
      <c r="C1426" t="s">
        <v>40</v>
      </c>
      <c r="D1426" t="s">
        <v>41</v>
      </c>
      <c r="E1426">
        <v>1.51</v>
      </c>
      <c r="F1426">
        <v>2.72</v>
      </c>
      <c r="G1426" s="8">
        <f t="shared" si="22"/>
        <v>33.308823529411761</v>
      </c>
    </row>
    <row r="1427" spans="1:7" x14ac:dyDescent="0.25">
      <c r="A1427" s="5">
        <v>45806.78125</v>
      </c>
      <c r="B1427">
        <v>34</v>
      </c>
      <c r="C1427" t="s">
        <v>41</v>
      </c>
      <c r="D1427" t="s">
        <v>42</v>
      </c>
      <c r="E1427">
        <v>1.5</v>
      </c>
      <c r="F1427">
        <v>2.27</v>
      </c>
      <c r="G1427" s="8">
        <f t="shared" si="22"/>
        <v>39.647577092511014</v>
      </c>
    </row>
    <row r="1428" spans="1:7" x14ac:dyDescent="0.25">
      <c r="A1428" s="5">
        <v>45806.78125</v>
      </c>
      <c r="B1428">
        <v>35</v>
      </c>
      <c r="C1428" t="s">
        <v>43</v>
      </c>
      <c r="D1428" t="s">
        <v>44</v>
      </c>
      <c r="E1428">
        <v>1.55</v>
      </c>
      <c r="F1428">
        <v>4.08</v>
      </c>
      <c r="G1428" s="8">
        <f t="shared" si="22"/>
        <v>22.794117647058822</v>
      </c>
    </row>
    <row r="1429" spans="1:7" x14ac:dyDescent="0.25">
      <c r="A1429" s="5">
        <v>45806.78125</v>
      </c>
      <c r="B1429">
        <v>36</v>
      </c>
      <c r="C1429" t="s">
        <v>44</v>
      </c>
      <c r="D1429" t="s">
        <v>45</v>
      </c>
      <c r="E1429">
        <v>1.5</v>
      </c>
      <c r="F1429">
        <v>3.97</v>
      </c>
      <c r="G1429" s="8">
        <f t="shared" si="22"/>
        <v>22.670025188916874</v>
      </c>
    </row>
    <row r="1430" spans="1:7" x14ac:dyDescent="0.25">
      <c r="A1430" s="5">
        <v>45806.78125</v>
      </c>
      <c r="B1430">
        <v>37</v>
      </c>
      <c r="C1430" t="s">
        <v>45</v>
      </c>
      <c r="D1430" t="s">
        <v>46</v>
      </c>
      <c r="E1430">
        <v>1.38</v>
      </c>
      <c r="F1430">
        <v>5.25</v>
      </c>
      <c r="G1430" s="8">
        <f t="shared" si="22"/>
        <v>15.77142857142857</v>
      </c>
    </row>
    <row r="1431" spans="1:7" x14ac:dyDescent="0.25">
      <c r="A1431" s="5">
        <v>45806.78125</v>
      </c>
      <c r="B1431">
        <v>38</v>
      </c>
      <c r="C1431" t="s">
        <v>46</v>
      </c>
      <c r="D1431" t="s">
        <v>47</v>
      </c>
      <c r="E1431">
        <v>1.61</v>
      </c>
      <c r="F1431">
        <v>5.38</v>
      </c>
      <c r="G1431" s="8">
        <f t="shared" si="22"/>
        <v>17.955390334572492</v>
      </c>
    </row>
    <row r="1432" spans="1:7" x14ac:dyDescent="0.25">
      <c r="A1432" s="5">
        <v>45806.78125</v>
      </c>
      <c r="B1432">
        <v>39</v>
      </c>
      <c r="C1432" t="s">
        <v>47</v>
      </c>
      <c r="D1432" t="s">
        <v>48</v>
      </c>
      <c r="E1432">
        <v>1.55</v>
      </c>
      <c r="F1432">
        <v>4.28</v>
      </c>
      <c r="G1432" s="8">
        <f t="shared" si="22"/>
        <v>21.728971962616821</v>
      </c>
    </row>
    <row r="1433" spans="1:7" x14ac:dyDescent="0.25">
      <c r="A1433" s="5">
        <v>45806.78125</v>
      </c>
      <c r="B1433">
        <v>40</v>
      </c>
      <c r="C1433" t="s">
        <v>48</v>
      </c>
      <c r="D1433" t="s">
        <v>49</v>
      </c>
      <c r="E1433">
        <v>1.39</v>
      </c>
      <c r="F1433">
        <v>3.53</v>
      </c>
      <c r="G1433" s="8">
        <f t="shared" si="22"/>
        <v>23.626062322946176</v>
      </c>
    </row>
    <row r="1434" spans="1:7" x14ac:dyDescent="0.25">
      <c r="A1434" s="5">
        <v>45806.78125</v>
      </c>
      <c r="B1434">
        <v>41</v>
      </c>
      <c r="C1434" t="s">
        <v>50</v>
      </c>
      <c r="D1434" t="s">
        <v>51</v>
      </c>
      <c r="E1434">
        <v>1.56</v>
      </c>
      <c r="F1434">
        <v>4.83</v>
      </c>
      <c r="G1434" s="8">
        <f t="shared" si="22"/>
        <v>19.378881987577643</v>
      </c>
    </row>
    <row r="1435" spans="1:7" x14ac:dyDescent="0.25">
      <c r="A1435" s="5">
        <v>45806.78125</v>
      </c>
      <c r="B1435">
        <v>42</v>
      </c>
      <c r="C1435" t="s">
        <v>51</v>
      </c>
      <c r="D1435" t="s">
        <v>52</v>
      </c>
      <c r="E1435">
        <v>1.56</v>
      </c>
      <c r="F1435">
        <v>4.9800000000000004</v>
      </c>
      <c r="G1435" s="8">
        <f t="shared" si="22"/>
        <v>18.795180722891565</v>
      </c>
    </row>
    <row r="1436" spans="1:7" x14ac:dyDescent="0.25">
      <c r="A1436" s="5">
        <v>45806.78125</v>
      </c>
      <c r="B1436">
        <v>43</v>
      </c>
      <c r="C1436" t="s">
        <v>52</v>
      </c>
      <c r="D1436" t="s">
        <v>53</v>
      </c>
      <c r="E1436">
        <v>1.51</v>
      </c>
      <c r="F1436">
        <v>3.77</v>
      </c>
      <c r="G1436" s="8">
        <f t="shared" si="22"/>
        <v>24.031830238726791</v>
      </c>
    </row>
    <row r="1437" spans="1:7" x14ac:dyDescent="0.25">
      <c r="A1437" s="5">
        <v>45806.78125</v>
      </c>
      <c r="B1437">
        <v>44</v>
      </c>
      <c r="C1437" t="s">
        <v>54</v>
      </c>
      <c r="D1437" t="s">
        <v>55</v>
      </c>
      <c r="E1437">
        <v>1.51</v>
      </c>
      <c r="F1437">
        <v>4.62</v>
      </c>
      <c r="G1437" s="8">
        <f t="shared" si="22"/>
        <v>19.61038961038961</v>
      </c>
    </row>
    <row r="1438" spans="1:7" x14ac:dyDescent="0.25">
      <c r="A1438" s="5">
        <v>45806.78125</v>
      </c>
      <c r="B1438">
        <v>45</v>
      </c>
      <c r="C1438" t="s">
        <v>55</v>
      </c>
      <c r="D1438" t="s">
        <v>56</v>
      </c>
      <c r="E1438">
        <v>1.49</v>
      </c>
      <c r="F1438">
        <v>5.5</v>
      </c>
      <c r="G1438" s="8">
        <f t="shared" si="22"/>
        <v>16.254545454545454</v>
      </c>
    </row>
    <row r="1439" spans="1:7" x14ac:dyDescent="0.25">
      <c r="A1439" s="5">
        <v>45806.78125</v>
      </c>
      <c r="B1439">
        <v>46</v>
      </c>
      <c r="C1439" t="s">
        <v>56</v>
      </c>
      <c r="D1439" t="s">
        <v>57</v>
      </c>
      <c r="E1439">
        <v>1.52</v>
      </c>
      <c r="F1439">
        <v>5.22</v>
      </c>
      <c r="G1439" s="8">
        <f t="shared" si="22"/>
        <v>17.471264367816094</v>
      </c>
    </row>
    <row r="1440" spans="1:7" x14ac:dyDescent="0.25">
      <c r="A1440" s="5">
        <v>45806.78125</v>
      </c>
      <c r="B1440">
        <v>47</v>
      </c>
      <c r="C1440" t="s">
        <v>58</v>
      </c>
      <c r="D1440" t="s">
        <v>59</v>
      </c>
      <c r="E1440">
        <v>1.52</v>
      </c>
      <c r="F1440">
        <v>5.72</v>
      </c>
      <c r="G1440" s="8">
        <f t="shared" si="22"/>
        <v>15.944055944055945</v>
      </c>
    </row>
    <row r="1441" spans="1:7" x14ac:dyDescent="0.25">
      <c r="A1441" s="5">
        <v>45806.78125</v>
      </c>
      <c r="B1441">
        <v>48</v>
      </c>
      <c r="C1441" t="s">
        <v>59</v>
      </c>
      <c r="D1441" t="s">
        <v>60</v>
      </c>
      <c r="E1441">
        <v>1.5</v>
      </c>
      <c r="F1441">
        <v>4.2</v>
      </c>
      <c r="G1441" s="8">
        <f t="shared" si="22"/>
        <v>21.428571428571427</v>
      </c>
    </row>
    <row r="1442" spans="1:7" x14ac:dyDescent="0.25">
      <c r="A1442" s="5">
        <v>45806.78125</v>
      </c>
      <c r="B1442">
        <v>49</v>
      </c>
      <c r="C1442" t="s">
        <v>60</v>
      </c>
      <c r="D1442" t="s">
        <v>61</v>
      </c>
      <c r="E1442">
        <v>1.54</v>
      </c>
      <c r="F1442">
        <v>4.83</v>
      </c>
      <c r="G1442" s="8">
        <f t="shared" si="22"/>
        <v>19.130434782608695</v>
      </c>
    </row>
    <row r="1443" spans="1:7" x14ac:dyDescent="0.25">
      <c r="A1443" s="5">
        <v>45806.78125</v>
      </c>
      <c r="B1443">
        <v>50</v>
      </c>
      <c r="C1443" t="s">
        <v>62</v>
      </c>
      <c r="D1443" t="s">
        <v>63</v>
      </c>
      <c r="E1443">
        <v>1.38</v>
      </c>
      <c r="F1443">
        <v>3.32</v>
      </c>
      <c r="G1443" s="8">
        <f t="shared" si="22"/>
        <v>24.939759036144579</v>
      </c>
    </row>
    <row r="1444" spans="1:7" x14ac:dyDescent="0.25">
      <c r="A1444" s="5">
        <v>45806.78125</v>
      </c>
      <c r="B1444">
        <v>51</v>
      </c>
      <c r="C1444" t="s">
        <v>63</v>
      </c>
      <c r="D1444" t="s">
        <v>64</v>
      </c>
      <c r="E1444">
        <v>2.79</v>
      </c>
      <c r="F1444">
        <v>5.97</v>
      </c>
      <c r="G1444" s="8">
        <f t="shared" si="22"/>
        <v>28.040201005025128</v>
      </c>
    </row>
    <row r="1445" spans="1:7" x14ac:dyDescent="0.25">
      <c r="A1445" s="5">
        <v>45806.78125</v>
      </c>
      <c r="B1445">
        <v>52</v>
      </c>
      <c r="C1445" t="s">
        <v>64</v>
      </c>
      <c r="D1445" t="s">
        <v>65</v>
      </c>
      <c r="E1445">
        <v>1.5</v>
      </c>
      <c r="F1445">
        <v>2.82</v>
      </c>
      <c r="G1445" s="8">
        <f t="shared" si="22"/>
        <v>31.914893617021278</v>
      </c>
    </row>
    <row r="1446" spans="1:7" x14ac:dyDescent="0.25">
      <c r="A1446" s="5">
        <v>45806.78125</v>
      </c>
      <c r="B1446">
        <v>53</v>
      </c>
      <c r="C1446" t="s">
        <v>65</v>
      </c>
      <c r="D1446" t="s">
        <v>66</v>
      </c>
      <c r="E1446">
        <v>1.46</v>
      </c>
      <c r="F1446">
        <v>3.92</v>
      </c>
      <c r="G1446" s="8">
        <f t="shared" si="22"/>
        <v>22.346938775510203</v>
      </c>
    </row>
    <row r="1447" spans="1:7" x14ac:dyDescent="0.25">
      <c r="A1447" s="5">
        <v>45806.78125</v>
      </c>
      <c r="B1447">
        <v>54</v>
      </c>
      <c r="C1447" t="s">
        <v>67</v>
      </c>
      <c r="D1447" t="s">
        <v>68</v>
      </c>
      <c r="E1447">
        <v>1.46</v>
      </c>
      <c r="F1447">
        <v>3.15</v>
      </c>
      <c r="G1447" s="8">
        <f t="shared" si="22"/>
        <v>27.80952380952381</v>
      </c>
    </row>
    <row r="1448" spans="1:7" x14ac:dyDescent="0.25">
      <c r="A1448" s="5">
        <v>45806.78125</v>
      </c>
      <c r="B1448">
        <v>55</v>
      </c>
      <c r="C1448" t="s">
        <v>68</v>
      </c>
      <c r="D1448" t="s">
        <v>69</v>
      </c>
      <c r="E1448">
        <v>1.5</v>
      </c>
      <c r="F1448">
        <v>2.3199999999999998</v>
      </c>
      <c r="G1448" s="8">
        <f t="shared" si="22"/>
        <v>38.793103448275865</v>
      </c>
    </row>
    <row r="1449" spans="1:7" x14ac:dyDescent="0.25">
      <c r="A1449" s="5">
        <v>45806.78125</v>
      </c>
      <c r="B1449">
        <v>56</v>
      </c>
      <c r="C1449" t="s">
        <v>70</v>
      </c>
      <c r="D1449" t="s">
        <v>71</v>
      </c>
      <c r="E1449">
        <v>1.51</v>
      </c>
      <c r="F1449">
        <v>6.9</v>
      </c>
      <c r="G1449" s="8">
        <f t="shared" si="22"/>
        <v>13.130434782608694</v>
      </c>
    </row>
    <row r="1450" spans="1:7" x14ac:dyDescent="0.25">
      <c r="A1450" s="5">
        <v>45806.78125</v>
      </c>
      <c r="B1450">
        <v>57</v>
      </c>
      <c r="C1450" t="s">
        <v>71</v>
      </c>
      <c r="D1450" t="s">
        <v>72</v>
      </c>
      <c r="E1450">
        <v>1.94</v>
      </c>
      <c r="F1450">
        <v>6.7</v>
      </c>
      <c r="G1450" s="8">
        <f t="shared" si="22"/>
        <v>17.373134328358208</v>
      </c>
    </row>
    <row r="1451" spans="1:7" x14ac:dyDescent="0.25">
      <c r="A1451" s="5">
        <v>45806.78125</v>
      </c>
      <c r="B1451">
        <v>58</v>
      </c>
      <c r="C1451" t="s">
        <v>72</v>
      </c>
      <c r="D1451" t="s">
        <v>73</v>
      </c>
      <c r="E1451">
        <v>1.5</v>
      </c>
      <c r="F1451">
        <v>4.93</v>
      </c>
      <c r="G1451" s="8">
        <f t="shared" si="22"/>
        <v>18.255578093306291</v>
      </c>
    </row>
    <row r="1452" spans="1:7" x14ac:dyDescent="0.25">
      <c r="A1452" s="5">
        <v>45806.791666666664</v>
      </c>
      <c r="B1452">
        <v>1</v>
      </c>
      <c r="C1452" t="s">
        <v>6</v>
      </c>
      <c r="D1452" t="s">
        <v>7</v>
      </c>
      <c r="E1452">
        <v>1.53</v>
      </c>
      <c r="F1452">
        <v>3.32</v>
      </c>
      <c r="G1452" s="8">
        <f t="shared" si="22"/>
        <v>27.650602409638555</v>
      </c>
    </row>
    <row r="1453" spans="1:7" x14ac:dyDescent="0.25">
      <c r="A1453" s="5">
        <v>45806.791666666664</v>
      </c>
      <c r="B1453">
        <v>2</v>
      </c>
      <c r="C1453" t="s">
        <v>7</v>
      </c>
      <c r="D1453" t="s">
        <v>8</v>
      </c>
      <c r="E1453">
        <v>1.57</v>
      </c>
      <c r="F1453">
        <v>5.55</v>
      </c>
      <c r="G1453" s="8">
        <f t="shared" si="22"/>
        <v>16.972972972972975</v>
      </c>
    </row>
    <row r="1454" spans="1:7" x14ac:dyDescent="0.25">
      <c r="A1454" s="5">
        <v>45806.791666666664</v>
      </c>
      <c r="B1454">
        <v>3</v>
      </c>
      <c r="C1454" t="s">
        <v>8</v>
      </c>
      <c r="D1454" t="s">
        <v>9</v>
      </c>
      <c r="E1454">
        <v>1.5</v>
      </c>
      <c r="F1454">
        <v>3.98</v>
      </c>
      <c r="G1454" s="8">
        <f t="shared" si="22"/>
        <v>22.613065326633166</v>
      </c>
    </row>
    <row r="1455" spans="1:7" x14ac:dyDescent="0.25">
      <c r="A1455" s="5">
        <v>45806.791666666664</v>
      </c>
      <c r="B1455">
        <v>4</v>
      </c>
      <c r="C1455" t="s">
        <v>9</v>
      </c>
      <c r="D1455" t="s">
        <v>10</v>
      </c>
      <c r="E1455">
        <v>1.5</v>
      </c>
      <c r="F1455">
        <v>3.08</v>
      </c>
      <c r="G1455" s="8">
        <f t="shared" si="22"/>
        <v>29.220779220779221</v>
      </c>
    </row>
    <row r="1456" spans="1:7" x14ac:dyDescent="0.25">
      <c r="A1456" s="5">
        <v>45806.791666666664</v>
      </c>
      <c r="B1456">
        <v>5</v>
      </c>
      <c r="C1456" t="s">
        <v>10</v>
      </c>
      <c r="D1456" t="s">
        <v>11</v>
      </c>
      <c r="E1456">
        <v>1.52</v>
      </c>
      <c r="F1456">
        <v>4.03</v>
      </c>
      <c r="G1456" s="8">
        <f t="shared" si="22"/>
        <v>22.630272952853598</v>
      </c>
    </row>
    <row r="1457" spans="1:7" x14ac:dyDescent="0.25">
      <c r="A1457" s="5">
        <v>45806.791666666664</v>
      </c>
      <c r="B1457">
        <v>6</v>
      </c>
      <c r="C1457" t="s">
        <v>11</v>
      </c>
      <c r="D1457" t="s">
        <v>12</v>
      </c>
      <c r="E1457">
        <v>1.5</v>
      </c>
      <c r="F1457">
        <v>2.8</v>
      </c>
      <c r="G1457" s="8">
        <f t="shared" si="22"/>
        <v>32.142857142857146</v>
      </c>
    </row>
    <row r="1458" spans="1:7" x14ac:dyDescent="0.25">
      <c r="A1458" s="5">
        <v>45806.791666666664</v>
      </c>
      <c r="B1458">
        <v>7</v>
      </c>
      <c r="C1458" t="s">
        <v>12</v>
      </c>
      <c r="D1458" t="s">
        <v>13</v>
      </c>
      <c r="E1458">
        <v>1.54</v>
      </c>
      <c r="F1458">
        <v>2.77</v>
      </c>
      <c r="G1458" s="8">
        <f t="shared" si="22"/>
        <v>33.357400722021666</v>
      </c>
    </row>
    <row r="1459" spans="1:7" x14ac:dyDescent="0.25">
      <c r="A1459" s="5">
        <v>45806.791666666664</v>
      </c>
      <c r="B1459">
        <v>8</v>
      </c>
      <c r="C1459" t="s">
        <v>13</v>
      </c>
      <c r="D1459" t="s">
        <v>14</v>
      </c>
      <c r="E1459">
        <v>1.54</v>
      </c>
      <c r="F1459">
        <v>3.23</v>
      </c>
      <c r="G1459" s="8">
        <f t="shared" si="22"/>
        <v>28.606811145510839</v>
      </c>
    </row>
    <row r="1460" spans="1:7" x14ac:dyDescent="0.25">
      <c r="A1460" s="5">
        <v>45806.791666666664</v>
      </c>
      <c r="B1460">
        <v>9</v>
      </c>
      <c r="C1460" t="s">
        <v>14</v>
      </c>
      <c r="D1460" t="s">
        <v>15</v>
      </c>
      <c r="E1460">
        <v>1.52</v>
      </c>
      <c r="F1460">
        <v>3.63</v>
      </c>
      <c r="G1460" s="8">
        <f t="shared" si="22"/>
        <v>25.123966942148762</v>
      </c>
    </row>
    <row r="1461" spans="1:7" x14ac:dyDescent="0.25">
      <c r="A1461" s="5">
        <v>45806.791666666664</v>
      </c>
      <c r="B1461">
        <v>10</v>
      </c>
      <c r="C1461" t="s">
        <v>15</v>
      </c>
      <c r="D1461" t="s">
        <v>16</v>
      </c>
      <c r="E1461">
        <v>1.5</v>
      </c>
      <c r="F1461">
        <v>4.03</v>
      </c>
      <c r="G1461" s="8">
        <f t="shared" si="22"/>
        <v>22.332506203473944</v>
      </c>
    </row>
    <row r="1462" spans="1:7" x14ac:dyDescent="0.25">
      <c r="A1462" s="5">
        <v>45806.791666666664</v>
      </c>
      <c r="B1462">
        <v>11</v>
      </c>
      <c r="C1462" t="s">
        <v>16</v>
      </c>
      <c r="D1462" t="s">
        <v>17</v>
      </c>
      <c r="E1462">
        <v>1.48</v>
      </c>
      <c r="F1462">
        <v>3.35</v>
      </c>
      <c r="G1462" s="8">
        <f t="shared" si="22"/>
        <v>26.507462686567163</v>
      </c>
    </row>
    <row r="1463" spans="1:7" x14ac:dyDescent="0.25">
      <c r="A1463" s="5">
        <v>45806.791666666664</v>
      </c>
      <c r="B1463">
        <v>12</v>
      </c>
      <c r="C1463" t="s">
        <v>17</v>
      </c>
      <c r="D1463" t="s">
        <v>18</v>
      </c>
      <c r="E1463">
        <v>1.46</v>
      </c>
      <c r="F1463">
        <v>4.07</v>
      </c>
      <c r="G1463" s="8">
        <f t="shared" si="22"/>
        <v>21.523341523341522</v>
      </c>
    </row>
    <row r="1464" spans="1:7" x14ac:dyDescent="0.25">
      <c r="A1464" s="5">
        <v>45806.791666666664</v>
      </c>
      <c r="B1464">
        <v>13</v>
      </c>
      <c r="C1464" t="s">
        <v>18</v>
      </c>
      <c r="D1464" t="s">
        <v>19</v>
      </c>
      <c r="E1464">
        <v>1.52</v>
      </c>
      <c r="F1464">
        <v>4.53</v>
      </c>
      <c r="G1464" s="8">
        <f t="shared" si="22"/>
        <v>20.132450331125828</v>
      </c>
    </row>
    <row r="1465" spans="1:7" x14ac:dyDescent="0.25">
      <c r="A1465" s="5">
        <v>45806.791666666664</v>
      </c>
      <c r="B1465">
        <v>14</v>
      </c>
      <c r="C1465" t="s">
        <v>19</v>
      </c>
      <c r="D1465" t="s">
        <v>20</v>
      </c>
      <c r="E1465">
        <v>1.51</v>
      </c>
      <c r="F1465">
        <v>4.37</v>
      </c>
      <c r="G1465" s="8">
        <f t="shared" si="22"/>
        <v>20.732265446224254</v>
      </c>
    </row>
    <row r="1466" spans="1:7" x14ac:dyDescent="0.25">
      <c r="A1466" s="5">
        <v>45806.791666666664</v>
      </c>
      <c r="B1466">
        <v>15</v>
      </c>
      <c r="C1466" t="s">
        <v>20</v>
      </c>
      <c r="D1466" t="s">
        <v>21</v>
      </c>
      <c r="E1466">
        <v>1.47</v>
      </c>
      <c r="F1466">
        <v>3.52</v>
      </c>
      <c r="G1466" s="8">
        <f t="shared" si="22"/>
        <v>25.056818181818183</v>
      </c>
    </row>
    <row r="1467" spans="1:7" x14ac:dyDescent="0.25">
      <c r="A1467" s="5">
        <v>45806.791666666664</v>
      </c>
      <c r="B1467">
        <v>16</v>
      </c>
      <c r="C1467" t="s">
        <v>21</v>
      </c>
      <c r="D1467" t="s">
        <v>22</v>
      </c>
      <c r="E1467">
        <v>1.5</v>
      </c>
      <c r="F1467">
        <v>2.67</v>
      </c>
      <c r="G1467" s="8">
        <f t="shared" si="22"/>
        <v>33.707865168539328</v>
      </c>
    </row>
    <row r="1468" spans="1:7" x14ac:dyDescent="0.25">
      <c r="A1468" s="5">
        <v>45806.791666666664</v>
      </c>
      <c r="B1468">
        <v>17</v>
      </c>
      <c r="C1468" t="s">
        <v>22</v>
      </c>
      <c r="D1468" t="s">
        <v>23</v>
      </c>
      <c r="E1468">
        <v>1.51</v>
      </c>
      <c r="F1468">
        <v>4.4800000000000004</v>
      </c>
      <c r="G1468" s="8">
        <f t="shared" si="22"/>
        <v>20.223214285714281</v>
      </c>
    </row>
    <row r="1469" spans="1:7" x14ac:dyDescent="0.25">
      <c r="A1469" s="5">
        <v>45806.791666666664</v>
      </c>
      <c r="B1469">
        <v>18</v>
      </c>
      <c r="C1469" t="s">
        <v>23</v>
      </c>
      <c r="D1469" t="s">
        <v>24</v>
      </c>
      <c r="E1469">
        <v>1.51</v>
      </c>
      <c r="F1469">
        <v>4.8</v>
      </c>
      <c r="G1469" s="8">
        <f t="shared" si="22"/>
        <v>18.875</v>
      </c>
    </row>
    <row r="1470" spans="1:7" x14ac:dyDescent="0.25">
      <c r="A1470" s="5">
        <v>45806.791666666664</v>
      </c>
      <c r="B1470">
        <v>19</v>
      </c>
      <c r="C1470" t="s">
        <v>25</v>
      </c>
      <c r="D1470" t="s">
        <v>26</v>
      </c>
      <c r="E1470">
        <v>1.5</v>
      </c>
      <c r="F1470">
        <v>3.57</v>
      </c>
      <c r="G1470" s="8">
        <f t="shared" si="22"/>
        <v>25.210084033613448</v>
      </c>
    </row>
    <row r="1471" spans="1:7" x14ac:dyDescent="0.25">
      <c r="A1471" s="5">
        <v>45806.791666666664</v>
      </c>
      <c r="B1471">
        <v>20</v>
      </c>
      <c r="C1471" t="s">
        <v>26</v>
      </c>
      <c r="D1471" t="s">
        <v>27</v>
      </c>
      <c r="E1471">
        <v>1.48</v>
      </c>
      <c r="F1471">
        <v>3.48</v>
      </c>
      <c r="G1471" s="8">
        <f t="shared" si="22"/>
        <v>25.517241379310345</v>
      </c>
    </row>
    <row r="1472" spans="1:7" x14ac:dyDescent="0.25">
      <c r="A1472" s="5">
        <v>45806.791666666664</v>
      </c>
      <c r="B1472">
        <v>21</v>
      </c>
      <c r="C1472" t="s">
        <v>27</v>
      </c>
      <c r="D1472" t="s">
        <v>28</v>
      </c>
      <c r="E1472">
        <v>1.51</v>
      </c>
      <c r="F1472">
        <v>3.43</v>
      </c>
      <c r="G1472" s="8">
        <f t="shared" si="22"/>
        <v>26.413994169096206</v>
      </c>
    </row>
    <row r="1473" spans="1:7" x14ac:dyDescent="0.25">
      <c r="A1473" s="5">
        <v>45806.791666666664</v>
      </c>
      <c r="B1473">
        <v>22</v>
      </c>
      <c r="C1473" t="s">
        <v>28</v>
      </c>
      <c r="D1473" t="s">
        <v>29</v>
      </c>
      <c r="E1473">
        <v>2.4300000000000002</v>
      </c>
      <c r="F1473">
        <v>7.32</v>
      </c>
      <c r="G1473" s="8">
        <f t="shared" si="22"/>
        <v>19.918032786885245</v>
      </c>
    </row>
    <row r="1474" spans="1:7" x14ac:dyDescent="0.25">
      <c r="A1474" s="5">
        <v>45806.791666666664</v>
      </c>
      <c r="B1474">
        <v>23</v>
      </c>
      <c r="C1474" t="s">
        <v>29</v>
      </c>
      <c r="D1474" t="s">
        <v>30</v>
      </c>
      <c r="E1474">
        <v>1.43</v>
      </c>
      <c r="F1474">
        <v>3.92</v>
      </c>
      <c r="G1474" s="8">
        <f t="shared" si="22"/>
        <v>21.887755102040817</v>
      </c>
    </row>
    <row r="1475" spans="1:7" x14ac:dyDescent="0.25">
      <c r="A1475" s="5">
        <v>45806.791666666664</v>
      </c>
      <c r="B1475">
        <v>24</v>
      </c>
      <c r="C1475" t="s">
        <v>30</v>
      </c>
      <c r="D1475" t="s">
        <v>31</v>
      </c>
      <c r="E1475">
        <v>1.52</v>
      </c>
      <c r="F1475">
        <v>3.27</v>
      </c>
      <c r="G1475" s="8">
        <f t="shared" ref="G1475:G1509" si="23">E1475*60/F1475</f>
        <v>27.889908256880734</v>
      </c>
    </row>
    <row r="1476" spans="1:7" x14ac:dyDescent="0.25">
      <c r="A1476" s="5">
        <v>45806.791666666664</v>
      </c>
      <c r="B1476">
        <v>25</v>
      </c>
      <c r="C1476" t="s">
        <v>31</v>
      </c>
      <c r="D1476" t="s">
        <v>32</v>
      </c>
      <c r="E1476">
        <v>1.52</v>
      </c>
      <c r="F1476">
        <v>3.53</v>
      </c>
      <c r="G1476" s="8">
        <f t="shared" si="23"/>
        <v>25.835694050991503</v>
      </c>
    </row>
    <row r="1477" spans="1:7" x14ac:dyDescent="0.25">
      <c r="A1477" s="5">
        <v>45806.791666666664</v>
      </c>
      <c r="B1477">
        <v>26</v>
      </c>
      <c r="C1477" t="s">
        <v>32</v>
      </c>
      <c r="D1477" t="s">
        <v>33</v>
      </c>
      <c r="E1477">
        <v>1.49</v>
      </c>
      <c r="F1477">
        <v>7.47</v>
      </c>
      <c r="G1477" s="8">
        <f t="shared" si="23"/>
        <v>11.967871485943776</v>
      </c>
    </row>
    <row r="1478" spans="1:7" x14ac:dyDescent="0.25">
      <c r="A1478" s="5">
        <v>45806.791666666664</v>
      </c>
      <c r="B1478">
        <v>27</v>
      </c>
      <c r="C1478" t="s">
        <v>33</v>
      </c>
      <c r="D1478" t="s">
        <v>34</v>
      </c>
      <c r="E1478">
        <v>1.53</v>
      </c>
      <c r="F1478">
        <v>5.45</v>
      </c>
      <c r="G1478" s="8">
        <f t="shared" si="23"/>
        <v>16.844036697247706</v>
      </c>
    </row>
    <row r="1479" spans="1:7" x14ac:dyDescent="0.25">
      <c r="A1479" s="5">
        <v>45806.791666666664</v>
      </c>
      <c r="B1479">
        <v>28</v>
      </c>
      <c r="C1479" t="s">
        <v>34</v>
      </c>
      <c r="D1479" t="s">
        <v>35</v>
      </c>
      <c r="E1479">
        <v>1.51</v>
      </c>
      <c r="F1479">
        <v>5.07</v>
      </c>
      <c r="G1479" s="8">
        <f t="shared" si="23"/>
        <v>17.869822485207099</v>
      </c>
    </row>
    <row r="1480" spans="1:7" x14ac:dyDescent="0.25">
      <c r="A1480" s="5">
        <v>45806.791666666664</v>
      </c>
      <c r="B1480">
        <v>29</v>
      </c>
      <c r="C1480" t="s">
        <v>36</v>
      </c>
      <c r="D1480" t="s">
        <v>37</v>
      </c>
      <c r="E1480">
        <v>1.57</v>
      </c>
      <c r="F1480">
        <v>3.97</v>
      </c>
      <c r="G1480" s="8">
        <f t="shared" si="23"/>
        <v>23.727959697732999</v>
      </c>
    </row>
    <row r="1481" spans="1:7" x14ac:dyDescent="0.25">
      <c r="A1481" s="5">
        <v>45806.791666666664</v>
      </c>
      <c r="B1481">
        <v>30</v>
      </c>
      <c r="C1481" t="s">
        <v>37</v>
      </c>
      <c r="D1481" t="s">
        <v>38</v>
      </c>
      <c r="E1481">
        <v>1.57</v>
      </c>
      <c r="F1481">
        <v>3.8</v>
      </c>
      <c r="G1481" s="8">
        <f t="shared" si="23"/>
        <v>24.789473684210527</v>
      </c>
    </row>
    <row r="1482" spans="1:7" x14ac:dyDescent="0.25">
      <c r="A1482" s="5">
        <v>45806.791666666664</v>
      </c>
      <c r="B1482">
        <v>31</v>
      </c>
      <c r="C1482" t="s">
        <v>38</v>
      </c>
      <c r="D1482" t="s">
        <v>39</v>
      </c>
      <c r="E1482">
        <v>1.52</v>
      </c>
      <c r="F1482">
        <v>2.82</v>
      </c>
      <c r="G1482" s="8">
        <f t="shared" si="23"/>
        <v>32.340425531914896</v>
      </c>
    </row>
    <row r="1483" spans="1:7" x14ac:dyDescent="0.25">
      <c r="A1483" s="5">
        <v>45806.791666666664</v>
      </c>
      <c r="B1483">
        <v>32</v>
      </c>
      <c r="C1483" t="s">
        <v>39</v>
      </c>
      <c r="D1483" t="s">
        <v>40</v>
      </c>
      <c r="E1483">
        <v>1.5</v>
      </c>
      <c r="F1483">
        <v>2.42</v>
      </c>
      <c r="G1483" s="8">
        <f t="shared" si="23"/>
        <v>37.190082644628099</v>
      </c>
    </row>
    <row r="1484" spans="1:7" x14ac:dyDescent="0.25">
      <c r="A1484" s="5">
        <v>45806.791666666664</v>
      </c>
      <c r="B1484">
        <v>33</v>
      </c>
      <c r="C1484" t="s">
        <v>40</v>
      </c>
      <c r="D1484" t="s">
        <v>41</v>
      </c>
      <c r="E1484">
        <v>1.51</v>
      </c>
      <c r="F1484">
        <v>2.75</v>
      </c>
      <c r="G1484" s="8">
        <f t="shared" si="23"/>
        <v>32.945454545454545</v>
      </c>
    </row>
    <row r="1485" spans="1:7" x14ac:dyDescent="0.25">
      <c r="A1485" s="5">
        <v>45806.791666666664</v>
      </c>
      <c r="B1485">
        <v>34</v>
      </c>
      <c r="C1485" t="s">
        <v>41</v>
      </c>
      <c r="D1485" t="s">
        <v>42</v>
      </c>
      <c r="E1485">
        <v>1.5</v>
      </c>
      <c r="F1485">
        <v>2.15</v>
      </c>
      <c r="G1485" s="8">
        <f t="shared" si="23"/>
        <v>41.860465116279073</v>
      </c>
    </row>
    <row r="1486" spans="1:7" x14ac:dyDescent="0.25">
      <c r="A1486" s="5">
        <v>45806.791666666664</v>
      </c>
      <c r="B1486">
        <v>35</v>
      </c>
      <c r="C1486" t="s">
        <v>43</v>
      </c>
      <c r="D1486" t="s">
        <v>44</v>
      </c>
      <c r="E1486">
        <v>1.55</v>
      </c>
      <c r="F1486">
        <v>4.13</v>
      </c>
      <c r="G1486" s="8">
        <f t="shared" si="23"/>
        <v>22.518159806295401</v>
      </c>
    </row>
    <row r="1487" spans="1:7" x14ac:dyDescent="0.25">
      <c r="A1487" s="5">
        <v>45806.791666666664</v>
      </c>
      <c r="B1487">
        <v>36</v>
      </c>
      <c r="C1487" t="s">
        <v>44</v>
      </c>
      <c r="D1487" t="s">
        <v>45</v>
      </c>
      <c r="E1487">
        <v>1.5</v>
      </c>
      <c r="F1487">
        <v>3.92</v>
      </c>
      <c r="G1487" s="8">
        <f t="shared" si="23"/>
        <v>22.95918367346939</v>
      </c>
    </row>
    <row r="1488" spans="1:7" x14ac:dyDescent="0.25">
      <c r="A1488" s="5">
        <v>45806.791666666664</v>
      </c>
      <c r="B1488">
        <v>37</v>
      </c>
      <c r="C1488" t="s">
        <v>45</v>
      </c>
      <c r="D1488" t="s">
        <v>46</v>
      </c>
      <c r="E1488">
        <v>1.38</v>
      </c>
      <c r="F1488">
        <v>5.48</v>
      </c>
      <c r="G1488" s="8">
        <f t="shared" si="23"/>
        <v>15.109489051094888</v>
      </c>
    </row>
    <row r="1489" spans="1:7" x14ac:dyDescent="0.25">
      <c r="A1489" s="5">
        <v>45806.791666666664</v>
      </c>
      <c r="B1489">
        <v>38</v>
      </c>
      <c r="C1489" t="s">
        <v>46</v>
      </c>
      <c r="D1489" t="s">
        <v>47</v>
      </c>
      <c r="E1489">
        <v>1.61</v>
      </c>
      <c r="F1489">
        <v>5.52</v>
      </c>
      <c r="G1489" s="8">
        <f t="shared" si="23"/>
        <v>17.500000000000004</v>
      </c>
    </row>
    <row r="1490" spans="1:7" x14ac:dyDescent="0.25">
      <c r="A1490" s="5">
        <v>45806.791666666664</v>
      </c>
      <c r="B1490">
        <v>39</v>
      </c>
      <c r="C1490" t="s">
        <v>47</v>
      </c>
      <c r="D1490" t="s">
        <v>48</v>
      </c>
      <c r="E1490">
        <v>1.55</v>
      </c>
      <c r="F1490">
        <v>4.2699999999999996</v>
      </c>
      <c r="G1490" s="8">
        <f t="shared" si="23"/>
        <v>21.779859484777521</v>
      </c>
    </row>
    <row r="1491" spans="1:7" x14ac:dyDescent="0.25">
      <c r="A1491" s="5">
        <v>45806.791666666664</v>
      </c>
      <c r="B1491">
        <v>40</v>
      </c>
      <c r="C1491" t="s">
        <v>48</v>
      </c>
      <c r="D1491" t="s">
        <v>49</v>
      </c>
      <c r="E1491">
        <v>1.39</v>
      </c>
      <c r="F1491">
        <v>3.6</v>
      </c>
      <c r="G1491" s="8">
        <f t="shared" si="23"/>
        <v>23.166666666666664</v>
      </c>
    </row>
    <row r="1492" spans="1:7" x14ac:dyDescent="0.25">
      <c r="A1492" s="5">
        <v>45806.791666666664</v>
      </c>
      <c r="B1492">
        <v>41</v>
      </c>
      <c r="C1492" t="s">
        <v>50</v>
      </c>
      <c r="D1492" t="s">
        <v>51</v>
      </c>
      <c r="E1492">
        <v>1.56</v>
      </c>
      <c r="F1492">
        <v>4.7300000000000004</v>
      </c>
      <c r="G1492" s="8">
        <f t="shared" si="23"/>
        <v>19.788583509513742</v>
      </c>
    </row>
    <row r="1493" spans="1:7" x14ac:dyDescent="0.25">
      <c r="A1493" s="5">
        <v>45806.791666666664</v>
      </c>
      <c r="B1493">
        <v>42</v>
      </c>
      <c r="C1493" t="s">
        <v>51</v>
      </c>
      <c r="D1493" t="s">
        <v>52</v>
      </c>
      <c r="E1493">
        <v>1.56</v>
      </c>
      <c r="F1493">
        <v>4.43</v>
      </c>
      <c r="G1493" s="8">
        <f t="shared" si="23"/>
        <v>21.128668171557564</v>
      </c>
    </row>
    <row r="1494" spans="1:7" x14ac:dyDescent="0.25">
      <c r="A1494" s="5">
        <v>45806.791666666664</v>
      </c>
      <c r="B1494">
        <v>43</v>
      </c>
      <c r="C1494" t="s">
        <v>52</v>
      </c>
      <c r="D1494" t="s">
        <v>53</v>
      </c>
      <c r="E1494">
        <v>1.51</v>
      </c>
      <c r="F1494">
        <v>3.75</v>
      </c>
      <c r="G1494" s="8">
        <f t="shared" si="23"/>
        <v>24.16</v>
      </c>
    </row>
    <row r="1495" spans="1:7" x14ac:dyDescent="0.25">
      <c r="A1495" s="5">
        <v>45806.791666666664</v>
      </c>
      <c r="B1495">
        <v>44</v>
      </c>
      <c r="C1495" t="s">
        <v>54</v>
      </c>
      <c r="D1495" t="s">
        <v>55</v>
      </c>
      <c r="E1495">
        <v>1.51</v>
      </c>
      <c r="F1495">
        <v>4.4000000000000004</v>
      </c>
      <c r="G1495" s="8">
        <f t="shared" si="23"/>
        <v>20.590909090909086</v>
      </c>
    </row>
    <row r="1496" spans="1:7" x14ac:dyDescent="0.25">
      <c r="A1496" s="5">
        <v>45806.791666666664</v>
      </c>
      <c r="B1496">
        <v>45</v>
      </c>
      <c r="C1496" t="s">
        <v>55</v>
      </c>
      <c r="D1496" t="s">
        <v>56</v>
      </c>
      <c r="E1496">
        <v>1.49</v>
      </c>
      <c r="F1496">
        <v>5.55</v>
      </c>
      <c r="G1496" s="8">
        <f t="shared" si="23"/>
        <v>16.108108108108109</v>
      </c>
    </row>
    <row r="1497" spans="1:7" x14ac:dyDescent="0.25">
      <c r="A1497" s="5">
        <v>45806.791666666664</v>
      </c>
      <c r="B1497">
        <v>46</v>
      </c>
      <c r="C1497" t="s">
        <v>56</v>
      </c>
      <c r="D1497" t="s">
        <v>57</v>
      </c>
      <c r="E1497">
        <v>1.52</v>
      </c>
      <c r="F1497">
        <v>4.78</v>
      </c>
      <c r="G1497" s="8">
        <f t="shared" si="23"/>
        <v>19.07949790794979</v>
      </c>
    </row>
    <row r="1498" spans="1:7" x14ac:dyDescent="0.25">
      <c r="A1498" s="5">
        <v>45806.791666666664</v>
      </c>
      <c r="B1498">
        <v>47</v>
      </c>
      <c r="C1498" t="s">
        <v>58</v>
      </c>
      <c r="D1498" t="s">
        <v>59</v>
      </c>
      <c r="E1498">
        <v>1.52</v>
      </c>
      <c r="F1498">
        <v>5.78</v>
      </c>
      <c r="G1498" s="8">
        <f t="shared" si="23"/>
        <v>15.778546712802768</v>
      </c>
    </row>
    <row r="1499" spans="1:7" x14ac:dyDescent="0.25">
      <c r="A1499" s="5">
        <v>45806.791666666664</v>
      </c>
      <c r="B1499">
        <v>48</v>
      </c>
      <c r="C1499" t="s">
        <v>59</v>
      </c>
      <c r="D1499" t="s">
        <v>60</v>
      </c>
      <c r="E1499">
        <v>1.5</v>
      </c>
      <c r="F1499">
        <v>4.25</v>
      </c>
      <c r="G1499" s="8">
        <f t="shared" si="23"/>
        <v>21.176470588235293</v>
      </c>
    </row>
    <row r="1500" spans="1:7" x14ac:dyDescent="0.25">
      <c r="A1500" s="5">
        <v>45806.791666666664</v>
      </c>
      <c r="B1500">
        <v>49</v>
      </c>
      <c r="C1500" t="s">
        <v>60</v>
      </c>
      <c r="D1500" t="s">
        <v>61</v>
      </c>
      <c r="E1500">
        <v>1.54</v>
      </c>
      <c r="F1500">
        <v>4.63</v>
      </c>
      <c r="G1500" s="8">
        <f t="shared" si="23"/>
        <v>19.956803455723545</v>
      </c>
    </row>
    <row r="1501" spans="1:7" x14ac:dyDescent="0.25">
      <c r="A1501" s="5">
        <v>45806.791666666664</v>
      </c>
      <c r="B1501">
        <v>50</v>
      </c>
      <c r="C1501" t="s">
        <v>62</v>
      </c>
      <c r="D1501" t="s">
        <v>63</v>
      </c>
      <c r="E1501">
        <v>1.38</v>
      </c>
      <c r="F1501">
        <v>3.12</v>
      </c>
      <c r="G1501" s="8">
        <f t="shared" si="23"/>
        <v>26.538461538461537</v>
      </c>
    </row>
    <row r="1502" spans="1:7" x14ac:dyDescent="0.25">
      <c r="A1502" s="5">
        <v>45806.791666666664</v>
      </c>
      <c r="B1502">
        <v>51</v>
      </c>
      <c r="C1502" t="s">
        <v>63</v>
      </c>
      <c r="D1502" t="s">
        <v>64</v>
      </c>
      <c r="E1502">
        <v>2.79</v>
      </c>
      <c r="F1502">
        <v>5.8</v>
      </c>
      <c r="G1502" s="8">
        <f t="shared" si="23"/>
        <v>28.862068965517242</v>
      </c>
    </row>
    <row r="1503" spans="1:7" x14ac:dyDescent="0.25">
      <c r="A1503" s="5">
        <v>45806.791666666664</v>
      </c>
      <c r="B1503">
        <v>52</v>
      </c>
      <c r="C1503" t="s">
        <v>64</v>
      </c>
      <c r="D1503" t="s">
        <v>65</v>
      </c>
      <c r="E1503">
        <v>1.5</v>
      </c>
      <c r="F1503">
        <v>2.87</v>
      </c>
      <c r="G1503" s="8">
        <f t="shared" si="23"/>
        <v>31.358885017421603</v>
      </c>
    </row>
    <row r="1504" spans="1:7" x14ac:dyDescent="0.25">
      <c r="A1504" s="5">
        <v>45806.791666666664</v>
      </c>
      <c r="B1504">
        <v>53</v>
      </c>
      <c r="C1504" t="s">
        <v>65</v>
      </c>
      <c r="D1504" t="s">
        <v>66</v>
      </c>
      <c r="E1504">
        <v>1.46</v>
      </c>
      <c r="F1504">
        <v>3.93</v>
      </c>
      <c r="G1504" s="8">
        <f t="shared" si="23"/>
        <v>22.29007633587786</v>
      </c>
    </row>
    <row r="1505" spans="1:7" x14ac:dyDescent="0.25">
      <c r="A1505" s="5">
        <v>45806.791666666664</v>
      </c>
      <c r="B1505">
        <v>54</v>
      </c>
      <c r="C1505" t="s">
        <v>67</v>
      </c>
      <c r="D1505" t="s">
        <v>68</v>
      </c>
      <c r="E1505">
        <v>1.46</v>
      </c>
      <c r="F1505">
        <v>2.83</v>
      </c>
      <c r="G1505" s="8">
        <f t="shared" si="23"/>
        <v>30.954063604240279</v>
      </c>
    </row>
    <row r="1506" spans="1:7" x14ac:dyDescent="0.25">
      <c r="A1506" s="5">
        <v>45806.791666666664</v>
      </c>
      <c r="B1506">
        <v>55</v>
      </c>
      <c r="C1506" t="s">
        <v>68</v>
      </c>
      <c r="D1506" t="s">
        <v>69</v>
      </c>
      <c r="E1506">
        <v>1.5</v>
      </c>
      <c r="F1506">
        <v>2.2000000000000002</v>
      </c>
      <c r="G1506" s="8">
        <f t="shared" si="23"/>
        <v>40.909090909090907</v>
      </c>
    </row>
    <row r="1507" spans="1:7" x14ac:dyDescent="0.25">
      <c r="A1507" s="5">
        <v>45806.791666666664</v>
      </c>
      <c r="B1507">
        <v>56</v>
      </c>
      <c r="C1507" t="s">
        <v>70</v>
      </c>
      <c r="D1507" t="s">
        <v>71</v>
      </c>
      <c r="E1507">
        <v>1.51</v>
      </c>
      <c r="F1507">
        <v>6.7</v>
      </c>
      <c r="G1507" s="8">
        <f t="shared" si="23"/>
        <v>13.522388059701491</v>
      </c>
    </row>
    <row r="1508" spans="1:7" x14ac:dyDescent="0.25">
      <c r="A1508" s="5">
        <v>45806.791666666664</v>
      </c>
      <c r="B1508">
        <v>57</v>
      </c>
      <c r="C1508" t="s">
        <v>71</v>
      </c>
      <c r="D1508" t="s">
        <v>72</v>
      </c>
      <c r="E1508">
        <v>1.94</v>
      </c>
      <c r="F1508">
        <v>6.22</v>
      </c>
      <c r="G1508" s="8">
        <f t="shared" si="23"/>
        <v>18.713826366559484</v>
      </c>
    </row>
    <row r="1509" spans="1:7" x14ac:dyDescent="0.25">
      <c r="A1509" s="5">
        <v>45806.791666666664</v>
      </c>
      <c r="B1509">
        <v>58</v>
      </c>
      <c r="C1509" t="s">
        <v>72</v>
      </c>
      <c r="D1509" t="s">
        <v>73</v>
      </c>
      <c r="E1509">
        <v>1.5</v>
      </c>
      <c r="F1509">
        <v>4.8</v>
      </c>
      <c r="G1509" s="8">
        <f t="shared" si="23"/>
        <v>18.75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9"/>
  <sheetViews>
    <sheetView topLeftCell="A1130" workbookViewId="0">
      <selection activeCell="A1130" sqref="A1:A1048576"/>
    </sheetView>
  </sheetViews>
  <sheetFormatPr defaultRowHeight="15" x14ac:dyDescent="0.25"/>
  <cols>
    <col min="1" max="1" width="10.140625" style="5" customWidth="1"/>
    <col min="3" max="3" width="38" customWidth="1"/>
    <col min="4" max="4" width="37.140625" customWidth="1"/>
    <col min="5" max="5" width="13.42578125" customWidth="1"/>
    <col min="6" max="6" width="21.7109375" customWidth="1"/>
    <col min="7" max="7" width="12" customWidth="1"/>
  </cols>
  <sheetData>
    <row r="1" spans="1:7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74</v>
      </c>
    </row>
    <row r="2" spans="1:7" x14ac:dyDescent="0.25">
      <c r="A2" s="5">
        <v>45807.291666666664</v>
      </c>
      <c r="B2">
        <v>1</v>
      </c>
      <c r="C2" t="s">
        <v>6</v>
      </c>
      <c r="D2" t="s">
        <v>7</v>
      </c>
      <c r="E2">
        <v>1.53</v>
      </c>
      <c r="F2">
        <v>2.82</v>
      </c>
      <c r="G2" s="8">
        <f>E2*60/F2</f>
        <v>32.553191489361701</v>
      </c>
    </row>
    <row r="3" spans="1:7" x14ac:dyDescent="0.25">
      <c r="A3" s="5">
        <v>45807.291666666664</v>
      </c>
      <c r="B3">
        <v>2</v>
      </c>
      <c r="C3" t="s">
        <v>7</v>
      </c>
      <c r="D3" t="s">
        <v>8</v>
      </c>
      <c r="E3">
        <v>1.57</v>
      </c>
      <c r="F3">
        <v>4.03</v>
      </c>
      <c r="G3" s="8">
        <f t="shared" ref="G3:G66" si="0">E3*60/F3</f>
        <v>23.374689826302728</v>
      </c>
    </row>
    <row r="4" spans="1:7" x14ac:dyDescent="0.25">
      <c r="A4" s="5">
        <v>45807.291666666664</v>
      </c>
      <c r="B4">
        <v>3</v>
      </c>
      <c r="C4" t="s">
        <v>8</v>
      </c>
      <c r="D4" t="s">
        <v>9</v>
      </c>
      <c r="E4">
        <v>1.5</v>
      </c>
      <c r="F4">
        <v>2.73</v>
      </c>
      <c r="G4" s="8">
        <f t="shared" si="0"/>
        <v>32.967032967032971</v>
      </c>
    </row>
    <row r="5" spans="1:7" x14ac:dyDescent="0.25">
      <c r="A5" s="5">
        <v>45807.291666666664</v>
      </c>
      <c r="B5">
        <v>4</v>
      </c>
      <c r="C5" t="s">
        <v>9</v>
      </c>
      <c r="D5" t="s">
        <v>10</v>
      </c>
      <c r="E5">
        <v>1.5</v>
      </c>
      <c r="F5">
        <v>2.57</v>
      </c>
      <c r="G5" s="8">
        <f t="shared" si="0"/>
        <v>35.019455252918291</v>
      </c>
    </row>
    <row r="6" spans="1:7" x14ac:dyDescent="0.25">
      <c r="A6" s="5">
        <v>45807.291666666664</v>
      </c>
      <c r="B6">
        <v>5</v>
      </c>
      <c r="C6" t="s">
        <v>10</v>
      </c>
      <c r="D6" t="s">
        <v>11</v>
      </c>
      <c r="E6">
        <v>1.52</v>
      </c>
      <c r="F6">
        <v>2.68</v>
      </c>
      <c r="G6" s="8">
        <f t="shared" si="0"/>
        <v>34.029850746268657</v>
      </c>
    </row>
    <row r="7" spans="1:7" x14ac:dyDescent="0.25">
      <c r="A7" s="5">
        <v>45807.291666666664</v>
      </c>
      <c r="B7">
        <v>6</v>
      </c>
      <c r="C7" t="s">
        <v>11</v>
      </c>
      <c r="D7" t="s">
        <v>12</v>
      </c>
      <c r="E7">
        <v>1.5</v>
      </c>
      <c r="F7">
        <v>2.2999999999999998</v>
      </c>
      <c r="G7" s="8">
        <f t="shared" si="0"/>
        <v>39.130434782608695</v>
      </c>
    </row>
    <row r="8" spans="1:7" x14ac:dyDescent="0.25">
      <c r="A8" s="5">
        <v>45807.291666666664</v>
      </c>
      <c r="B8">
        <v>7</v>
      </c>
      <c r="C8" t="s">
        <v>12</v>
      </c>
      <c r="D8" t="s">
        <v>13</v>
      </c>
      <c r="E8">
        <v>1.54</v>
      </c>
      <c r="F8">
        <v>2.38</v>
      </c>
      <c r="G8" s="8">
        <f t="shared" si="0"/>
        <v>38.82352941176471</v>
      </c>
    </row>
    <row r="9" spans="1:7" x14ac:dyDescent="0.25">
      <c r="A9" s="5">
        <v>45807.291666666664</v>
      </c>
      <c r="B9">
        <v>8</v>
      </c>
      <c r="C9" t="s">
        <v>13</v>
      </c>
      <c r="D9" t="s">
        <v>14</v>
      </c>
      <c r="E9">
        <v>1.54</v>
      </c>
      <c r="F9">
        <v>2.67</v>
      </c>
      <c r="G9" s="8">
        <f t="shared" si="0"/>
        <v>34.606741573033709</v>
      </c>
    </row>
    <row r="10" spans="1:7" x14ac:dyDescent="0.25">
      <c r="A10" s="5">
        <v>45807.291666666664</v>
      </c>
      <c r="B10">
        <v>9</v>
      </c>
      <c r="C10" t="s">
        <v>14</v>
      </c>
      <c r="D10" t="s">
        <v>15</v>
      </c>
      <c r="E10">
        <v>1.52</v>
      </c>
      <c r="F10">
        <v>2.63</v>
      </c>
      <c r="G10" s="8">
        <f t="shared" si="0"/>
        <v>34.676806083650192</v>
      </c>
    </row>
    <row r="11" spans="1:7" x14ac:dyDescent="0.25">
      <c r="A11" s="5">
        <v>45807.291666666664</v>
      </c>
      <c r="B11">
        <v>10</v>
      </c>
      <c r="C11" t="s">
        <v>15</v>
      </c>
      <c r="D11" t="s">
        <v>16</v>
      </c>
      <c r="E11">
        <v>1.5</v>
      </c>
      <c r="F11">
        <v>2.75</v>
      </c>
      <c r="G11" s="8">
        <f t="shared" si="0"/>
        <v>32.727272727272727</v>
      </c>
    </row>
    <row r="12" spans="1:7" x14ac:dyDescent="0.25">
      <c r="A12" s="5">
        <v>45807.291666666664</v>
      </c>
      <c r="B12">
        <v>11</v>
      </c>
      <c r="C12" t="s">
        <v>16</v>
      </c>
      <c r="D12" t="s">
        <v>17</v>
      </c>
      <c r="E12">
        <v>1.48</v>
      </c>
      <c r="F12">
        <v>2.2000000000000002</v>
      </c>
      <c r="G12" s="8">
        <f t="shared" si="0"/>
        <v>40.36363636363636</v>
      </c>
    </row>
    <row r="13" spans="1:7" x14ac:dyDescent="0.25">
      <c r="A13" s="5">
        <v>45807.291666666664</v>
      </c>
      <c r="B13">
        <v>12</v>
      </c>
      <c r="C13" t="s">
        <v>17</v>
      </c>
      <c r="D13" t="s">
        <v>18</v>
      </c>
      <c r="E13">
        <v>1.46</v>
      </c>
      <c r="F13">
        <v>2.6</v>
      </c>
      <c r="G13" s="8">
        <f t="shared" si="0"/>
        <v>33.692307692307686</v>
      </c>
    </row>
    <row r="14" spans="1:7" x14ac:dyDescent="0.25">
      <c r="A14" s="5">
        <v>45807.291666666664</v>
      </c>
      <c r="B14">
        <v>13</v>
      </c>
      <c r="C14" t="s">
        <v>18</v>
      </c>
      <c r="D14" t="s">
        <v>19</v>
      </c>
      <c r="E14">
        <v>1.52</v>
      </c>
      <c r="F14">
        <v>2.92</v>
      </c>
      <c r="G14" s="8">
        <f t="shared" si="0"/>
        <v>31.232876712328768</v>
      </c>
    </row>
    <row r="15" spans="1:7" x14ac:dyDescent="0.25">
      <c r="A15" s="5">
        <v>45807.291666666664</v>
      </c>
      <c r="B15">
        <v>14</v>
      </c>
      <c r="C15" t="s">
        <v>19</v>
      </c>
      <c r="D15" t="s">
        <v>20</v>
      </c>
      <c r="E15">
        <v>1.51</v>
      </c>
      <c r="F15">
        <v>2.8</v>
      </c>
      <c r="G15" s="8">
        <f t="shared" si="0"/>
        <v>32.357142857142854</v>
      </c>
    </row>
    <row r="16" spans="1:7" x14ac:dyDescent="0.25">
      <c r="A16" s="5">
        <v>45807.291666666664</v>
      </c>
      <c r="B16">
        <v>15</v>
      </c>
      <c r="C16" t="s">
        <v>20</v>
      </c>
      <c r="D16" t="s">
        <v>21</v>
      </c>
      <c r="E16">
        <v>1.47</v>
      </c>
      <c r="F16">
        <v>1.83</v>
      </c>
      <c r="G16" s="8">
        <f t="shared" si="0"/>
        <v>48.196721311475407</v>
      </c>
    </row>
    <row r="17" spans="1:7" x14ac:dyDescent="0.25">
      <c r="A17" s="5">
        <v>45807.291666666664</v>
      </c>
      <c r="B17">
        <v>16</v>
      </c>
      <c r="C17" t="s">
        <v>21</v>
      </c>
      <c r="D17" t="s">
        <v>22</v>
      </c>
      <c r="E17">
        <v>1.5</v>
      </c>
      <c r="F17">
        <v>1.73</v>
      </c>
      <c r="G17" s="8">
        <f t="shared" si="0"/>
        <v>52.02312138728324</v>
      </c>
    </row>
    <row r="18" spans="1:7" x14ac:dyDescent="0.25">
      <c r="A18" s="5">
        <v>45807.291666666664</v>
      </c>
      <c r="B18">
        <v>17</v>
      </c>
      <c r="C18" t="s">
        <v>22</v>
      </c>
      <c r="D18" t="s">
        <v>23</v>
      </c>
      <c r="E18">
        <v>1.51</v>
      </c>
      <c r="F18">
        <v>2.3199999999999998</v>
      </c>
      <c r="G18" s="8">
        <f t="shared" si="0"/>
        <v>39.051724137931032</v>
      </c>
    </row>
    <row r="19" spans="1:7" x14ac:dyDescent="0.25">
      <c r="A19" s="5">
        <v>45807.291666666664</v>
      </c>
      <c r="B19">
        <v>18</v>
      </c>
      <c r="C19" t="s">
        <v>23</v>
      </c>
      <c r="D19" t="s">
        <v>24</v>
      </c>
      <c r="E19">
        <v>1.51</v>
      </c>
      <c r="F19">
        <v>2.57</v>
      </c>
      <c r="G19" s="8">
        <f t="shared" si="0"/>
        <v>35.252918287937746</v>
      </c>
    </row>
    <row r="20" spans="1:7" x14ac:dyDescent="0.25">
      <c r="A20" s="5">
        <v>45807.291666666664</v>
      </c>
      <c r="B20">
        <v>19</v>
      </c>
      <c r="C20" t="s">
        <v>25</v>
      </c>
      <c r="D20" t="s">
        <v>26</v>
      </c>
      <c r="E20">
        <v>1.5</v>
      </c>
      <c r="F20">
        <v>2.98</v>
      </c>
      <c r="G20" s="8">
        <f t="shared" si="0"/>
        <v>30.201342281879196</v>
      </c>
    </row>
    <row r="21" spans="1:7" x14ac:dyDescent="0.25">
      <c r="A21" s="5">
        <v>45807.291666666664</v>
      </c>
      <c r="B21">
        <v>20</v>
      </c>
      <c r="C21" t="s">
        <v>26</v>
      </c>
      <c r="D21" t="s">
        <v>27</v>
      </c>
      <c r="E21">
        <v>1.48</v>
      </c>
      <c r="F21">
        <v>2.98</v>
      </c>
      <c r="G21" s="8">
        <f t="shared" si="0"/>
        <v>29.798657718120804</v>
      </c>
    </row>
    <row r="22" spans="1:7" x14ac:dyDescent="0.25">
      <c r="A22" s="5">
        <v>45807.291666666664</v>
      </c>
      <c r="B22">
        <v>21</v>
      </c>
      <c r="C22" t="s">
        <v>27</v>
      </c>
      <c r="D22" t="s">
        <v>28</v>
      </c>
      <c r="E22">
        <v>1.51</v>
      </c>
      <c r="F22">
        <v>2.77</v>
      </c>
      <c r="G22" s="8">
        <f t="shared" si="0"/>
        <v>32.707581227436819</v>
      </c>
    </row>
    <row r="23" spans="1:7" x14ac:dyDescent="0.25">
      <c r="A23" s="5">
        <v>45807.291666666664</v>
      </c>
      <c r="B23">
        <v>22</v>
      </c>
      <c r="C23" t="s">
        <v>28</v>
      </c>
      <c r="D23" t="s">
        <v>29</v>
      </c>
      <c r="E23">
        <v>1.57</v>
      </c>
      <c r="F23">
        <v>2.93</v>
      </c>
      <c r="G23" s="8">
        <f t="shared" si="0"/>
        <v>32.150170648464162</v>
      </c>
    </row>
    <row r="24" spans="1:7" x14ac:dyDescent="0.25">
      <c r="A24" s="5">
        <v>45807.291666666664</v>
      </c>
      <c r="B24">
        <v>23</v>
      </c>
      <c r="C24" t="s">
        <v>29</v>
      </c>
      <c r="D24" t="s">
        <v>30</v>
      </c>
      <c r="E24">
        <v>1.43</v>
      </c>
      <c r="F24">
        <v>2.87</v>
      </c>
      <c r="G24" s="8">
        <f t="shared" si="0"/>
        <v>29.89547038327526</v>
      </c>
    </row>
    <row r="25" spans="1:7" x14ac:dyDescent="0.25">
      <c r="A25" s="5">
        <v>45807.291666666664</v>
      </c>
      <c r="B25">
        <v>24</v>
      </c>
      <c r="C25" t="s">
        <v>30</v>
      </c>
      <c r="D25" t="s">
        <v>31</v>
      </c>
      <c r="E25">
        <v>1.52</v>
      </c>
      <c r="F25">
        <v>2.98</v>
      </c>
      <c r="G25" s="8">
        <f t="shared" si="0"/>
        <v>30.604026845637584</v>
      </c>
    </row>
    <row r="26" spans="1:7" x14ac:dyDescent="0.25">
      <c r="A26" s="5">
        <v>45807.291666666664</v>
      </c>
      <c r="B26">
        <v>25</v>
      </c>
      <c r="C26" t="s">
        <v>31</v>
      </c>
      <c r="D26" t="s">
        <v>32</v>
      </c>
      <c r="E26">
        <v>1.52</v>
      </c>
      <c r="F26">
        <v>3.17</v>
      </c>
      <c r="G26" s="8">
        <f t="shared" si="0"/>
        <v>28.769716088328078</v>
      </c>
    </row>
    <row r="27" spans="1:7" x14ac:dyDescent="0.25">
      <c r="A27" s="5">
        <v>45807.291666666664</v>
      </c>
      <c r="B27">
        <v>26</v>
      </c>
      <c r="C27" t="s">
        <v>32</v>
      </c>
      <c r="D27" t="s">
        <v>33</v>
      </c>
      <c r="E27">
        <v>1.49</v>
      </c>
      <c r="F27">
        <v>3.02</v>
      </c>
      <c r="G27" s="8">
        <f t="shared" si="0"/>
        <v>29.602649006622517</v>
      </c>
    </row>
    <row r="28" spans="1:7" x14ac:dyDescent="0.25">
      <c r="A28" s="5">
        <v>45807.291666666664</v>
      </c>
      <c r="B28">
        <v>27</v>
      </c>
      <c r="C28" t="s">
        <v>33</v>
      </c>
      <c r="D28" t="s">
        <v>34</v>
      </c>
      <c r="E28">
        <v>1.53</v>
      </c>
      <c r="F28">
        <v>2.95</v>
      </c>
      <c r="G28" s="8">
        <f t="shared" si="0"/>
        <v>31.118644067796609</v>
      </c>
    </row>
    <row r="29" spans="1:7" x14ac:dyDescent="0.25">
      <c r="A29" s="5">
        <v>45807.291666666664</v>
      </c>
      <c r="B29">
        <v>28</v>
      </c>
      <c r="C29" t="s">
        <v>34</v>
      </c>
      <c r="D29" t="s">
        <v>35</v>
      </c>
      <c r="E29">
        <v>1.51</v>
      </c>
      <c r="F29">
        <v>3.43</v>
      </c>
      <c r="G29" s="8">
        <f t="shared" si="0"/>
        <v>26.413994169096206</v>
      </c>
    </row>
    <row r="30" spans="1:7" x14ac:dyDescent="0.25">
      <c r="A30" s="5">
        <v>45807.291666666664</v>
      </c>
      <c r="B30">
        <v>29</v>
      </c>
      <c r="C30" t="s">
        <v>36</v>
      </c>
      <c r="D30" t="s">
        <v>37</v>
      </c>
      <c r="E30">
        <v>1.57</v>
      </c>
      <c r="F30">
        <v>3.05</v>
      </c>
      <c r="G30" s="8">
        <f t="shared" si="0"/>
        <v>30.885245901639347</v>
      </c>
    </row>
    <row r="31" spans="1:7" x14ac:dyDescent="0.25">
      <c r="A31" s="5">
        <v>45807.291666666664</v>
      </c>
      <c r="B31">
        <v>30</v>
      </c>
      <c r="C31" t="s">
        <v>37</v>
      </c>
      <c r="D31" t="s">
        <v>38</v>
      </c>
      <c r="E31">
        <v>1.57</v>
      </c>
      <c r="F31">
        <v>3.5</v>
      </c>
      <c r="G31" s="8">
        <f t="shared" si="0"/>
        <v>26.914285714285715</v>
      </c>
    </row>
    <row r="32" spans="1:7" x14ac:dyDescent="0.25">
      <c r="A32" s="5">
        <v>45807.291666666664</v>
      </c>
      <c r="B32">
        <v>31</v>
      </c>
      <c r="C32" t="s">
        <v>38</v>
      </c>
      <c r="D32" t="s">
        <v>39</v>
      </c>
      <c r="E32">
        <v>1.52</v>
      </c>
      <c r="F32">
        <v>2.4300000000000002</v>
      </c>
      <c r="G32" s="8">
        <f t="shared" si="0"/>
        <v>37.53086419753086</v>
      </c>
    </row>
    <row r="33" spans="1:7" x14ac:dyDescent="0.25">
      <c r="A33" s="5">
        <v>45807.291666666664</v>
      </c>
      <c r="B33">
        <v>32</v>
      </c>
      <c r="C33" t="s">
        <v>39</v>
      </c>
      <c r="D33" t="s">
        <v>40</v>
      </c>
      <c r="E33">
        <v>1.5</v>
      </c>
      <c r="F33">
        <v>1.62</v>
      </c>
      <c r="G33" s="8">
        <f t="shared" si="0"/>
        <v>55.55555555555555</v>
      </c>
    </row>
    <row r="34" spans="1:7" x14ac:dyDescent="0.25">
      <c r="A34" s="5">
        <v>45807.291666666664</v>
      </c>
      <c r="B34">
        <v>33</v>
      </c>
      <c r="C34" t="s">
        <v>40</v>
      </c>
      <c r="D34" t="s">
        <v>41</v>
      </c>
      <c r="E34">
        <v>1.51</v>
      </c>
      <c r="F34">
        <v>1.63</v>
      </c>
      <c r="G34" s="8">
        <f t="shared" si="0"/>
        <v>55.582822085889568</v>
      </c>
    </row>
    <row r="35" spans="1:7" x14ac:dyDescent="0.25">
      <c r="A35" s="5">
        <v>45807.291666666664</v>
      </c>
      <c r="B35">
        <v>34</v>
      </c>
      <c r="C35" t="s">
        <v>41</v>
      </c>
      <c r="D35" t="s">
        <v>42</v>
      </c>
      <c r="E35">
        <v>1.5</v>
      </c>
      <c r="F35">
        <v>1.63</v>
      </c>
      <c r="G35" s="8">
        <f t="shared" si="0"/>
        <v>55.214723926380373</v>
      </c>
    </row>
    <row r="36" spans="1:7" x14ac:dyDescent="0.25">
      <c r="A36" s="5">
        <v>45807.291666666664</v>
      </c>
      <c r="B36">
        <v>35</v>
      </c>
      <c r="C36" t="s">
        <v>43</v>
      </c>
      <c r="D36" t="s">
        <v>44</v>
      </c>
      <c r="E36">
        <v>1.55</v>
      </c>
      <c r="F36">
        <v>3.1</v>
      </c>
      <c r="G36" s="8">
        <f t="shared" si="0"/>
        <v>30</v>
      </c>
    </row>
    <row r="37" spans="1:7" x14ac:dyDescent="0.25">
      <c r="A37" s="5">
        <v>45807.291666666664</v>
      </c>
      <c r="B37">
        <v>36</v>
      </c>
      <c r="C37" t="s">
        <v>44</v>
      </c>
      <c r="D37" t="s">
        <v>45</v>
      </c>
      <c r="E37">
        <v>1.5</v>
      </c>
      <c r="F37">
        <v>2.62</v>
      </c>
      <c r="G37" s="8">
        <f t="shared" si="0"/>
        <v>34.351145038167935</v>
      </c>
    </row>
    <row r="38" spans="1:7" x14ac:dyDescent="0.25">
      <c r="A38" s="5">
        <v>45807.291666666664</v>
      </c>
      <c r="B38">
        <v>37</v>
      </c>
      <c r="C38" t="s">
        <v>45</v>
      </c>
      <c r="D38" t="s">
        <v>46</v>
      </c>
      <c r="E38">
        <v>1.38</v>
      </c>
      <c r="F38">
        <v>3.17</v>
      </c>
      <c r="G38" s="8">
        <f t="shared" si="0"/>
        <v>26.119873817034701</v>
      </c>
    </row>
    <row r="39" spans="1:7" x14ac:dyDescent="0.25">
      <c r="A39" s="5">
        <v>45807.291666666664</v>
      </c>
      <c r="B39">
        <v>38</v>
      </c>
      <c r="C39" t="s">
        <v>46</v>
      </c>
      <c r="D39" t="s">
        <v>47</v>
      </c>
      <c r="E39">
        <v>1.61</v>
      </c>
      <c r="F39">
        <v>3.37</v>
      </c>
      <c r="G39" s="8">
        <f t="shared" si="0"/>
        <v>28.664688427299705</v>
      </c>
    </row>
    <row r="40" spans="1:7" x14ac:dyDescent="0.25">
      <c r="A40" s="5">
        <v>45807.291666666664</v>
      </c>
      <c r="B40">
        <v>39</v>
      </c>
      <c r="C40" t="s">
        <v>47</v>
      </c>
      <c r="D40" t="s">
        <v>48</v>
      </c>
      <c r="E40">
        <v>1.55</v>
      </c>
      <c r="F40">
        <v>2.95</v>
      </c>
      <c r="G40" s="8">
        <f t="shared" si="0"/>
        <v>31.525423728813557</v>
      </c>
    </row>
    <row r="41" spans="1:7" x14ac:dyDescent="0.25">
      <c r="A41" s="5">
        <v>45807.291666666664</v>
      </c>
      <c r="B41">
        <v>40</v>
      </c>
      <c r="C41" t="s">
        <v>48</v>
      </c>
      <c r="D41" t="s">
        <v>49</v>
      </c>
      <c r="E41">
        <v>1.39</v>
      </c>
      <c r="F41">
        <v>2.68</v>
      </c>
      <c r="G41" s="8">
        <f t="shared" si="0"/>
        <v>31.119402985074622</v>
      </c>
    </row>
    <row r="42" spans="1:7" x14ac:dyDescent="0.25">
      <c r="A42" s="5">
        <v>45807.291666666664</v>
      </c>
      <c r="B42">
        <v>41</v>
      </c>
      <c r="C42" t="s">
        <v>50</v>
      </c>
      <c r="D42" t="s">
        <v>51</v>
      </c>
      <c r="E42">
        <v>1.56</v>
      </c>
      <c r="F42">
        <v>3.07</v>
      </c>
      <c r="G42" s="8">
        <f t="shared" si="0"/>
        <v>30.488599348534205</v>
      </c>
    </row>
    <row r="43" spans="1:7" x14ac:dyDescent="0.25">
      <c r="A43" s="5">
        <v>45807.291666666664</v>
      </c>
      <c r="B43">
        <v>42</v>
      </c>
      <c r="C43" t="s">
        <v>51</v>
      </c>
      <c r="D43" t="s">
        <v>52</v>
      </c>
      <c r="E43">
        <v>1.56</v>
      </c>
      <c r="F43">
        <v>3.15</v>
      </c>
      <c r="G43" s="8">
        <f t="shared" si="0"/>
        <v>29.714285714285719</v>
      </c>
    </row>
    <row r="44" spans="1:7" x14ac:dyDescent="0.25">
      <c r="A44" s="5">
        <v>45807.291666666664</v>
      </c>
      <c r="B44">
        <v>43</v>
      </c>
      <c r="C44" t="s">
        <v>52</v>
      </c>
      <c r="D44" t="s">
        <v>53</v>
      </c>
      <c r="E44">
        <v>1.51</v>
      </c>
      <c r="F44">
        <v>2.87</v>
      </c>
      <c r="G44" s="8">
        <f t="shared" si="0"/>
        <v>31.567944250871076</v>
      </c>
    </row>
    <row r="45" spans="1:7" x14ac:dyDescent="0.25">
      <c r="A45" s="5">
        <v>45807.291666666664</v>
      </c>
      <c r="B45">
        <v>44</v>
      </c>
      <c r="C45" t="s">
        <v>54</v>
      </c>
      <c r="D45" t="s">
        <v>55</v>
      </c>
      <c r="E45">
        <v>1.51</v>
      </c>
      <c r="F45">
        <v>3.77</v>
      </c>
      <c r="G45" s="8">
        <f t="shared" si="0"/>
        <v>24.031830238726791</v>
      </c>
    </row>
    <row r="46" spans="1:7" x14ac:dyDescent="0.25">
      <c r="A46" s="5">
        <v>45807.291666666664</v>
      </c>
      <c r="B46">
        <v>45</v>
      </c>
      <c r="C46" t="s">
        <v>55</v>
      </c>
      <c r="D46" t="s">
        <v>56</v>
      </c>
      <c r="E46">
        <v>1.49</v>
      </c>
      <c r="F46">
        <v>2.9</v>
      </c>
      <c r="G46" s="8">
        <f t="shared" si="0"/>
        <v>30.827586206896555</v>
      </c>
    </row>
    <row r="47" spans="1:7" x14ac:dyDescent="0.25">
      <c r="A47" s="5">
        <v>45807.291666666664</v>
      </c>
      <c r="B47">
        <v>46</v>
      </c>
      <c r="C47" t="s">
        <v>56</v>
      </c>
      <c r="D47" t="s">
        <v>57</v>
      </c>
      <c r="E47">
        <v>1.52</v>
      </c>
      <c r="F47">
        <v>3.3</v>
      </c>
      <c r="G47" s="8">
        <f t="shared" si="0"/>
        <v>27.63636363636364</v>
      </c>
    </row>
    <row r="48" spans="1:7" x14ac:dyDescent="0.25">
      <c r="A48" s="5">
        <v>45807.291666666664</v>
      </c>
      <c r="B48">
        <v>47</v>
      </c>
      <c r="C48" t="s">
        <v>58</v>
      </c>
      <c r="D48" t="s">
        <v>59</v>
      </c>
      <c r="E48">
        <v>1.52</v>
      </c>
      <c r="F48">
        <v>3.13</v>
      </c>
      <c r="G48" s="8">
        <f t="shared" si="0"/>
        <v>29.137380191693293</v>
      </c>
    </row>
    <row r="49" spans="1:7" x14ac:dyDescent="0.25">
      <c r="A49" s="5">
        <v>45807.291666666664</v>
      </c>
      <c r="B49">
        <v>48</v>
      </c>
      <c r="C49" t="s">
        <v>59</v>
      </c>
      <c r="D49" t="s">
        <v>60</v>
      </c>
      <c r="E49">
        <v>1.5</v>
      </c>
      <c r="F49">
        <v>3.08</v>
      </c>
      <c r="G49" s="8">
        <f t="shared" si="0"/>
        <v>29.220779220779221</v>
      </c>
    </row>
    <row r="50" spans="1:7" x14ac:dyDescent="0.25">
      <c r="A50" s="5">
        <v>45807.291666666664</v>
      </c>
      <c r="B50">
        <v>49</v>
      </c>
      <c r="C50" t="s">
        <v>60</v>
      </c>
      <c r="D50" t="s">
        <v>61</v>
      </c>
      <c r="E50">
        <v>1.54</v>
      </c>
      <c r="F50">
        <v>3.32</v>
      </c>
      <c r="G50" s="8">
        <f t="shared" si="0"/>
        <v>27.831325301204821</v>
      </c>
    </row>
    <row r="51" spans="1:7" x14ac:dyDescent="0.25">
      <c r="A51" s="5">
        <v>45807.291666666664</v>
      </c>
      <c r="B51">
        <v>50</v>
      </c>
      <c r="C51" t="s">
        <v>62</v>
      </c>
      <c r="D51" t="s">
        <v>63</v>
      </c>
      <c r="E51">
        <v>1.38</v>
      </c>
      <c r="F51">
        <v>2.77</v>
      </c>
      <c r="G51" s="8">
        <f t="shared" si="0"/>
        <v>29.891696750902526</v>
      </c>
    </row>
    <row r="52" spans="1:7" x14ac:dyDescent="0.25">
      <c r="A52" s="5">
        <v>45807.291666666664</v>
      </c>
      <c r="B52">
        <v>51</v>
      </c>
      <c r="C52" t="s">
        <v>63</v>
      </c>
      <c r="D52" t="s">
        <v>64</v>
      </c>
      <c r="E52">
        <v>2.79</v>
      </c>
      <c r="F52">
        <v>4.87</v>
      </c>
      <c r="G52" s="8">
        <f t="shared" si="0"/>
        <v>34.373716632443532</v>
      </c>
    </row>
    <row r="53" spans="1:7" x14ac:dyDescent="0.25">
      <c r="A53" s="5">
        <v>45807.291666666664</v>
      </c>
      <c r="B53">
        <v>52</v>
      </c>
      <c r="C53" t="s">
        <v>64</v>
      </c>
      <c r="D53" t="s">
        <v>65</v>
      </c>
      <c r="E53">
        <v>1.5</v>
      </c>
      <c r="F53">
        <v>2.63</v>
      </c>
      <c r="G53" s="8">
        <f t="shared" si="0"/>
        <v>34.220532319391637</v>
      </c>
    </row>
    <row r="54" spans="1:7" x14ac:dyDescent="0.25">
      <c r="A54" s="5">
        <v>45807.291666666664</v>
      </c>
      <c r="B54">
        <v>53</v>
      </c>
      <c r="C54" t="s">
        <v>65</v>
      </c>
      <c r="D54" t="s">
        <v>66</v>
      </c>
      <c r="E54">
        <v>1.46</v>
      </c>
      <c r="F54">
        <v>3.25</v>
      </c>
      <c r="G54" s="8">
        <f t="shared" si="0"/>
        <v>26.95384615384615</v>
      </c>
    </row>
    <row r="55" spans="1:7" x14ac:dyDescent="0.25">
      <c r="A55" s="5">
        <v>45807.291666666664</v>
      </c>
      <c r="B55">
        <v>54</v>
      </c>
      <c r="C55" t="s">
        <v>67</v>
      </c>
      <c r="D55" t="s">
        <v>68</v>
      </c>
      <c r="E55">
        <v>1.46</v>
      </c>
      <c r="F55">
        <v>2.2200000000000002</v>
      </c>
      <c r="G55" s="8">
        <f t="shared" si="0"/>
        <v>39.459459459459453</v>
      </c>
    </row>
    <row r="56" spans="1:7" x14ac:dyDescent="0.25">
      <c r="A56" s="5">
        <v>45807.291666666664</v>
      </c>
      <c r="B56">
        <v>55</v>
      </c>
      <c r="C56" t="s">
        <v>68</v>
      </c>
      <c r="D56" t="s">
        <v>69</v>
      </c>
      <c r="E56">
        <v>1.5</v>
      </c>
      <c r="F56">
        <v>1.75</v>
      </c>
      <c r="G56" s="8">
        <f t="shared" si="0"/>
        <v>51.428571428571431</v>
      </c>
    </row>
    <row r="57" spans="1:7" x14ac:dyDescent="0.25">
      <c r="A57" s="5">
        <v>45807.291666666664</v>
      </c>
      <c r="B57">
        <v>56</v>
      </c>
      <c r="C57" t="s">
        <v>70</v>
      </c>
      <c r="D57" t="s">
        <v>71</v>
      </c>
      <c r="E57">
        <v>1.51</v>
      </c>
      <c r="F57">
        <v>3.3</v>
      </c>
      <c r="G57" s="8">
        <f t="shared" si="0"/>
        <v>27.454545454545453</v>
      </c>
    </row>
    <row r="58" spans="1:7" x14ac:dyDescent="0.25">
      <c r="A58" s="5">
        <v>45807.291666666664</v>
      </c>
      <c r="B58">
        <v>57</v>
      </c>
      <c r="C58" t="s">
        <v>71</v>
      </c>
      <c r="D58" t="s">
        <v>72</v>
      </c>
      <c r="E58">
        <v>1.52</v>
      </c>
      <c r="F58">
        <v>3.27</v>
      </c>
      <c r="G58" s="8">
        <f t="shared" si="0"/>
        <v>27.889908256880734</v>
      </c>
    </row>
    <row r="59" spans="1:7" x14ac:dyDescent="0.25">
      <c r="A59" s="5">
        <v>45807.291666666664</v>
      </c>
      <c r="B59">
        <v>58</v>
      </c>
      <c r="C59" t="s">
        <v>72</v>
      </c>
      <c r="D59" t="s">
        <v>73</v>
      </c>
      <c r="E59">
        <v>1.5</v>
      </c>
      <c r="F59">
        <v>3.17</v>
      </c>
      <c r="G59" s="8">
        <f t="shared" si="0"/>
        <v>28.391167192429023</v>
      </c>
    </row>
    <row r="60" spans="1:7" x14ac:dyDescent="0.25">
      <c r="A60" s="5">
        <v>45807.302083333336</v>
      </c>
      <c r="B60">
        <v>1</v>
      </c>
      <c r="C60" t="s">
        <v>6</v>
      </c>
      <c r="D60" t="s">
        <v>7</v>
      </c>
      <c r="E60">
        <v>1.53</v>
      </c>
      <c r="F60">
        <v>2.92</v>
      </c>
      <c r="G60" s="8">
        <f t="shared" si="0"/>
        <v>31.43835616438356</v>
      </c>
    </row>
    <row r="61" spans="1:7" x14ac:dyDescent="0.25">
      <c r="A61" s="5">
        <v>45807.302083333336</v>
      </c>
      <c r="B61">
        <v>2</v>
      </c>
      <c r="C61" t="s">
        <v>7</v>
      </c>
      <c r="D61" t="s">
        <v>8</v>
      </c>
      <c r="E61">
        <v>1.57</v>
      </c>
      <c r="F61">
        <v>4.07</v>
      </c>
      <c r="G61" s="8">
        <f t="shared" si="0"/>
        <v>23.144963144963143</v>
      </c>
    </row>
    <row r="62" spans="1:7" x14ac:dyDescent="0.25">
      <c r="A62" s="5">
        <v>45807.302083333336</v>
      </c>
      <c r="B62">
        <v>3</v>
      </c>
      <c r="C62" t="s">
        <v>8</v>
      </c>
      <c r="D62" t="s">
        <v>9</v>
      </c>
      <c r="E62">
        <v>1.5</v>
      </c>
      <c r="F62">
        <v>2.73</v>
      </c>
      <c r="G62" s="8">
        <f t="shared" si="0"/>
        <v>32.967032967032971</v>
      </c>
    </row>
    <row r="63" spans="1:7" x14ac:dyDescent="0.25">
      <c r="A63" s="5">
        <v>45807.302083333336</v>
      </c>
      <c r="B63">
        <v>4</v>
      </c>
      <c r="C63" t="s">
        <v>9</v>
      </c>
      <c r="D63" t="s">
        <v>10</v>
      </c>
      <c r="E63">
        <v>1.5</v>
      </c>
      <c r="F63">
        <v>2.5299999999999998</v>
      </c>
      <c r="G63" s="8">
        <f t="shared" si="0"/>
        <v>35.573122529644273</v>
      </c>
    </row>
    <row r="64" spans="1:7" x14ac:dyDescent="0.25">
      <c r="A64" s="5">
        <v>45807.302083333336</v>
      </c>
      <c r="B64">
        <v>5</v>
      </c>
      <c r="C64" t="s">
        <v>10</v>
      </c>
      <c r="D64" t="s">
        <v>11</v>
      </c>
      <c r="E64">
        <v>1.52</v>
      </c>
      <c r="F64">
        <v>2.72</v>
      </c>
      <c r="G64" s="8">
        <f t="shared" si="0"/>
        <v>33.529411764705884</v>
      </c>
    </row>
    <row r="65" spans="1:7" x14ac:dyDescent="0.25">
      <c r="A65" s="5">
        <v>45807.302083333336</v>
      </c>
      <c r="B65">
        <v>6</v>
      </c>
      <c r="C65" t="s">
        <v>11</v>
      </c>
      <c r="D65" t="s">
        <v>12</v>
      </c>
      <c r="E65">
        <v>1.5</v>
      </c>
      <c r="F65">
        <v>2.38</v>
      </c>
      <c r="G65" s="8">
        <f t="shared" si="0"/>
        <v>37.815126050420169</v>
      </c>
    </row>
    <row r="66" spans="1:7" x14ac:dyDescent="0.25">
      <c r="A66" s="5">
        <v>45807.302083333336</v>
      </c>
      <c r="B66">
        <v>7</v>
      </c>
      <c r="C66" t="s">
        <v>12</v>
      </c>
      <c r="D66" t="s">
        <v>13</v>
      </c>
      <c r="E66">
        <v>1.54</v>
      </c>
      <c r="F66">
        <v>2.4300000000000002</v>
      </c>
      <c r="G66" s="8">
        <f t="shared" si="0"/>
        <v>38.02469135802469</v>
      </c>
    </row>
    <row r="67" spans="1:7" x14ac:dyDescent="0.25">
      <c r="A67" s="5">
        <v>45807.302083333336</v>
      </c>
      <c r="B67">
        <v>8</v>
      </c>
      <c r="C67" t="s">
        <v>13</v>
      </c>
      <c r="D67" t="s">
        <v>14</v>
      </c>
      <c r="E67">
        <v>1.54</v>
      </c>
      <c r="F67">
        <v>2.82</v>
      </c>
      <c r="G67" s="8">
        <f t="shared" ref="G67:G130" si="1">E67*60/F67</f>
        <v>32.765957446808514</v>
      </c>
    </row>
    <row r="68" spans="1:7" x14ac:dyDescent="0.25">
      <c r="A68" s="5">
        <v>45807.302083333336</v>
      </c>
      <c r="B68">
        <v>9</v>
      </c>
      <c r="C68" t="s">
        <v>14</v>
      </c>
      <c r="D68" t="s">
        <v>15</v>
      </c>
      <c r="E68">
        <v>1.52</v>
      </c>
      <c r="F68">
        <v>2.83</v>
      </c>
      <c r="G68" s="8">
        <f t="shared" si="1"/>
        <v>32.226148409893995</v>
      </c>
    </row>
    <row r="69" spans="1:7" x14ac:dyDescent="0.25">
      <c r="A69" s="5">
        <v>45807.302083333336</v>
      </c>
      <c r="B69">
        <v>10</v>
      </c>
      <c r="C69" t="s">
        <v>15</v>
      </c>
      <c r="D69" t="s">
        <v>16</v>
      </c>
      <c r="E69">
        <v>1.5</v>
      </c>
      <c r="F69">
        <v>3.03</v>
      </c>
      <c r="G69" s="8">
        <f t="shared" si="1"/>
        <v>29.702970297029704</v>
      </c>
    </row>
    <row r="70" spans="1:7" x14ac:dyDescent="0.25">
      <c r="A70" s="5">
        <v>45807.302083333336</v>
      </c>
      <c r="B70">
        <v>11</v>
      </c>
      <c r="C70" t="s">
        <v>16</v>
      </c>
      <c r="D70" t="s">
        <v>17</v>
      </c>
      <c r="E70">
        <v>1.48</v>
      </c>
      <c r="F70">
        <v>2.38</v>
      </c>
      <c r="G70" s="8">
        <f t="shared" si="1"/>
        <v>37.310924369747902</v>
      </c>
    </row>
    <row r="71" spans="1:7" x14ac:dyDescent="0.25">
      <c r="A71" s="5">
        <v>45807.302083333336</v>
      </c>
      <c r="B71">
        <v>12</v>
      </c>
      <c r="C71" t="s">
        <v>17</v>
      </c>
      <c r="D71" t="s">
        <v>18</v>
      </c>
      <c r="E71">
        <v>1.46</v>
      </c>
      <c r="F71">
        <v>2.9</v>
      </c>
      <c r="G71" s="8">
        <f t="shared" si="1"/>
        <v>30.206896551724135</v>
      </c>
    </row>
    <row r="72" spans="1:7" x14ac:dyDescent="0.25">
      <c r="A72" s="5">
        <v>45807.302083333336</v>
      </c>
      <c r="B72">
        <v>13</v>
      </c>
      <c r="C72" t="s">
        <v>18</v>
      </c>
      <c r="D72" t="s">
        <v>19</v>
      </c>
      <c r="E72">
        <v>1.52</v>
      </c>
      <c r="F72">
        <v>3.77</v>
      </c>
      <c r="G72" s="8">
        <f t="shared" si="1"/>
        <v>24.190981432360743</v>
      </c>
    </row>
    <row r="73" spans="1:7" x14ac:dyDescent="0.25">
      <c r="A73" s="5">
        <v>45807.302083333336</v>
      </c>
      <c r="B73">
        <v>14</v>
      </c>
      <c r="C73" t="s">
        <v>19</v>
      </c>
      <c r="D73" t="s">
        <v>20</v>
      </c>
      <c r="E73">
        <v>1.51</v>
      </c>
      <c r="F73">
        <v>3</v>
      </c>
      <c r="G73" s="8">
        <f t="shared" si="1"/>
        <v>30.2</v>
      </c>
    </row>
    <row r="74" spans="1:7" x14ac:dyDescent="0.25">
      <c r="A74" s="5">
        <v>45807.302083333336</v>
      </c>
      <c r="B74">
        <v>15</v>
      </c>
      <c r="C74" t="s">
        <v>20</v>
      </c>
      <c r="D74" t="s">
        <v>21</v>
      </c>
      <c r="E74">
        <v>1.47</v>
      </c>
      <c r="F74">
        <v>2.23</v>
      </c>
      <c r="G74" s="8">
        <f t="shared" si="1"/>
        <v>39.551569506726459</v>
      </c>
    </row>
    <row r="75" spans="1:7" x14ac:dyDescent="0.25">
      <c r="A75" s="5">
        <v>45807.302083333336</v>
      </c>
      <c r="B75">
        <v>16</v>
      </c>
      <c r="C75" t="s">
        <v>21</v>
      </c>
      <c r="D75" t="s">
        <v>22</v>
      </c>
      <c r="E75">
        <v>1.5</v>
      </c>
      <c r="F75">
        <v>1.73</v>
      </c>
      <c r="G75" s="8">
        <f t="shared" si="1"/>
        <v>52.02312138728324</v>
      </c>
    </row>
    <row r="76" spans="1:7" x14ac:dyDescent="0.25">
      <c r="A76" s="5">
        <v>45807.302083333336</v>
      </c>
      <c r="B76">
        <v>17</v>
      </c>
      <c r="C76" t="s">
        <v>22</v>
      </c>
      <c r="D76" t="s">
        <v>23</v>
      </c>
      <c r="E76">
        <v>1.51</v>
      </c>
      <c r="F76">
        <v>2.4500000000000002</v>
      </c>
      <c r="G76" s="8">
        <f t="shared" si="1"/>
        <v>36.979591836734691</v>
      </c>
    </row>
    <row r="77" spans="1:7" x14ac:dyDescent="0.25">
      <c r="A77" s="5">
        <v>45807.302083333336</v>
      </c>
      <c r="B77">
        <v>18</v>
      </c>
      <c r="C77" t="s">
        <v>23</v>
      </c>
      <c r="D77" t="s">
        <v>24</v>
      </c>
      <c r="E77">
        <v>1.51</v>
      </c>
      <c r="F77">
        <v>2.63</v>
      </c>
      <c r="G77" s="8">
        <f t="shared" si="1"/>
        <v>34.448669201520914</v>
      </c>
    </row>
    <row r="78" spans="1:7" x14ac:dyDescent="0.25">
      <c r="A78" s="5">
        <v>45807.302083333336</v>
      </c>
      <c r="B78">
        <v>19</v>
      </c>
      <c r="C78" t="s">
        <v>25</v>
      </c>
      <c r="D78" t="s">
        <v>26</v>
      </c>
      <c r="E78">
        <v>1.5</v>
      </c>
      <c r="F78">
        <v>3.12</v>
      </c>
      <c r="G78" s="8">
        <f t="shared" si="1"/>
        <v>28.846153846153847</v>
      </c>
    </row>
    <row r="79" spans="1:7" x14ac:dyDescent="0.25">
      <c r="A79" s="5">
        <v>45807.302083333336</v>
      </c>
      <c r="B79">
        <v>20</v>
      </c>
      <c r="C79" t="s">
        <v>26</v>
      </c>
      <c r="D79" t="s">
        <v>27</v>
      </c>
      <c r="E79">
        <v>1.48</v>
      </c>
      <c r="F79">
        <v>3.03</v>
      </c>
      <c r="G79" s="8">
        <f t="shared" si="1"/>
        <v>29.306930693069308</v>
      </c>
    </row>
    <row r="80" spans="1:7" x14ac:dyDescent="0.25">
      <c r="A80" s="5">
        <v>45807.302083333336</v>
      </c>
      <c r="B80">
        <v>21</v>
      </c>
      <c r="C80" t="s">
        <v>27</v>
      </c>
      <c r="D80" t="s">
        <v>28</v>
      </c>
      <c r="E80">
        <v>1.51</v>
      </c>
      <c r="F80">
        <v>2.68</v>
      </c>
      <c r="G80" s="8">
        <f t="shared" si="1"/>
        <v>33.805970149253724</v>
      </c>
    </row>
    <row r="81" spans="1:7" x14ac:dyDescent="0.25">
      <c r="A81" s="5">
        <v>45807.302083333336</v>
      </c>
      <c r="B81">
        <v>22</v>
      </c>
      <c r="C81" t="s">
        <v>28</v>
      </c>
      <c r="D81" t="s">
        <v>29</v>
      </c>
      <c r="E81">
        <v>1.57</v>
      </c>
      <c r="F81">
        <v>3.22</v>
      </c>
      <c r="G81" s="8">
        <f t="shared" si="1"/>
        <v>29.254658385093165</v>
      </c>
    </row>
    <row r="82" spans="1:7" x14ac:dyDescent="0.25">
      <c r="A82" s="5">
        <v>45807.302083333336</v>
      </c>
      <c r="B82">
        <v>23</v>
      </c>
      <c r="C82" t="s">
        <v>29</v>
      </c>
      <c r="D82" t="s">
        <v>30</v>
      </c>
      <c r="E82">
        <v>1.43</v>
      </c>
      <c r="F82">
        <v>3.08</v>
      </c>
      <c r="G82" s="8">
        <f t="shared" si="1"/>
        <v>27.857142857142854</v>
      </c>
    </row>
    <row r="83" spans="1:7" x14ac:dyDescent="0.25">
      <c r="A83" s="5">
        <v>45807.302083333336</v>
      </c>
      <c r="B83">
        <v>24</v>
      </c>
      <c r="C83" t="s">
        <v>30</v>
      </c>
      <c r="D83" t="s">
        <v>31</v>
      </c>
      <c r="E83">
        <v>1.52</v>
      </c>
      <c r="F83">
        <v>3.32</v>
      </c>
      <c r="G83" s="8">
        <f t="shared" si="1"/>
        <v>27.46987951807229</v>
      </c>
    </row>
    <row r="84" spans="1:7" x14ac:dyDescent="0.25">
      <c r="A84" s="5">
        <v>45807.302083333336</v>
      </c>
      <c r="B84">
        <v>25</v>
      </c>
      <c r="C84" t="s">
        <v>31</v>
      </c>
      <c r="D84" t="s">
        <v>32</v>
      </c>
      <c r="E84">
        <v>1.52</v>
      </c>
      <c r="F84">
        <v>3.07</v>
      </c>
      <c r="G84" s="8">
        <f t="shared" si="1"/>
        <v>29.706840390879481</v>
      </c>
    </row>
    <row r="85" spans="1:7" x14ac:dyDescent="0.25">
      <c r="A85" s="5">
        <v>45807.302083333336</v>
      </c>
      <c r="B85">
        <v>26</v>
      </c>
      <c r="C85" t="s">
        <v>32</v>
      </c>
      <c r="D85" t="s">
        <v>33</v>
      </c>
      <c r="E85">
        <v>1.49</v>
      </c>
      <c r="F85">
        <v>3.03</v>
      </c>
      <c r="G85" s="8">
        <f t="shared" si="1"/>
        <v>29.50495049504951</v>
      </c>
    </row>
    <row r="86" spans="1:7" x14ac:dyDescent="0.25">
      <c r="A86" s="5">
        <v>45807.302083333336</v>
      </c>
      <c r="B86">
        <v>27</v>
      </c>
      <c r="C86" t="s">
        <v>33</v>
      </c>
      <c r="D86" t="s">
        <v>34</v>
      </c>
      <c r="E86">
        <v>1.53</v>
      </c>
      <c r="F86">
        <v>2.98</v>
      </c>
      <c r="G86" s="8">
        <f t="shared" si="1"/>
        <v>30.805369127516776</v>
      </c>
    </row>
    <row r="87" spans="1:7" x14ac:dyDescent="0.25">
      <c r="A87" s="5">
        <v>45807.302083333336</v>
      </c>
      <c r="B87">
        <v>28</v>
      </c>
      <c r="C87" t="s">
        <v>34</v>
      </c>
      <c r="D87" t="s">
        <v>35</v>
      </c>
      <c r="E87">
        <v>1.51</v>
      </c>
      <c r="F87">
        <v>3.5</v>
      </c>
      <c r="G87" s="8">
        <f t="shared" si="1"/>
        <v>25.885714285714283</v>
      </c>
    </row>
    <row r="88" spans="1:7" x14ac:dyDescent="0.25">
      <c r="A88" s="5">
        <v>45807.302083333336</v>
      </c>
      <c r="B88">
        <v>29</v>
      </c>
      <c r="C88" t="s">
        <v>36</v>
      </c>
      <c r="D88" t="s">
        <v>37</v>
      </c>
      <c r="E88">
        <v>1.57</v>
      </c>
      <c r="F88">
        <v>3.33</v>
      </c>
      <c r="G88" s="8">
        <f t="shared" si="1"/>
        <v>28.288288288288289</v>
      </c>
    </row>
    <row r="89" spans="1:7" x14ac:dyDescent="0.25">
      <c r="A89" s="5">
        <v>45807.302083333336</v>
      </c>
      <c r="B89">
        <v>30</v>
      </c>
      <c r="C89" t="s">
        <v>37</v>
      </c>
      <c r="D89" t="s">
        <v>38</v>
      </c>
      <c r="E89">
        <v>1.57</v>
      </c>
      <c r="F89">
        <v>3.93</v>
      </c>
      <c r="G89" s="8">
        <f t="shared" si="1"/>
        <v>23.96946564885496</v>
      </c>
    </row>
    <row r="90" spans="1:7" x14ac:dyDescent="0.25">
      <c r="A90" s="5">
        <v>45807.302083333336</v>
      </c>
      <c r="B90">
        <v>31</v>
      </c>
      <c r="C90" t="s">
        <v>38</v>
      </c>
      <c r="D90" t="s">
        <v>39</v>
      </c>
      <c r="E90">
        <v>1.52</v>
      </c>
      <c r="F90">
        <v>2.5499999999999998</v>
      </c>
      <c r="G90" s="8">
        <f t="shared" si="1"/>
        <v>35.764705882352942</v>
      </c>
    </row>
    <row r="91" spans="1:7" x14ac:dyDescent="0.25">
      <c r="A91" s="5">
        <v>45807.302083333336</v>
      </c>
      <c r="B91">
        <v>32</v>
      </c>
      <c r="C91" t="s">
        <v>39</v>
      </c>
      <c r="D91" t="s">
        <v>40</v>
      </c>
      <c r="E91">
        <v>1.5</v>
      </c>
      <c r="F91">
        <v>1.6</v>
      </c>
      <c r="G91" s="8">
        <f t="shared" si="1"/>
        <v>56.25</v>
      </c>
    </row>
    <row r="92" spans="1:7" x14ac:dyDescent="0.25">
      <c r="A92" s="5">
        <v>45807.302083333336</v>
      </c>
      <c r="B92">
        <v>33</v>
      </c>
      <c r="C92" t="s">
        <v>40</v>
      </c>
      <c r="D92" t="s">
        <v>41</v>
      </c>
      <c r="E92">
        <v>1.51</v>
      </c>
      <c r="F92">
        <v>1.62</v>
      </c>
      <c r="G92" s="8">
        <f t="shared" si="1"/>
        <v>55.925925925925917</v>
      </c>
    </row>
    <row r="93" spans="1:7" x14ac:dyDescent="0.25">
      <c r="A93" s="5">
        <v>45807.302083333336</v>
      </c>
      <c r="B93">
        <v>34</v>
      </c>
      <c r="C93" t="s">
        <v>41</v>
      </c>
      <c r="D93" t="s">
        <v>42</v>
      </c>
      <c r="E93">
        <v>1.5</v>
      </c>
      <c r="F93">
        <v>1.65</v>
      </c>
      <c r="G93" s="8">
        <f t="shared" si="1"/>
        <v>54.545454545454547</v>
      </c>
    </row>
    <row r="94" spans="1:7" x14ac:dyDescent="0.25">
      <c r="A94" s="5">
        <v>45807.302083333336</v>
      </c>
      <c r="B94">
        <v>35</v>
      </c>
      <c r="C94" t="s">
        <v>43</v>
      </c>
      <c r="D94" t="s">
        <v>44</v>
      </c>
      <c r="E94">
        <v>1.55</v>
      </c>
      <c r="F94">
        <v>3.42</v>
      </c>
      <c r="G94" s="8">
        <f t="shared" si="1"/>
        <v>27.192982456140353</v>
      </c>
    </row>
    <row r="95" spans="1:7" x14ac:dyDescent="0.25">
      <c r="A95" s="5">
        <v>45807.302083333336</v>
      </c>
      <c r="B95">
        <v>36</v>
      </c>
      <c r="C95" t="s">
        <v>44</v>
      </c>
      <c r="D95" t="s">
        <v>45</v>
      </c>
      <c r="E95">
        <v>1.5</v>
      </c>
      <c r="F95">
        <v>2.65</v>
      </c>
      <c r="G95" s="8">
        <f t="shared" si="1"/>
        <v>33.962264150943398</v>
      </c>
    </row>
    <row r="96" spans="1:7" x14ac:dyDescent="0.25">
      <c r="A96" s="5">
        <v>45807.302083333336</v>
      </c>
      <c r="B96">
        <v>37</v>
      </c>
      <c r="C96" t="s">
        <v>45</v>
      </c>
      <c r="D96" t="s">
        <v>46</v>
      </c>
      <c r="E96">
        <v>1.38</v>
      </c>
      <c r="F96">
        <v>3.37</v>
      </c>
      <c r="G96" s="8">
        <f t="shared" si="1"/>
        <v>24.569732937685458</v>
      </c>
    </row>
    <row r="97" spans="1:7" x14ac:dyDescent="0.25">
      <c r="A97" s="5">
        <v>45807.302083333336</v>
      </c>
      <c r="B97">
        <v>38</v>
      </c>
      <c r="C97" t="s">
        <v>46</v>
      </c>
      <c r="D97" t="s">
        <v>47</v>
      </c>
      <c r="E97">
        <v>1.61</v>
      </c>
      <c r="F97">
        <v>3.33</v>
      </c>
      <c r="G97" s="8">
        <f t="shared" si="1"/>
        <v>29.009009009009009</v>
      </c>
    </row>
    <row r="98" spans="1:7" x14ac:dyDescent="0.25">
      <c r="A98" s="5">
        <v>45807.302083333336</v>
      </c>
      <c r="B98">
        <v>39</v>
      </c>
      <c r="C98" t="s">
        <v>47</v>
      </c>
      <c r="D98" t="s">
        <v>48</v>
      </c>
      <c r="E98">
        <v>1.55</v>
      </c>
      <c r="F98">
        <v>3.02</v>
      </c>
      <c r="G98" s="8">
        <f t="shared" si="1"/>
        <v>30.794701986754966</v>
      </c>
    </row>
    <row r="99" spans="1:7" x14ac:dyDescent="0.25">
      <c r="A99" s="5">
        <v>45807.302083333336</v>
      </c>
      <c r="B99">
        <v>40</v>
      </c>
      <c r="C99" t="s">
        <v>48</v>
      </c>
      <c r="D99" t="s">
        <v>49</v>
      </c>
      <c r="E99">
        <v>1.39</v>
      </c>
      <c r="F99">
        <v>2.62</v>
      </c>
      <c r="G99" s="8">
        <f t="shared" si="1"/>
        <v>31.832061068702284</v>
      </c>
    </row>
    <row r="100" spans="1:7" x14ac:dyDescent="0.25">
      <c r="A100" s="5">
        <v>45807.302083333336</v>
      </c>
      <c r="B100">
        <v>41</v>
      </c>
      <c r="C100" t="s">
        <v>50</v>
      </c>
      <c r="D100" t="s">
        <v>51</v>
      </c>
      <c r="E100">
        <v>1.56</v>
      </c>
      <c r="F100">
        <v>3.28</v>
      </c>
      <c r="G100" s="8">
        <f t="shared" si="1"/>
        <v>28.536585365853664</v>
      </c>
    </row>
    <row r="101" spans="1:7" x14ac:dyDescent="0.25">
      <c r="A101" s="5">
        <v>45807.302083333336</v>
      </c>
      <c r="B101">
        <v>42</v>
      </c>
      <c r="C101" t="s">
        <v>51</v>
      </c>
      <c r="D101" t="s">
        <v>52</v>
      </c>
      <c r="E101">
        <v>1.56</v>
      </c>
      <c r="F101">
        <v>3.18</v>
      </c>
      <c r="G101" s="8">
        <f t="shared" si="1"/>
        <v>29.433962264150946</v>
      </c>
    </row>
    <row r="102" spans="1:7" x14ac:dyDescent="0.25">
      <c r="A102" s="5">
        <v>45807.302083333336</v>
      </c>
      <c r="B102">
        <v>43</v>
      </c>
      <c r="C102" t="s">
        <v>52</v>
      </c>
      <c r="D102" t="s">
        <v>53</v>
      </c>
      <c r="E102">
        <v>1.51</v>
      </c>
      <c r="F102">
        <v>3.07</v>
      </c>
      <c r="G102" s="8">
        <f t="shared" si="1"/>
        <v>29.511400651465799</v>
      </c>
    </row>
    <row r="103" spans="1:7" x14ac:dyDescent="0.25">
      <c r="A103" s="5">
        <v>45807.302083333336</v>
      </c>
      <c r="B103">
        <v>44</v>
      </c>
      <c r="C103" t="s">
        <v>54</v>
      </c>
      <c r="D103" t="s">
        <v>55</v>
      </c>
      <c r="E103">
        <v>1.51</v>
      </c>
      <c r="F103">
        <v>3.83</v>
      </c>
      <c r="G103" s="8">
        <f t="shared" si="1"/>
        <v>23.655352480417754</v>
      </c>
    </row>
    <row r="104" spans="1:7" x14ac:dyDescent="0.25">
      <c r="A104" s="5">
        <v>45807.302083333336</v>
      </c>
      <c r="B104">
        <v>45</v>
      </c>
      <c r="C104" t="s">
        <v>55</v>
      </c>
      <c r="D104" t="s">
        <v>56</v>
      </c>
      <c r="E104">
        <v>1.49</v>
      </c>
      <c r="F104">
        <v>3</v>
      </c>
      <c r="G104" s="8">
        <f t="shared" si="1"/>
        <v>29.8</v>
      </c>
    </row>
    <row r="105" spans="1:7" x14ac:dyDescent="0.25">
      <c r="A105" s="5">
        <v>45807.302083333336</v>
      </c>
      <c r="B105">
        <v>46</v>
      </c>
      <c r="C105" t="s">
        <v>56</v>
      </c>
      <c r="D105" t="s">
        <v>57</v>
      </c>
      <c r="E105">
        <v>1.52</v>
      </c>
      <c r="F105">
        <v>3.62</v>
      </c>
      <c r="G105" s="8">
        <f t="shared" si="1"/>
        <v>25.193370165745858</v>
      </c>
    </row>
    <row r="106" spans="1:7" x14ac:dyDescent="0.25">
      <c r="A106" s="5">
        <v>45807.302083333336</v>
      </c>
      <c r="B106">
        <v>47</v>
      </c>
      <c r="C106" t="s">
        <v>58</v>
      </c>
      <c r="D106" t="s">
        <v>59</v>
      </c>
      <c r="E106">
        <v>1.52</v>
      </c>
      <c r="F106">
        <v>3.25</v>
      </c>
      <c r="G106" s="8">
        <f t="shared" si="1"/>
        <v>28.061538461538461</v>
      </c>
    </row>
    <row r="107" spans="1:7" x14ac:dyDescent="0.25">
      <c r="A107" s="5">
        <v>45807.302083333336</v>
      </c>
      <c r="B107">
        <v>48</v>
      </c>
      <c r="C107" t="s">
        <v>59</v>
      </c>
      <c r="D107" t="s">
        <v>60</v>
      </c>
      <c r="E107">
        <v>1.5</v>
      </c>
      <c r="F107">
        <v>3.25</v>
      </c>
      <c r="G107" s="8">
        <f t="shared" si="1"/>
        <v>27.692307692307693</v>
      </c>
    </row>
    <row r="108" spans="1:7" x14ac:dyDescent="0.25">
      <c r="A108" s="5">
        <v>45807.302083333336</v>
      </c>
      <c r="B108">
        <v>49</v>
      </c>
      <c r="C108" t="s">
        <v>60</v>
      </c>
      <c r="D108" t="s">
        <v>61</v>
      </c>
      <c r="E108">
        <v>1.54</v>
      </c>
      <c r="F108">
        <v>3.35</v>
      </c>
      <c r="G108" s="8">
        <f t="shared" si="1"/>
        <v>27.582089552238806</v>
      </c>
    </row>
    <row r="109" spans="1:7" x14ac:dyDescent="0.25">
      <c r="A109" s="5">
        <v>45807.302083333336</v>
      </c>
      <c r="B109">
        <v>50</v>
      </c>
      <c r="C109" t="s">
        <v>62</v>
      </c>
      <c r="D109" t="s">
        <v>63</v>
      </c>
      <c r="E109">
        <v>1.38</v>
      </c>
      <c r="F109">
        <v>2.85</v>
      </c>
      <c r="G109" s="8">
        <f t="shared" si="1"/>
        <v>29.052631578947366</v>
      </c>
    </row>
    <row r="110" spans="1:7" x14ac:dyDescent="0.25">
      <c r="A110" s="5">
        <v>45807.302083333336</v>
      </c>
      <c r="B110">
        <v>51</v>
      </c>
      <c r="C110" t="s">
        <v>63</v>
      </c>
      <c r="D110" t="s">
        <v>64</v>
      </c>
      <c r="E110">
        <v>2.79</v>
      </c>
      <c r="F110">
        <v>5</v>
      </c>
      <c r="G110" s="8">
        <f t="shared" si="1"/>
        <v>33.480000000000004</v>
      </c>
    </row>
    <row r="111" spans="1:7" x14ac:dyDescent="0.25">
      <c r="A111" s="5">
        <v>45807.302083333336</v>
      </c>
      <c r="B111">
        <v>52</v>
      </c>
      <c r="C111" t="s">
        <v>64</v>
      </c>
      <c r="D111" t="s">
        <v>65</v>
      </c>
      <c r="E111">
        <v>1.5</v>
      </c>
      <c r="F111">
        <v>2.62</v>
      </c>
      <c r="G111" s="8">
        <f t="shared" si="1"/>
        <v>34.351145038167935</v>
      </c>
    </row>
    <row r="112" spans="1:7" x14ac:dyDescent="0.25">
      <c r="A112" s="5">
        <v>45807.302083333336</v>
      </c>
      <c r="B112">
        <v>53</v>
      </c>
      <c r="C112" t="s">
        <v>65</v>
      </c>
      <c r="D112" t="s">
        <v>66</v>
      </c>
      <c r="E112">
        <v>1.46</v>
      </c>
      <c r="F112">
        <v>3.38</v>
      </c>
      <c r="G112" s="8">
        <f t="shared" si="1"/>
        <v>25.917159763313609</v>
      </c>
    </row>
    <row r="113" spans="1:7" x14ac:dyDescent="0.25">
      <c r="A113" s="5">
        <v>45807.302083333336</v>
      </c>
      <c r="B113">
        <v>54</v>
      </c>
      <c r="C113" t="s">
        <v>67</v>
      </c>
      <c r="D113" t="s">
        <v>68</v>
      </c>
      <c r="E113">
        <v>1.46</v>
      </c>
      <c r="F113">
        <v>2.33</v>
      </c>
      <c r="G113" s="8">
        <f t="shared" si="1"/>
        <v>37.596566523605148</v>
      </c>
    </row>
    <row r="114" spans="1:7" x14ac:dyDescent="0.25">
      <c r="A114" s="5">
        <v>45807.302083333336</v>
      </c>
      <c r="B114">
        <v>55</v>
      </c>
      <c r="C114" t="s">
        <v>68</v>
      </c>
      <c r="D114" t="s">
        <v>69</v>
      </c>
      <c r="E114">
        <v>1.5</v>
      </c>
      <c r="F114">
        <v>1.9</v>
      </c>
      <c r="G114" s="8">
        <f t="shared" si="1"/>
        <v>47.368421052631582</v>
      </c>
    </row>
    <row r="115" spans="1:7" x14ac:dyDescent="0.25">
      <c r="A115" s="5">
        <v>45807.302083333336</v>
      </c>
      <c r="B115">
        <v>56</v>
      </c>
      <c r="C115" t="s">
        <v>70</v>
      </c>
      <c r="D115" t="s">
        <v>71</v>
      </c>
      <c r="E115">
        <v>1.51</v>
      </c>
      <c r="F115">
        <v>4.03</v>
      </c>
      <c r="G115" s="8">
        <f t="shared" si="1"/>
        <v>22.481389578163768</v>
      </c>
    </row>
    <row r="116" spans="1:7" x14ac:dyDescent="0.25">
      <c r="A116" s="5">
        <v>45807.302083333336</v>
      </c>
      <c r="B116">
        <v>57</v>
      </c>
      <c r="C116" t="s">
        <v>71</v>
      </c>
      <c r="D116" t="s">
        <v>72</v>
      </c>
      <c r="E116">
        <v>1.52</v>
      </c>
      <c r="F116">
        <v>3.37</v>
      </c>
      <c r="G116" s="8">
        <f t="shared" si="1"/>
        <v>27.062314540059347</v>
      </c>
    </row>
    <row r="117" spans="1:7" x14ac:dyDescent="0.25">
      <c r="A117" s="5">
        <v>45807.302083333336</v>
      </c>
      <c r="B117">
        <v>58</v>
      </c>
      <c r="C117" t="s">
        <v>72</v>
      </c>
      <c r="D117" t="s">
        <v>73</v>
      </c>
      <c r="E117">
        <v>1.5</v>
      </c>
      <c r="F117">
        <v>3.25</v>
      </c>
      <c r="G117" s="8">
        <f t="shared" si="1"/>
        <v>27.692307692307693</v>
      </c>
    </row>
    <row r="118" spans="1:7" x14ac:dyDescent="0.25">
      <c r="A118" s="5">
        <v>45807.3125</v>
      </c>
      <c r="B118">
        <v>1</v>
      </c>
      <c r="C118" t="s">
        <v>6</v>
      </c>
      <c r="D118" t="s">
        <v>7</v>
      </c>
      <c r="E118">
        <v>1.53</v>
      </c>
      <c r="F118">
        <v>3</v>
      </c>
      <c r="G118" s="8">
        <f t="shared" si="1"/>
        <v>30.599999999999998</v>
      </c>
    </row>
    <row r="119" spans="1:7" x14ac:dyDescent="0.25">
      <c r="A119" s="5">
        <v>45807.3125</v>
      </c>
      <c r="B119">
        <v>2</v>
      </c>
      <c r="C119" t="s">
        <v>7</v>
      </c>
      <c r="D119" t="s">
        <v>8</v>
      </c>
      <c r="E119">
        <v>1.57</v>
      </c>
      <c r="F119">
        <v>4.32</v>
      </c>
      <c r="G119" s="8">
        <f t="shared" si="1"/>
        <v>21.805555555555554</v>
      </c>
    </row>
    <row r="120" spans="1:7" x14ac:dyDescent="0.25">
      <c r="A120" s="5">
        <v>45807.3125</v>
      </c>
      <c r="B120">
        <v>3</v>
      </c>
      <c r="C120" t="s">
        <v>8</v>
      </c>
      <c r="D120" t="s">
        <v>9</v>
      </c>
      <c r="E120">
        <v>1.5</v>
      </c>
      <c r="F120">
        <v>2.85</v>
      </c>
      <c r="G120" s="8">
        <f t="shared" si="1"/>
        <v>31.578947368421051</v>
      </c>
    </row>
    <row r="121" spans="1:7" x14ac:dyDescent="0.25">
      <c r="A121" s="5">
        <v>45807.3125</v>
      </c>
      <c r="B121">
        <v>4</v>
      </c>
      <c r="C121" t="s">
        <v>9</v>
      </c>
      <c r="D121" t="s">
        <v>10</v>
      </c>
      <c r="E121">
        <v>1.5</v>
      </c>
      <c r="F121">
        <v>2.63</v>
      </c>
      <c r="G121" s="8">
        <f t="shared" si="1"/>
        <v>34.220532319391637</v>
      </c>
    </row>
    <row r="122" spans="1:7" x14ac:dyDescent="0.25">
      <c r="A122" s="5">
        <v>45807.3125</v>
      </c>
      <c r="B122">
        <v>5</v>
      </c>
      <c r="C122" t="s">
        <v>10</v>
      </c>
      <c r="D122" t="s">
        <v>11</v>
      </c>
      <c r="E122">
        <v>1.52</v>
      </c>
      <c r="F122">
        <v>2.77</v>
      </c>
      <c r="G122" s="8">
        <f t="shared" si="1"/>
        <v>32.924187725631768</v>
      </c>
    </row>
    <row r="123" spans="1:7" x14ac:dyDescent="0.25">
      <c r="A123" s="5">
        <v>45807.3125</v>
      </c>
      <c r="B123">
        <v>6</v>
      </c>
      <c r="C123" t="s">
        <v>11</v>
      </c>
      <c r="D123" t="s">
        <v>12</v>
      </c>
      <c r="E123">
        <v>1.5</v>
      </c>
      <c r="F123">
        <v>2.52</v>
      </c>
      <c r="G123" s="8">
        <f t="shared" si="1"/>
        <v>35.714285714285715</v>
      </c>
    </row>
    <row r="124" spans="1:7" x14ac:dyDescent="0.25">
      <c r="A124" s="5">
        <v>45807.3125</v>
      </c>
      <c r="B124">
        <v>7</v>
      </c>
      <c r="C124" t="s">
        <v>12</v>
      </c>
      <c r="D124" t="s">
        <v>13</v>
      </c>
      <c r="E124">
        <v>1.54</v>
      </c>
      <c r="F124">
        <v>2.57</v>
      </c>
      <c r="G124" s="8">
        <f t="shared" si="1"/>
        <v>35.953307392996116</v>
      </c>
    </row>
    <row r="125" spans="1:7" x14ac:dyDescent="0.25">
      <c r="A125" s="5">
        <v>45807.3125</v>
      </c>
      <c r="B125">
        <v>8</v>
      </c>
      <c r="C125" t="s">
        <v>13</v>
      </c>
      <c r="D125" t="s">
        <v>14</v>
      </c>
      <c r="E125">
        <v>1.54</v>
      </c>
      <c r="F125">
        <v>3.02</v>
      </c>
      <c r="G125" s="8">
        <f t="shared" si="1"/>
        <v>30.596026490066226</v>
      </c>
    </row>
    <row r="126" spans="1:7" x14ac:dyDescent="0.25">
      <c r="A126" s="5">
        <v>45807.3125</v>
      </c>
      <c r="B126">
        <v>9</v>
      </c>
      <c r="C126" t="s">
        <v>14</v>
      </c>
      <c r="D126" t="s">
        <v>15</v>
      </c>
      <c r="E126">
        <v>1.52</v>
      </c>
      <c r="F126">
        <v>2.95</v>
      </c>
      <c r="G126" s="8">
        <f t="shared" si="1"/>
        <v>30.915254237288135</v>
      </c>
    </row>
    <row r="127" spans="1:7" x14ac:dyDescent="0.25">
      <c r="A127" s="5">
        <v>45807.3125</v>
      </c>
      <c r="B127">
        <v>10</v>
      </c>
      <c r="C127" t="s">
        <v>15</v>
      </c>
      <c r="D127" t="s">
        <v>16</v>
      </c>
      <c r="E127">
        <v>1.5</v>
      </c>
      <c r="F127">
        <v>3.12</v>
      </c>
      <c r="G127" s="8">
        <f t="shared" si="1"/>
        <v>28.846153846153847</v>
      </c>
    </row>
    <row r="128" spans="1:7" x14ac:dyDescent="0.25">
      <c r="A128" s="5">
        <v>45807.3125</v>
      </c>
      <c r="B128">
        <v>11</v>
      </c>
      <c r="C128" t="s">
        <v>16</v>
      </c>
      <c r="D128" t="s">
        <v>17</v>
      </c>
      <c r="E128">
        <v>1.48</v>
      </c>
      <c r="F128">
        <v>2.33</v>
      </c>
      <c r="G128" s="8">
        <f t="shared" si="1"/>
        <v>38.111587982832617</v>
      </c>
    </row>
    <row r="129" spans="1:7" x14ac:dyDescent="0.25">
      <c r="A129" s="5">
        <v>45807.3125</v>
      </c>
      <c r="B129">
        <v>12</v>
      </c>
      <c r="C129" t="s">
        <v>17</v>
      </c>
      <c r="D129" t="s">
        <v>18</v>
      </c>
      <c r="E129">
        <v>1.46</v>
      </c>
      <c r="F129">
        <v>2.97</v>
      </c>
      <c r="G129" s="8">
        <f t="shared" si="1"/>
        <v>29.494949494949491</v>
      </c>
    </row>
    <row r="130" spans="1:7" x14ac:dyDescent="0.25">
      <c r="A130" s="5">
        <v>45807.3125</v>
      </c>
      <c r="B130">
        <v>13</v>
      </c>
      <c r="C130" t="s">
        <v>18</v>
      </c>
      <c r="D130" t="s">
        <v>19</v>
      </c>
      <c r="E130">
        <v>1.52</v>
      </c>
      <c r="F130">
        <v>3.73</v>
      </c>
      <c r="G130" s="8">
        <f t="shared" si="1"/>
        <v>24.45040214477212</v>
      </c>
    </row>
    <row r="131" spans="1:7" x14ac:dyDescent="0.25">
      <c r="A131" s="5">
        <v>45807.3125</v>
      </c>
      <c r="B131">
        <v>14</v>
      </c>
      <c r="C131" t="s">
        <v>19</v>
      </c>
      <c r="D131" t="s">
        <v>20</v>
      </c>
      <c r="E131">
        <v>1.51</v>
      </c>
      <c r="F131">
        <v>3.12</v>
      </c>
      <c r="G131" s="8">
        <f t="shared" ref="G131:G194" si="2">E131*60/F131</f>
        <v>29.038461538461537</v>
      </c>
    </row>
    <row r="132" spans="1:7" x14ac:dyDescent="0.25">
      <c r="A132" s="5">
        <v>45807.3125</v>
      </c>
      <c r="B132">
        <v>15</v>
      </c>
      <c r="C132" t="s">
        <v>20</v>
      </c>
      <c r="D132" t="s">
        <v>21</v>
      </c>
      <c r="E132">
        <v>1.47</v>
      </c>
      <c r="F132">
        <v>2.25</v>
      </c>
      <c r="G132" s="8">
        <f t="shared" si="2"/>
        <v>39.200000000000003</v>
      </c>
    </row>
    <row r="133" spans="1:7" x14ac:dyDescent="0.25">
      <c r="A133" s="5">
        <v>45807.3125</v>
      </c>
      <c r="B133">
        <v>16</v>
      </c>
      <c r="C133" t="s">
        <v>21</v>
      </c>
      <c r="D133" t="s">
        <v>22</v>
      </c>
      <c r="E133">
        <v>1.5</v>
      </c>
      <c r="F133">
        <v>1.72</v>
      </c>
      <c r="G133" s="8">
        <f t="shared" si="2"/>
        <v>52.325581395348841</v>
      </c>
    </row>
    <row r="134" spans="1:7" x14ac:dyDescent="0.25">
      <c r="A134" s="5">
        <v>45807.3125</v>
      </c>
      <c r="B134">
        <v>17</v>
      </c>
      <c r="C134" t="s">
        <v>22</v>
      </c>
      <c r="D134" t="s">
        <v>23</v>
      </c>
      <c r="E134">
        <v>1.51</v>
      </c>
      <c r="F134">
        <v>2.5499999999999998</v>
      </c>
      <c r="G134" s="8">
        <f t="shared" si="2"/>
        <v>35.529411764705884</v>
      </c>
    </row>
    <row r="135" spans="1:7" x14ac:dyDescent="0.25">
      <c r="A135" s="5">
        <v>45807.3125</v>
      </c>
      <c r="B135">
        <v>18</v>
      </c>
      <c r="C135" t="s">
        <v>23</v>
      </c>
      <c r="D135" t="s">
        <v>24</v>
      </c>
      <c r="E135">
        <v>1.51</v>
      </c>
      <c r="F135">
        <v>2.7</v>
      </c>
      <c r="G135" s="8">
        <f t="shared" si="2"/>
        <v>33.55555555555555</v>
      </c>
    </row>
    <row r="136" spans="1:7" x14ac:dyDescent="0.25">
      <c r="A136" s="5">
        <v>45807.3125</v>
      </c>
      <c r="B136">
        <v>19</v>
      </c>
      <c r="C136" t="s">
        <v>25</v>
      </c>
      <c r="D136" t="s">
        <v>26</v>
      </c>
      <c r="E136">
        <v>1.5</v>
      </c>
      <c r="F136">
        <v>3.43</v>
      </c>
      <c r="G136" s="8">
        <f t="shared" si="2"/>
        <v>26.239067055393583</v>
      </c>
    </row>
    <row r="137" spans="1:7" x14ac:dyDescent="0.25">
      <c r="A137" s="5">
        <v>45807.3125</v>
      </c>
      <c r="B137">
        <v>20</v>
      </c>
      <c r="C137" t="s">
        <v>26</v>
      </c>
      <c r="D137" t="s">
        <v>27</v>
      </c>
      <c r="E137">
        <v>1.48</v>
      </c>
      <c r="F137">
        <v>3.4</v>
      </c>
      <c r="G137" s="8">
        <f t="shared" si="2"/>
        <v>26.117647058823529</v>
      </c>
    </row>
    <row r="138" spans="1:7" x14ac:dyDescent="0.25">
      <c r="A138" s="5">
        <v>45807.3125</v>
      </c>
      <c r="B138">
        <v>21</v>
      </c>
      <c r="C138" t="s">
        <v>27</v>
      </c>
      <c r="D138" t="s">
        <v>28</v>
      </c>
      <c r="E138">
        <v>1.51</v>
      </c>
      <c r="F138">
        <v>2.95</v>
      </c>
      <c r="G138" s="8">
        <f t="shared" si="2"/>
        <v>30.711864406779657</v>
      </c>
    </row>
    <row r="139" spans="1:7" x14ac:dyDescent="0.25">
      <c r="A139" s="5">
        <v>45807.3125</v>
      </c>
      <c r="B139">
        <v>22</v>
      </c>
      <c r="C139" t="s">
        <v>28</v>
      </c>
      <c r="D139" t="s">
        <v>29</v>
      </c>
      <c r="E139">
        <v>1.57</v>
      </c>
      <c r="F139">
        <v>3.32</v>
      </c>
      <c r="G139" s="8">
        <f t="shared" si="2"/>
        <v>28.373493975903617</v>
      </c>
    </row>
    <row r="140" spans="1:7" x14ac:dyDescent="0.25">
      <c r="A140" s="5">
        <v>45807.3125</v>
      </c>
      <c r="B140">
        <v>23</v>
      </c>
      <c r="C140" t="s">
        <v>29</v>
      </c>
      <c r="D140" t="s">
        <v>30</v>
      </c>
      <c r="E140">
        <v>1.43</v>
      </c>
      <c r="F140">
        <v>3.13</v>
      </c>
      <c r="G140" s="8">
        <f t="shared" si="2"/>
        <v>27.412140575079871</v>
      </c>
    </row>
    <row r="141" spans="1:7" x14ac:dyDescent="0.25">
      <c r="A141" s="5">
        <v>45807.3125</v>
      </c>
      <c r="B141">
        <v>24</v>
      </c>
      <c r="C141" t="s">
        <v>30</v>
      </c>
      <c r="D141" t="s">
        <v>31</v>
      </c>
      <c r="E141">
        <v>1.52</v>
      </c>
      <c r="F141">
        <v>3.58</v>
      </c>
      <c r="G141" s="8">
        <f t="shared" si="2"/>
        <v>25.47486033519553</v>
      </c>
    </row>
    <row r="142" spans="1:7" x14ac:dyDescent="0.25">
      <c r="A142" s="5">
        <v>45807.3125</v>
      </c>
      <c r="B142">
        <v>25</v>
      </c>
      <c r="C142" t="s">
        <v>31</v>
      </c>
      <c r="D142" t="s">
        <v>32</v>
      </c>
      <c r="E142">
        <v>1.52</v>
      </c>
      <c r="F142">
        <v>3.2</v>
      </c>
      <c r="G142" s="8">
        <f t="shared" si="2"/>
        <v>28.5</v>
      </c>
    </row>
    <row r="143" spans="1:7" x14ac:dyDescent="0.25">
      <c r="A143" s="5">
        <v>45807.3125</v>
      </c>
      <c r="B143">
        <v>26</v>
      </c>
      <c r="C143" t="s">
        <v>32</v>
      </c>
      <c r="D143" t="s">
        <v>33</v>
      </c>
      <c r="E143">
        <v>1.49</v>
      </c>
      <c r="F143">
        <v>3.17</v>
      </c>
      <c r="G143" s="8">
        <f t="shared" si="2"/>
        <v>28.201892744479498</v>
      </c>
    </row>
    <row r="144" spans="1:7" x14ac:dyDescent="0.25">
      <c r="A144" s="5">
        <v>45807.3125</v>
      </c>
      <c r="B144">
        <v>27</v>
      </c>
      <c r="C144" t="s">
        <v>33</v>
      </c>
      <c r="D144" t="s">
        <v>34</v>
      </c>
      <c r="E144">
        <v>1.53</v>
      </c>
      <c r="F144">
        <v>2.98</v>
      </c>
      <c r="G144" s="8">
        <f t="shared" si="2"/>
        <v>30.805369127516776</v>
      </c>
    </row>
    <row r="145" spans="1:7" x14ac:dyDescent="0.25">
      <c r="A145" s="5">
        <v>45807.3125</v>
      </c>
      <c r="B145">
        <v>28</v>
      </c>
      <c r="C145" t="s">
        <v>34</v>
      </c>
      <c r="D145" t="s">
        <v>35</v>
      </c>
      <c r="E145">
        <v>1.51</v>
      </c>
      <c r="F145">
        <v>3.55</v>
      </c>
      <c r="G145" s="8">
        <f t="shared" si="2"/>
        <v>25.52112676056338</v>
      </c>
    </row>
    <row r="146" spans="1:7" x14ac:dyDescent="0.25">
      <c r="A146" s="5">
        <v>45807.3125</v>
      </c>
      <c r="B146">
        <v>29</v>
      </c>
      <c r="C146" t="s">
        <v>36</v>
      </c>
      <c r="D146" t="s">
        <v>37</v>
      </c>
      <c r="E146">
        <v>1.57</v>
      </c>
      <c r="F146">
        <v>3.63</v>
      </c>
      <c r="G146" s="8">
        <f t="shared" si="2"/>
        <v>25.950413223140497</v>
      </c>
    </row>
    <row r="147" spans="1:7" x14ac:dyDescent="0.25">
      <c r="A147" s="5">
        <v>45807.3125</v>
      </c>
      <c r="B147">
        <v>30</v>
      </c>
      <c r="C147" t="s">
        <v>37</v>
      </c>
      <c r="D147" t="s">
        <v>38</v>
      </c>
      <c r="E147">
        <v>1.57</v>
      </c>
      <c r="F147">
        <v>4.5999999999999996</v>
      </c>
      <c r="G147" s="8">
        <f t="shared" si="2"/>
        <v>20.478260869565219</v>
      </c>
    </row>
    <row r="148" spans="1:7" x14ac:dyDescent="0.25">
      <c r="A148" s="5">
        <v>45807.3125</v>
      </c>
      <c r="B148">
        <v>31</v>
      </c>
      <c r="C148" t="s">
        <v>38</v>
      </c>
      <c r="D148" t="s">
        <v>39</v>
      </c>
      <c r="E148">
        <v>1.52</v>
      </c>
      <c r="F148">
        <v>2.5</v>
      </c>
      <c r="G148" s="8">
        <f t="shared" si="2"/>
        <v>36.480000000000004</v>
      </c>
    </row>
    <row r="149" spans="1:7" x14ac:dyDescent="0.25">
      <c r="A149" s="5">
        <v>45807.3125</v>
      </c>
      <c r="B149">
        <v>32</v>
      </c>
      <c r="C149" t="s">
        <v>39</v>
      </c>
      <c r="D149" t="s">
        <v>40</v>
      </c>
      <c r="E149">
        <v>1.5</v>
      </c>
      <c r="F149">
        <v>1.63</v>
      </c>
      <c r="G149" s="8">
        <f t="shared" si="2"/>
        <v>55.214723926380373</v>
      </c>
    </row>
    <row r="150" spans="1:7" x14ac:dyDescent="0.25">
      <c r="A150" s="5">
        <v>45807.3125</v>
      </c>
      <c r="B150">
        <v>33</v>
      </c>
      <c r="C150" t="s">
        <v>40</v>
      </c>
      <c r="D150" t="s">
        <v>41</v>
      </c>
      <c r="E150">
        <v>1.51</v>
      </c>
      <c r="F150">
        <v>1.62</v>
      </c>
      <c r="G150" s="8">
        <f t="shared" si="2"/>
        <v>55.925925925925917</v>
      </c>
    </row>
    <row r="151" spans="1:7" x14ac:dyDescent="0.25">
      <c r="A151" s="5">
        <v>45807.3125</v>
      </c>
      <c r="B151">
        <v>34</v>
      </c>
      <c r="C151" t="s">
        <v>41</v>
      </c>
      <c r="D151" t="s">
        <v>42</v>
      </c>
      <c r="E151">
        <v>1.5</v>
      </c>
      <c r="F151">
        <v>1.7</v>
      </c>
      <c r="G151" s="8">
        <f t="shared" si="2"/>
        <v>52.941176470588239</v>
      </c>
    </row>
    <row r="152" spans="1:7" x14ac:dyDescent="0.25">
      <c r="A152" s="5">
        <v>45807.3125</v>
      </c>
      <c r="B152">
        <v>35</v>
      </c>
      <c r="C152" t="s">
        <v>43</v>
      </c>
      <c r="D152" t="s">
        <v>44</v>
      </c>
      <c r="E152">
        <v>1.55</v>
      </c>
      <c r="F152">
        <v>3.37</v>
      </c>
      <c r="G152" s="8">
        <f t="shared" si="2"/>
        <v>27.596439169139465</v>
      </c>
    </row>
    <row r="153" spans="1:7" x14ac:dyDescent="0.25">
      <c r="A153" s="5">
        <v>45807.3125</v>
      </c>
      <c r="B153">
        <v>36</v>
      </c>
      <c r="C153" t="s">
        <v>44</v>
      </c>
      <c r="D153" t="s">
        <v>45</v>
      </c>
      <c r="E153">
        <v>1.5</v>
      </c>
      <c r="F153">
        <v>2.7</v>
      </c>
      <c r="G153" s="8">
        <f t="shared" si="2"/>
        <v>33.333333333333329</v>
      </c>
    </row>
    <row r="154" spans="1:7" x14ac:dyDescent="0.25">
      <c r="A154" s="5">
        <v>45807.3125</v>
      </c>
      <c r="B154">
        <v>37</v>
      </c>
      <c r="C154" t="s">
        <v>45</v>
      </c>
      <c r="D154" t="s">
        <v>46</v>
      </c>
      <c r="E154">
        <v>1.38</v>
      </c>
      <c r="F154">
        <v>3.37</v>
      </c>
      <c r="G154" s="8">
        <f t="shared" si="2"/>
        <v>24.569732937685458</v>
      </c>
    </row>
    <row r="155" spans="1:7" x14ac:dyDescent="0.25">
      <c r="A155" s="5">
        <v>45807.3125</v>
      </c>
      <c r="B155">
        <v>38</v>
      </c>
      <c r="C155" t="s">
        <v>46</v>
      </c>
      <c r="D155" t="s">
        <v>47</v>
      </c>
      <c r="E155">
        <v>1.61</v>
      </c>
      <c r="F155">
        <v>3.48</v>
      </c>
      <c r="G155" s="8">
        <f t="shared" si="2"/>
        <v>27.758620689655174</v>
      </c>
    </row>
    <row r="156" spans="1:7" x14ac:dyDescent="0.25">
      <c r="A156" s="5">
        <v>45807.3125</v>
      </c>
      <c r="B156">
        <v>39</v>
      </c>
      <c r="C156" t="s">
        <v>47</v>
      </c>
      <c r="D156" t="s">
        <v>48</v>
      </c>
      <c r="E156">
        <v>1.55</v>
      </c>
      <c r="F156">
        <v>3.12</v>
      </c>
      <c r="G156" s="8">
        <f t="shared" si="2"/>
        <v>29.807692307692307</v>
      </c>
    </row>
    <row r="157" spans="1:7" x14ac:dyDescent="0.25">
      <c r="A157" s="5">
        <v>45807.3125</v>
      </c>
      <c r="B157">
        <v>40</v>
      </c>
      <c r="C157" t="s">
        <v>48</v>
      </c>
      <c r="D157" t="s">
        <v>49</v>
      </c>
      <c r="E157">
        <v>1.39</v>
      </c>
      <c r="F157">
        <v>2.7</v>
      </c>
      <c r="G157" s="8">
        <f t="shared" si="2"/>
        <v>30.888888888888882</v>
      </c>
    </row>
    <row r="158" spans="1:7" x14ac:dyDescent="0.25">
      <c r="A158" s="5">
        <v>45807.3125</v>
      </c>
      <c r="B158">
        <v>41</v>
      </c>
      <c r="C158" t="s">
        <v>50</v>
      </c>
      <c r="D158" t="s">
        <v>51</v>
      </c>
      <c r="E158">
        <v>1.56</v>
      </c>
      <c r="F158">
        <v>3.3</v>
      </c>
      <c r="G158" s="8">
        <f t="shared" si="2"/>
        <v>28.363636363636367</v>
      </c>
    </row>
    <row r="159" spans="1:7" x14ac:dyDescent="0.25">
      <c r="A159" s="5">
        <v>45807.3125</v>
      </c>
      <c r="B159">
        <v>42</v>
      </c>
      <c r="C159" t="s">
        <v>51</v>
      </c>
      <c r="D159" t="s">
        <v>52</v>
      </c>
      <c r="E159">
        <v>1.56</v>
      </c>
      <c r="F159">
        <v>3.37</v>
      </c>
      <c r="G159" s="8">
        <f t="shared" si="2"/>
        <v>27.774480712166174</v>
      </c>
    </row>
    <row r="160" spans="1:7" x14ac:dyDescent="0.25">
      <c r="A160" s="5">
        <v>45807.3125</v>
      </c>
      <c r="B160">
        <v>43</v>
      </c>
      <c r="C160" t="s">
        <v>52</v>
      </c>
      <c r="D160" t="s">
        <v>53</v>
      </c>
      <c r="E160">
        <v>1.51</v>
      </c>
      <c r="F160">
        <v>3.17</v>
      </c>
      <c r="G160" s="8">
        <f t="shared" si="2"/>
        <v>28.580441640378549</v>
      </c>
    </row>
    <row r="161" spans="1:7" x14ac:dyDescent="0.25">
      <c r="A161" s="5">
        <v>45807.3125</v>
      </c>
      <c r="B161">
        <v>44</v>
      </c>
      <c r="C161" t="s">
        <v>54</v>
      </c>
      <c r="D161" t="s">
        <v>55</v>
      </c>
      <c r="E161">
        <v>1.51</v>
      </c>
      <c r="F161">
        <v>3.92</v>
      </c>
      <c r="G161" s="8">
        <f t="shared" si="2"/>
        <v>23.112244897959183</v>
      </c>
    </row>
    <row r="162" spans="1:7" x14ac:dyDescent="0.25">
      <c r="A162" s="5">
        <v>45807.3125</v>
      </c>
      <c r="B162">
        <v>45</v>
      </c>
      <c r="C162" t="s">
        <v>55</v>
      </c>
      <c r="D162" t="s">
        <v>56</v>
      </c>
      <c r="E162">
        <v>1.49</v>
      </c>
      <c r="F162">
        <v>3.12</v>
      </c>
      <c r="G162" s="8">
        <f t="shared" si="2"/>
        <v>28.653846153846153</v>
      </c>
    </row>
    <row r="163" spans="1:7" x14ac:dyDescent="0.25">
      <c r="A163" s="5">
        <v>45807.3125</v>
      </c>
      <c r="B163">
        <v>46</v>
      </c>
      <c r="C163" t="s">
        <v>56</v>
      </c>
      <c r="D163" t="s">
        <v>57</v>
      </c>
      <c r="E163">
        <v>1.52</v>
      </c>
      <c r="F163">
        <v>3.47</v>
      </c>
      <c r="G163" s="8">
        <f t="shared" si="2"/>
        <v>26.282420749279538</v>
      </c>
    </row>
    <row r="164" spans="1:7" x14ac:dyDescent="0.25">
      <c r="A164" s="5">
        <v>45807.3125</v>
      </c>
      <c r="B164">
        <v>47</v>
      </c>
      <c r="C164" t="s">
        <v>58</v>
      </c>
      <c r="D164" t="s">
        <v>59</v>
      </c>
      <c r="E164">
        <v>1.52</v>
      </c>
      <c r="F164">
        <v>3.78</v>
      </c>
      <c r="G164" s="8">
        <f t="shared" si="2"/>
        <v>24.12698412698413</v>
      </c>
    </row>
    <row r="165" spans="1:7" x14ac:dyDescent="0.25">
      <c r="A165" s="5">
        <v>45807.3125</v>
      </c>
      <c r="B165">
        <v>48</v>
      </c>
      <c r="C165" t="s">
        <v>59</v>
      </c>
      <c r="D165" t="s">
        <v>60</v>
      </c>
      <c r="E165">
        <v>1.5</v>
      </c>
      <c r="F165">
        <v>3.35</v>
      </c>
      <c r="G165" s="8">
        <f t="shared" si="2"/>
        <v>26.865671641791042</v>
      </c>
    </row>
    <row r="166" spans="1:7" x14ac:dyDescent="0.25">
      <c r="A166" s="5">
        <v>45807.3125</v>
      </c>
      <c r="B166">
        <v>49</v>
      </c>
      <c r="C166" t="s">
        <v>60</v>
      </c>
      <c r="D166" t="s">
        <v>61</v>
      </c>
      <c r="E166">
        <v>1.54</v>
      </c>
      <c r="F166">
        <v>3.53</v>
      </c>
      <c r="G166" s="8">
        <f t="shared" si="2"/>
        <v>26.175637393767708</v>
      </c>
    </row>
    <row r="167" spans="1:7" x14ac:dyDescent="0.25">
      <c r="A167" s="5">
        <v>45807.3125</v>
      </c>
      <c r="B167">
        <v>50</v>
      </c>
      <c r="C167" t="s">
        <v>62</v>
      </c>
      <c r="D167" t="s">
        <v>63</v>
      </c>
      <c r="E167">
        <v>1.38</v>
      </c>
      <c r="F167">
        <v>2.92</v>
      </c>
      <c r="G167" s="8">
        <f t="shared" si="2"/>
        <v>28.356164383561644</v>
      </c>
    </row>
    <row r="168" spans="1:7" x14ac:dyDescent="0.25">
      <c r="A168" s="5">
        <v>45807.3125</v>
      </c>
      <c r="B168">
        <v>51</v>
      </c>
      <c r="C168" t="s">
        <v>63</v>
      </c>
      <c r="D168" t="s">
        <v>64</v>
      </c>
      <c r="E168">
        <v>2.79</v>
      </c>
      <c r="F168">
        <v>5.0999999999999996</v>
      </c>
      <c r="G168" s="8">
        <f t="shared" si="2"/>
        <v>32.82352941176471</v>
      </c>
    </row>
    <row r="169" spans="1:7" x14ac:dyDescent="0.25">
      <c r="A169" s="5">
        <v>45807.3125</v>
      </c>
      <c r="B169">
        <v>52</v>
      </c>
      <c r="C169" t="s">
        <v>64</v>
      </c>
      <c r="D169" t="s">
        <v>65</v>
      </c>
      <c r="E169">
        <v>1.5</v>
      </c>
      <c r="F169">
        <v>2.75</v>
      </c>
      <c r="G169" s="8">
        <f t="shared" si="2"/>
        <v>32.727272727272727</v>
      </c>
    </row>
    <row r="170" spans="1:7" x14ac:dyDescent="0.25">
      <c r="A170" s="5">
        <v>45807.3125</v>
      </c>
      <c r="B170">
        <v>53</v>
      </c>
      <c r="C170" t="s">
        <v>65</v>
      </c>
      <c r="D170" t="s">
        <v>66</v>
      </c>
      <c r="E170">
        <v>1.46</v>
      </c>
      <c r="F170">
        <v>3.47</v>
      </c>
      <c r="G170" s="8">
        <f t="shared" si="2"/>
        <v>25.244956772334291</v>
      </c>
    </row>
    <row r="171" spans="1:7" x14ac:dyDescent="0.25">
      <c r="A171" s="5">
        <v>45807.3125</v>
      </c>
      <c r="B171">
        <v>54</v>
      </c>
      <c r="C171" t="s">
        <v>67</v>
      </c>
      <c r="D171" t="s">
        <v>68</v>
      </c>
      <c r="E171">
        <v>1.46</v>
      </c>
      <c r="F171">
        <v>2.68</v>
      </c>
      <c r="G171" s="8">
        <f t="shared" si="2"/>
        <v>32.686567164179102</v>
      </c>
    </row>
    <row r="172" spans="1:7" x14ac:dyDescent="0.25">
      <c r="A172" s="5">
        <v>45807.3125</v>
      </c>
      <c r="B172">
        <v>55</v>
      </c>
      <c r="C172" t="s">
        <v>68</v>
      </c>
      <c r="D172" t="s">
        <v>69</v>
      </c>
      <c r="E172">
        <v>1.5</v>
      </c>
      <c r="F172">
        <v>1.92</v>
      </c>
      <c r="G172" s="8">
        <f t="shared" si="2"/>
        <v>46.875</v>
      </c>
    </row>
    <row r="173" spans="1:7" x14ac:dyDescent="0.25">
      <c r="A173" s="5">
        <v>45807.3125</v>
      </c>
      <c r="B173">
        <v>56</v>
      </c>
      <c r="C173" t="s">
        <v>70</v>
      </c>
      <c r="D173" t="s">
        <v>71</v>
      </c>
      <c r="E173">
        <v>1.51</v>
      </c>
      <c r="F173">
        <v>3.87</v>
      </c>
      <c r="G173" s="8">
        <f t="shared" si="2"/>
        <v>23.410852713178294</v>
      </c>
    </row>
    <row r="174" spans="1:7" x14ac:dyDescent="0.25">
      <c r="A174" s="5">
        <v>45807.3125</v>
      </c>
      <c r="B174">
        <v>57</v>
      </c>
      <c r="C174" t="s">
        <v>71</v>
      </c>
      <c r="D174" t="s">
        <v>72</v>
      </c>
      <c r="E174">
        <v>1.52</v>
      </c>
      <c r="F174">
        <v>3.52</v>
      </c>
      <c r="G174" s="8">
        <f t="shared" si="2"/>
        <v>25.90909090909091</v>
      </c>
    </row>
    <row r="175" spans="1:7" x14ac:dyDescent="0.25">
      <c r="A175" s="5">
        <v>45807.3125</v>
      </c>
      <c r="B175">
        <v>58</v>
      </c>
      <c r="C175" t="s">
        <v>72</v>
      </c>
      <c r="D175" t="s">
        <v>73</v>
      </c>
      <c r="E175">
        <v>1.5</v>
      </c>
      <c r="F175">
        <v>3.27</v>
      </c>
      <c r="G175" s="8">
        <f t="shared" si="2"/>
        <v>27.522935779816514</v>
      </c>
    </row>
    <row r="176" spans="1:7" x14ac:dyDescent="0.25">
      <c r="A176" s="5">
        <v>45807.322916666664</v>
      </c>
      <c r="B176">
        <v>1</v>
      </c>
      <c r="C176" t="s">
        <v>6</v>
      </c>
      <c r="D176" t="s">
        <v>7</v>
      </c>
      <c r="E176">
        <v>1.53</v>
      </c>
      <c r="F176">
        <v>2.93</v>
      </c>
      <c r="G176" s="8">
        <f t="shared" si="2"/>
        <v>31.331058020477812</v>
      </c>
    </row>
    <row r="177" spans="1:7" x14ac:dyDescent="0.25">
      <c r="A177" s="5">
        <v>45807.322916666664</v>
      </c>
      <c r="B177">
        <v>2</v>
      </c>
      <c r="C177" t="s">
        <v>7</v>
      </c>
      <c r="D177" t="s">
        <v>8</v>
      </c>
      <c r="E177">
        <v>1.57</v>
      </c>
      <c r="F177">
        <v>4.53</v>
      </c>
      <c r="G177" s="8">
        <f t="shared" si="2"/>
        <v>20.794701986754966</v>
      </c>
    </row>
    <row r="178" spans="1:7" x14ac:dyDescent="0.25">
      <c r="A178" s="5">
        <v>45807.322916666664</v>
      </c>
      <c r="B178">
        <v>3</v>
      </c>
      <c r="C178" t="s">
        <v>8</v>
      </c>
      <c r="D178" t="s">
        <v>9</v>
      </c>
      <c r="E178">
        <v>1.5</v>
      </c>
      <c r="F178">
        <v>2.83</v>
      </c>
      <c r="G178" s="8">
        <f t="shared" si="2"/>
        <v>31.802120141342755</v>
      </c>
    </row>
    <row r="179" spans="1:7" x14ac:dyDescent="0.25">
      <c r="A179" s="5">
        <v>45807.322916666664</v>
      </c>
      <c r="B179">
        <v>4</v>
      </c>
      <c r="C179" t="s">
        <v>9</v>
      </c>
      <c r="D179" t="s">
        <v>10</v>
      </c>
      <c r="E179">
        <v>1.5</v>
      </c>
      <c r="F179">
        <v>2.63</v>
      </c>
      <c r="G179" s="8">
        <f t="shared" si="2"/>
        <v>34.220532319391637</v>
      </c>
    </row>
    <row r="180" spans="1:7" x14ac:dyDescent="0.25">
      <c r="A180" s="5">
        <v>45807.322916666664</v>
      </c>
      <c r="B180">
        <v>5</v>
      </c>
      <c r="C180" t="s">
        <v>10</v>
      </c>
      <c r="D180" t="s">
        <v>11</v>
      </c>
      <c r="E180">
        <v>1.52</v>
      </c>
      <c r="F180">
        <v>2.9</v>
      </c>
      <c r="G180" s="8">
        <f t="shared" si="2"/>
        <v>31.448275862068968</v>
      </c>
    </row>
    <row r="181" spans="1:7" x14ac:dyDescent="0.25">
      <c r="A181" s="5">
        <v>45807.322916666664</v>
      </c>
      <c r="B181">
        <v>6</v>
      </c>
      <c r="C181" t="s">
        <v>11</v>
      </c>
      <c r="D181" t="s">
        <v>12</v>
      </c>
      <c r="E181">
        <v>1.5</v>
      </c>
      <c r="F181">
        <v>2.58</v>
      </c>
      <c r="G181" s="8">
        <f t="shared" si="2"/>
        <v>34.883720930232556</v>
      </c>
    </row>
    <row r="182" spans="1:7" x14ac:dyDescent="0.25">
      <c r="A182" s="5">
        <v>45807.322916666664</v>
      </c>
      <c r="B182">
        <v>7</v>
      </c>
      <c r="C182" t="s">
        <v>12</v>
      </c>
      <c r="D182" t="s">
        <v>13</v>
      </c>
      <c r="E182">
        <v>1.54</v>
      </c>
      <c r="F182">
        <v>2.5299999999999998</v>
      </c>
      <c r="G182" s="8">
        <f t="shared" si="2"/>
        <v>36.521739130434788</v>
      </c>
    </row>
    <row r="183" spans="1:7" x14ac:dyDescent="0.25">
      <c r="A183" s="5">
        <v>45807.322916666664</v>
      </c>
      <c r="B183">
        <v>8</v>
      </c>
      <c r="C183" t="s">
        <v>13</v>
      </c>
      <c r="D183" t="s">
        <v>14</v>
      </c>
      <c r="E183">
        <v>1.54</v>
      </c>
      <c r="F183">
        <v>3.08</v>
      </c>
      <c r="G183" s="8">
        <f t="shared" si="2"/>
        <v>30</v>
      </c>
    </row>
    <row r="184" spans="1:7" x14ac:dyDescent="0.25">
      <c r="A184" s="5">
        <v>45807.322916666664</v>
      </c>
      <c r="B184">
        <v>9</v>
      </c>
      <c r="C184" t="s">
        <v>14</v>
      </c>
      <c r="D184" t="s">
        <v>15</v>
      </c>
      <c r="E184">
        <v>1.52</v>
      </c>
      <c r="F184">
        <v>3.03</v>
      </c>
      <c r="G184" s="8">
        <f t="shared" si="2"/>
        <v>30.099009900990101</v>
      </c>
    </row>
    <row r="185" spans="1:7" x14ac:dyDescent="0.25">
      <c r="A185" s="5">
        <v>45807.322916666664</v>
      </c>
      <c r="B185">
        <v>10</v>
      </c>
      <c r="C185" t="s">
        <v>15</v>
      </c>
      <c r="D185" t="s">
        <v>16</v>
      </c>
      <c r="E185">
        <v>1.5</v>
      </c>
      <c r="F185">
        <v>3.43</v>
      </c>
      <c r="G185" s="8">
        <f t="shared" si="2"/>
        <v>26.239067055393583</v>
      </c>
    </row>
    <row r="186" spans="1:7" x14ac:dyDescent="0.25">
      <c r="A186" s="5">
        <v>45807.322916666664</v>
      </c>
      <c r="B186">
        <v>11</v>
      </c>
      <c r="C186" t="s">
        <v>16</v>
      </c>
      <c r="D186" t="s">
        <v>17</v>
      </c>
      <c r="E186">
        <v>1.48</v>
      </c>
      <c r="F186">
        <v>2.68</v>
      </c>
      <c r="G186" s="8">
        <f t="shared" si="2"/>
        <v>33.134328358208954</v>
      </c>
    </row>
    <row r="187" spans="1:7" x14ac:dyDescent="0.25">
      <c r="A187" s="5">
        <v>45807.322916666664</v>
      </c>
      <c r="B187">
        <v>12</v>
      </c>
      <c r="C187" t="s">
        <v>17</v>
      </c>
      <c r="D187" t="s">
        <v>18</v>
      </c>
      <c r="E187">
        <v>1.46</v>
      </c>
      <c r="F187">
        <v>3.45</v>
      </c>
      <c r="G187" s="8">
        <f t="shared" si="2"/>
        <v>25.391304347826082</v>
      </c>
    </row>
    <row r="188" spans="1:7" x14ac:dyDescent="0.25">
      <c r="A188" s="5">
        <v>45807.322916666664</v>
      </c>
      <c r="B188">
        <v>13</v>
      </c>
      <c r="C188" t="s">
        <v>18</v>
      </c>
      <c r="D188" t="s">
        <v>19</v>
      </c>
      <c r="E188">
        <v>1.52</v>
      </c>
      <c r="F188">
        <v>3.92</v>
      </c>
      <c r="G188" s="8">
        <f t="shared" si="2"/>
        <v>23.26530612244898</v>
      </c>
    </row>
    <row r="189" spans="1:7" x14ac:dyDescent="0.25">
      <c r="A189" s="5">
        <v>45807.322916666664</v>
      </c>
      <c r="B189">
        <v>14</v>
      </c>
      <c r="C189" t="s">
        <v>19</v>
      </c>
      <c r="D189" t="s">
        <v>20</v>
      </c>
      <c r="E189">
        <v>1.51</v>
      </c>
      <c r="F189">
        <v>3.33</v>
      </c>
      <c r="G189" s="8">
        <f t="shared" si="2"/>
        <v>27.207207207207205</v>
      </c>
    </row>
    <row r="190" spans="1:7" x14ac:dyDescent="0.25">
      <c r="A190" s="5">
        <v>45807.322916666664</v>
      </c>
      <c r="B190">
        <v>15</v>
      </c>
      <c r="C190" t="s">
        <v>20</v>
      </c>
      <c r="D190" t="s">
        <v>21</v>
      </c>
      <c r="E190">
        <v>1.47</v>
      </c>
      <c r="F190">
        <v>2.5299999999999998</v>
      </c>
      <c r="G190" s="8">
        <f t="shared" si="2"/>
        <v>34.86166007905139</v>
      </c>
    </row>
    <row r="191" spans="1:7" x14ac:dyDescent="0.25">
      <c r="A191" s="5">
        <v>45807.322916666664</v>
      </c>
      <c r="B191">
        <v>16</v>
      </c>
      <c r="C191" t="s">
        <v>21</v>
      </c>
      <c r="D191" t="s">
        <v>22</v>
      </c>
      <c r="E191">
        <v>1.5</v>
      </c>
      <c r="F191">
        <v>1.73</v>
      </c>
      <c r="G191" s="8">
        <f t="shared" si="2"/>
        <v>52.02312138728324</v>
      </c>
    </row>
    <row r="192" spans="1:7" x14ac:dyDescent="0.25">
      <c r="A192" s="5">
        <v>45807.322916666664</v>
      </c>
      <c r="B192">
        <v>17</v>
      </c>
      <c r="C192" t="s">
        <v>22</v>
      </c>
      <c r="D192" t="s">
        <v>23</v>
      </c>
      <c r="E192">
        <v>1.51</v>
      </c>
      <c r="F192">
        <v>2.67</v>
      </c>
      <c r="G192" s="8">
        <f t="shared" si="2"/>
        <v>33.932584269662918</v>
      </c>
    </row>
    <row r="193" spans="1:7" x14ac:dyDescent="0.25">
      <c r="A193" s="5">
        <v>45807.322916666664</v>
      </c>
      <c r="B193">
        <v>18</v>
      </c>
      <c r="C193" t="s">
        <v>23</v>
      </c>
      <c r="D193" t="s">
        <v>24</v>
      </c>
      <c r="E193">
        <v>1.51</v>
      </c>
      <c r="F193">
        <v>2.67</v>
      </c>
      <c r="G193" s="8">
        <f t="shared" si="2"/>
        <v>33.932584269662918</v>
      </c>
    </row>
    <row r="194" spans="1:7" x14ac:dyDescent="0.25">
      <c r="A194" s="5">
        <v>45807.322916666664</v>
      </c>
      <c r="B194">
        <v>19</v>
      </c>
      <c r="C194" t="s">
        <v>25</v>
      </c>
      <c r="D194" t="s">
        <v>26</v>
      </c>
      <c r="E194">
        <v>1.5</v>
      </c>
      <c r="F194">
        <v>3.93</v>
      </c>
      <c r="G194" s="8">
        <f t="shared" si="2"/>
        <v>22.900763358778626</v>
      </c>
    </row>
    <row r="195" spans="1:7" x14ac:dyDescent="0.25">
      <c r="A195" s="5">
        <v>45807.322916666664</v>
      </c>
      <c r="B195">
        <v>20</v>
      </c>
      <c r="C195" t="s">
        <v>26</v>
      </c>
      <c r="D195" t="s">
        <v>27</v>
      </c>
      <c r="E195">
        <v>1.48</v>
      </c>
      <c r="F195">
        <v>3.63</v>
      </c>
      <c r="G195" s="8">
        <f t="shared" ref="G195:G258" si="3">E195*60/F195</f>
        <v>24.462809917355372</v>
      </c>
    </row>
    <row r="196" spans="1:7" x14ac:dyDescent="0.25">
      <c r="A196" s="5">
        <v>45807.322916666664</v>
      </c>
      <c r="B196">
        <v>21</v>
      </c>
      <c r="C196" t="s">
        <v>27</v>
      </c>
      <c r="D196" t="s">
        <v>28</v>
      </c>
      <c r="E196">
        <v>1.51</v>
      </c>
      <c r="F196">
        <v>3.23</v>
      </c>
      <c r="G196" s="8">
        <f t="shared" si="3"/>
        <v>28.049535603715167</v>
      </c>
    </row>
    <row r="197" spans="1:7" x14ac:dyDescent="0.25">
      <c r="A197" s="5">
        <v>45807.322916666664</v>
      </c>
      <c r="B197">
        <v>22</v>
      </c>
      <c r="C197" t="s">
        <v>28</v>
      </c>
      <c r="D197" t="s">
        <v>29</v>
      </c>
      <c r="E197">
        <v>1.57</v>
      </c>
      <c r="F197">
        <v>3.47</v>
      </c>
      <c r="G197" s="8">
        <f t="shared" si="3"/>
        <v>27.146974063400577</v>
      </c>
    </row>
    <row r="198" spans="1:7" x14ac:dyDescent="0.25">
      <c r="A198" s="5">
        <v>45807.322916666664</v>
      </c>
      <c r="B198">
        <v>23</v>
      </c>
      <c r="C198" t="s">
        <v>29</v>
      </c>
      <c r="D198" t="s">
        <v>30</v>
      </c>
      <c r="E198">
        <v>1.43</v>
      </c>
      <c r="F198">
        <v>3.38</v>
      </c>
      <c r="G198" s="8">
        <f t="shared" si="3"/>
        <v>25.384615384615383</v>
      </c>
    </row>
    <row r="199" spans="1:7" x14ac:dyDescent="0.25">
      <c r="A199" s="5">
        <v>45807.322916666664</v>
      </c>
      <c r="B199">
        <v>24</v>
      </c>
      <c r="C199" t="s">
        <v>30</v>
      </c>
      <c r="D199" t="s">
        <v>31</v>
      </c>
      <c r="E199">
        <v>1.52</v>
      </c>
      <c r="F199">
        <v>3.57</v>
      </c>
      <c r="G199" s="8">
        <f t="shared" si="3"/>
        <v>25.54621848739496</v>
      </c>
    </row>
    <row r="200" spans="1:7" x14ac:dyDescent="0.25">
      <c r="A200" s="5">
        <v>45807.322916666664</v>
      </c>
      <c r="B200">
        <v>25</v>
      </c>
      <c r="C200" t="s">
        <v>31</v>
      </c>
      <c r="D200" t="s">
        <v>32</v>
      </c>
      <c r="E200">
        <v>1.52</v>
      </c>
      <c r="F200">
        <v>3.08</v>
      </c>
      <c r="G200" s="8">
        <f t="shared" si="3"/>
        <v>29.61038961038961</v>
      </c>
    </row>
    <row r="201" spans="1:7" x14ac:dyDescent="0.25">
      <c r="A201" s="5">
        <v>45807.322916666664</v>
      </c>
      <c r="B201">
        <v>26</v>
      </c>
      <c r="C201" t="s">
        <v>32</v>
      </c>
      <c r="D201" t="s">
        <v>33</v>
      </c>
      <c r="E201">
        <v>1.49</v>
      </c>
      <c r="F201">
        <v>3.25</v>
      </c>
      <c r="G201" s="8">
        <f t="shared" si="3"/>
        <v>27.507692307692309</v>
      </c>
    </row>
    <row r="202" spans="1:7" x14ac:dyDescent="0.25">
      <c r="A202" s="5">
        <v>45807.322916666664</v>
      </c>
      <c r="B202">
        <v>27</v>
      </c>
      <c r="C202" t="s">
        <v>33</v>
      </c>
      <c r="D202" t="s">
        <v>34</v>
      </c>
      <c r="E202">
        <v>1.53</v>
      </c>
      <c r="F202">
        <v>3.03</v>
      </c>
      <c r="G202" s="8">
        <f t="shared" si="3"/>
        <v>30.297029702970299</v>
      </c>
    </row>
    <row r="203" spans="1:7" x14ac:dyDescent="0.25">
      <c r="A203" s="5">
        <v>45807.322916666664</v>
      </c>
      <c r="B203">
        <v>28</v>
      </c>
      <c r="C203" t="s">
        <v>34</v>
      </c>
      <c r="D203" t="s">
        <v>35</v>
      </c>
      <c r="E203">
        <v>1.51</v>
      </c>
      <c r="F203">
        <v>3.83</v>
      </c>
      <c r="G203" s="8">
        <f t="shared" si="3"/>
        <v>23.655352480417754</v>
      </c>
    </row>
    <row r="204" spans="1:7" x14ac:dyDescent="0.25">
      <c r="A204" s="5">
        <v>45807.322916666664</v>
      </c>
      <c r="B204">
        <v>29</v>
      </c>
      <c r="C204" t="s">
        <v>36</v>
      </c>
      <c r="D204" t="s">
        <v>37</v>
      </c>
      <c r="E204">
        <v>1.57</v>
      </c>
      <c r="F204">
        <v>4.0999999999999996</v>
      </c>
      <c r="G204" s="8">
        <f t="shared" si="3"/>
        <v>22.975609756097565</v>
      </c>
    </row>
    <row r="205" spans="1:7" x14ac:dyDescent="0.25">
      <c r="A205" s="5">
        <v>45807.322916666664</v>
      </c>
      <c r="B205">
        <v>30</v>
      </c>
      <c r="C205" t="s">
        <v>37</v>
      </c>
      <c r="D205" t="s">
        <v>38</v>
      </c>
      <c r="E205">
        <v>1.57</v>
      </c>
      <c r="F205">
        <v>5.22</v>
      </c>
      <c r="G205" s="8">
        <f t="shared" si="3"/>
        <v>18.045977011494255</v>
      </c>
    </row>
    <row r="206" spans="1:7" x14ac:dyDescent="0.25">
      <c r="A206" s="5">
        <v>45807.322916666664</v>
      </c>
      <c r="B206">
        <v>31</v>
      </c>
      <c r="C206" t="s">
        <v>38</v>
      </c>
      <c r="D206" t="s">
        <v>39</v>
      </c>
      <c r="E206">
        <v>1.52</v>
      </c>
      <c r="F206">
        <v>2.72</v>
      </c>
      <c r="G206" s="8">
        <f t="shared" si="3"/>
        <v>33.529411764705884</v>
      </c>
    </row>
    <row r="207" spans="1:7" x14ac:dyDescent="0.25">
      <c r="A207" s="5">
        <v>45807.322916666664</v>
      </c>
      <c r="B207">
        <v>32</v>
      </c>
      <c r="C207" t="s">
        <v>39</v>
      </c>
      <c r="D207" t="s">
        <v>40</v>
      </c>
      <c r="E207">
        <v>1.5</v>
      </c>
      <c r="F207">
        <v>1.65</v>
      </c>
      <c r="G207" s="8">
        <f t="shared" si="3"/>
        <v>54.545454545454547</v>
      </c>
    </row>
    <row r="208" spans="1:7" x14ac:dyDescent="0.25">
      <c r="A208" s="5">
        <v>45807.322916666664</v>
      </c>
      <c r="B208">
        <v>33</v>
      </c>
      <c r="C208" t="s">
        <v>40</v>
      </c>
      <c r="D208" t="s">
        <v>41</v>
      </c>
      <c r="E208">
        <v>1.51</v>
      </c>
      <c r="F208">
        <v>1.68</v>
      </c>
      <c r="G208" s="8">
        <f t="shared" si="3"/>
        <v>53.928571428571431</v>
      </c>
    </row>
    <row r="209" spans="1:7" x14ac:dyDescent="0.25">
      <c r="A209" s="5">
        <v>45807.322916666664</v>
      </c>
      <c r="B209">
        <v>34</v>
      </c>
      <c r="C209" t="s">
        <v>41</v>
      </c>
      <c r="D209" t="s">
        <v>42</v>
      </c>
      <c r="E209">
        <v>1.5</v>
      </c>
      <c r="F209">
        <v>1.72</v>
      </c>
      <c r="G209" s="8">
        <f t="shared" si="3"/>
        <v>52.325581395348841</v>
      </c>
    </row>
    <row r="210" spans="1:7" x14ac:dyDescent="0.25">
      <c r="A210" s="5">
        <v>45807.322916666664</v>
      </c>
      <c r="B210">
        <v>35</v>
      </c>
      <c r="C210" t="s">
        <v>43</v>
      </c>
      <c r="D210" t="s">
        <v>44</v>
      </c>
      <c r="E210">
        <v>1.55</v>
      </c>
      <c r="F210">
        <v>3.32</v>
      </c>
      <c r="G210" s="8">
        <f t="shared" si="3"/>
        <v>28.012048192771086</v>
      </c>
    </row>
    <row r="211" spans="1:7" x14ac:dyDescent="0.25">
      <c r="A211" s="5">
        <v>45807.322916666664</v>
      </c>
      <c r="B211">
        <v>36</v>
      </c>
      <c r="C211" t="s">
        <v>44</v>
      </c>
      <c r="D211" t="s">
        <v>45</v>
      </c>
      <c r="E211">
        <v>1.5</v>
      </c>
      <c r="F211">
        <v>2.83</v>
      </c>
      <c r="G211" s="8">
        <f t="shared" si="3"/>
        <v>31.802120141342755</v>
      </c>
    </row>
    <row r="212" spans="1:7" x14ac:dyDescent="0.25">
      <c r="A212" s="5">
        <v>45807.322916666664</v>
      </c>
      <c r="B212">
        <v>37</v>
      </c>
      <c r="C212" t="s">
        <v>45</v>
      </c>
      <c r="D212" t="s">
        <v>46</v>
      </c>
      <c r="E212">
        <v>1.38</v>
      </c>
      <c r="F212">
        <v>3.43</v>
      </c>
      <c r="G212" s="8">
        <f t="shared" si="3"/>
        <v>24.139941690962097</v>
      </c>
    </row>
    <row r="213" spans="1:7" x14ac:dyDescent="0.25">
      <c r="A213" s="5">
        <v>45807.322916666664</v>
      </c>
      <c r="B213">
        <v>38</v>
      </c>
      <c r="C213" t="s">
        <v>46</v>
      </c>
      <c r="D213" t="s">
        <v>47</v>
      </c>
      <c r="E213">
        <v>1.61</v>
      </c>
      <c r="F213">
        <v>3.52</v>
      </c>
      <c r="G213" s="8">
        <f t="shared" si="3"/>
        <v>27.44318181818182</v>
      </c>
    </row>
    <row r="214" spans="1:7" x14ac:dyDescent="0.25">
      <c r="A214" s="5">
        <v>45807.322916666664</v>
      </c>
      <c r="B214">
        <v>39</v>
      </c>
      <c r="C214" t="s">
        <v>47</v>
      </c>
      <c r="D214" t="s">
        <v>48</v>
      </c>
      <c r="E214">
        <v>1.55</v>
      </c>
      <c r="F214">
        <v>3.13</v>
      </c>
      <c r="G214" s="8">
        <f t="shared" si="3"/>
        <v>29.712460063897765</v>
      </c>
    </row>
    <row r="215" spans="1:7" x14ac:dyDescent="0.25">
      <c r="A215" s="5">
        <v>45807.322916666664</v>
      </c>
      <c r="B215">
        <v>40</v>
      </c>
      <c r="C215" t="s">
        <v>48</v>
      </c>
      <c r="D215" t="s">
        <v>49</v>
      </c>
      <c r="E215">
        <v>1.39</v>
      </c>
      <c r="F215">
        <v>2.65</v>
      </c>
      <c r="G215" s="8">
        <f t="shared" si="3"/>
        <v>31.471698113207545</v>
      </c>
    </row>
    <row r="216" spans="1:7" x14ac:dyDescent="0.25">
      <c r="A216" s="5">
        <v>45807.322916666664</v>
      </c>
      <c r="B216">
        <v>41</v>
      </c>
      <c r="C216" t="s">
        <v>50</v>
      </c>
      <c r="D216" t="s">
        <v>51</v>
      </c>
      <c r="E216">
        <v>1.56</v>
      </c>
      <c r="F216">
        <v>3.58</v>
      </c>
      <c r="G216" s="8">
        <f t="shared" si="3"/>
        <v>26.145251396648046</v>
      </c>
    </row>
    <row r="217" spans="1:7" x14ac:dyDescent="0.25">
      <c r="A217" s="5">
        <v>45807.322916666664</v>
      </c>
      <c r="B217">
        <v>42</v>
      </c>
      <c r="C217" t="s">
        <v>51</v>
      </c>
      <c r="D217" t="s">
        <v>52</v>
      </c>
      <c r="E217">
        <v>1.56</v>
      </c>
      <c r="F217">
        <v>3.63</v>
      </c>
      <c r="G217" s="8">
        <f t="shared" si="3"/>
        <v>25.785123966942152</v>
      </c>
    </row>
    <row r="218" spans="1:7" x14ac:dyDescent="0.25">
      <c r="A218" s="5">
        <v>45807.322916666664</v>
      </c>
      <c r="B218">
        <v>43</v>
      </c>
      <c r="C218" t="s">
        <v>52</v>
      </c>
      <c r="D218" t="s">
        <v>53</v>
      </c>
      <c r="E218">
        <v>1.51</v>
      </c>
      <c r="F218">
        <v>3.3</v>
      </c>
      <c r="G218" s="8">
        <f t="shared" si="3"/>
        <v>27.454545454545453</v>
      </c>
    </row>
    <row r="219" spans="1:7" x14ac:dyDescent="0.25">
      <c r="A219" s="5">
        <v>45807.322916666664</v>
      </c>
      <c r="B219">
        <v>44</v>
      </c>
      <c r="C219" t="s">
        <v>54</v>
      </c>
      <c r="D219" t="s">
        <v>55</v>
      </c>
      <c r="E219">
        <v>1.51</v>
      </c>
      <c r="F219">
        <v>4.2</v>
      </c>
      <c r="G219" s="8">
        <f t="shared" si="3"/>
        <v>21.571428571428569</v>
      </c>
    </row>
    <row r="220" spans="1:7" x14ac:dyDescent="0.25">
      <c r="A220" s="5">
        <v>45807.322916666664</v>
      </c>
      <c r="B220">
        <v>45</v>
      </c>
      <c r="C220" t="s">
        <v>55</v>
      </c>
      <c r="D220" t="s">
        <v>56</v>
      </c>
      <c r="E220">
        <v>1.49</v>
      </c>
      <c r="F220">
        <v>3.3</v>
      </c>
      <c r="G220" s="8">
        <f t="shared" si="3"/>
        <v>27.090909090909093</v>
      </c>
    </row>
    <row r="221" spans="1:7" x14ac:dyDescent="0.25">
      <c r="A221" s="5">
        <v>45807.322916666664</v>
      </c>
      <c r="B221">
        <v>46</v>
      </c>
      <c r="C221" t="s">
        <v>56</v>
      </c>
      <c r="D221" t="s">
        <v>57</v>
      </c>
      <c r="E221">
        <v>1.52</v>
      </c>
      <c r="F221">
        <v>3.58</v>
      </c>
      <c r="G221" s="8">
        <f t="shared" si="3"/>
        <v>25.47486033519553</v>
      </c>
    </row>
    <row r="222" spans="1:7" x14ac:dyDescent="0.25">
      <c r="A222" s="5">
        <v>45807.322916666664</v>
      </c>
      <c r="B222">
        <v>47</v>
      </c>
      <c r="C222" t="s">
        <v>58</v>
      </c>
      <c r="D222" t="s">
        <v>59</v>
      </c>
      <c r="E222">
        <v>1.52</v>
      </c>
      <c r="F222">
        <v>4.07</v>
      </c>
      <c r="G222" s="8">
        <f t="shared" si="3"/>
        <v>22.407862407862407</v>
      </c>
    </row>
    <row r="223" spans="1:7" x14ac:dyDescent="0.25">
      <c r="A223" s="5">
        <v>45807.322916666664</v>
      </c>
      <c r="B223">
        <v>48</v>
      </c>
      <c r="C223" t="s">
        <v>59</v>
      </c>
      <c r="D223" t="s">
        <v>60</v>
      </c>
      <c r="E223">
        <v>1.5</v>
      </c>
      <c r="F223">
        <v>3.52</v>
      </c>
      <c r="G223" s="8">
        <f t="shared" si="3"/>
        <v>25.568181818181817</v>
      </c>
    </row>
    <row r="224" spans="1:7" x14ac:dyDescent="0.25">
      <c r="A224" s="5">
        <v>45807.322916666664</v>
      </c>
      <c r="B224">
        <v>49</v>
      </c>
      <c r="C224" t="s">
        <v>60</v>
      </c>
      <c r="D224" t="s">
        <v>61</v>
      </c>
      <c r="E224">
        <v>1.54</v>
      </c>
      <c r="F224">
        <v>3.82</v>
      </c>
      <c r="G224" s="8">
        <f t="shared" si="3"/>
        <v>24.188481675392673</v>
      </c>
    </row>
    <row r="225" spans="1:7" x14ac:dyDescent="0.25">
      <c r="A225" s="5">
        <v>45807.322916666664</v>
      </c>
      <c r="B225">
        <v>50</v>
      </c>
      <c r="C225" t="s">
        <v>62</v>
      </c>
      <c r="D225" t="s">
        <v>63</v>
      </c>
      <c r="E225">
        <v>1.38</v>
      </c>
      <c r="F225">
        <v>3.12</v>
      </c>
      <c r="G225" s="8">
        <f t="shared" si="3"/>
        <v>26.538461538461537</v>
      </c>
    </row>
    <row r="226" spans="1:7" x14ac:dyDescent="0.25">
      <c r="A226" s="5">
        <v>45807.322916666664</v>
      </c>
      <c r="B226">
        <v>51</v>
      </c>
      <c r="C226" t="s">
        <v>63</v>
      </c>
      <c r="D226" t="s">
        <v>64</v>
      </c>
      <c r="E226">
        <v>2.79</v>
      </c>
      <c r="F226">
        <v>5.63</v>
      </c>
      <c r="G226" s="8">
        <f t="shared" si="3"/>
        <v>29.733570159857905</v>
      </c>
    </row>
    <row r="227" spans="1:7" x14ac:dyDescent="0.25">
      <c r="A227" s="5">
        <v>45807.322916666664</v>
      </c>
      <c r="B227">
        <v>52</v>
      </c>
      <c r="C227" t="s">
        <v>64</v>
      </c>
      <c r="D227" t="s">
        <v>65</v>
      </c>
      <c r="E227">
        <v>1.5</v>
      </c>
      <c r="F227">
        <v>2.75</v>
      </c>
      <c r="G227" s="8">
        <f t="shared" si="3"/>
        <v>32.727272727272727</v>
      </c>
    </row>
    <row r="228" spans="1:7" x14ac:dyDescent="0.25">
      <c r="A228" s="5">
        <v>45807.322916666664</v>
      </c>
      <c r="B228">
        <v>53</v>
      </c>
      <c r="C228" t="s">
        <v>65</v>
      </c>
      <c r="D228" t="s">
        <v>66</v>
      </c>
      <c r="E228">
        <v>1.46</v>
      </c>
      <c r="F228">
        <v>3.47</v>
      </c>
      <c r="G228" s="8">
        <f t="shared" si="3"/>
        <v>25.244956772334291</v>
      </c>
    </row>
    <row r="229" spans="1:7" x14ac:dyDescent="0.25">
      <c r="A229" s="5">
        <v>45807.322916666664</v>
      </c>
      <c r="B229">
        <v>54</v>
      </c>
      <c r="C229" t="s">
        <v>67</v>
      </c>
      <c r="D229" t="s">
        <v>68</v>
      </c>
      <c r="E229">
        <v>1.46</v>
      </c>
      <c r="F229">
        <v>3.3</v>
      </c>
      <c r="G229" s="8">
        <f t="shared" si="3"/>
        <v>26.545454545454547</v>
      </c>
    </row>
    <row r="230" spans="1:7" x14ac:dyDescent="0.25">
      <c r="A230" s="5">
        <v>45807.322916666664</v>
      </c>
      <c r="B230">
        <v>55</v>
      </c>
      <c r="C230" t="s">
        <v>68</v>
      </c>
      <c r="D230" t="s">
        <v>69</v>
      </c>
      <c r="E230">
        <v>1.5</v>
      </c>
      <c r="F230">
        <v>2.15</v>
      </c>
      <c r="G230" s="8">
        <f t="shared" si="3"/>
        <v>41.860465116279073</v>
      </c>
    </row>
    <row r="231" spans="1:7" x14ac:dyDescent="0.25">
      <c r="A231" s="5">
        <v>45807.322916666664</v>
      </c>
      <c r="B231">
        <v>56</v>
      </c>
      <c r="C231" t="s">
        <v>70</v>
      </c>
      <c r="D231" t="s">
        <v>71</v>
      </c>
      <c r="E231">
        <v>1.51</v>
      </c>
      <c r="F231">
        <v>4.33</v>
      </c>
      <c r="G231" s="8">
        <f t="shared" si="3"/>
        <v>20.92378752886836</v>
      </c>
    </row>
    <row r="232" spans="1:7" x14ac:dyDescent="0.25">
      <c r="A232" s="5">
        <v>45807.322916666664</v>
      </c>
      <c r="B232">
        <v>57</v>
      </c>
      <c r="C232" t="s">
        <v>71</v>
      </c>
      <c r="D232" t="s">
        <v>72</v>
      </c>
      <c r="E232">
        <v>1.52</v>
      </c>
      <c r="F232">
        <v>3.7</v>
      </c>
      <c r="G232" s="8">
        <f t="shared" si="3"/>
        <v>24.648648648648649</v>
      </c>
    </row>
    <row r="233" spans="1:7" x14ac:dyDescent="0.25">
      <c r="A233" s="5">
        <v>45807.322916666664</v>
      </c>
      <c r="B233">
        <v>58</v>
      </c>
      <c r="C233" t="s">
        <v>72</v>
      </c>
      <c r="D233" t="s">
        <v>73</v>
      </c>
      <c r="E233">
        <v>1.5</v>
      </c>
      <c r="F233">
        <v>3.38</v>
      </c>
      <c r="G233" s="8">
        <f t="shared" si="3"/>
        <v>26.627218934911244</v>
      </c>
    </row>
    <row r="234" spans="1:7" x14ac:dyDescent="0.25">
      <c r="A234" s="5">
        <v>45807.333333333336</v>
      </c>
      <c r="B234">
        <v>1</v>
      </c>
      <c r="C234" t="s">
        <v>6</v>
      </c>
      <c r="D234" t="s">
        <v>7</v>
      </c>
      <c r="E234">
        <v>1.53</v>
      </c>
      <c r="F234">
        <v>3.03</v>
      </c>
      <c r="G234" s="8">
        <f t="shared" si="3"/>
        <v>30.297029702970299</v>
      </c>
    </row>
    <row r="235" spans="1:7" x14ac:dyDescent="0.25">
      <c r="A235" s="5">
        <v>45807.333333333336</v>
      </c>
      <c r="B235">
        <v>2</v>
      </c>
      <c r="C235" t="s">
        <v>7</v>
      </c>
      <c r="D235" t="s">
        <v>8</v>
      </c>
      <c r="E235">
        <v>1.57</v>
      </c>
      <c r="F235">
        <v>4.87</v>
      </c>
      <c r="G235" s="8">
        <f t="shared" si="3"/>
        <v>19.342915811088297</v>
      </c>
    </row>
    <row r="236" spans="1:7" x14ac:dyDescent="0.25">
      <c r="A236" s="5">
        <v>45807.333333333336</v>
      </c>
      <c r="B236">
        <v>3</v>
      </c>
      <c r="C236" t="s">
        <v>8</v>
      </c>
      <c r="D236" t="s">
        <v>9</v>
      </c>
      <c r="E236">
        <v>1.5</v>
      </c>
      <c r="F236">
        <v>2.9</v>
      </c>
      <c r="G236" s="8">
        <f t="shared" si="3"/>
        <v>31.03448275862069</v>
      </c>
    </row>
    <row r="237" spans="1:7" x14ac:dyDescent="0.25">
      <c r="A237" s="5">
        <v>45807.333333333336</v>
      </c>
      <c r="B237">
        <v>4</v>
      </c>
      <c r="C237" t="s">
        <v>9</v>
      </c>
      <c r="D237" t="s">
        <v>10</v>
      </c>
      <c r="E237">
        <v>1.5</v>
      </c>
      <c r="F237">
        <v>2.7</v>
      </c>
      <c r="G237" s="8">
        <f t="shared" si="3"/>
        <v>33.333333333333329</v>
      </c>
    </row>
    <row r="238" spans="1:7" x14ac:dyDescent="0.25">
      <c r="A238" s="5">
        <v>45807.333333333336</v>
      </c>
      <c r="B238">
        <v>5</v>
      </c>
      <c r="C238" t="s">
        <v>10</v>
      </c>
      <c r="D238" t="s">
        <v>11</v>
      </c>
      <c r="E238">
        <v>1.52</v>
      </c>
      <c r="F238">
        <v>2.9</v>
      </c>
      <c r="G238" s="8">
        <f t="shared" si="3"/>
        <v>31.448275862068968</v>
      </c>
    </row>
    <row r="239" spans="1:7" x14ac:dyDescent="0.25">
      <c r="A239" s="5">
        <v>45807.333333333336</v>
      </c>
      <c r="B239">
        <v>6</v>
      </c>
      <c r="C239" t="s">
        <v>11</v>
      </c>
      <c r="D239" t="s">
        <v>12</v>
      </c>
      <c r="E239">
        <v>1.5</v>
      </c>
      <c r="F239">
        <v>2.6</v>
      </c>
      <c r="G239" s="8">
        <f t="shared" si="3"/>
        <v>34.615384615384613</v>
      </c>
    </row>
    <row r="240" spans="1:7" x14ac:dyDescent="0.25">
      <c r="A240" s="5">
        <v>45807.333333333336</v>
      </c>
      <c r="B240">
        <v>7</v>
      </c>
      <c r="C240" t="s">
        <v>12</v>
      </c>
      <c r="D240" t="s">
        <v>13</v>
      </c>
      <c r="E240">
        <v>1.54</v>
      </c>
      <c r="F240">
        <v>2.62</v>
      </c>
      <c r="G240" s="8">
        <f t="shared" si="3"/>
        <v>35.267175572519086</v>
      </c>
    </row>
    <row r="241" spans="1:7" x14ac:dyDescent="0.25">
      <c r="A241" s="5">
        <v>45807.333333333336</v>
      </c>
      <c r="B241">
        <v>8</v>
      </c>
      <c r="C241" t="s">
        <v>13</v>
      </c>
      <c r="D241" t="s">
        <v>14</v>
      </c>
      <c r="E241">
        <v>1.54</v>
      </c>
      <c r="F241">
        <v>3.25</v>
      </c>
      <c r="G241" s="8">
        <f t="shared" si="3"/>
        <v>28.430769230769233</v>
      </c>
    </row>
    <row r="242" spans="1:7" x14ac:dyDescent="0.25">
      <c r="A242" s="5">
        <v>45807.333333333336</v>
      </c>
      <c r="B242">
        <v>9</v>
      </c>
      <c r="C242" t="s">
        <v>14</v>
      </c>
      <c r="D242" t="s">
        <v>15</v>
      </c>
      <c r="E242">
        <v>1.52</v>
      </c>
      <c r="F242">
        <v>3.43</v>
      </c>
      <c r="G242" s="8">
        <f t="shared" si="3"/>
        <v>26.588921282798832</v>
      </c>
    </row>
    <row r="243" spans="1:7" x14ac:dyDescent="0.25">
      <c r="A243" s="5">
        <v>45807.333333333336</v>
      </c>
      <c r="B243">
        <v>10</v>
      </c>
      <c r="C243" t="s">
        <v>15</v>
      </c>
      <c r="D243" t="s">
        <v>16</v>
      </c>
      <c r="E243">
        <v>1.5</v>
      </c>
      <c r="F243">
        <v>3.87</v>
      </c>
      <c r="G243" s="8">
        <f t="shared" si="3"/>
        <v>23.255813953488371</v>
      </c>
    </row>
    <row r="244" spans="1:7" x14ac:dyDescent="0.25">
      <c r="A244" s="5">
        <v>45807.333333333336</v>
      </c>
      <c r="B244">
        <v>11</v>
      </c>
      <c r="C244" t="s">
        <v>16</v>
      </c>
      <c r="D244" t="s">
        <v>17</v>
      </c>
      <c r="E244">
        <v>1.48</v>
      </c>
      <c r="F244">
        <v>2.97</v>
      </c>
      <c r="G244" s="8">
        <f t="shared" si="3"/>
        <v>29.898989898989896</v>
      </c>
    </row>
    <row r="245" spans="1:7" x14ac:dyDescent="0.25">
      <c r="A245" s="5">
        <v>45807.333333333336</v>
      </c>
      <c r="B245">
        <v>12</v>
      </c>
      <c r="C245" t="s">
        <v>17</v>
      </c>
      <c r="D245" t="s">
        <v>18</v>
      </c>
      <c r="E245">
        <v>1.46</v>
      </c>
      <c r="F245">
        <v>3.77</v>
      </c>
      <c r="G245" s="8">
        <f t="shared" si="3"/>
        <v>23.236074270557026</v>
      </c>
    </row>
    <row r="246" spans="1:7" x14ac:dyDescent="0.25">
      <c r="A246" s="5">
        <v>45807.333333333336</v>
      </c>
      <c r="B246">
        <v>13</v>
      </c>
      <c r="C246" t="s">
        <v>18</v>
      </c>
      <c r="D246" t="s">
        <v>19</v>
      </c>
      <c r="E246">
        <v>1.52</v>
      </c>
      <c r="F246">
        <v>4.05</v>
      </c>
      <c r="G246" s="8">
        <f t="shared" si="3"/>
        <v>22.518518518518519</v>
      </c>
    </row>
    <row r="247" spans="1:7" x14ac:dyDescent="0.25">
      <c r="A247" s="5">
        <v>45807.333333333336</v>
      </c>
      <c r="B247">
        <v>14</v>
      </c>
      <c r="C247" t="s">
        <v>19</v>
      </c>
      <c r="D247" t="s">
        <v>20</v>
      </c>
      <c r="E247">
        <v>1.51</v>
      </c>
      <c r="F247">
        <v>3.38</v>
      </c>
      <c r="G247" s="8">
        <f t="shared" si="3"/>
        <v>26.80473372781065</v>
      </c>
    </row>
    <row r="248" spans="1:7" x14ac:dyDescent="0.25">
      <c r="A248" s="5">
        <v>45807.333333333336</v>
      </c>
      <c r="B248">
        <v>15</v>
      </c>
      <c r="C248" t="s">
        <v>20</v>
      </c>
      <c r="D248" t="s">
        <v>21</v>
      </c>
      <c r="E248">
        <v>1.47</v>
      </c>
      <c r="F248">
        <v>2.2799999999999998</v>
      </c>
      <c r="G248" s="8">
        <f t="shared" si="3"/>
        <v>38.684210526315795</v>
      </c>
    </row>
    <row r="249" spans="1:7" x14ac:dyDescent="0.25">
      <c r="A249" s="5">
        <v>45807.333333333336</v>
      </c>
      <c r="B249">
        <v>16</v>
      </c>
      <c r="C249" t="s">
        <v>21</v>
      </c>
      <c r="D249" t="s">
        <v>22</v>
      </c>
      <c r="E249">
        <v>1.5</v>
      </c>
      <c r="F249">
        <v>1.78</v>
      </c>
      <c r="G249" s="8">
        <f t="shared" si="3"/>
        <v>50.561797752808985</v>
      </c>
    </row>
    <row r="250" spans="1:7" x14ac:dyDescent="0.25">
      <c r="A250" s="5">
        <v>45807.333333333336</v>
      </c>
      <c r="B250">
        <v>17</v>
      </c>
      <c r="C250" t="s">
        <v>22</v>
      </c>
      <c r="D250" t="s">
        <v>23</v>
      </c>
      <c r="E250">
        <v>1.51</v>
      </c>
      <c r="F250">
        <v>2.73</v>
      </c>
      <c r="G250" s="8">
        <f t="shared" si="3"/>
        <v>33.186813186813183</v>
      </c>
    </row>
    <row r="251" spans="1:7" x14ac:dyDescent="0.25">
      <c r="A251" s="5">
        <v>45807.333333333336</v>
      </c>
      <c r="B251">
        <v>18</v>
      </c>
      <c r="C251" t="s">
        <v>23</v>
      </c>
      <c r="D251" t="s">
        <v>24</v>
      </c>
      <c r="E251">
        <v>1.51</v>
      </c>
      <c r="F251">
        <v>2.93</v>
      </c>
      <c r="G251" s="8">
        <f t="shared" si="3"/>
        <v>30.921501706484637</v>
      </c>
    </row>
    <row r="252" spans="1:7" x14ac:dyDescent="0.25">
      <c r="A252" s="5">
        <v>45807.333333333336</v>
      </c>
      <c r="B252">
        <v>19</v>
      </c>
      <c r="C252" t="s">
        <v>25</v>
      </c>
      <c r="D252" t="s">
        <v>26</v>
      </c>
      <c r="E252">
        <v>1.5</v>
      </c>
      <c r="F252">
        <v>4.13</v>
      </c>
      <c r="G252" s="8">
        <f t="shared" si="3"/>
        <v>21.791767554479421</v>
      </c>
    </row>
    <row r="253" spans="1:7" x14ac:dyDescent="0.25">
      <c r="A253" s="5">
        <v>45807.333333333336</v>
      </c>
      <c r="B253">
        <v>20</v>
      </c>
      <c r="C253" t="s">
        <v>26</v>
      </c>
      <c r="D253" t="s">
        <v>27</v>
      </c>
      <c r="E253">
        <v>1.48</v>
      </c>
      <c r="F253">
        <v>4.18</v>
      </c>
      <c r="G253" s="8">
        <f t="shared" si="3"/>
        <v>21.244019138755981</v>
      </c>
    </row>
    <row r="254" spans="1:7" x14ac:dyDescent="0.25">
      <c r="A254" s="5">
        <v>45807.333333333336</v>
      </c>
      <c r="B254">
        <v>21</v>
      </c>
      <c r="C254" t="s">
        <v>27</v>
      </c>
      <c r="D254" t="s">
        <v>28</v>
      </c>
      <c r="E254">
        <v>1.51</v>
      </c>
      <c r="F254">
        <v>4.1500000000000004</v>
      </c>
      <c r="G254" s="8">
        <f t="shared" si="3"/>
        <v>21.831325301204817</v>
      </c>
    </row>
    <row r="255" spans="1:7" x14ac:dyDescent="0.25">
      <c r="A255" s="5">
        <v>45807.333333333336</v>
      </c>
      <c r="B255">
        <v>22</v>
      </c>
      <c r="C255" t="s">
        <v>28</v>
      </c>
      <c r="D255" t="s">
        <v>29</v>
      </c>
      <c r="E255">
        <v>1.57</v>
      </c>
      <c r="F255">
        <v>4</v>
      </c>
      <c r="G255" s="8">
        <f t="shared" si="3"/>
        <v>23.55</v>
      </c>
    </row>
    <row r="256" spans="1:7" x14ac:dyDescent="0.25">
      <c r="A256" s="5">
        <v>45807.333333333336</v>
      </c>
      <c r="B256">
        <v>23</v>
      </c>
      <c r="C256" t="s">
        <v>29</v>
      </c>
      <c r="D256" t="s">
        <v>30</v>
      </c>
      <c r="E256">
        <v>1.43</v>
      </c>
      <c r="F256">
        <v>3.53</v>
      </c>
      <c r="G256" s="8">
        <f t="shared" si="3"/>
        <v>24.305949008498583</v>
      </c>
    </row>
    <row r="257" spans="1:7" x14ac:dyDescent="0.25">
      <c r="A257" s="5">
        <v>45807.333333333336</v>
      </c>
      <c r="B257">
        <v>24</v>
      </c>
      <c r="C257" t="s">
        <v>30</v>
      </c>
      <c r="D257" t="s">
        <v>31</v>
      </c>
      <c r="E257">
        <v>1.52</v>
      </c>
      <c r="F257">
        <v>3.97</v>
      </c>
      <c r="G257" s="8">
        <f t="shared" si="3"/>
        <v>22.972292191435766</v>
      </c>
    </row>
    <row r="258" spans="1:7" x14ac:dyDescent="0.25">
      <c r="A258" s="5">
        <v>45807.333333333336</v>
      </c>
      <c r="B258">
        <v>25</v>
      </c>
      <c r="C258" t="s">
        <v>31</v>
      </c>
      <c r="D258" t="s">
        <v>32</v>
      </c>
      <c r="E258">
        <v>1.52</v>
      </c>
      <c r="F258">
        <v>3.13</v>
      </c>
      <c r="G258" s="8">
        <f t="shared" si="3"/>
        <v>29.137380191693293</v>
      </c>
    </row>
    <row r="259" spans="1:7" x14ac:dyDescent="0.25">
      <c r="A259" s="5">
        <v>45807.333333333336</v>
      </c>
      <c r="B259">
        <v>26</v>
      </c>
      <c r="C259" t="s">
        <v>32</v>
      </c>
      <c r="D259" t="s">
        <v>33</v>
      </c>
      <c r="E259">
        <v>1.49</v>
      </c>
      <c r="F259">
        <v>3.32</v>
      </c>
      <c r="G259" s="8">
        <f t="shared" ref="G259:G322" si="4">E259*60/F259</f>
        <v>26.927710843373497</v>
      </c>
    </row>
    <row r="260" spans="1:7" x14ac:dyDescent="0.25">
      <c r="A260" s="5">
        <v>45807.333333333336</v>
      </c>
      <c r="B260">
        <v>27</v>
      </c>
      <c r="C260" t="s">
        <v>33</v>
      </c>
      <c r="D260" t="s">
        <v>34</v>
      </c>
      <c r="E260">
        <v>1.53</v>
      </c>
      <c r="F260">
        <v>3.12</v>
      </c>
      <c r="G260" s="8">
        <f t="shared" si="4"/>
        <v>29.42307692307692</v>
      </c>
    </row>
    <row r="261" spans="1:7" x14ac:dyDescent="0.25">
      <c r="A261" s="5">
        <v>45807.333333333336</v>
      </c>
      <c r="B261">
        <v>28</v>
      </c>
      <c r="C261" t="s">
        <v>34</v>
      </c>
      <c r="D261" t="s">
        <v>35</v>
      </c>
      <c r="E261">
        <v>1.51</v>
      </c>
      <c r="F261">
        <v>3.92</v>
      </c>
      <c r="G261" s="8">
        <f t="shared" si="4"/>
        <v>23.112244897959183</v>
      </c>
    </row>
    <row r="262" spans="1:7" x14ac:dyDescent="0.25">
      <c r="A262" s="5">
        <v>45807.333333333336</v>
      </c>
      <c r="B262">
        <v>29</v>
      </c>
      <c r="C262" t="s">
        <v>36</v>
      </c>
      <c r="D262" t="s">
        <v>37</v>
      </c>
      <c r="E262">
        <v>1.57</v>
      </c>
      <c r="F262">
        <v>4.2699999999999996</v>
      </c>
      <c r="G262" s="8">
        <f t="shared" si="4"/>
        <v>22.060889929742391</v>
      </c>
    </row>
    <row r="263" spans="1:7" x14ac:dyDescent="0.25">
      <c r="A263" s="5">
        <v>45807.333333333336</v>
      </c>
      <c r="B263">
        <v>30</v>
      </c>
      <c r="C263" t="s">
        <v>37</v>
      </c>
      <c r="D263" t="s">
        <v>38</v>
      </c>
      <c r="E263">
        <v>1.57</v>
      </c>
      <c r="F263">
        <v>5.67</v>
      </c>
      <c r="G263" s="8">
        <f t="shared" si="4"/>
        <v>16.613756613756614</v>
      </c>
    </row>
    <row r="264" spans="1:7" x14ac:dyDescent="0.25">
      <c r="A264" s="5">
        <v>45807.333333333336</v>
      </c>
      <c r="B264">
        <v>31</v>
      </c>
      <c r="C264" t="s">
        <v>38</v>
      </c>
      <c r="D264" t="s">
        <v>39</v>
      </c>
      <c r="E264">
        <v>1.52</v>
      </c>
      <c r="F264">
        <v>2.83</v>
      </c>
      <c r="G264" s="8">
        <f t="shared" si="4"/>
        <v>32.226148409893995</v>
      </c>
    </row>
    <row r="265" spans="1:7" x14ac:dyDescent="0.25">
      <c r="A265" s="5">
        <v>45807.333333333336</v>
      </c>
      <c r="B265">
        <v>32</v>
      </c>
      <c r="C265" t="s">
        <v>39</v>
      </c>
      <c r="D265" t="s">
        <v>40</v>
      </c>
      <c r="E265">
        <v>1.5</v>
      </c>
      <c r="F265">
        <v>1.72</v>
      </c>
      <c r="G265" s="8">
        <f t="shared" si="4"/>
        <v>52.325581395348841</v>
      </c>
    </row>
    <row r="266" spans="1:7" x14ac:dyDescent="0.25">
      <c r="A266" s="5">
        <v>45807.333333333336</v>
      </c>
      <c r="B266">
        <v>33</v>
      </c>
      <c r="C266" t="s">
        <v>40</v>
      </c>
      <c r="D266" t="s">
        <v>41</v>
      </c>
      <c r="E266">
        <v>1.51</v>
      </c>
      <c r="F266">
        <v>1.7</v>
      </c>
      <c r="G266" s="8">
        <f t="shared" si="4"/>
        <v>53.294117647058819</v>
      </c>
    </row>
    <row r="267" spans="1:7" x14ac:dyDescent="0.25">
      <c r="A267" s="5">
        <v>45807.333333333336</v>
      </c>
      <c r="B267">
        <v>34</v>
      </c>
      <c r="C267" t="s">
        <v>41</v>
      </c>
      <c r="D267" t="s">
        <v>42</v>
      </c>
      <c r="E267">
        <v>1.5</v>
      </c>
      <c r="F267">
        <v>1.73</v>
      </c>
      <c r="G267" s="8">
        <f t="shared" si="4"/>
        <v>52.02312138728324</v>
      </c>
    </row>
    <row r="268" spans="1:7" x14ac:dyDescent="0.25">
      <c r="A268" s="5">
        <v>45807.333333333336</v>
      </c>
      <c r="B268">
        <v>35</v>
      </c>
      <c r="C268" t="s">
        <v>43</v>
      </c>
      <c r="D268" t="s">
        <v>44</v>
      </c>
      <c r="E268">
        <v>1.55</v>
      </c>
      <c r="F268">
        <v>3.6</v>
      </c>
      <c r="G268" s="8">
        <f t="shared" si="4"/>
        <v>25.833333333333332</v>
      </c>
    </row>
    <row r="269" spans="1:7" x14ac:dyDescent="0.25">
      <c r="A269" s="5">
        <v>45807.333333333336</v>
      </c>
      <c r="B269">
        <v>36</v>
      </c>
      <c r="C269" t="s">
        <v>44</v>
      </c>
      <c r="D269" t="s">
        <v>45</v>
      </c>
      <c r="E269">
        <v>1.5</v>
      </c>
      <c r="F269">
        <v>3.05</v>
      </c>
      <c r="G269" s="8">
        <f t="shared" si="4"/>
        <v>29.508196721311478</v>
      </c>
    </row>
    <row r="270" spans="1:7" x14ac:dyDescent="0.25">
      <c r="A270" s="5">
        <v>45807.333333333336</v>
      </c>
      <c r="B270">
        <v>37</v>
      </c>
      <c r="C270" t="s">
        <v>45</v>
      </c>
      <c r="D270" t="s">
        <v>46</v>
      </c>
      <c r="E270">
        <v>1.38</v>
      </c>
      <c r="F270">
        <v>3.8</v>
      </c>
      <c r="G270" s="8">
        <f t="shared" si="4"/>
        <v>21.789473684210527</v>
      </c>
    </row>
    <row r="271" spans="1:7" x14ac:dyDescent="0.25">
      <c r="A271" s="5">
        <v>45807.333333333336</v>
      </c>
      <c r="B271">
        <v>38</v>
      </c>
      <c r="C271" t="s">
        <v>46</v>
      </c>
      <c r="D271" t="s">
        <v>47</v>
      </c>
      <c r="E271">
        <v>1.61</v>
      </c>
      <c r="F271">
        <v>3.7</v>
      </c>
      <c r="G271" s="8">
        <f t="shared" si="4"/>
        <v>26.108108108108109</v>
      </c>
    </row>
    <row r="272" spans="1:7" x14ac:dyDescent="0.25">
      <c r="A272" s="5">
        <v>45807.333333333336</v>
      </c>
      <c r="B272">
        <v>39</v>
      </c>
      <c r="C272" t="s">
        <v>47</v>
      </c>
      <c r="D272" t="s">
        <v>48</v>
      </c>
      <c r="E272">
        <v>1.55</v>
      </c>
      <c r="F272">
        <v>3.15</v>
      </c>
      <c r="G272" s="8">
        <f t="shared" si="4"/>
        <v>29.523809523809526</v>
      </c>
    </row>
    <row r="273" spans="1:7" x14ac:dyDescent="0.25">
      <c r="A273" s="5">
        <v>45807.333333333336</v>
      </c>
      <c r="B273">
        <v>40</v>
      </c>
      <c r="C273" t="s">
        <v>48</v>
      </c>
      <c r="D273" t="s">
        <v>49</v>
      </c>
      <c r="E273">
        <v>1.39</v>
      </c>
      <c r="F273">
        <v>2.68</v>
      </c>
      <c r="G273" s="8">
        <f t="shared" si="4"/>
        <v>31.119402985074622</v>
      </c>
    </row>
    <row r="274" spans="1:7" x14ac:dyDescent="0.25">
      <c r="A274" s="5">
        <v>45807.333333333336</v>
      </c>
      <c r="B274">
        <v>41</v>
      </c>
      <c r="C274" t="s">
        <v>50</v>
      </c>
      <c r="D274" t="s">
        <v>51</v>
      </c>
      <c r="E274">
        <v>1.56</v>
      </c>
      <c r="F274">
        <v>4.5199999999999996</v>
      </c>
      <c r="G274" s="8">
        <f t="shared" si="4"/>
        <v>20.707964601769916</v>
      </c>
    </row>
    <row r="275" spans="1:7" x14ac:dyDescent="0.25">
      <c r="A275" s="5">
        <v>45807.333333333336</v>
      </c>
      <c r="B275">
        <v>42</v>
      </c>
      <c r="C275" t="s">
        <v>51</v>
      </c>
      <c r="D275" t="s">
        <v>52</v>
      </c>
      <c r="E275">
        <v>1.56</v>
      </c>
      <c r="F275">
        <v>4.2</v>
      </c>
      <c r="G275" s="8">
        <f t="shared" si="4"/>
        <v>22.285714285714288</v>
      </c>
    </row>
    <row r="276" spans="1:7" x14ac:dyDescent="0.25">
      <c r="A276" s="5">
        <v>45807.333333333336</v>
      </c>
      <c r="B276">
        <v>43</v>
      </c>
      <c r="C276" t="s">
        <v>52</v>
      </c>
      <c r="D276" t="s">
        <v>53</v>
      </c>
      <c r="E276">
        <v>1.51</v>
      </c>
      <c r="F276">
        <v>3.28</v>
      </c>
      <c r="G276" s="8">
        <f t="shared" si="4"/>
        <v>27.621951219512194</v>
      </c>
    </row>
    <row r="277" spans="1:7" x14ac:dyDescent="0.25">
      <c r="A277" s="5">
        <v>45807.333333333336</v>
      </c>
      <c r="B277">
        <v>44</v>
      </c>
      <c r="C277" t="s">
        <v>54</v>
      </c>
      <c r="D277" t="s">
        <v>55</v>
      </c>
      <c r="E277">
        <v>1.51</v>
      </c>
      <c r="F277">
        <v>4.5999999999999996</v>
      </c>
      <c r="G277" s="8">
        <f t="shared" si="4"/>
        <v>19.695652173913043</v>
      </c>
    </row>
    <row r="278" spans="1:7" x14ac:dyDescent="0.25">
      <c r="A278" s="5">
        <v>45807.333333333336</v>
      </c>
      <c r="B278">
        <v>45</v>
      </c>
      <c r="C278" t="s">
        <v>55</v>
      </c>
      <c r="D278" t="s">
        <v>56</v>
      </c>
      <c r="E278">
        <v>1.49</v>
      </c>
      <c r="F278">
        <v>3.5</v>
      </c>
      <c r="G278" s="8">
        <f t="shared" si="4"/>
        <v>25.542857142857144</v>
      </c>
    </row>
    <row r="279" spans="1:7" x14ac:dyDescent="0.25">
      <c r="A279" s="5">
        <v>45807.333333333336</v>
      </c>
      <c r="B279">
        <v>46</v>
      </c>
      <c r="C279" t="s">
        <v>56</v>
      </c>
      <c r="D279" t="s">
        <v>57</v>
      </c>
      <c r="E279">
        <v>1.52</v>
      </c>
      <c r="F279">
        <v>3.78</v>
      </c>
      <c r="G279" s="8">
        <f t="shared" si="4"/>
        <v>24.12698412698413</v>
      </c>
    </row>
    <row r="280" spans="1:7" x14ac:dyDescent="0.25">
      <c r="A280" s="5">
        <v>45807.333333333336</v>
      </c>
      <c r="B280">
        <v>47</v>
      </c>
      <c r="C280" t="s">
        <v>58</v>
      </c>
      <c r="D280" t="s">
        <v>59</v>
      </c>
      <c r="E280">
        <v>1.52</v>
      </c>
      <c r="F280">
        <v>4.33</v>
      </c>
      <c r="G280" s="8">
        <f t="shared" si="4"/>
        <v>21.062355658198616</v>
      </c>
    </row>
    <row r="281" spans="1:7" x14ac:dyDescent="0.25">
      <c r="A281" s="5">
        <v>45807.333333333336</v>
      </c>
      <c r="B281">
        <v>48</v>
      </c>
      <c r="C281" t="s">
        <v>59</v>
      </c>
      <c r="D281" t="s">
        <v>60</v>
      </c>
      <c r="E281">
        <v>1.5</v>
      </c>
      <c r="F281">
        <v>3.65</v>
      </c>
      <c r="G281" s="8">
        <f t="shared" si="4"/>
        <v>24.657534246575342</v>
      </c>
    </row>
    <row r="282" spans="1:7" x14ac:dyDescent="0.25">
      <c r="A282" s="5">
        <v>45807.333333333336</v>
      </c>
      <c r="B282">
        <v>49</v>
      </c>
      <c r="C282" t="s">
        <v>60</v>
      </c>
      <c r="D282" t="s">
        <v>61</v>
      </c>
      <c r="E282">
        <v>1.54</v>
      </c>
      <c r="F282">
        <v>3.67</v>
      </c>
      <c r="G282" s="8">
        <f t="shared" si="4"/>
        <v>25.177111716621255</v>
      </c>
    </row>
    <row r="283" spans="1:7" x14ac:dyDescent="0.25">
      <c r="A283" s="5">
        <v>45807.333333333336</v>
      </c>
      <c r="B283">
        <v>50</v>
      </c>
      <c r="C283" t="s">
        <v>62</v>
      </c>
      <c r="D283" t="s">
        <v>63</v>
      </c>
      <c r="E283">
        <v>1.38</v>
      </c>
      <c r="F283">
        <v>3.12</v>
      </c>
      <c r="G283" s="8">
        <f t="shared" si="4"/>
        <v>26.538461538461537</v>
      </c>
    </row>
    <row r="284" spans="1:7" x14ac:dyDescent="0.25">
      <c r="A284" s="5">
        <v>45807.333333333336</v>
      </c>
      <c r="B284">
        <v>51</v>
      </c>
      <c r="C284" t="s">
        <v>63</v>
      </c>
      <c r="D284" t="s">
        <v>64</v>
      </c>
      <c r="E284">
        <v>2.79</v>
      </c>
      <c r="F284">
        <v>5.65</v>
      </c>
      <c r="G284" s="8">
        <f t="shared" si="4"/>
        <v>29.628318584070797</v>
      </c>
    </row>
    <row r="285" spans="1:7" x14ac:dyDescent="0.25">
      <c r="A285" s="5">
        <v>45807.333333333336</v>
      </c>
      <c r="B285">
        <v>52</v>
      </c>
      <c r="C285" t="s">
        <v>64</v>
      </c>
      <c r="D285" t="s">
        <v>65</v>
      </c>
      <c r="E285">
        <v>1.5</v>
      </c>
      <c r="F285">
        <v>2.85</v>
      </c>
      <c r="G285" s="8">
        <f t="shared" si="4"/>
        <v>31.578947368421051</v>
      </c>
    </row>
    <row r="286" spans="1:7" x14ac:dyDescent="0.25">
      <c r="A286" s="5">
        <v>45807.333333333336</v>
      </c>
      <c r="B286">
        <v>53</v>
      </c>
      <c r="C286" t="s">
        <v>65</v>
      </c>
      <c r="D286" t="s">
        <v>66</v>
      </c>
      <c r="E286">
        <v>1.46</v>
      </c>
      <c r="F286">
        <v>3.63</v>
      </c>
      <c r="G286" s="8">
        <f t="shared" si="4"/>
        <v>24.132231404958677</v>
      </c>
    </row>
    <row r="287" spans="1:7" x14ac:dyDescent="0.25">
      <c r="A287" s="5">
        <v>45807.333333333336</v>
      </c>
      <c r="B287">
        <v>54</v>
      </c>
      <c r="C287" t="s">
        <v>67</v>
      </c>
      <c r="D287" t="s">
        <v>68</v>
      </c>
      <c r="E287">
        <v>1.46</v>
      </c>
      <c r="F287">
        <v>4.7300000000000004</v>
      </c>
      <c r="G287" s="8">
        <f t="shared" si="4"/>
        <v>18.520084566596193</v>
      </c>
    </row>
    <row r="288" spans="1:7" x14ac:dyDescent="0.25">
      <c r="A288" s="5">
        <v>45807.333333333336</v>
      </c>
      <c r="B288">
        <v>55</v>
      </c>
      <c r="C288" t="s">
        <v>68</v>
      </c>
      <c r="D288" t="s">
        <v>69</v>
      </c>
      <c r="E288">
        <v>1.5</v>
      </c>
      <c r="F288">
        <v>2.25</v>
      </c>
      <c r="G288" s="8">
        <f t="shared" si="4"/>
        <v>40</v>
      </c>
    </row>
    <row r="289" spans="1:7" x14ac:dyDescent="0.25">
      <c r="A289" s="5">
        <v>45807.333333333336</v>
      </c>
      <c r="B289">
        <v>56</v>
      </c>
      <c r="C289" t="s">
        <v>70</v>
      </c>
      <c r="D289" t="s">
        <v>71</v>
      </c>
      <c r="E289">
        <v>1.51</v>
      </c>
      <c r="F289">
        <v>4.67</v>
      </c>
      <c r="G289" s="8">
        <f t="shared" si="4"/>
        <v>19.400428265524624</v>
      </c>
    </row>
    <row r="290" spans="1:7" x14ac:dyDescent="0.25">
      <c r="A290" s="5">
        <v>45807.333333333336</v>
      </c>
      <c r="B290">
        <v>57</v>
      </c>
      <c r="C290" t="s">
        <v>71</v>
      </c>
      <c r="D290" t="s">
        <v>72</v>
      </c>
      <c r="E290">
        <v>1.52</v>
      </c>
      <c r="F290">
        <v>3.68</v>
      </c>
      <c r="G290" s="8">
        <f t="shared" si="4"/>
        <v>24.782608695652172</v>
      </c>
    </row>
    <row r="291" spans="1:7" x14ac:dyDescent="0.25">
      <c r="A291" s="5">
        <v>45807.333333333336</v>
      </c>
      <c r="B291">
        <v>58</v>
      </c>
      <c r="C291" t="s">
        <v>72</v>
      </c>
      <c r="D291" t="s">
        <v>73</v>
      </c>
      <c r="E291">
        <v>1.5</v>
      </c>
      <c r="F291">
        <v>3.4</v>
      </c>
      <c r="G291" s="8">
        <f t="shared" si="4"/>
        <v>26.47058823529412</v>
      </c>
    </row>
    <row r="292" spans="1:7" x14ac:dyDescent="0.25">
      <c r="A292" s="5">
        <v>45807.34375</v>
      </c>
      <c r="B292">
        <v>1</v>
      </c>
      <c r="C292" t="s">
        <v>6</v>
      </c>
      <c r="D292" t="s">
        <v>7</v>
      </c>
      <c r="E292">
        <v>1.53</v>
      </c>
      <c r="F292">
        <v>3.13</v>
      </c>
      <c r="G292" s="8">
        <f t="shared" si="4"/>
        <v>29.329073482428115</v>
      </c>
    </row>
    <row r="293" spans="1:7" x14ac:dyDescent="0.25">
      <c r="A293" s="5">
        <v>45807.34375</v>
      </c>
      <c r="B293">
        <v>2</v>
      </c>
      <c r="C293" t="s">
        <v>7</v>
      </c>
      <c r="D293" t="s">
        <v>8</v>
      </c>
      <c r="E293">
        <v>1.57</v>
      </c>
      <c r="F293">
        <v>5</v>
      </c>
      <c r="G293" s="8">
        <f t="shared" si="4"/>
        <v>18.84</v>
      </c>
    </row>
    <row r="294" spans="1:7" x14ac:dyDescent="0.25">
      <c r="A294" s="5">
        <v>45807.34375</v>
      </c>
      <c r="B294">
        <v>3</v>
      </c>
      <c r="C294" t="s">
        <v>8</v>
      </c>
      <c r="D294" t="s">
        <v>9</v>
      </c>
      <c r="E294">
        <v>1.5</v>
      </c>
      <c r="F294">
        <v>2.93</v>
      </c>
      <c r="G294" s="8">
        <f t="shared" si="4"/>
        <v>30.716723549488052</v>
      </c>
    </row>
    <row r="295" spans="1:7" x14ac:dyDescent="0.25">
      <c r="A295" s="5">
        <v>45807.34375</v>
      </c>
      <c r="B295">
        <v>4</v>
      </c>
      <c r="C295" t="s">
        <v>9</v>
      </c>
      <c r="D295" t="s">
        <v>10</v>
      </c>
      <c r="E295">
        <v>1.5</v>
      </c>
      <c r="F295">
        <v>2.65</v>
      </c>
      <c r="G295" s="8">
        <f t="shared" si="4"/>
        <v>33.962264150943398</v>
      </c>
    </row>
    <row r="296" spans="1:7" x14ac:dyDescent="0.25">
      <c r="A296" s="5">
        <v>45807.34375</v>
      </c>
      <c r="B296">
        <v>5</v>
      </c>
      <c r="C296" t="s">
        <v>10</v>
      </c>
      <c r="D296" t="s">
        <v>11</v>
      </c>
      <c r="E296">
        <v>1.52</v>
      </c>
      <c r="F296">
        <v>3.03</v>
      </c>
      <c r="G296" s="8">
        <f t="shared" si="4"/>
        <v>30.099009900990101</v>
      </c>
    </row>
    <row r="297" spans="1:7" x14ac:dyDescent="0.25">
      <c r="A297" s="5">
        <v>45807.34375</v>
      </c>
      <c r="B297">
        <v>6</v>
      </c>
      <c r="C297" t="s">
        <v>11</v>
      </c>
      <c r="D297" t="s">
        <v>12</v>
      </c>
      <c r="E297">
        <v>1.5</v>
      </c>
      <c r="F297">
        <v>2.72</v>
      </c>
      <c r="G297" s="8">
        <f t="shared" si="4"/>
        <v>33.088235294117645</v>
      </c>
    </row>
    <row r="298" spans="1:7" x14ac:dyDescent="0.25">
      <c r="A298" s="5">
        <v>45807.34375</v>
      </c>
      <c r="B298">
        <v>7</v>
      </c>
      <c r="C298" t="s">
        <v>12</v>
      </c>
      <c r="D298" t="s">
        <v>13</v>
      </c>
      <c r="E298">
        <v>1.54</v>
      </c>
      <c r="F298">
        <v>2.63</v>
      </c>
      <c r="G298" s="8">
        <f t="shared" si="4"/>
        <v>35.133079847908746</v>
      </c>
    </row>
    <row r="299" spans="1:7" x14ac:dyDescent="0.25">
      <c r="A299" s="5">
        <v>45807.34375</v>
      </c>
      <c r="B299">
        <v>8</v>
      </c>
      <c r="C299" t="s">
        <v>13</v>
      </c>
      <c r="D299" t="s">
        <v>14</v>
      </c>
      <c r="E299">
        <v>1.54</v>
      </c>
      <c r="F299">
        <v>3.45</v>
      </c>
      <c r="G299" s="8">
        <f t="shared" si="4"/>
        <v>26.782608695652176</v>
      </c>
    </row>
    <row r="300" spans="1:7" x14ac:dyDescent="0.25">
      <c r="A300" s="5">
        <v>45807.34375</v>
      </c>
      <c r="B300">
        <v>9</v>
      </c>
      <c r="C300" t="s">
        <v>14</v>
      </c>
      <c r="D300" t="s">
        <v>15</v>
      </c>
      <c r="E300">
        <v>1.52</v>
      </c>
      <c r="F300">
        <v>3.8</v>
      </c>
      <c r="G300" s="8">
        <f t="shared" si="4"/>
        <v>24.000000000000004</v>
      </c>
    </row>
    <row r="301" spans="1:7" x14ac:dyDescent="0.25">
      <c r="A301" s="5">
        <v>45807.34375</v>
      </c>
      <c r="B301">
        <v>10</v>
      </c>
      <c r="C301" t="s">
        <v>15</v>
      </c>
      <c r="D301" t="s">
        <v>16</v>
      </c>
      <c r="E301">
        <v>1.5</v>
      </c>
      <c r="F301">
        <v>4.3</v>
      </c>
      <c r="G301" s="8">
        <f t="shared" si="4"/>
        <v>20.930232558139537</v>
      </c>
    </row>
    <row r="302" spans="1:7" x14ac:dyDescent="0.25">
      <c r="A302" s="5">
        <v>45807.34375</v>
      </c>
      <c r="B302">
        <v>11</v>
      </c>
      <c r="C302" t="s">
        <v>16</v>
      </c>
      <c r="D302" t="s">
        <v>17</v>
      </c>
      <c r="E302">
        <v>1.48</v>
      </c>
      <c r="F302">
        <v>3.68</v>
      </c>
      <c r="G302" s="8">
        <f t="shared" si="4"/>
        <v>24.130434782608695</v>
      </c>
    </row>
    <row r="303" spans="1:7" x14ac:dyDescent="0.25">
      <c r="A303" s="5">
        <v>45807.34375</v>
      </c>
      <c r="B303">
        <v>12</v>
      </c>
      <c r="C303" t="s">
        <v>17</v>
      </c>
      <c r="D303" t="s">
        <v>18</v>
      </c>
      <c r="E303">
        <v>1.46</v>
      </c>
      <c r="F303">
        <v>4.12</v>
      </c>
      <c r="G303" s="8">
        <f t="shared" si="4"/>
        <v>21.262135922330096</v>
      </c>
    </row>
    <row r="304" spans="1:7" x14ac:dyDescent="0.25">
      <c r="A304" s="5">
        <v>45807.34375</v>
      </c>
      <c r="B304">
        <v>13</v>
      </c>
      <c r="C304" t="s">
        <v>18</v>
      </c>
      <c r="D304" t="s">
        <v>19</v>
      </c>
      <c r="E304">
        <v>1.52</v>
      </c>
      <c r="F304">
        <v>4.37</v>
      </c>
      <c r="G304" s="8">
        <f t="shared" si="4"/>
        <v>20.869565217391305</v>
      </c>
    </row>
    <row r="305" spans="1:7" x14ac:dyDescent="0.25">
      <c r="A305" s="5">
        <v>45807.34375</v>
      </c>
      <c r="B305">
        <v>14</v>
      </c>
      <c r="C305" t="s">
        <v>19</v>
      </c>
      <c r="D305" t="s">
        <v>20</v>
      </c>
      <c r="E305">
        <v>1.51</v>
      </c>
      <c r="F305">
        <v>3.95</v>
      </c>
      <c r="G305" s="8">
        <f t="shared" si="4"/>
        <v>22.936708860759492</v>
      </c>
    </row>
    <row r="306" spans="1:7" x14ac:dyDescent="0.25">
      <c r="A306" s="5">
        <v>45807.34375</v>
      </c>
      <c r="B306">
        <v>15</v>
      </c>
      <c r="C306" t="s">
        <v>20</v>
      </c>
      <c r="D306" t="s">
        <v>21</v>
      </c>
      <c r="E306">
        <v>1.47</v>
      </c>
      <c r="F306">
        <v>2.85</v>
      </c>
      <c r="G306" s="8">
        <f t="shared" si="4"/>
        <v>30.94736842105263</v>
      </c>
    </row>
    <row r="307" spans="1:7" x14ac:dyDescent="0.25">
      <c r="A307" s="5">
        <v>45807.34375</v>
      </c>
      <c r="B307">
        <v>16</v>
      </c>
      <c r="C307" t="s">
        <v>21</v>
      </c>
      <c r="D307" t="s">
        <v>22</v>
      </c>
      <c r="E307">
        <v>1.5</v>
      </c>
      <c r="F307">
        <v>1.78</v>
      </c>
      <c r="G307" s="8">
        <f t="shared" si="4"/>
        <v>50.561797752808985</v>
      </c>
    </row>
    <row r="308" spans="1:7" x14ac:dyDescent="0.25">
      <c r="A308" s="5">
        <v>45807.34375</v>
      </c>
      <c r="B308">
        <v>17</v>
      </c>
      <c r="C308" t="s">
        <v>22</v>
      </c>
      <c r="D308" t="s">
        <v>23</v>
      </c>
      <c r="E308">
        <v>1.51</v>
      </c>
      <c r="F308">
        <v>3.08</v>
      </c>
      <c r="G308" s="8">
        <f t="shared" si="4"/>
        <v>29.415584415584412</v>
      </c>
    </row>
    <row r="309" spans="1:7" x14ac:dyDescent="0.25">
      <c r="A309" s="5">
        <v>45807.34375</v>
      </c>
      <c r="B309">
        <v>18</v>
      </c>
      <c r="C309" t="s">
        <v>23</v>
      </c>
      <c r="D309" t="s">
        <v>24</v>
      </c>
      <c r="E309">
        <v>1.51</v>
      </c>
      <c r="F309">
        <v>2.93</v>
      </c>
      <c r="G309" s="8">
        <f t="shared" si="4"/>
        <v>30.921501706484637</v>
      </c>
    </row>
    <row r="310" spans="1:7" x14ac:dyDescent="0.25">
      <c r="A310" s="5">
        <v>45807.34375</v>
      </c>
      <c r="B310">
        <v>19</v>
      </c>
      <c r="C310" t="s">
        <v>25</v>
      </c>
      <c r="D310" t="s">
        <v>26</v>
      </c>
      <c r="E310">
        <v>1.5</v>
      </c>
      <c r="F310">
        <v>4.3</v>
      </c>
      <c r="G310" s="8">
        <f t="shared" si="4"/>
        <v>20.930232558139537</v>
      </c>
    </row>
    <row r="311" spans="1:7" x14ac:dyDescent="0.25">
      <c r="A311" s="5">
        <v>45807.34375</v>
      </c>
      <c r="B311">
        <v>20</v>
      </c>
      <c r="C311" t="s">
        <v>26</v>
      </c>
      <c r="D311" t="s">
        <v>27</v>
      </c>
      <c r="E311">
        <v>1.48</v>
      </c>
      <c r="F311">
        <v>4.38</v>
      </c>
      <c r="G311" s="8">
        <f t="shared" si="4"/>
        <v>20.273972602739725</v>
      </c>
    </row>
    <row r="312" spans="1:7" x14ac:dyDescent="0.25">
      <c r="A312" s="5">
        <v>45807.34375</v>
      </c>
      <c r="B312">
        <v>21</v>
      </c>
      <c r="C312" t="s">
        <v>27</v>
      </c>
      <c r="D312" t="s">
        <v>28</v>
      </c>
      <c r="E312">
        <v>1.51</v>
      </c>
      <c r="F312">
        <v>5.17</v>
      </c>
      <c r="G312" s="8">
        <f t="shared" si="4"/>
        <v>17.524177949709863</v>
      </c>
    </row>
    <row r="313" spans="1:7" x14ac:dyDescent="0.25">
      <c r="A313" s="5">
        <v>45807.34375</v>
      </c>
      <c r="B313">
        <v>22</v>
      </c>
      <c r="C313" t="s">
        <v>28</v>
      </c>
      <c r="D313" t="s">
        <v>29</v>
      </c>
      <c r="E313">
        <v>1.57</v>
      </c>
      <c r="F313">
        <v>4.05</v>
      </c>
      <c r="G313" s="8">
        <f t="shared" si="4"/>
        <v>23.25925925925926</v>
      </c>
    </row>
    <row r="314" spans="1:7" x14ac:dyDescent="0.25">
      <c r="A314" s="5">
        <v>45807.34375</v>
      </c>
      <c r="B314">
        <v>23</v>
      </c>
      <c r="C314" t="s">
        <v>29</v>
      </c>
      <c r="D314" t="s">
        <v>30</v>
      </c>
      <c r="E314">
        <v>1.43</v>
      </c>
      <c r="F314">
        <v>4.5</v>
      </c>
      <c r="G314" s="8">
        <f t="shared" si="4"/>
        <v>19.066666666666666</v>
      </c>
    </row>
    <row r="315" spans="1:7" x14ac:dyDescent="0.25">
      <c r="A315" s="5">
        <v>45807.34375</v>
      </c>
      <c r="B315">
        <v>24</v>
      </c>
      <c r="C315" t="s">
        <v>30</v>
      </c>
      <c r="D315" t="s">
        <v>31</v>
      </c>
      <c r="E315">
        <v>1.52</v>
      </c>
      <c r="F315">
        <v>4.53</v>
      </c>
      <c r="G315" s="8">
        <f t="shared" si="4"/>
        <v>20.132450331125828</v>
      </c>
    </row>
    <row r="316" spans="1:7" x14ac:dyDescent="0.25">
      <c r="A316" s="5">
        <v>45807.34375</v>
      </c>
      <c r="B316">
        <v>25</v>
      </c>
      <c r="C316" t="s">
        <v>31</v>
      </c>
      <c r="D316" t="s">
        <v>32</v>
      </c>
      <c r="E316">
        <v>1.52</v>
      </c>
      <c r="F316">
        <v>3.4</v>
      </c>
      <c r="G316" s="8">
        <f t="shared" si="4"/>
        <v>26.823529411764707</v>
      </c>
    </row>
    <row r="317" spans="1:7" x14ac:dyDescent="0.25">
      <c r="A317" s="5">
        <v>45807.34375</v>
      </c>
      <c r="B317">
        <v>26</v>
      </c>
      <c r="C317" t="s">
        <v>32</v>
      </c>
      <c r="D317" t="s">
        <v>33</v>
      </c>
      <c r="E317">
        <v>1.49</v>
      </c>
      <c r="F317">
        <v>3.5</v>
      </c>
      <c r="G317" s="8">
        <f t="shared" si="4"/>
        <v>25.542857142857144</v>
      </c>
    </row>
    <row r="318" spans="1:7" x14ac:dyDescent="0.25">
      <c r="A318" s="5">
        <v>45807.34375</v>
      </c>
      <c r="B318">
        <v>27</v>
      </c>
      <c r="C318" t="s">
        <v>33</v>
      </c>
      <c r="D318" t="s">
        <v>34</v>
      </c>
      <c r="E318">
        <v>1.53</v>
      </c>
      <c r="F318">
        <v>3.1</v>
      </c>
      <c r="G318" s="8">
        <f t="shared" si="4"/>
        <v>29.612903225806448</v>
      </c>
    </row>
    <row r="319" spans="1:7" x14ac:dyDescent="0.25">
      <c r="A319" s="5">
        <v>45807.34375</v>
      </c>
      <c r="B319">
        <v>28</v>
      </c>
      <c r="C319" t="s">
        <v>34</v>
      </c>
      <c r="D319" t="s">
        <v>35</v>
      </c>
      <c r="E319">
        <v>1.51</v>
      </c>
      <c r="F319">
        <v>3.98</v>
      </c>
      <c r="G319" s="8">
        <f t="shared" si="4"/>
        <v>22.763819095477384</v>
      </c>
    </row>
    <row r="320" spans="1:7" x14ac:dyDescent="0.25">
      <c r="A320" s="5">
        <v>45807.34375</v>
      </c>
      <c r="B320">
        <v>29</v>
      </c>
      <c r="C320" t="s">
        <v>36</v>
      </c>
      <c r="D320" t="s">
        <v>37</v>
      </c>
      <c r="E320">
        <v>1.57</v>
      </c>
      <c r="F320">
        <v>5.07</v>
      </c>
      <c r="G320" s="8">
        <f t="shared" si="4"/>
        <v>18.579881656804734</v>
      </c>
    </row>
    <row r="321" spans="1:7" x14ac:dyDescent="0.25">
      <c r="A321" s="5">
        <v>45807.34375</v>
      </c>
      <c r="B321">
        <v>30</v>
      </c>
      <c r="C321" t="s">
        <v>37</v>
      </c>
      <c r="D321" t="s">
        <v>38</v>
      </c>
      <c r="E321">
        <v>1.57</v>
      </c>
      <c r="F321">
        <v>5.6</v>
      </c>
      <c r="G321" s="8">
        <f t="shared" si="4"/>
        <v>16.821428571428573</v>
      </c>
    </row>
    <row r="322" spans="1:7" x14ac:dyDescent="0.25">
      <c r="A322" s="5">
        <v>45807.34375</v>
      </c>
      <c r="B322">
        <v>31</v>
      </c>
      <c r="C322" t="s">
        <v>38</v>
      </c>
      <c r="D322" t="s">
        <v>39</v>
      </c>
      <c r="E322">
        <v>1.52</v>
      </c>
      <c r="F322">
        <v>3.2</v>
      </c>
      <c r="G322" s="8">
        <f t="shared" si="4"/>
        <v>28.5</v>
      </c>
    </row>
    <row r="323" spans="1:7" x14ac:dyDescent="0.25">
      <c r="A323" s="5">
        <v>45807.34375</v>
      </c>
      <c r="B323">
        <v>32</v>
      </c>
      <c r="C323" t="s">
        <v>39</v>
      </c>
      <c r="D323" t="s">
        <v>40</v>
      </c>
      <c r="E323">
        <v>1.5</v>
      </c>
      <c r="F323">
        <v>1.75</v>
      </c>
      <c r="G323" s="8">
        <f t="shared" ref="G323:G386" si="5">E323*60/F323</f>
        <v>51.428571428571431</v>
      </c>
    </row>
    <row r="324" spans="1:7" x14ac:dyDescent="0.25">
      <c r="A324" s="5">
        <v>45807.34375</v>
      </c>
      <c r="B324">
        <v>33</v>
      </c>
      <c r="C324" t="s">
        <v>40</v>
      </c>
      <c r="D324" t="s">
        <v>41</v>
      </c>
      <c r="E324">
        <v>1.51</v>
      </c>
      <c r="F324">
        <v>1.8</v>
      </c>
      <c r="G324" s="8">
        <f t="shared" si="5"/>
        <v>50.333333333333329</v>
      </c>
    </row>
    <row r="325" spans="1:7" x14ac:dyDescent="0.25">
      <c r="A325" s="5">
        <v>45807.34375</v>
      </c>
      <c r="B325">
        <v>34</v>
      </c>
      <c r="C325" t="s">
        <v>41</v>
      </c>
      <c r="D325" t="s">
        <v>42</v>
      </c>
      <c r="E325">
        <v>1.5</v>
      </c>
      <c r="F325">
        <v>1.83</v>
      </c>
      <c r="G325" s="8">
        <f t="shared" si="5"/>
        <v>49.180327868852459</v>
      </c>
    </row>
    <row r="326" spans="1:7" x14ac:dyDescent="0.25">
      <c r="A326" s="5">
        <v>45807.34375</v>
      </c>
      <c r="B326">
        <v>35</v>
      </c>
      <c r="C326" t="s">
        <v>43</v>
      </c>
      <c r="D326" t="s">
        <v>44</v>
      </c>
      <c r="E326">
        <v>1.55</v>
      </c>
      <c r="F326">
        <v>4.03</v>
      </c>
      <c r="G326" s="8">
        <f t="shared" si="5"/>
        <v>23.076923076923077</v>
      </c>
    </row>
    <row r="327" spans="1:7" x14ac:dyDescent="0.25">
      <c r="A327" s="5">
        <v>45807.34375</v>
      </c>
      <c r="B327">
        <v>36</v>
      </c>
      <c r="C327" t="s">
        <v>44</v>
      </c>
      <c r="D327" t="s">
        <v>45</v>
      </c>
      <c r="E327">
        <v>1.5</v>
      </c>
      <c r="F327">
        <v>3.3</v>
      </c>
      <c r="G327" s="8">
        <f t="shared" si="5"/>
        <v>27.272727272727273</v>
      </c>
    </row>
    <row r="328" spans="1:7" x14ac:dyDescent="0.25">
      <c r="A328" s="5">
        <v>45807.34375</v>
      </c>
      <c r="B328">
        <v>37</v>
      </c>
      <c r="C328" t="s">
        <v>45</v>
      </c>
      <c r="D328" t="s">
        <v>46</v>
      </c>
      <c r="E328">
        <v>1.38</v>
      </c>
      <c r="F328">
        <v>3.93</v>
      </c>
      <c r="G328" s="8">
        <f t="shared" si="5"/>
        <v>21.068702290076335</v>
      </c>
    </row>
    <row r="329" spans="1:7" x14ac:dyDescent="0.25">
      <c r="A329" s="5">
        <v>45807.34375</v>
      </c>
      <c r="B329">
        <v>38</v>
      </c>
      <c r="C329" t="s">
        <v>46</v>
      </c>
      <c r="D329" t="s">
        <v>47</v>
      </c>
      <c r="E329">
        <v>1.61</v>
      </c>
      <c r="F329">
        <v>3.6</v>
      </c>
      <c r="G329" s="8">
        <f t="shared" si="5"/>
        <v>26.833333333333336</v>
      </c>
    </row>
    <row r="330" spans="1:7" x14ac:dyDescent="0.25">
      <c r="A330" s="5">
        <v>45807.34375</v>
      </c>
      <c r="B330">
        <v>39</v>
      </c>
      <c r="C330" t="s">
        <v>47</v>
      </c>
      <c r="D330" t="s">
        <v>48</v>
      </c>
      <c r="E330">
        <v>1.55</v>
      </c>
      <c r="F330">
        <v>3.17</v>
      </c>
      <c r="G330" s="8">
        <f t="shared" si="5"/>
        <v>29.337539432176658</v>
      </c>
    </row>
    <row r="331" spans="1:7" x14ac:dyDescent="0.25">
      <c r="A331" s="5">
        <v>45807.34375</v>
      </c>
      <c r="B331">
        <v>40</v>
      </c>
      <c r="C331" t="s">
        <v>48</v>
      </c>
      <c r="D331" t="s">
        <v>49</v>
      </c>
      <c r="E331">
        <v>1.39</v>
      </c>
      <c r="F331">
        <v>2.72</v>
      </c>
      <c r="G331" s="8">
        <f t="shared" si="5"/>
        <v>30.661764705882348</v>
      </c>
    </row>
    <row r="332" spans="1:7" x14ac:dyDescent="0.25">
      <c r="A332" s="5">
        <v>45807.34375</v>
      </c>
      <c r="B332">
        <v>41</v>
      </c>
      <c r="C332" t="s">
        <v>50</v>
      </c>
      <c r="D332" t="s">
        <v>51</v>
      </c>
      <c r="E332">
        <v>1.56</v>
      </c>
      <c r="F332">
        <v>4.88</v>
      </c>
      <c r="G332" s="8">
        <f t="shared" si="5"/>
        <v>19.180327868852462</v>
      </c>
    </row>
    <row r="333" spans="1:7" x14ac:dyDescent="0.25">
      <c r="A333" s="5">
        <v>45807.34375</v>
      </c>
      <c r="B333">
        <v>42</v>
      </c>
      <c r="C333" t="s">
        <v>51</v>
      </c>
      <c r="D333" t="s">
        <v>52</v>
      </c>
      <c r="E333">
        <v>1.56</v>
      </c>
      <c r="F333">
        <v>4.68</v>
      </c>
      <c r="G333" s="8">
        <f t="shared" si="5"/>
        <v>20.000000000000004</v>
      </c>
    </row>
    <row r="334" spans="1:7" x14ac:dyDescent="0.25">
      <c r="A334" s="5">
        <v>45807.34375</v>
      </c>
      <c r="B334">
        <v>43</v>
      </c>
      <c r="C334" t="s">
        <v>52</v>
      </c>
      <c r="D334" t="s">
        <v>53</v>
      </c>
      <c r="E334">
        <v>1.51</v>
      </c>
      <c r="F334">
        <v>3.35</v>
      </c>
      <c r="G334" s="8">
        <f t="shared" si="5"/>
        <v>27.044776119402982</v>
      </c>
    </row>
    <row r="335" spans="1:7" x14ac:dyDescent="0.25">
      <c r="A335" s="5">
        <v>45807.34375</v>
      </c>
      <c r="B335">
        <v>44</v>
      </c>
      <c r="C335" t="s">
        <v>54</v>
      </c>
      <c r="D335" t="s">
        <v>55</v>
      </c>
      <c r="E335">
        <v>1.51</v>
      </c>
      <c r="F335">
        <v>4.97</v>
      </c>
      <c r="G335" s="8">
        <f t="shared" si="5"/>
        <v>18.229376257545272</v>
      </c>
    </row>
    <row r="336" spans="1:7" x14ac:dyDescent="0.25">
      <c r="A336" s="5">
        <v>45807.34375</v>
      </c>
      <c r="B336">
        <v>45</v>
      </c>
      <c r="C336" t="s">
        <v>55</v>
      </c>
      <c r="D336" t="s">
        <v>56</v>
      </c>
      <c r="E336">
        <v>1.49</v>
      </c>
      <c r="F336">
        <v>3.73</v>
      </c>
      <c r="G336" s="8">
        <f t="shared" si="5"/>
        <v>23.967828418230564</v>
      </c>
    </row>
    <row r="337" spans="1:7" x14ac:dyDescent="0.25">
      <c r="A337" s="5">
        <v>45807.34375</v>
      </c>
      <c r="B337">
        <v>46</v>
      </c>
      <c r="C337" t="s">
        <v>56</v>
      </c>
      <c r="D337" t="s">
        <v>57</v>
      </c>
      <c r="E337">
        <v>1.52</v>
      </c>
      <c r="F337">
        <v>3.95</v>
      </c>
      <c r="G337" s="8">
        <f t="shared" si="5"/>
        <v>23.088607594936708</v>
      </c>
    </row>
    <row r="338" spans="1:7" x14ac:dyDescent="0.25">
      <c r="A338" s="5">
        <v>45807.34375</v>
      </c>
      <c r="B338">
        <v>47</v>
      </c>
      <c r="C338" t="s">
        <v>58</v>
      </c>
      <c r="D338" t="s">
        <v>59</v>
      </c>
      <c r="E338">
        <v>1.52</v>
      </c>
      <c r="F338">
        <v>5.52</v>
      </c>
      <c r="G338" s="8">
        <f t="shared" si="5"/>
        <v>16.521739130434785</v>
      </c>
    </row>
    <row r="339" spans="1:7" x14ac:dyDescent="0.25">
      <c r="A339" s="5">
        <v>45807.34375</v>
      </c>
      <c r="B339">
        <v>48</v>
      </c>
      <c r="C339" t="s">
        <v>59</v>
      </c>
      <c r="D339" t="s">
        <v>60</v>
      </c>
      <c r="E339">
        <v>1.5</v>
      </c>
      <c r="F339">
        <v>4.07</v>
      </c>
      <c r="G339" s="8">
        <f t="shared" si="5"/>
        <v>22.113022113022112</v>
      </c>
    </row>
    <row r="340" spans="1:7" x14ac:dyDescent="0.25">
      <c r="A340" s="5">
        <v>45807.34375</v>
      </c>
      <c r="B340">
        <v>49</v>
      </c>
      <c r="C340" t="s">
        <v>60</v>
      </c>
      <c r="D340" t="s">
        <v>61</v>
      </c>
      <c r="E340">
        <v>1.54</v>
      </c>
      <c r="F340">
        <v>4.58</v>
      </c>
      <c r="G340" s="8">
        <f t="shared" si="5"/>
        <v>20.174672489082969</v>
      </c>
    </row>
    <row r="341" spans="1:7" x14ac:dyDescent="0.25">
      <c r="A341" s="5">
        <v>45807.34375</v>
      </c>
      <c r="B341">
        <v>50</v>
      </c>
      <c r="C341" t="s">
        <v>62</v>
      </c>
      <c r="D341" t="s">
        <v>63</v>
      </c>
      <c r="E341">
        <v>1.38</v>
      </c>
      <c r="F341">
        <v>3.3</v>
      </c>
      <c r="G341" s="8">
        <f t="shared" si="5"/>
        <v>25.09090909090909</v>
      </c>
    </row>
    <row r="342" spans="1:7" x14ac:dyDescent="0.25">
      <c r="A342" s="5">
        <v>45807.34375</v>
      </c>
      <c r="B342">
        <v>51</v>
      </c>
      <c r="C342" t="s">
        <v>63</v>
      </c>
      <c r="D342" t="s">
        <v>64</v>
      </c>
      <c r="E342">
        <v>2.79</v>
      </c>
      <c r="F342">
        <v>5.95</v>
      </c>
      <c r="G342" s="8">
        <f t="shared" si="5"/>
        <v>28.134453781512605</v>
      </c>
    </row>
    <row r="343" spans="1:7" x14ac:dyDescent="0.25">
      <c r="A343" s="5">
        <v>45807.34375</v>
      </c>
      <c r="B343">
        <v>52</v>
      </c>
      <c r="C343" t="s">
        <v>64</v>
      </c>
      <c r="D343" t="s">
        <v>65</v>
      </c>
      <c r="E343">
        <v>1.5</v>
      </c>
      <c r="F343">
        <v>2.8</v>
      </c>
      <c r="G343" s="8">
        <f t="shared" si="5"/>
        <v>32.142857142857146</v>
      </c>
    </row>
    <row r="344" spans="1:7" x14ac:dyDescent="0.25">
      <c r="A344" s="5">
        <v>45807.34375</v>
      </c>
      <c r="B344">
        <v>53</v>
      </c>
      <c r="C344" t="s">
        <v>65</v>
      </c>
      <c r="D344" t="s">
        <v>66</v>
      </c>
      <c r="E344">
        <v>1.46</v>
      </c>
      <c r="F344">
        <v>3.9</v>
      </c>
      <c r="G344" s="8">
        <f t="shared" si="5"/>
        <v>22.46153846153846</v>
      </c>
    </row>
    <row r="345" spans="1:7" x14ac:dyDescent="0.25">
      <c r="A345" s="5">
        <v>45807.34375</v>
      </c>
      <c r="B345">
        <v>54</v>
      </c>
      <c r="C345" t="s">
        <v>67</v>
      </c>
      <c r="D345" t="s">
        <v>68</v>
      </c>
      <c r="E345">
        <v>1.46</v>
      </c>
      <c r="F345">
        <v>5.62</v>
      </c>
      <c r="G345" s="8">
        <f t="shared" si="5"/>
        <v>15.587188612099643</v>
      </c>
    </row>
    <row r="346" spans="1:7" x14ac:dyDescent="0.25">
      <c r="A346" s="5">
        <v>45807.34375</v>
      </c>
      <c r="B346">
        <v>55</v>
      </c>
      <c r="C346" t="s">
        <v>68</v>
      </c>
      <c r="D346" t="s">
        <v>69</v>
      </c>
      <c r="E346">
        <v>1.5</v>
      </c>
      <c r="F346">
        <v>2.17</v>
      </c>
      <c r="G346" s="8">
        <f t="shared" si="5"/>
        <v>41.474654377880185</v>
      </c>
    </row>
    <row r="347" spans="1:7" x14ac:dyDescent="0.25">
      <c r="A347" s="5">
        <v>45807.34375</v>
      </c>
      <c r="B347">
        <v>56</v>
      </c>
      <c r="C347" t="s">
        <v>70</v>
      </c>
      <c r="D347" t="s">
        <v>71</v>
      </c>
      <c r="E347">
        <v>1.51</v>
      </c>
      <c r="F347">
        <v>4.2</v>
      </c>
      <c r="G347" s="8">
        <f t="shared" si="5"/>
        <v>21.571428571428569</v>
      </c>
    </row>
    <row r="348" spans="1:7" x14ac:dyDescent="0.25">
      <c r="A348" s="5">
        <v>45807.34375</v>
      </c>
      <c r="B348">
        <v>57</v>
      </c>
      <c r="C348" t="s">
        <v>71</v>
      </c>
      <c r="D348" t="s">
        <v>72</v>
      </c>
      <c r="E348">
        <v>1.52</v>
      </c>
      <c r="F348">
        <v>4.18</v>
      </c>
      <c r="G348" s="8">
        <f t="shared" si="5"/>
        <v>21.81818181818182</v>
      </c>
    </row>
    <row r="349" spans="1:7" x14ac:dyDescent="0.25">
      <c r="A349" s="5">
        <v>45807.34375</v>
      </c>
      <c r="B349">
        <v>58</v>
      </c>
      <c r="C349" t="s">
        <v>72</v>
      </c>
      <c r="D349" t="s">
        <v>73</v>
      </c>
      <c r="E349">
        <v>1.5</v>
      </c>
      <c r="F349">
        <v>3.7</v>
      </c>
      <c r="G349" s="8">
        <f t="shared" si="5"/>
        <v>24.324324324324323</v>
      </c>
    </row>
    <row r="350" spans="1:7" x14ac:dyDescent="0.25">
      <c r="A350" s="5">
        <v>45807.354166666664</v>
      </c>
      <c r="B350">
        <v>1</v>
      </c>
      <c r="C350" t="s">
        <v>6</v>
      </c>
      <c r="D350" t="s">
        <v>7</v>
      </c>
      <c r="E350">
        <v>1.53</v>
      </c>
      <c r="F350">
        <v>3.23</v>
      </c>
      <c r="G350" s="8">
        <f t="shared" si="5"/>
        <v>28.421052631578945</v>
      </c>
    </row>
    <row r="351" spans="1:7" x14ac:dyDescent="0.25">
      <c r="A351" s="5">
        <v>45807.354166666664</v>
      </c>
      <c r="B351">
        <v>2</v>
      </c>
      <c r="C351" t="s">
        <v>7</v>
      </c>
      <c r="D351" t="s">
        <v>8</v>
      </c>
      <c r="E351">
        <v>1.57</v>
      </c>
      <c r="F351">
        <v>5.5</v>
      </c>
      <c r="G351" s="8">
        <f t="shared" si="5"/>
        <v>17.127272727272729</v>
      </c>
    </row>
    <row r="352" spans="1:7" x14ac:dyDescent="0.25">
      <c r="A352" s="5">
        <v>45807.354166666664</v>
      </c>
      <c r="B352">
        <v>3</v>
      </c>
      <c r="C352" t="s">
        <v>8</v>
      </c>
      <c r="D352" t="s">
        <v>9</v>
      </c>
      <c r="E352">
        <v>1.5</v>
      </c>
      <c r="F352">
        <v>3.13</v>
      </c>
      <c r="G352" s="8">
        <f t="shared" si="5"/>
        <v>28.753993610223642</v>
      </c>
    </row>
    <row r="353" spans="1:7" x14ac:dyDescent="0.25">
      <c r="A353" s="5">
        <v>45807.354166666664</v>
      </c>
      <c r="B353">
        <v>4</v>
      </c>
      <c r="C353" t="s">
        <v>9</v>
      </c>
      <c r="D353" t="s">
        <v>10</v>
      </c>
      <c r="E353">
        <v>1.5</v>
      </c>
      <c r="F353">
        <v>2.7</v>
      </c>
      <c r="G353" s="8">
        <f t="shared" si="5"/>
        <v>33.333333333333329</v>
      </c>
    </row>
    <row r="354" spans="1:7" x14ac:dyDescent="0.25">
      <c r="A354" s="5">
        <v>45807.354166666664</v>
      </c>
      <c r="B354">
        <v>5</v>
      </c>
      <c r="C354" t="s">
        <v>10</v>
      </c>
      <c r="D354" t="s">
        <v>11</v>
      </c>
      <c r="E354">
        <v>1.52</v>
      </c>
      <c r="F354">
        <v>3.15</v>
      </c>
      <c r="G354" s="8">
        <f t="shared" si="5"/>
        <v>28.952380952380953</v>
      </c>
    </row>
    <row r="355" spans="1:7" x14ac:dyDescent="0.25">
      <c r="A355" s="5">
        <v>45807.354166666664</v>
      </c>
      <c r="B355">
        <v>6</v>
      </c>
      <c r="C355" t="s">
        <v>11</v>
      </c>
      <c r="D355" t="s">
        <v>12</v>
      </c>
      <c r="E355">
        <v>1.5</v>
      </c>
      <c r="F355">
        <v>2.82</v>
      </c>
      <c r="G355" s="8">
        <f t="shared" si="5"/>
        <v>31.914893617021278</v>
      </c>
    </row>
    <row r="356" spans="1:7" x14ac:dyDescent="0.25">
      <c r="A356" s="5">
        <v>45807.354166666664</v>
      </c>
      <c r="B356">
        <v>7</v>
      </c>
      <c r="C356" t="s">
        <v>12</v>
      </c>
      <c r="D356" t="s">
        <v>13</v>
      </c>
      <c r="E356">
        <v>1.54</v>
      </c>
      <c r="F356">
        <v>2.73</v>
      </c>
      <c r="G356" s="8">
        <f t="shared" si="5"/>
        <v>33.846153846153847</v>
      </c>
    </row>
    <row r="357" spans="1:7" x14ac:dyDescent="0.25">
      <c r="A357" s="5">
        <v>45807.354166666664</v>
      </c>
      <c r="B357">
        <v>8</v>
      </c>
      <c r="C357" t="s">
        <v>13</v>
      </c>
      <c r="D357" t="s">
        <v>14</v>
      </c>
      <c r="E357">
        <v>1.54</v>
      </c>
      <c r="F357">
        <v>3.6</v>
      </c>
      <c r="G357" s="8">
        <f t="shared" si="5"/>
        <v>25.666666666666668</v>
      </c>
    </row>
    <row r="358" spans="1:7" x14ac:dyDescent="0.25">
      <c r="A358" s="5">
        <v>45807.354166666664</v>
      </c>
      <c r="B358">
        <v>9</v>
      </c>
      <c r="C358" t="s">
        <v>14</v>
      </c>
      <c r="D358" t="s">
        <v>15</v>
      </c>
      <c r="E358">
        <v>1.52</v>
      </c>
      <c r="F358">
        <v>4.45</v>
      </c>
      <c r="G358" s="8">
        <f t="shared" si="5"/>
        <v>20.49438202247191</v>
      </c>
    </row>
    <row r="359" spans="1:7" x14ac:dyDescent="0.25">
      <c r="A359" s="5">
        <v>45807.354166666664</v>
      </c>
      <c r="B359">
        <v>10</v>
      </c>
      <c r="C359" t="s">
        <v>15</v>
      </c>
      <c r="D359" t="s">
        <v>16</v>
      </c>
      <c r="E359">
        <v>1.5</v>
      </c>
      <c r="F359">
        <v>4.42</v>
      </c>
      <c r="G359" s="8">
        <f t="shared" si="5"/>
        <v>20.361990950226243</v>
      </c>
    </row>
    <row r="360" spans="1:7" x14ac:dyDescent="0.25">
      <c r="A360" s="5">
        <v>45807.354166666664</v>
      </c>
      <c r="B360">
        <v>11</v>
      </c>
      <c r="C360" t="s">
        <v>16</v>
      </c>
      <c r="D360" t="s">
        <v>17</v>
      </c>
      <c r="E360">
        <v>1.48</v>
      </c>
      <c r="F360">
        <v>3.77</v>
      </c>
      <c r="G360" s="8">
        <f t="shared" si="5"/>
        <v>23.554376657824932</v>
      </c>
    </row>
    <row r="361" spans="1:7" x14ac:dyDescent="0.25">
      <c r="A361" s="5">
        <v>45807.354166666664</v>
      </c>
      <c r="B361">
        <v>12</v>
      </c>
      <c r="C361" t="s">
        <v>17</v>
      </c>
      <c r="D361" t="s">
        <v>18</v>
      </c>
      <c r="E361">
        <v>1.46</v>
      </c>
      <c r="F361">
        <v>4.88</v>
      </c>
      <c r="G361" s="8">
        <f t="shared" si="5"/>
        <v>17.950819672131146</v>
      </c>
    </row>
    <row r="362" spans="1:7" x14ac:dyDescent="0.25">
      <c r="A362" s="5">
        <v>45807.354166666664</v>
      </c>
      <c r="B362">
        <v>13</v>
      </c>
      <c r="C362" t="s">
        <v>18</v>
      </c>
      <c r="D362" t="s">
        <v>19</v>
      </c>
      <c r="E362">
        <v>1.52</v>
      </c>
      <c r="F362">
        <v>4.9000000000000004</v>
      </c>
      <c r="G362" s="8">
        <f t="shared" si="5"/>
        <v>18.612244897959183</v>
      </c>
    </row>
    <row r="363" spans="1:7" x14ac:dyDescent="0.25">
      <c r="A363" s="5">
        <v>45807.354166666664</v>
      </c>
      <c r="B363">
        <v>14</v>
      </c>
      <c r="C363" t="s">
        <v>19</v>
      </c>
      <c r="D363" t="s">
        <v>20</v>
      </c>
      <c r="E363">
        <v>1.51</v>
      </c>
      <c r="F363">
        <v>4</v>
      </c>
      <c r="G363" s="8">
        <f t="shared" si="5"/>
        <v>22.65</v>
      </c>
    </row>
    <row r="364" spans="1:7" x14ac:dyDescent="0.25">
      <c r="A364" s="5">
        <v>45807.354166666664</v>
      </c>
      <c r="B364">
        <v>15</v>
      </c>
      <c r="C364" t="s">
        <v>20</v>
      </c>
      <c r="D364" t="s">
        <v>21</v>
      </c>
      <c r="E364">
        <v>1.47</v>
      </c>
      <c r="F364">
        <v>3.23</v>
      </c>
      <c r="G364" s="8">
        <f t="shared" si="5"/>
        <v>27.306501547987619</v>
      </c>
    </row>
    <row r="365" spans="1:7" x14ac:dyDescent="0.25">
      <c r="A365" s="5">
        <v>45807.354166666664</v>
      </c>
      <c r="B365">
        <v>16</v>
      </c>
      <c r="C365" t="s">
        <v>21</v>
      </c>
      <c r="D365" t="s">
        <v>22</v>
      </c>
      <c r="E365">
        <v>1.5</v>
      </c>
      <c r="F365">
        <v>2.38</v>
      </c>
      <c r="G365" s="8">
        <f t="shared" si="5"/>
        <v>37.815126050420169</v>
      </c>
    </row>
    <row r="366" spans="1:7" x14ac:dyDescent="0.25">
      <c r="A366" s="5">
        <v>45807.354166666664</v>
      </c>
      <c r="B366">
        <v>17</v>
      </c>
      <c r="C366" t="s">
        <v>22</v>
      </c>
      <c r="D366" t="s">
        <v>23</v>
      </c>
      <c r="E366">
        <v>1.51</v>
      </c>
      <c r="F366">
        <v>3.6</v>
      </c>
      <c r="G366" s="8">
        <f t="shared" si="5"/>
        <v>25.166666666666664</v>
      </c>
    </row>
    <row r="367" spans="1:7" x14ac:dyDescent="0.25">
      <c r="A367" s="5">
        <v>45807.354166666664</v>
      </c>
      <c r="B367">
        <v>18</v>
      </c>
      <c r="C367" t="s">
        <v>23</v>
      </c>
      <c r="D367" t="s">
        <v>24</v>
      </c>
      <c r="E367">
        <v>1.51</v>
      </c>
      <c r="F367">
        <v>3.28</v>
      </c>
      <c r="G367" s="8">
        <f t="shared" si="5"/>
        <v>27.621951219512194</v>
      </c>
    </row>
    <row r="368" spans="1:7" x14ac:dyDescent="0.25">
      <c r="A368" s="5">
        <v>45807.354166666664</v>
      </c>
      <c r="B368">
        <v>19</v>
      </c>
      <c r="C368" t="s">
        <v>25</v>
      </c>
      <c r="D368" t="s">
        <v>26</v>
      </c>
      <c r="E368">
        <v>1.5</v>
      </c>
      <c r="F368">
        <v>5.33</v>
      </c>
      <c r="G368" s="8">
        <f t="shared" si="5"/>
        <v>16.885553470919323</v>
      </c>
    </row>
    <row r="369" spans="1:7" x14ac:dyDescent="0.25">
      <c r="A369" s="5">
        <v>45807.354166666664</v>
      </c>
      <c r="B369">
        <v>20</v>
      </c>
      <c r="C369" t="s">
        <v>26</v>
      </c>
      <c r="D369" t="s">
        <v>27</v>
      </c>
      <c r="E369">
        <v>1.48</v>
      </c>
      <c r="F369">
        <v>4.2300000000000004</v>
      </c>
      <c r="G369" s="8">
        <f t="shared" si="5"/>
        <v>20.992907801418436</v>
      </c>
    </row>
    <row r="370" spans="1:7" x14ac:dyDescent="0.25">
      <c r="A370" s="5">
        <v>45807.354166666664</v>
      </c>
      <c r="B370">
        <v>21</v>
      </c>
      <c r="C370" t="s">
        <v>27</v>
      </c>
      <c r="D370" t="s">
        <v>28</v>
      </c>
      <c r="E370">
        <v>1.51</v>
      </c>
      <c r="F370">
        <v>4.8499999999999996</v>
      </c>
      <c r="G370" s="8">
        <f t="shared" si="5"/>
        <v>18.680412371134022</v>
      </c>
    </row>
    <row r="371" spans="1:7" x14ac:dyDescent="0.25">
      <c r="A371" s="5">
        <v>45807.354166666664</v>
      </c>
      <c r="B371">
        <v>22</v>
      </c>
      <c r="C371" t="s">
        <v>28</v>
      </c>
      <c r="D371" t="s">
        <v>29</v>
      </c>
      <c r="E371">
        <v>1.57</v>
      </c>
      <c r="F371">
        <v>4.75</v>
      </c>
      <c r="G371" s="8">
        <f t="shared" si="5"/>
        <v>19.831578947368421</v>
      </c>
    </row>
    <row r="372" spans="1:7" x14ac:dyDescent="0.25">
      <c r="A372" s="5">
        <v>45807.354166666664</v>
      </c>
      <c r="B372">
        <v>23</v>
      </c>
      <c r="C372" t="s">
        <v>29</v>
      </c>
      <c r="D372" t="s">
        <v>30</v>
      </c>
      <c r="E372">
        <v>1.43</v>
      </c>
      <c r="F372">
        <v>4.63</v>
      </c>
      <c r="G372" s="8">
        <f t="shared" si="5"/>
        <v>18.531317494600433</v>
      </c>
    </row>
    <row r="373" spans="1:7" x14ac:dyDescent="0.25">
      <c r="A373" s="5">
        <v>45807.354166666664</v>
      </c>
      <c r="B373">
        <v>24</v>
      </c>
      <c r="C373" t="s">
        <v>30</v>
      </c>
      <c r="D373" t="s">
        <v>31</v>
      </c>
      <c r="E373">
        <v>1.52</v>
      </c>
      <c r="F373">
        <v>4.4000000000000004</v>
      </c>
      <c r="G373" s="8">
        <f t="shared" si="5"/>
        <v>20.727272727272727</v>
      </c>
    </row>
    <row r="374" spans="1:7" x14ac:dyDescent="0.25">
      <c r="A374" s="5">
        <v>45807.354166666664</v>
      </c>
      <c r="B374">
        <v>25</v>
      </c>
      <c r="C374" t="s">
        <v>31</v>
      </c>
      <c r="D374" t="s">
        <v>32</v>
      </c>
      <c r="E374">
        <v>1.52</v>
      </c>
      <c r="F374">
        <v>3.45</v>
      </c>
      <c r="G374" s="8">
        <f t="shared" si="5"/>
        <v>26.434782608695652</v>
      </c>
    </row>
    <row r="375" spans="1:7" x14ac:dyDescent="0.25">
      <c r="A375" s="5">
        <v>45807.354166666664</v>
      </c>
      <c r="B375">
        <v>26</v>
      </c>
      <c r="C375" t="s">
        <v>32</v>
      </c>
      <c r="D375" t="s">
        <v>33</v>
      </c>
      <c r="E375">
        <v>1.49</v>
      </c>
      <c r="F375">
        <v>3.75</v>
      </c>
      <c r="G375" s="8">
        <f t="shared" si="5"/>
        <v>23.84</v>
      </c>
    </row>
    <row r="376" spans="1:7" x14ac:dyDescent="0.25">
      <c r="A376" s="5">
        <v>45807.354166666664</v>
      </c>
      <c r="B376">
        <v>27</v>
      </c>
      <c r="C376" t="s">
        <v>33</v>
      </c>
      <c r="D376" t="s">
        <v>34</v>
      </c>
      <c r="E376">
        <v>1.53</v>
      </c>
      <c r="F376">
        <v>3.35</v>
      </c>
      <c r="G376" s="8">
        <f t="shared" si="5"/>
        <v>27.402985074626866</v>
      </c>
    </row>
    <row r="377" spans="1:7" x14ac:dyDescent="0.25">
      <c r="A377" s="5">
        <v>45807.354166666664</v>
      </c>
      <c r="B377">
        <v>28</v>
      </c>
      <c r="C377" t="s">
        <v>34</v>
      </c>
      <c r="D377" t="s">
        <v>35</v>
      </c>
      <c r="E377">
        <v>1.51</v>
      </c>
      <c r="F377">
        <v>4.58</v>
      </c>
      <c r="G377" s="8">
        <f t="shared" si="5"/>
        <v>19.781659388646286</v>
      </c>
    </row>
    <row r="378" spans="1:7" x14ac:dyDescent="0.25">
      <c r="A378" s="5">
        <v>45807.354166666664</v>
      </c>
      <c r="B378">
        <v>29</v>
      </c>
      <c r="C378" t="s">
        <v>36</v>
      </c>
      <c r="D378" t="s">
        <v>37</v>
      </c>
      <c r="E378">
        <v>1.57</v>
      </c>
      <c r="F378">
        <v>5.05</v>
      </c>
      <c r="G378" s="8">
        <f t="shared" si="5"/>
        <v>18.653465346534656</v>
      </c>
    </row>
    <row r="379" spans="1:7" x14ac:dyDescent="0.25">
      <c r="A379" s="5">
        <v>45807.354166666664</v>
      </c>
      <c r="B379">
        <v>30</v>
      </c>
      <c r="C379" t="s">
        <v>37</v>
      </c>
      <c r="D379" t="s">
        <v>38</v>
      </c>
      <c r="E379">
        <v>1.57</v>
      </c>
      <c r="F379">
        <v>5.97</v>
      </c>
      <c r="G379" s="8">
        <f t="shared" si="5"/>
        <v>15.778894472361809</v>
      </c>
    </row>
    <row r="380" spans="1:7" x14ac:dyDescent="0.25">
      <c r="A380" s="5">
        <v>45807.354166666664</v>
      </c>
      <c r="B380">
        <v>31</v>
      </c>
      <c r="C380" t="s">
        <v>38</v>
      </c>
      <c r="D380" t="s">
        <v>39</v>
      </c>
      <c r="E380">
        <v>1.52</v>
      </c>
      <c r="F380">
        <v>3.8</v>
      </c>
      <c r="G380" s="8">
        <f t="shared" si="5"/>
        <v>24.000000000000004</v>
      </c>
    </row>
    <row r="381" spans="1:7" x14ac:dyDescent="0.25">
      <c r="A381" s="5">
        <v>45807.354166666664</v>
      </c>
      <c r="B381">
        <v>32</v>
      </c>
      <c r="C381" t="s">
        <v>39</v>
      </c>
      <c r="D381" t="s">
        <v>40</v>
      </c>
      <c r="E381">
        <v>1.5</v>
      </c>
      <c r="F381">
        <v>1.68</v>
      </c>
      <c r="G381" s="8">
        <f t="shared" si="5"/>
        <v>53.571428571428577</v>
      </c>
    </row>
    <row r="382" spans="1:7" x14ac:dyDescent="0.25">
      <c r="A382" s="5">
        <v>45807.354166666664</v>
      </c>
      <c r="B382">
        <v>33</v>
      </c>
      <c r="C382" t="s">
        <v>40</v>
      </c>
      <c r="D382" t="s">
        <v>41</v>
      </c>
      <c r="E382">
        <v>1.51</v>
      </c>
      <c r="F382">
        <v>1.75</v>
      </c>
      <c r="G382" s="8">
        <f t="shared" si="5"/>
        <v>51.771428571428565</v>
      </c>
    </row>
    <row r="383" spans="1:7" x14ac:dyDescent="0.25">
      <c r="A383" s="5">
        <v>45807.354166666664</v>
      </c>
      <c r="B383">
        <v>34</v>
      </c>
      <c r="C383" t="s">
        <v>41</v>
      </c>
      <c r="D383" t="s">
        <v>42</v>
      </c>
      <c r="E383">
        <v>1.5</v>
      </c>
      <c r="F383">
        <v>1.88</v>
      </c>
      <c r="G383" s="8">
        <f t="shared" si="5"/>
        <v>47.872340425531917</v>
      </c>
    </row>
    <row r="384" spans="1:7" x14ac:dyDescent="0.25">
      <c r="A384" s="5">
        <v>45807.354166666664</v>
      </c>
      <c r="B384">
        <v>35</v>
      </c>
      <c r="C384" t="s">
        <v>43</v>
      </c>
      <c r="D384" t="s">
        <v>44</v>
      </c>
      <c r="E384">
        <v>1.55</v>
      </c>
      <c r="F384">
        <v>4.43</v>
      </c>
      <c r="G384" s="8">
        <f t="shared" si="5"/>
        <v>20.993227990970656</v>
      </c>
    </row>
    <row r="385" spans="1:7" x14ac:dyDescent="0.25">
      <c r="A385" s="5">
        <v>45807.354166666664</v>
      </c>
      <c r="B385">
        <v>36</v>
      </c>
      <c r="C385" t="s">
        <v>44</v>
      </c>
      <c r="D385" t="s">
        <v>45</v>
      </c>
      <c r="E385">
        <v>1.5</v>
      </c>
      <c r="F385">
        <v>3.18</v>
      </c>
      <c r="G385" s="8">
        <f t="shared" si="5"/>
        <v>28.30188679245283</v>
      </c>
    </row>
    <row r="386" spans="1:7" x14ac:dyDescent="0.25">
      <c r="A386" s="5">
        <v>45807.354166666664</v>
      </c>
      <c r="B386">
        <v>37</v>
      </c>
      <c r="C386" t="s">
        <v>45</v>
      </c>
      <c r="D386" t="s">
        <v>46</v>
      </c>
      <c r="E386">
        <v>1.38</v>
      </c>
      <c r="F386">
        <v>4.2300000000000004</v>
      </c>
      <c r="G386" s="8">
        <f t="shared" si="5"/>
        <v>19.574468085106382</v>
      </c>
    </row>
    <row r="387" spans="1:7" x14ac:dyDescent="0.25">
      <c r="A387" s="5">
        <v>45807.354166666664</v>
      </c>
      <c r="B387">
        <v>38</v>
      </c>
      <c r="C387" t="s">
        <v>46</v>
      </c>
      <c r="D387" t="s">
        <v>47</v>
      </c>
      <c r="E387">
        <v>1.61</v>
      </c>
      <c r="F387">
        <v>3.75</v>
      </c>
      <c r="G387" s="8">
        <f t="shared" ref="G387:G450" si="6">E387*60/F387</f>
        <v>25.76</v>
      </c>
    </row>
    <row r="388" spans="1:7" x14ac:dyDescent="0.25">
      <c r="A388" s="5">
        <v>45807.354166666664</v>
      </c>
      <c r="B388">
        <v>39</v>
      </c>
      <c r="C388" t="s">
        <v>47</v>
      </c>
      <c r="D388" t="s">
        <v>48</v>
      </c>
      <c r="E388">
        <v>1.55</v>
      </c>
      <c r="F388">
        <v>3.35</v>
      </c>
      <c r="G388" s="8">
        <f t="shared" si="6"/>
        <v>27.761194029850746</v>
      </c>
    </row>
    <row r="389" spans="1:7" x14ac:dyDescent="0.25">
      <c r="A389" s="5">
        <v>45807.354166666664</v>
      </c>
      <c r="B389">
        <v>40</v>
      </c>
      <c r="C389" t="s">
        <v>48</v>
      </c>
      <c r="D389" t="s">
        <v>49</v>
      </c>
      <c r="E389">
        <v>1.39</v>
      </c>
      <c r="F389">
        <v>2.8</v>
      </c>
      <c r="G389" s="8">
        <f t="shared" si="6"/>
        <v>29.785714285714285</v>
      </c>
    </row>
    <row r="390" spans="1:7" x14ac:dyDescent="0.25">
      <c r="A390" s="5">
        <v>45807.354166666664</v>
      </c>
      <c r="B390">
        <v>41</v>
      </c>
      <c r="C390" t="s">
        <v>50</v>
      </c>
      <c r="D390" t="s">
        <v>51</v>
      </c>
      <c r="E390">
        <v>1.56</v>
      </c>
      <c r="F390">
        <v>4.78</v>
      </c>
      <c r="G390" s="8">
        <f t="shared" si="6"/>
        <v>19.581589958158997</v>
      </c>
    </row>
    <row r="391" spans="1:7" x14ac:dyDescent="0.25">
      <c r="A391" s="5">
        <v>45807.354166666664</v>
      </c>
      <c r="B391">
        <v>42</v>
      </c>
      <c r="C391" t="s">
        <v>51</v>
      </c>
      <c r="D391" t="s">
        <v>52</v>
      </c>
      <c r="E391">
        <v>1.56</v>
      </c>
      <c r="F391">
        <v>4.5999999999999996</v>
      </c>
      <c r="G391" s="8">
        <f t="shared" si="6"/>
        <v>20.347826086956527</v>
      </c>
    </row>
    <row r="392" spans="1:7" x14ac:dyDescent="0.25">
      <c r="A392" s="5">
        <v>45807.354166666664</v>
      </c>
      <c r="B392">
        <v>43</v>
      </c>
      <c r="C392" t="s">
        <v>52</v>
      </c>
      <c r="D392" t="s">
        <v>53</v>
      </c>
      <c r="E392">
        <v>1.51</v>
      </c>
      <c r="F392">
        <v>3.52</v>
      </c>
      <c r="G392" s="8">
        <f t="shared" si="6"/>
        <v>25.738636363636363</v>
      </c>
    </row>
    <row r="393" spans="1:7" x14ac:dyDescent="0.25">
      <c r="A393" s="5">
        <v>45807.354166666664</v>
      </c>
      <c r="B393">
        <v>44</v>
      </c>
      <c r="C393" t="s">
        <v>54</v>
      </c>
      <c r="D393" t="s">
        <v>55</v>
      </c>
      <c r="E393">
        <v>1.51</v>
      </c>
      <c r="F393">
        <v>4.9000000000000004</v>
      </c>
      <c r="G393" s="8">
        <f t="shared" si="6"/>
        <v>18.489795918367346</v>
      </c>
    </row>
    <row r="394" spans="1:7" x14ac:dyDescent="0.25">
      <c r="A394" s="5">
        <v>45807.354166666664</v>
      </c>
      <c r="B394">
        <v>45</v>
      </c>
      <c r="C394" t="s">
        <v>55</v>
      </c>
      <c r="D394" t="s">
        <v>56</v>
      </c>
      <c r="E394">
        <v>1.49</v>
      </c>
      <c r="F394">
        <v>3.65</v>
      </c>
      <c r="G394" s="8">
        <f t="shared" si="6"/>
        <v>24.493150684931511</v>
      </c>
    </row>
    <row r="395" spans="1:7" x14ac:dyDescent="0.25">
      <c r="A395" s="5">
        <v>45807.354166666664</v>
      </c>
      <c r="B395">
        <v>46</v>
      </c>
      <c r="C395" t="s">
        <v>56</v>
      </c>
      <c r="D395" t="s">
        <v>57</v>
      </c>
      <c r="E395">
        <v>1.52</v>
      </c>
      <c r="F395">
        <v>4.28</v>
      </c>
      <c r="G395" s="8">
        <f t="shared" si="6"/>
        <v>21.308411214953271</v>
      </c>
    </row>
    <row r="396" spans="1:7" x14ac:dyDescent="0.25">
      <c r="A396" s="5">
        <v>45807.354166666664</v>
      </c>
      <c r="B396">
        <v>47</v>
      </c>
      <c r="C396" t="s">
        <v>58</v>
      </c>
      <c r="D396" t="s">
        <v>59</v>
      </c>
      <c r="E396">
        <v>1.52</v>
      </c>
      <c r="F396">
        <v>6.32</v>
      </c>
      <c r="G396" s="8">
        <f t="shared" si="6"/>
        <v>14.430379746835444</v>
      </c>
    </row>
    <row r="397" spans="1:7" x14ac:dyDescent="0.25">
      <c r="A397" s="5">
        <v>45807.354166666664</v>
      </c>
      <c r="B397">
        <v>48</v>
      </c>
      <c r="C397" t="s">
        <v>59</v>
      </c>
      <c r="D397" t="s">
        <v>60</v>
      </c>
      <c r="E397">
        <v>1.5</v>
      </c>
      <c r="F397">
        <v>3.95</v>
      </c>
      <c r="G397" s="8">
        <f t="shared" si="6"/>
        <v>22.784810126582279</v>
      </c>
    </row>
    <row r="398" spans="1:7" x14ac:dyDescent="0.25">
      <c r="A398" s="5">
        <v>45807.354166666664</v>
      </c>
      <c r="B398">
        <v>49</v>
      </c>
      <c r="C398" t="s">
        <v>60</v>
      </c>
      <c r="D398" t="s">
        <v>61</v>
      </c>
      <c r="E398">
        <v>1.57</v>
      </c>
      <c r="F398">
        <v>4.88</v>
      </c>
      <c r="G398" s="8">
        <f t="shared" si="6"/>
        <v>19.303278688524593</v>
      </c>
    </row>
    <row r="399" spans="1:7" x14ac:dyDescent="0.25">
      <c r="A399" s="5">
        <v>45807.354166666664</v>
      </c>
      <c r="B399">
        <v>50</v>
      </c>
      <c r="C399" t="s">
        <v>62</v>
      </c>
      <c r="D399" t="s">
        <v>63</v>
      </c>
      <c r="E399">
        <v>1.38</v>
      </c>
      <c r="F399">
        <v>3.13</v>
      </c>
      <c r="G399" s="8">
        <f t="shared" si="6"/>
        <v>26.453674121405751</v>
      </c>
    </row>
    <row r="400" spans="1:7" x14ac:dyDescent="0.25">
      <c r="A400" s="5">
        <v>45807.354166666664</v>
      </c>
      <c r="B400">
        <v>51</v>
      </c>
      <c r="C400" t="s">
        <v>63</v>
      </c>
      <c r="D400" t="s">
        <v>64</v>
      </c>
      <c r="E400">
        <v>2.79</v>
      </c>
      <c r="F400">
        <v>6.57</v>
      </c>
      <c r="G400" s="8">
        <f t="shared" si="6"/>
        <v>25.479452054794521</v>
      </c>
    </row>
    <row r="401" spans="1:7" x14ac:dyDescent="0.25">
      <c r="A401" s="5">
        <v>45807.354166666664</v>
      </c>
      <c r="B401">
        <v>52</v>
      </c>
      <c r="C401" t="s">
        <v>64</v>
      </c>
      <c r="D401" t="s">
        <v>65</v>
      </c>
      <c r="E401">
        <v>1.5</v>
      </c>
      <c r="F401">
        <v>2.95</v>
      </c>
      <c r="G401" s="8">
        <f t="shared" si="6"/>
        <v>30.508474576271183</v>
      </c>
    </row>
    <row r="402" spans="1:7" x14ac:dyDescent="0.25">
      <c r="A402" s="5">
        <v>45807.354166666664</v>
      </c>
      <c r="B402">
        <v>53</v>
      </c>
      <c r="C402" t="s">
        <v>65</v>
      </c>
      <c r="D402" t="s">
        <v>66</v>
      </c>
      <c r="E402">
        <v>1.46</v>
      </c>
      <c r="F402">
        <v>4.05</v>
      </c>
      <c r="G402" s="8">
        <f t="shared" si="6"/>
        <v>21.62962962962963</v>
      </c>
    </row>
    <row r="403" spans="1:7" x14ac:dyDescent="0.25">
      <c r="A403" s="5">
        <v>45807.354166666664</v>
      </c>
      <c r="B403">
        <v>54</v>
      </c>
      <c r="C403" t="s">
        <v>67</v>
      </c>
      <c r="D403" t="s">
        <v>68</v>
      </c>
      <c r="E403">
        <v>1.46</v>
      </c>
      <c r="F403">
        <v>6.52</v>
      </c>
      <c r="G403" s="8">
        <f t="shared" si="6"/>
        <v>13.435582822085889</v>
      </c>
    </row>
    <row r="404" spans="1:7" x14ac:dyDescent="0.25">
      <c r="A404" s="5">
        <v>45807.354166666664</v>
      </c>
      <c r="B404">
        <v>55</v>
      </c>
      <c r="C404" t="s">
        <v>68</v>
      </c>
      <c r="D404" t="s">
        <v>69</v>
      </c>
      <c r="E404">
        <v>1.5</v>
      </c>
      <c r="F404">
        <v>2.12</v>
      </c>
      <c r="G404" s="8">
        <f t="shared" si="6"/>
        <v>42.452830188679243</v>
      </c>
    </row>
    <row r="405" spans="1:7" x14ac:dyDescent="0.25">
      <c r="A405" s="5">
        <v>45807.354166666664</v>
      </c>
      <c r="B405">
        <v>56</v>
      </c>
      <c r="C405" t="s">
        <v>70</v>
      </c>
      <c r="D405" t="s">
        <v>71</v>
      </c>
      <c r="E405">
        <v>1.51</v>
      </c>
      <c r="F405">
        <v>4.97</v>
      </c>
      <c r="G405" s="8">
        <f t="shared" si="6"/>
        <v>18.229376257545272</v>
      </c>
    </row>
    <row r="406" spans="1:7" x14ac:dyDescent="0.25">
      <c r="A406" s="5">
        <v>45807.354166666664</v>
      </c>
      <c r="B406">
        <v>57</v>
      </c>
      <c r="C406" t="s">
        <v>71</v>
      </c>
      <c r="D406" t="s">
        <v>72</v>
      </c>
      <c r="E406">
        <v>1.52</v>
      </c>
      <c r="F406">
        <v>4.22</v>
      </c>
      <c r="G406" s="8">
        <f t="shared" si="6"/>
        <v>21.611374407582939</v>
      </c>
    </row>
    <row r="407" spans="1:7" x14ac:dyDescent="0.25">
      <c r="A407" s="5">
        <v>45807.354166666664</v>
      </c>
      <c r="B407">
        <v>58</v>
      </c>
      <c r="C407" t="s">
        <v>72</v>
      </c>
      <c r="D407" t="s">
        <v>73</v>
      </c>
      <c r="E407">
        <v>1.5</v>
      </c>
      <c r="F407">
        <v>3.85</v>
      </c>
      <c r="G407" s="8">
        <f t="shared" si="6"/>
        <v>23.376623376623375</v>
      </c>
    </row>
    <row r="408" spans="1:7" x14ac:dyDescent="0.25">
      <c r="A408" s="5">
        <v>45807.364583333336</v>
      </c>
      <c r="B408">
        <v>1</v>
      </c>
      <c r="C408" t="s">
        <v>6</v>
      </c>
      <c r="D408" t="s">
        <v>7</v>
      </c>
      <c r="E408">
        <v>1.53</v>
      </c>
      <c r="F408">
        <v>3.3</v>
      </c>
      <c r="G408" s="8">
        <f t="shared" si="6"/>
        <v>27.81818181818182</v>
      </c>
    </row>
    <row r="409" spans="1:7" x14ac:dyDescent="0.25">
      <c r="A409" s="5">
        <v>45807.364583333336</v>
      </c>
      <c r="B409">
        <v>2</v>
      </c>
      <c r="C409" t="s">
        <v>7</v>
      </c>
      <c r="D409" t="s">
        <v>8</v>
      </c>
      <c r="E409">
        <v>1.57</v>
      </c>
      <c r="F409">
        <v>5.73</v>
      </c>
      <c r="G409" s="8">
        <f t="shared" si="6"/>
        <v>16.439790575916231</v>
      </c>
    </row>
    <row r="410" spans="1:7" x14ac:dyDescent="0.25">
      <c r="A410" s="5">
        <v>45807.364583333336</v>
      </c>
      <c r="B410">
        <v>3</v>
      </c>
      <c r="C410" t="s">
        <v>8</v>
      </c>
      <c r="D410" t="s">
        <v>9</v>
      </c>
      <c r="E410">
        <v>1.5</v>
      </c>
      <c r="F410">
        <v>3.2</v>
      </c>
      <c r="G410" s="8">
        <f t="shared" si="6"/>
        <v>28.125</v>
      </c>
    </row>
    <row r="411" spans="1:7" x14ac:dyDescent="0.25">
      <c r="A411" s="5">
        <v>45807.364583333336</v>
      </c>
      <c r="B411">
        <v>4</v>
      </c>
      <c r="C411" t="s">
        <v>9</v>
      </c>
      <c r="D411" t="s">
        <v>10</v>
      </c>
      <c r="E411">
        <v>1.5</v>
      </c>
      <c r="F411">
        <v>2.7</v>
      </c>
      <c r="G411" s="8">
        <f t="shared" si="6"/>
        <v>33.333333333333329</v>
      </c>
    </row>
    <row r="412" spans="1:7" x14ac:dyDescent="0.25">
      <c r="A412" s="5">
        <v>45807.364583333336</v>
      </c>
      <c r="B412">
        <v>5</v>
      </c>
      <c r="C412" t="s">
        <v>10</v>
      </c>
      <c r="D412" t="s">
        <v>11</v>
      </c>
      <c r="E412">
        <v>1.52</v>
      </c>
      <c r="F412">
        <v>3.3</v>
      </c>
      <c r="G412" s="8">
        <f t="shared" si="6"/>
        <v>27.63636363636364</v>
      </c>
    </row>
    <row r="413" spans="1:7" x14ac:dyDescent="0.25">
      <c r="A413" s="5">
        <v>45807.364583333336</v>
      </c>
      <c r="B413">
        <v>6</v>
      </c>
      <c r="C413" t="s">
        <v>11</v>
      </c>
      <c r="D413" t="s">
        <v>12</v>
      </c>
      <c r="E413">
        <v>1.5</v>
      </c>
      <c r="F413">
        <v>2.73</v>
      </c>
      <c r="G413" s="8">
        <f t="shared" si="6"/>
        <v>32.967032967032971</v>
      </c>
    </row>
    <row r="414" spans="1:7" x14ac:dyDescent="0.25">
      <c r="A414" s="5">
        <v>45807.364583333336</v>
      </c>
      <c r="B414">
        <v>7</v>
      </c>
      <c r="C414" t="s">
        <v>12</v>
      </c>
      <c r="D414" t="s">
        <v>13</v>
      </c>
      <c r="E414">
        <v>1.54</v>
      </c>
      <c r="F414">
        <v>2.75</v>
      </c>
      <c r="G414" s="8">
        <f t="shared" si="6"/>
        <v>33.6</v>
      </c>
    </row>
    <row r="415" spans="1:7" x14ac:dyDescent="0.25">
      <c r="A415" s="5">
        <v>45807.364583333336</v>
      </c>
      <c r="B415">
        <v>8</v>
      </c>
      <c r="C415" t="s">
        <v>13</v>
      </c>
      <c r="D415" t="s">
        <v>14</v>
      </c>
      <c r="E415">
        <v>1.54</v>
      </c>
      <c r="F415">
        <v>3.53</v>
      </c>
      <c r="G415" s="8">
        <f t="shared" si="6"/>
        <v>26.175637393767708</v>
      </c>
    </row>
    <row r="416" spans="1:7" x14ac:dyDescent="0.25">
      <c r="A416" s="5">
        <v>45807.364583333336</v>
      </c>
      <c r="B416">
        <v>9</v>
      </c>
      <c r="C416" t="s">
        <v>14</v>
      </c>
      <c r="D416" t="s">
        <v>15</v>
      </c>
      <c r="E416">
        <v>1.52</v>
      </c>
      <c r="F416">
        <v>4.05</v>
      </c>
      <c r="G416" s="8">
        <f t="shared" si="6"/>
        <v>22.518518518518519</v>
      </c>
    </row>
    <row r="417" spans="1:7" x14ac:dyDescent="0.25">
      <c r="A417" s="5">
        <v>45807.364583333336</v>
      </c>
      <c r="B417">
        <v>10</v>
      </c>
      <c r="C417" t="s">
        <v>15</v>
      </c>
      <c r="D417" t="s">
        <v>16</v>
      </c>
      <c r="E417">
        <v>1.5</v>
      </c>
      <c r="F417">
        <v>4.47</v>
      </c>
      <c r="G417" s="8">
        <f t="shared" si="6"/>
        <v>20.134228187919465</v>
      </c>
    </row>
    <row r="418" spans="1:7" x14ac:dyDescent="0.25">
      <c r="A418" s="5">
        <v>45807.364583333336</v>
      </c>
      <c r="B418">
        <v>11</v>
      </c>
      <c r="C418" t="s">
        <v>16</v>
      </c>
      <c r="D418" t="s">
        <v>17</v>
      </c>
      <c r="E418">
        <v>1.48</v>
      </c>
      <c r="F418">
        <v>2.95</v>
      </c>
      <c r="G418" s="8">
        <f t="shared" si="6"/>
        <v>30.101694915254235</v>
      </c>
    </row>
    <row r="419" spans="1:7" x14ac:dyDescent="0.25">
      <c r="A419" s="5">
        <v>45807.364583333336</v>
      </c>
      <c r="B419">
        <v>12</v>
      </c>
      <c r="C419" t="s">
        <v>17</v>
      </c>
      <c r="D419" t="s">
        <v>18</v>
      </c>
      <c r="E419">
        <v>1.46</v>
      </c>
      <c r="F419">
        <v>4.42</v>
      </c>
      <c r="G419" s="8">
        <f t="shared" si="6"/>
        <v>19.819004524886878</v>
      </c>
    </row>
    <row r="420" spans="1:7" x14ac:dyDescent="0.25">
      <c r="A420" s="5">
        <v>45807.364583333336</v>
      </c>
      <c r="B420">
        <v>13</v>
      </c>
      <c r="C420" t="s">
        <v>18</v>
      </c>
      <c r="D420" t="s">
        <v>19</v>
      </c>
      <c r="E420">
        <v>1.52</v>
      </c>
      <c r="F420">
        <v>4.88</v>
      </c>
      <c r="G420" s="8">
        <f t="shared" si="6"/>
        <v>18.688524590163937</v>
      </c>
    </row>
    <row r="421" spans="1:7" x14ac:dyDescent="0.25">
      <c r="A421" s="5">
        <v>45807.364583333336</v>
      </c>
      <c r="B421">
        <v>14</v>
      </c>
      <c r="C421" t="s">
        <v>19</v>
      </c>
      <c r="D421" t="s">
        <v>20</v>
      </c>
      <c r="E421">
        <v>1.51</v>
      </c>
      <c r="F421">
        <v>3.8</v>
      </c>
      <c r="G421" s="8">
        <f t="shared" si="6"/>
        <v>23.842105263157894</v>
      </c>
    </row>
    <row r="422" spans="1:7" x14ac:dyDescent="0.25">
      <c r="A422" s="5">
        <v>45807.364583333336</v>
      </c>
      <c r="B422">
        <v>15</v>
      </c>
      <c r="C422" t="s">
        <v>20</v>
      </c>
      <c r="D422" t="s">
        <v>21</v>
      </c>
      <c r="E422">
        <v>1.47</v>
      </c>
      <c r="F422">
        <v>3.08</v>
      </c>
      <c r="G422" s="8">
        <f t="shared" si="6"/>
        <v>28.636363636363637</v>
      </c>
    </row>
    <row r="423" spans="1:7" x14ac:dyDescent="0.25">
      <c r="A423" s="5">
        <v>45807.364583333336</v>
      </c>
      <c r="B423">
        <v>16</v>
      </c>
      <c r="C423" t="s">
        <v>21</v>
      </c>
      <c r="D423" t="s">
        <v>22</v>
      </c>
      <c r="E423">
        <v>1.5</v>
      </c>
      <c r="F423">
        <v>2.25</v>
      </c>
      <c r="G423" s="8">
        <f t="shared" si="6"/>
        <v>40</v>
      </c>
    </row>
    <row r="424" spans="1:7" x14ac:dyDescent="0.25">
      <c r="A424" s="5">
        <v>45807.364583333336</v>
      </c>
      <c r="B424">
        <v>17</v>
      </c>
      <c r="C424" t="s">
        <v>22</v>
      </c>
      <c r="D424" t="s">
        <v>23</v>
      </c>
      <c r="E424">
        <v>1.51</v>
      </c>
      <c r="F424">
        <v>3.43</v>
      </c>
      <c r="G424" s="8">
        <f t="shared" si="6"/>
        <v>26.413994169096206</v>
      </c>
    </row>
    <row r="425" spans="1:7" x14ac:dyDescent="0.25">
      <c r="A425" s="5">
        <v>45807.364583333336</v>
      </c>
      <c r="B425">
        <v>18</v>
      </c>
      <c r="C425" t="s">
        <v>23</v>
      </c>
      <c r="D425" t="s">
        <v>24</v>
      </c>
      <c r="E425">
        <v>1.51</v>
      </c>
      <c r="F425">
        <v>3.23</v>
      </c>
      <c r="G425" s="8">
        <f t="shared" si="6"/>
        <v>28.049535603715167</v>
      </c>
    </row>
    <row r="426" spans="1:7" x14ac:dyDescent="0.25">
      <c r="A426" s="5">
        <v>45807.364583333336</v>
      </c>
      <c r="B426">
        <v>19</v>
      </c>
      <c r="C426" t="s">
        <v>25</v>
      </c>
      <c r="D426" t="s">
        <v>26</v>
      </c>
      <c r="E426">
        <v>1.5</v>
      </c>
      <c r="F426">
        <v>4.13</v>
      </c>
      <c r="G426" s="8">
        <f t="shared" si="6"/>
        <v>21.791767554479421</v>
      </c>
    </row>
    <row r="427" spans="1:7" x14ac:dyDescent="0.25">
      <c r="A427" s="5">
        <v>45807.364583333336</v>
      </c>
      <c r="B427">
        <v>20</v>
      </c>
      <c r="C427" t="s">
        <v>26</v>
      </c>
      <c r="D427" t="s">
        <v>27</v>
      </c>
      <c r="E427">
        <v>1.48</v>
      </c>
      <c r="F427">
        <v>3.72</v>
      </c>
      <c r="G427" s="8">
        <f t="shared" si="6"/>
        <v>23.87096774193548</v>
      </c>
    </row>
    <row r="428" spans="1:7" x14ac:dyDescent="0.25">
      <c r="A428" s="5">
        <v>45807.364583333336</v>
      </c>
      <c r="B428">
        <v>21</v>
      </c>
      <c r="C428" t="s">
        <v>27</v>
      </c>
      <c r="D428" t="s">
        <v>28</v>
      </c>
      <c r="E428">
        <v>1.51</v>
      </c>
      <c r="F428">
        <v>3.87</v>
      </c>
      <c r="G428" s="8">
        <f t="shared" si="6"/>
        <v>23.410852713178294</v>
      </c>
    </row>
    <row r="429" spans="1:7" x14ac:dyDescent="0.25">
      <c r="A429" s="5">
        <v>45807.364583333336</v>
      </c>
      <c r="B429">
        <v>22</v>
      </c>
      <c r="C429" t="s">
        <v>28</v>
      </c>
      <c r="D429" t="s">
        <v>29</v>
      </c>
      <c r="E429">
        <v>1.57</v>
      </c>
      <c r="F429">
        <v>4.7300000000000004</v>
      </c>
      <c r="G429" s="8">
        <f t="shared" si="6"/>
        <v>19.915433403805494</v>
      </c>
    </row>
    <row r="430" spans="1:7" x14ac:dyDescent="0.25">
      <c r="A430" s="5">
        <v>45807.364583333336</v>
      </c>
      <c r="B430">
        <v>23</v>
      </c>
      <c r="C430" t="s">
        <v>29</v>
      </c>
      <c r="D430" t="s">
        <v>30</v>
      </c>
      <c r="E430">
        <v>1.43</v>
      </c>
      <c r="F430">
        <v>4.25</v>
      </c>
      <c r="G430" s="8">
        <f t="shared" si="6"/>
        <v>20.188235294117646</v>
      </c>
    </row>
    <row r="431" spans="1:7" x14ac:dyDescent="0.25">
      <c r="A431" s="5">
        <v>45807.364583333336</v>
      </c>
      <c r="B431">
        <v>24</v>
      </c>
      <c r="C431" t="s">
        <v>30</v>
      </c>
      <c r="D431" t="s">
        <v>31</v>
      </c>
      <c r="E431">
        <v>1.52</v>
      </c>
      <c r="F431">
        <v>4.45</v>
      </c>
      <c r="G431" s="8">
        <f t="shared" si="6"/>
        <v>20.49438202247191</v>
      </c>
    </row>
    <row r="432" spans="1:7" x14ac:dyDescent="0.25">
      <c r="A432" s="5">
        <v>45807.364583333336</v>
      </c>
      <c r="B432">
        <v>25</v>
      </c>
      <c r="C432" t="s">
        <v>31</v>
      </c>
      <c r="D432" t="s">
        <v>32</v>
      </c>
      <c r="E432">
        <v>1.52</v>
      </c>
      <c r="F432">
        <v>3.5</v>
      </c>
      <c r="G432" s="8">
        <f t="shared" si="6"/>
        <v>26.057142857142857</v>
      </c>
    </row>
    <row r="433" spans="1:7" x14ac:dyDescent="0.25">
      <c r="A433" s="5">
        <v>45807.364583333336</v>
      </c>
      <c r="B433">
        <v>26</v>
      </c>
      <c r="C433" t="s">
        <v>32</v>
      </c>
      <c r="D433" t="s">
        <v>33</v>
      </c>
      <c r="E433">
        <v>1.49</v>
      </c>
      <c r="F433">
        <v>4.57</v>
      </c>
      <c r="G433" s="8">
        <f t="shared" si="6"/>
        <v>19.562363238512035</v>
      </c>
    </row>
    <row r="434" spans="1:7" x14ac:dyDescent="0.25">
      <c r="A434" s="5">
        <v>45807.364583333336</v>
      </c>
      <c r="B434">
        <v>27</v>
      </c>
      <c r="C434" t="s">
        <v>33</v>
      </c>
      <c r="D434" t="s">
        <v>34</v>
      </c>
      <c r="E434">
        <v>1.53</v>
      </c>
      <c r="F434">
        <v>3.37</v>
      </c>
      <c r="G434" s="8">
        <f t="shared" si="6"/>
        <v>27.240356083086052</v>
      </c>
    </row>
    <row r="435" spans="1:7" x14ac:dyDescent="0.25">
      <c r="A435" s="5">
        <v>45807.364583333336</v>
      </c>
      <c r="B435">
        <v>28</v>
      </c>
      <c r="C435" t="s">
        <v>34</v>
      </c>
      <c r="D435" t="s">
        <v>35</v>
      </c>
      <c r="E435">
        <v>1.51</v>
      </c>
      <c r="F435">
        <v>4.32</v>
      </c>
      <c r="G435" s="8">
        <f t="shared" si="6"/>
        <v>20.972222222222218</v>
      </c>
    </row>
    <row r="436" spans="1:7" x14ac:dyDescent="0.25">
      <c r="A436" s="5">
        <v>45807.364583333336</v>
      </c>
      <c r="B436">
        <v>29</v>
      </c>
      <c r="C436" t="s">
        <v>36</v>
      </c>
      <c r="D436" t="s">
        <v>37</v>
      </c>
      <c r="E436">
        <v>1.57</v>
      </c>
      <c r="F436">
        <v>4.93</v>
      </c>
      <c r="G436" s="8">
        <f t="shared" si="6"/>
        <v>19.107505070993916</v>
      </c>
    </row>
    <row r="437" spans="1:7" x14ac:dyDescent="0.25">
      <c r="A437" s="5">
        <v>45807.364583333336</v>
      </c>
      <c r="B437">
        <v>30</v>
      </c>
      <c r="C437" t="s">
        <v>37</v>
      </c>
      <c r="D437" t="s">
        <v>38</v>
      </c>
      <c r="E437">
        <v>1.57</v>
      </c>
      <c r="F437">
        <v>5.73</v>
      </c>
      <c r="G437" s="8">
        <f t="shared" si="6"/>
        <v>16.439790575916231</v>
      </c>
    </row>
    <row r="438" spans="1:7" x14ac:dyDescent="0.25">
      <c r="A438" s="5">
        <v>45807.364583333336</v>
      </c>
      <c r="B438">
        <v>31</v>
      </c>
      <c r="C438" t="s">
        <v>38</v>
      </c>
      <c r="D438" t="s">
        <v>39</v>
      </c>
      <c r="E438">
        <v>1.52</v>
      </c>
      <c r="F438">
        <v>2.97</v>
      </c>
      <c r="G438" s="8">
        <f t="shared" si="6"/>
        <v>30.707070707070706</v>
      </c>
    </row>
    <row r="439" spans="1:7" x14ac:dyDescent="0.25">
      <c r="A439" s="5">
        <v>45807.364583333336</v>
      </c>
      <c r="B439">
        <v>32</v>
      </c>
      <c r="C439" t="s">
        <v>39</v>
      </c>
      <c r="D439" t="s">
        <v>40</v>
      </c>
      <c r="E439">
        <v>1.5</v>
      </c>
      <c r="F439">
        <v>1.73</v>
      </c>
      <c r="G439" s="8">
        <f t="shared" si="6"/>
        <v>52.02312138728324</v>
      </c>
    </row>
    <row r="440" spans="1:7" x14ac:dyDescent="0.25">
      <c r="A440" s="5">
        <v>45807.364583333336</v>
      </c>
      <c r="B440">
        <v>33</v>
      </c>
      <c r="C440" t="s">
        <v>40</v>
      </c>
      <c r="D440" t="s">
        <v>41</v>
      </c>
      <c r="E440">
        <v>1.51</v>
      </c>
      <c r="F440">
        <v>1.8</v>
      </c>
      <c r="G440" s="8">
        <f t="shared" si="6"/>
        <v>50.333333333333329</v>
      </c>
    </row>
    <row r="441" spans="1:7" x14ac:dyDescent="0.25">
      <c r="A441" s="5">
        <v>45807.364583333336</v>
      </c>
      <c r="B441">
        <v>34</v>
      </c>
      <c r="C441" t="s">
        <v>41</v>
      </c>
      <c r="D441" t="s">
        <v>42</v>
      </c>
      <c r="E441">
        <v>1.5</v>
      </c>
      <c r="F441">
        <v>1.85</v>
      </c>
      <c r="G441" s="8">
        <f t="shared" si="6"/>
        <v>48.648648648648646</v>
      </c>
    </row>
    <row r="442" spans="1:7" x14ac:dyDescent="0.25">
      <c r="A442" s="5">
        <v>45807.364583333336</v>
      </c>
      <c r="B442">
        <v>35</v>
      </c>
      <c r="C442" t="s">
        <v>43</v>
      </c>
      <c r="D442" t="s">
        <v>44</v>
      </c>
      <c r="E442">
        <v>1.55</v>
      </c>
      <c r="F442">
        <v>4.07</v>
      </c>
      <c r="G442" s="8">
        <f t="shared" si="6"/>
        <v>22.850122850122847</v>
      </c>
    </row>
    <row r="443" spans="1:7" x14ac:dyDescent="0.25">
      <c r="A443" s="5">
        <v>45807.364583333336</v>
      </c>
      <c r="B443">
        <v>36</v>
      </c>
      <c r="C443" t="s">
        <v>44</v>
      </c>
      <c r="D443" t="s">
        <v>45</v>
      </c>
      <c r="E443">
        <v>1.5</v>
      </c>
      <c r="F443">
        <v>3.12</v>
      </c>
      <c r="G443" s="8">
        <f t="shared" si="6"/>
        <v>28.846153846153847</v>
      </c>
    </row>
    <row r="444" spans="1:7" x14ac:dyDescent="0.25">
      <c r="A444" s="5">
        <v>45807.364583333336</v>
      </c>
      <c r="B444">
        <v>37</v>
      </c>
      <c r="C444" t="s">
        <v>45</v>
      </c>
      <c r="D444" t="s">
        <v>46</v>
      </c>
      <c r="E444">
        <v>1.38</v>
      </c>
      <c r="F444">
        <v>4.12</v>
      </c>
      <c r="G444" s="8">
        <f t="shared" si="6"/>
        <v>20.097087378640776</v>
      </c>
    </row>
    <row r="445" spans="1:7" x14ac:dyDescent="0.25">
      <c r="A445" s="5">
        <v>45807.364583333336</v>
      </c>
      <c r="B445">
        <v>38</v>
      </c>
      <c r="C445" t="s">
        <v>46</v>
      </c>
      <c r="D445" t="s">
        <v>47</v>
      </c>
      <c r="E445">
        <v>1.61</v>
      </c>
      <c r="F445">
        <v>3.77</v>
      </c>
      <c r="G445" s="8">
        <f t="shared" si="6"/>
        <v>25.623342175066316</v>
      </c>
    </row>
    <row r="446" spans="1:7" x14ac:dyDescent="0.25">
      <c r="A446" s="5">
        <v>45807.364583333336</v>
      </c>
      <c r="B446">
        <v>39</v>
      </c>
      <c r="C446" t="s">
        <v>47</v>
      </c>
      <c r="D446" t="s">
        <v>48</v>
      </c>
      <c r="E446">
        <v>1.55</v>
      </c>
      <c r="F446">
        <v>3.4</v>
      </c>
      <c r="G446" s="8">
        <f t="shared" si="6"/>
        <v>27.352941176470591</v>
      </c>
    </row>
    <row r="447" spans="1:7" x14ac:dyDescent="0.25">
      <c r="A447" s="5">
        <v>45807.364583333336</v>
      </c>
      <c r="B447">
        <v>40</v>
      </c>
      <c r="C447" t="s">
        <v>48</v>
      </c>
      <c r="D447" t="s">
        <v>49</v>
      </c>
      <c r="E447">
        <v>1.39</v>
      </c>
      <c r="F447">
        <v>2.9</v>
      </c>
      <c r="G447" s="8">
        <f t="shared" si="6"/>
        <v>28.758620689655171</v>
      </c>
    </row>
    <row r="448" spans="1:7" x14ac:dyDescent="0.25">
      <c r="A448" s="5">
        <v>45807.364583333336</v>
      </c>
      <c r="B448">
        <v>41</v>
      </c>
      <c r="C448" t="s">
        <v>50</v>
      </c>
      <c r="D448" t="s">
        <v>51</v>
      </c>
      <c r="E448">
        <v>1.56</v>
      </c>
      <c r="F448">
        <v>4.67</v>
      </c>
      <c r="G448" s="8">
        <f t="shared" si="6"/>
        <v>20.042826552462529</v>
      </c>
    </row>
    <row r="449" spans="1:7" x14ac:dyDescent="0.25">
      <c r="A449" s="5">
        <v>45807.364583333336</v>
      </c>
      <c r="B449">
        <v>42</v>
      </c>
      <c r="C449" t="s">
        <v>51</v>
      </c>
      <c r="D449" t="s">
        <v>52</v>
      </c>
      <c r="E449">
        <v>1.56</v>
      </c>
      <c r="F449">
        <v>4.47</v>
      </c>
      <c r="G449" s="8">
        <f t="shared" si="6"/>
        <v>20.939597315436245</v>
      </c>
    </row>
    <row r="450" spans="1:7" x14ac:dyDescent="0.25">
      <c r="A450" s="5">
        <v>45807.364583333336</v>
      </c>
      <c r="B450">
        <v>43</v>
      </c>
      <c r="C450" t="s">
        <v>52</v>
      </c>
      <c r="D450" t="s">
        <v>53</v>
      </c>
      <c r="E450">
        <v>1.51</v>
      </c>
      <c r="F450">
        <v>3.58</v>
      </c>
      <c r="G450" s="8">
        <f t="shared" si="6"/>
        <v>25.3072625698324</v>
      </c>
    </row>
    <row r="451" spans="1:7" x14ac:dyDescent="0.25">
      <c r="A451" s="5">
        <v>45807.364583333336</v>
      </c>
      <c r="B451">
        <v>44</v>
      </c>
      <c r="C451" t="s">
        <v>54</v>
      </c>
      <c r="D451" t="s">
        <v>55</v>
      </c>
      <c r="E451">
        <v>1.51</v>
      </c>
      <c r="F451">
        <v>4.6500000000000004</v>
      </c>
      <c r="G451" s="8">
        <f t="shared" ref="G451:G514" si="7">E451*60/F451</f>
        <v>19.483870967741932</v>
      </c>
    </row>
    <row r="452" spans="1:7" x14ac:dyDescent="0.25">
      <c r="A452" s="5">
        <v>45807.364583333336</v>
      </c>
      <c r="B452">
        <v>45</v>
      </c>
      <c r="C452" t="s">
        <v>55</v>
      </c>
      <c r="D452" t="s">
        <v>56</v>
      </c>
      <c r="E452">
        <v>1.49</v>
      </c>
      <c r="F452">
        <v>4.12</v>
      </c>
      <c r="G452" s="8">
        <f t="shared" si="7"/>
        <v>21.699029126213592</v>
      </c>
    </row>
    <row r="453" spans="1:7" x14ac:dyDescent="0.25">
      <c r="A453" s="5">
        <v>45807.364583333336</v>
      </c>
      <c r="B453">
        <v>46</v>
      </c>
      <c r="C453" t="s">
        <v>56</v>
      </c>
      <c r="D453" t="s">
        <v>57</v>
      </c>
      <c r="E453">
        <v>1.52</v>
      </c>
      <c r="F453">
        <v>4.2</v>
      </c>
      <c r="G453" s="8">
        <f t="shared" si="7"/>
        <v>21.714285714285715</v>
      </c>
    </row>
    <row r="454" spans="1:7" x14ac:dyDescent="0.25">
      <c r="A454" s="5">
        <v>45807.364583333336</v>
      </c>
      <c r="B454">
        <v>47</v>
      </c>
      <c r="C454" t="s">
        <v>58</v>
      </c>
      <c r="D454" t="s">
        <v>59</v>
      </c>
      <c r="E454">
        <v>1.52</v>
      </c>
      <c r="F454">
        <v>5.12</v>
      </c>
      <c r="G454" s="8">
        <f t="shared" si="7"/>
        <v>17.8125</v>
      </c>
    </row>
    <row r="455" spans="1:7" x14ac:dyDescent="0.25">
      <c r="A455" s="5">
        <v>45807.364583333336</v>
      </c>
      <c r="B455">
        <v>48</v>
      </c>
      <c r="C455" t="s">
        <v>59</v>
      </c>
      <c r="D455" t="s">
        <v>60</v>
      </c>
      <c r="E455">
        <v>1.5</v>
      </c>
      <c r="F455">
        <v>4</v>
      </c>
      <c r="G455" s="8">
        <f t="shared" si="7"/>
        <v>22.5</v>
      </c>
    </row>
    <row r="456" spans="1:7" x14ac:dyDescent="0.25">
      <c r="A456" s="5">
        <v>45807.364583333336</v>
      </c>
      <c r="B456">
        <v>49</v>
      </c>
      <c r="C456" t="s">
        <v>60</v>
      </c>
      <c r="D456" t="s">
        <v>61</v>
      </c>
      <c r="E456">
        <v>1.54</v>
      </c>
      <c r="F456">
        <v>4.82</v>
      </c>
      <c r="G456" s="8">
        <f t="shared" si="7"/>
        <v>19.1701244813278</v>
      </c>
    </row>
    <row r="457" spans="1:7" x14ac:dyDescent="0.25">
      <c r="A457" s="5">
        <v>45807.364583333336</v>
      </c>
      <c r="B457">
        <v>50</v>
      </c>
      <c r="C457" t="s">
        <v>62</v>
      </c>
      <c r="D457" t="s">
        <v>63</v>
      </c>
      <c r="E457">
        <v>1.38</v>
      </c>
      <c r="F457">
        <v>3.17</v>
      </c>
      <c r="G457" s="8">
        <f t="shared" si="7"/>
        <v>26.119873817034701</v>
      </c>
    </row>
    <row r="458" spans="1:7" x14ac:dyDescent="0.25">
      <c r="A458" s="5">
        <v>45807.364583333336</v>
      </c>
      <c r="B458">
        <v>51</v>
      </c>
      <c r="C458" t="s">
        <v>63</v>
      </c>
      <c r="D458" t="s">
        <v>64</v>
      </c>
      <c r="E458">
        <v>2.79</v>
      </c>
      <c r="F458">
        <v>6.05</v>
      </c>
      <c r="G458" s="8">
        <f t="shared" si="7"/>
        <v>27.669421487603309</v>
      </c>
    </row>
    <row r="459" spans="1:7" x14ac:dyDescent="0.25">
      <c r="A459" s="5">
        <v>45807.364583333336</v>
      </c>
      <c r="B459">
        <v>52</v>
      </c>
      <c r="C459" t="s">
        <v>64</v>
      </c>
      <c r="D459" t="s">
        <v>65</v>
      </c>
      <c r="E459">
        <v>1.5</v>
      </c>
      <c r="F459">
        <v>2.97</v>
      </c>
      <c r="G459" s="8">
        <f t="shared" si="7"/>
        <v>30.303030303030301</v>
      </c>
    </row>
    <row r="460" spans="1:7" x14ac:dyDescent="0.25">
      <c r="A460" s="5">
        <v>45807.364583333336</v>
      </c>
      <c r="B460">
        <v>53</v>
      </c>
      <c r="C460" t="s">
        <v>65</v>
      </c>
      <c r="D460" t="s">
        <v>66</v>
      </c>
      <c r="E460">
        <v>1.46</v>
      </c>
      <c r="F460">
        <v>3.88</v>
      </c>
      <c r="G460" s="8">
        <f t="shared" si="7"/>
        <v>22.577319587628864</v>
      </c>
    </row>
    <row r="461" spans="1:7" x14ac:dyDescent="0.25">
      <c r="A461" s="5">
        <v>45807.364583333336</v>
      </c>
      <c r="B461">
        <v>54</v>
      </c>
      <c r="C461" t="s">
        <v>67</v>
      </c>
      <c r="D461" t="s">
        <v>68</v>
      </c>
      <c r="E461">
        <v>1.46</v>
      </c>
      <c r="F461">
        <v>6.12</v>
      </c>
      <c r="G461" s="8">
        <f t="shared" si="7"/>
        <v>14.313725490196077</v>
      </c>
    </row>
    <row r="462" spans="1:7" x14ac:dyDescent="0.25">
      <c r="A462" s="5">
        <v>45807.364583333336</v>
      </c>
      <c r="B462">
        <v>55</v>
      </c>
      <c r="C462" t="s">
        <v>68</v>
      </c>
      <c r="D462" t="s">
        <v>69</v>
      </c>
      <c r="E462">
        <v>1.5</v>
      </c>
      <c r="F462">
        <v>2.3199999999999998</v>
      </c>
      <c r="G462" s="8">
        <f t="shared" si="7"/>
        <v>38.793103448275865</v>
      </c>
    </row>
    <row r="463" spans="1:7" x14ac:dyDescent="0.25">
      <c r="A463" s="5">
        <v>45807.364583333336</v>
      </c>
      <c r="B463">
        <v>56</v>
      </c>
      <c r="C463" t="s">
        <v>70</v>
      </c>
      <c r="D463" t="s">
        <v>71</v>
      </c>
      <c r="E463">
        <v>1.51</v>
      </c>
      <c r="F463">
        <v>4.2699999999999996</v>
      </c>
      <c r="G463" s="8">
        <f t="shared" si="7"/>
        <v>21.217798594847775</v>
      </c>
    </row>
    <row r="464" spans="1:7" x14ac:dyDescent="0.25">
      <c r="A464" s="5">
        <v>45807.364583333336</v>
      </c>
      <c r="B464">
        <v>57</v>
      </c>
      <c r="C464" t="s">
        <v>71</v>
      </c>
      <c r="D464" t="s">
        <v>72</v>
      </c>
      <c r="E464">
        <v>1.52</v>
      </c>
      <c r="F464">
        <v>4.6500000000000004</v>
      </c>
      <c r="G464" s="8">
        <f t="shared" si="7"/>
        <v>19.612903225806452</v>
      </c>
    </row>
    <row r="465" spans="1:7" x14ac:dyDescent="0.25">
      <c r="A465" s="5">
        <v>45807.364583333336</v>
      </c>
      <c r="B465">
        <v>58</v>
      </c>
      <c r="C465" t="s">
        <v>72</v>
      </c>
      <c r="D465" t="s">
        <v>73</v>
      </c>
      <c r="E465">
        <v>1.5</v>
      </c>
      <c r="F465">
        <v>4</v>
      </c>
      <c r="G465" s="8">
        <f t="shared" si="7"/>
        <v>22.5</v>
      </c>
    </row>
    <row r="466" spans="1:7" x14ac:dyDescent="0.25">
      <c r="A466" s="5">
        <v>45807.375</v>
      </c>
      <c r="B466">
        <v>1</v>
      </c>
      <c r="C466" t="s">
        <v>6</v>
      </c>
      <c r="D466" t="s">
        <v>7</v>
      </c>
      <c r="E466">
        <v>1.53</v>
      </c>
      <c r="F466">
        <v>3.27</v>
      </c>
      <c r="G466" s="8">
        <f t="shared" si="7"/>
        <v>28.073394495412842</v>
      </c>
    </row>
    <row r="467" spans="1:7" x14ac:dyDescent="0.25">
      <c r="A467" s="5">
        <v>45807.375</v>
      </c>
      <c r="B467">
        <v>2</v>
      </c>
      <c r="C467" t="s">
        <v>7</v>
      </c>
      <c r="D467" t="s">
        <v>8</v>
      </c>
      <c r="E467">
        <v>1.57</v>
      </c>
      <c r="F467">
        <v>5.4</v>
      </c>
      <c r="G467" s="8">
        <f t="shared" si="7"/>
        <v>17.444444444444443</v>
      </c>
    </row>
    <row r="468" spans="1:7" x14ac:dyDescent="0.25">
      <c r="A468" s="5">
        <v>45807.375</v>
      </c>
      <c r="B468">
        <v>3</v>
      </c>
      <c r="C468" t="s">
        <v>8</v>
      </c>
      <c r="D468" t="s">
        <v>9</v>
      </c>
      <c r="E468">
        <v>1.5</v>
      </c>
      <c r="F468">
        <v>3.22</v>
      </c>
      <c r="G468" s="8">
        <f t="shared" si="7"/>
        <v>27.950310559006208</v>
      </c>
    </row>
    <row r="469" spans="1:7" x14ac:dyDescent="0.25">
      <c r="A469" s="5">
        <v>45807.375</v>
      </c>
      <c r="B469">
        <v>4</v>
      </c>
      <c r="C469" t="s">
        <v>9</v>
      </c>
      <c r="D469" t="s">
        <v>10</v>
      </c>
      <c r="E469">
        <v>1.5</v>
      </c>
      <c r="F469">
        <v>2.73</v>
      </c>
      <c r="G469" s="8">
        <f t="shared" si="7"/>
        <v>32.967032967032971</v>
      </c>
    </row>
    <row r="470" spans="1:7" x14ac:dyDescent="0.25">
      <c r="A470" s="5">
        <v>45807.375</v>
      </c>
      <c r="B470">
        <v>5</v>
      </c>
      <c r="C470" t="s">
        <v>10</v>
      </c>
      <c r="D470" t="s">
        <v>11</v>
      </c>
      <c r="E470">
        <v>1.52</v>
      </c>
      <c r="F470">
        <v>3.2</v>
      </c>
      <c r="G470" s="8">
        <f t="shared" si="7"/>
        <v>28.5</v>
      </c>
    </row>
    <row r="471" spans="1:7" x14ac:dyDescent="0.25">
      <c r="A471" s="5">
        <v>45807.375</v>
      </c>
      <c r="B471">
        <v>6</v>
      </c>
      <c r="C471" t="s">
        <v>11</v>
      </c>
      <c r="D471" t="s">
        <v>12</v>
      </c>
      <c r="E471">
        <v>1.5</v>
      </c>
      <c r="F471">
        <v>2.73</v>
      </c>
      <c r="G471" s="8">
        <f t="shared" si="7"/>
        <v>32.967032967032971</v>
      </c>
    </row>
    <row r="472" spans="1:7" x14ac:dyDescent="0.25">
      <c r="A472" s="5">
        <v>45807.375</v>
      </c>
      <c r="B472">
        <v>7</v>
      </c>
      <c r="C472" t="s">
        <v>12</v>
      </c>
      <c r="D472" t="s">
        <v>13</v>
      </c>
      <c r="E472">
        <v>1.54</v>
      </c>
      <c r="F472">
        <v>2.67</v>
      </c>
      <c r="G472" s="8">
        <f t="shared" si="7"/>
        <v>34.606741573033709</v>
      </c>
    </row>
    <row r="473" spans="1:7" x14ac:dyDescent="0.25">
      <c r="A473" s="5">
        <v>45807.375</v>
      </c>
      <c r="B473">
        <v>8</v>
      </c>
      <c r="C473" t="s">
        <v>13</v>
      </c>
      <c r="D473" t="s">
        <v>14</v>
      </c>
      <c r="E473">
        <v>1.54</v>
      </c>
      <c r="F473">
        <v>3.35</v>
      </c>
      <c r="G473" s="8">
        <f t="shared" si="7"/>
        <v>27.582089552238806</v>
      </c>
    </row>
    <row r="474" spans="1:7" x14ac:dyDescent="0.25">
      <c r="A474" s="5">
        <v>45807.375</v>
      </c>
      <c r="B474">
        <v>9</v>
      </c>
      <c r="C474" t="s">
        <v>14</v>
      </c>
      <c r="D474" t="s">
        <v>15</v>
      </c>
      <c r="E474">
        <v>1.52</v>
      </c>
      <c r="F474">
        <v>4.43</v>
      </c>
      <c r="G474" s="8">
        <f t="shared" si="7"/>
        <v>20.586907449209935</v>
      </c>
    </row>
    <row r="475" spans="1:7" x14ac:dyDescent="0.25">
      <c r="A475" s="5">
        <v>45807.375</v>
      </c>
      <c r="B475">
        <v>10</v>
      </c>
      <c r="C475" t="s">
        <v>15</v>
      </c>
      <c r="D475" t="s">
        <v>16</v>
      </c>
      <c r="E475">
        <v>1.5</v>
      </c>
      <c r="F475">
        <v>4.3</v>
      </c>
      <c r="G475" s="8">
        <f t="shared" si="7"/>
        <v>20.930232558139537</v>
      </c>
    </row>
    <row r="476" spans="1:7" x14ac:dyDescent="0.25">
      <c r="A476" s="5">
        <v>45807.375</v>
      </c>
      <c r="B476">
        <v>11</v>
      </c>
      <c r="C476" t="s">
        <v>16</v>
      </c>
      <c r="D476" t="s">
        <v>17</v>
      </c>
      <c r="E476">
        <v>1.48</v>
      </c>
      <c r="F476">
        <v>2.95</v>
      </c>
      <c r="G476" s="8">
        <f t="shared" si="7"/>
        <v>30.101694915254235</v>
      </c>
    </row>
    <row r="477" spans="1:7" x14ac:dyDescent="0.25">
      <c r="A477" s="5">
        <v>45807.375</v>
      </c>
      <c r="B477">
        <v>12</v>
      </c>
      <c r="C477" t="s">
        <v>17</v>
      </c>
      <c r="D477" t="s">
        <v>18</v>
      </c>
      <c r="E477">
        <v>1.46</v>
      </c>
      <c r="F477">
        <v>4</v>
      </c>
      <c r="G477" s="8">
        <f t="shared" si="7"/>
        <v>21.9</v>
      </c>
    </row>
    <row r="478" spans="1:7" x14ac:dyDescent="0.25">
      <c r="A478" s="5">
        <v>45807.375</v>
      </c>
      <c r="B478">
        <v>13</v>
      </c>
      <c r="C478" t="s">
        <v>18</v>
      </c>
      <c r="D478" t="s">
        <v>19</v>
      </c>
      <c r="E478">
        <v>1.52</v>
      </c>
      <c r="F478">
        <v>4.62</v>
      </c>
      <c r="G478" s="8">
        <f t="shared" si="7"/>
        <v>19.740259740259742</v>
      </c>
    </row>
    <row r="479" spans="1:7" x14ac:dyDescent="0.25">
      <c r="A479" s="5">
        <v>45807.375</v>
      </c>
      <c r="B479">
        <v>14</v>
      </c>
      <c r="C479" t="s">
        <v>19</v>
      </c>
      <c r="D479" t="s">
        <v>20</v>
      </c>
      <c r="E479">
        <v>1.51</v>
      </c>
      <c r="F479">
        <v>4</v>
      </c>
      <c r="G479" s="8">
        <f t="shared" si="7"/>
        <v>22.65</v>
      </c>
    </row>
    <row r="480" spans="1:7" x14ac:dyDescent="0.25">
      <c r="A480" s="5">
        <v>45807.375</v>
      </c>
      <c r="B480">
        <v>15</v>
      </c>
      <c r="C480" t="s">
        <v>20</v>
      </c>
      <c r="D480" t="s">
        <v>21</v>
      </c>
      <c r="E480">
        <v>1.47</v>
      </c>
      <c r="F480">
        <v>2.5499999999999998</v>
      </c>
      <c r="G480" s="8">
        <f t="shared" si="7"/>
        <v>34.588235294117652</v>
      </c>
    </row>
    <row r="481" spans="1:7" x14ac:dyDescent="0.25">
      <c r="A481" s="5">
        <v>45807.375</v>
      </c>
      <c r="B481">
        <v>16</v>
      </c>
      <c r="C481" t="s">
        <v>21</v>
      </c>
      <c r="D481" t="s">
        <v>22</v>
      </c>
      <c r="E481">
        <v>1.5</v>
      </c>
      <c r="F481">
        <v>1.85</v>
      </c>
      <c r="G481" s="8">
        <f t="shared" si="7"/>
        <v>48.648648648648646</v>
      </c>
    </row>
    <row r="482" spans="1:7" x14ac:dyDescent="0.25">
      <c r="A482" s="5">
        <v>45807.375</v>
      </c>
      <c r="B482">
        <v>17</v>
      </c>
      <c r="C482" t="s">
        <v>22</v>
      </c>
      <c r="D482" t="s">
        <v>23</v>
      </c>
      <c r="E482">
        <v>1.51</v>
      </c>
      <c r="F482">
        <v>3.27</v>
      </c>
      <c r="G482" s="8">
        <f t="shared" si="7"/>
        <v>27.706422018348622</v>
      </c>
    </row>
    <row r="483" spans="1:7" x14ac:dyDescent="0.25">
      <c r="A483" s="5">
        <v>45807.375</v>
      </c>
      <c r="B483">
        <v>18</v>
      </c>
      <c r="C483" t="s">
        <v>23</v>
      </c>
      <c r="D483" t="s">
        <v>24</v>
      </c>
      <c r="E483">
        <v>1.51</v>
      </c>
      <c r="F483">
        <v>3.08</v>
      </c>
      <c r="G483" s="8">
        <f t="shared" si="7"/>
        <v>29.415584415584412</v>
      </c>
    </row>
    <row r="484" spans="1:7" x14ac:dyDescent="0.25">
      <c r="A484" s="5">
        <v>45807.375</v>
      </c>
      <c r="B484">
        <v>19</v>
      </c>
      <c r="C484" t="s">
        <v>25</v>
      </c>
      <c r="D484" t="s">
        <v>26</v>
      </c>
      <c r="E484">
        <v>1.5</v>
      </c>
      <c r="F484">
        <v>4</v>
      </c>
      <c r="G484" s="8">
        <f t="shared" si="7"/>
        <v>22.5</v>
      </c>
    </row>
    <row r="485" spans="1:7" x14ac:dyDescent="0.25">
      <c r="A485" s="5">
        <v>45807.375</v>
      </c>
      <c r="B485">
        <v>20</v>
      </c>
      <c r="C485" t="s">
        <v>26</v>
      </c>
      <c r="D485" t="s">
        <v>27</v>
      </c>
      <c r="E485">
        <v>1.48</v>
      </c>
      <c r="F485">
        <v>3.77</v>
      </c>
      <c r="G485" s="8">
        <f t="shared" si="7"/>
        <v>23.554376657824932</v>
      </c>
    </row>
    <row r="486" spans="1:7" x14ac:dyDescent="0.25">
      <c r="A486" s="5">
        <v>45807.375</v>
      </c>
      <c r="B486">
        <v>21</v>
      </c>
      <c r="C486" t="s">
        <v>27</v>
      </c>
      <c r="D486" t="s">
        <v>28</v>
      </c>
      <c r="E486">
        <v>1.51</v>
      </c>
      <c r="F486">
        <v>3.32</v>
      </c>
      <c r="G486" s="8">
        <f t="shared" si="7"/>
        <v>27.289156626506024</v>
      </c>
    </row>
    <row r="487" spans="1:7" x14ac:dyDescent="0.25">
      <c r="A487" s="5">
        <v>45807.375</v>
      </c>
      <c r="B487">
        <v>22</v>
      </c>
      <c r="C487" t="s">
        <v>28</v>
      </c>
      <c r="D487" t="s">
        <v>29</v>
      </c>
      <c r="E487">
        <v>1.57</v>
      </c>
      <c r="F487">
        <v>4.17</v>
      </c>
      <c r="G487" s="8">
        <f t="shared" si="7"/>
        <v>22.589928057553958</v>
      </c>
    </row>
    <row r="488" spans="1:7" x14ac:dyDescent="0.25">
      <c r="A488" s="5">
        <v>45807.375</v>
      </c>
      <c r="B488">
        <v>23</v>
      </c>
      <c r="C488" t="s">
        <v>29</v>
      </c>
      <c r="D488" t="s">
        <v>30</v>
      </c>
      <c r="E488">
        <v>1.43</v>
      </c>
      <c r="F488">
        <v>4.2699999999999996</v>
      </c>
      <c r="G488" s="8">
        <f t="shared" si="7"/>
        <v>20.093676814988292</v>
      </c>
    </row>
    <row r="489" spans="1:7" x14ac:dyDescent="0.25">
      <c r="A489" s="5">
        <v>45807.375</v>
      </c>
      <c r="B489">
        <v>24</v>
      </c>
      <c r="C489" t="s">
        <v>30</v>
      </c>
      <c r="D489" t="s">
        <v>31</v>
      </c>
      <c r="E489">
        <v>1.52</v>
      </c>
      <c r="F489">
        <v>3.82</v>
      </c>
      <c r="G489" s="8">
        <f t="shared" si="7"/>
        <v>23.874345549738223</v>
      </c>
    </row>
    <row r="490" spans="1:7" x14ac:dyDescent="0.25">
      <c r="A490" s="5">
        <v>45807.375</v>
      </c>
      <c r="B490">
        <v>25</v>
      </c>
      <c r="C490" t="s">
        <v>31</v>
      </c>
      <c r="D490" t="s">
        <v>32</v>
      </c>
      <c r="E490">
        <v>1.52</v>
      </c>
      <c r="F490">
        <v>3.38</v>
      </c>
      <c r="G490" s="8">
        <f t="shared" si="7"/>
        <v>26.982248520710062</v>
      </c>
    </row>
    <row r="491" spans="1:7" x14ac:dyDescent="0.25">
      <c r="A491" s="5">
        <v>45807.375</v>
      </c>
      <c r="B491">
        <v>26</v>
      </c>
      <c r="C491" t="s">
        <v>32</v>
      </c>
      <c r="D491" t="s">
        <v>33</v>
      </c>
      <c r="E491">
        <v>1.49</v>
      </c>
      <c r="F491">
        <v>4.8499999999999996</v>
      </c>
      <c r="G491" s="8">
        <f t="shared" si="7"/>
        <v>18.432989690721651</v>
      </c>
    </row>
    <row r="492" spans="1:7" x14ac:dyDescent="0.25">
      <c r="A492" s="5">
        <v>45807.375</v>
      </c>
      <c r="B492">
        <v>27</v>
      </c>
      <c r="C492" t="s">
        <v>33</v>
      </c>
      <c r="D492" t="s">
        <v>34</v>
      </c>
      <c r="E492">
        <v>1.53</v>
      </c>
      <c r="F492">
        <v>3.83</v>
      </c>
      <c r="G492" s="8">
        <f t="shared" si="7"/>
        <v>23.968668407310705</v>
      </c>
    </row>
    <row r="493" spans="1:7" x14ac:dyDescent="0.25">
      <c r="A493" s="5">
        <v>45807.375</v>
      </c>
      <c r="B493">
        <v>28</v>
      </c>
      <c r="C493" t="s">
        <v>34</v>
      </c>
      <c r="D493" t="s">
        <v>35</v>
      </c>
      <c r="E493">
        <v>1.51</v>
      </c>
      <c r="F493">
        <v>4.2</v>
      </c>
      <c r="G493" s="8">
        <f t="shared" si="7"/>
        <v>21.571428571428569</v>
      </c>
    </row>
    <row r="494" spans="1:7" x14ac:dyDescent="0.25">
      <c r="A494" s="5">
        <v>45807.375</v>
      </c>
      <c r="B494">
        <v>29</v>
      </c>
      <c r="C494" t="s">
        <v>36</v>
      </c>
      <c r="D494" t="s">
        <v>37</v>
      </c>
      <c r="E494">
        <v>1.57</v>
      </c>
      <c r="F494">
        <v>4.97</v>
      </c>
      <c r="G494" s="8">
        <f t="shared" si="7"/>
        <v>18.953722334004027</v>
      </c>
    </row>
    <row r="495" spans="1:7" x14ac:dyDescent="0.25">
      <c r="A495" s="5">
        <v>45807.375</v>
      </c>
      <c r="B495">
        <v>30</v>
      </c>
      <c r="C495" t="s">
        <v>37</v>
      </c>
      <c r="D495" t="s">
        <v>38</v>
      </c>
      <c r="E495">
        <v>1.57</v>
      </c>
      <c r="F495">
        <v>6.58</v>
      </c>
      <c r="G495" s="8">
        <f t="shared" si="7"/>
        <v>14.316109422492401</v>
      </c>
    </row>
    <row r="496" spans="1:7" x14ac:dyDescent="0.25">
      <c r="A496" s="5">
        <v>45807.375</v>
      </c>
      <c r="B496">
        <v>31</v>
      </c>
      <c r="C496" t="s">
        <v>38</v>
      </c>
      <c r="D496" t="s">
        <v>39</v>
      </c>
      <c r="E496">
        <v>1.52</v>
      </c>
      <c r="F496">
        <v>2.77</v>
      </c>
      <c r="G496" s="8">
        <f t="shared" si="7"/>
        <v>32.924187725631768</v>
      </c>
    </row>
    <row r="497" spans="1:7" x14ac:dyDescent="0.25">
      <c r="A497" s="5">
        <v>45807.375</v>
      </c>
      <c r="B497">
        <v>32</v>
      </c>
      <c r="C497" t="s">
        <v>39</v>
      </c>
      <c r="D497" t="s">
        <v>40</v>
      </c>
      <c r="E497">
        <v>1.5</v>
      </c>
      <c r="F497">
        <v>1.72</v>
      </c>
      <c r="G497" s="8">
        <f t="shared" si="7"/>
        <v>52.325581395348841</v>
      </c>
    </row>
    <row r="498" spans="1:7" x14ac:dyDescent="0.25">
      <c r="A498" s="5">
        <v>45807.375</v>
      </c>
      <c r="B498">
        <v>33</v>
      </c>
      <c r="C498" t="s">
        <v>40</v>
      </c>
      <c r="D498" t="s">
        <v>41</v>
      </c>
      <c r="E498">
        <v>1.51</v>
      </c>
      <c r="F498">
        <v>1.78</v>
      </c>
      <c r="G498" s="8">
        <f t="shared" si="7"/>
        <v>50.898876404494381</v>
      </c>
    </row>
    <row r="499" spans="1:7" x14ac:dyDescent="0.25">
      <c r="A499" s="5">
        <v>45807.375</v>
      </c>
      <c r="B499">
        <v>34</v>
      </c>
      <c r="C499" t="s">
        <v>41</v>
      </c>
      <c r="D499" t="s">
        <v>42</v>
      </c>
      <c r="E499">
        <v>1.5</v>
      </c>
      <c r="F499">
        <v>1.9</v>
      </c>
      <c r="G499" s="8">
        <f t="shared" si="7"/>
        <v>47.368421052631582</v>
      </c>
    </row>
    <row r="500" spans="1:7" x14ac:dyDescent="0.25">
      <c r="A500" s="5">
        <v>45807.375</v>
      </c>
      <c r="B500">
        <v>35</v>
      </c>
      <c r="C500" t="s">
        <v>43</v>
      </c>
      <c r="D500" t="s">
        <v>44</v>
      </c>
      <c r="E500">
        <v>1.55</v>
      </c>
      <c r="F500">
        <v>3.9</v>
      </c>
      <c r="G500" s="8">
        <f t="shared" si="7"/>
        <v>23.846153846153847</v>
      </c>
    </row>
    <row r="501" spans="1:7" x14ac:dyDescent="0.25">
      <c r="A501" s="5">
        <v>45807.375</v>
      </c>
      <c r="B501">
        <v>36</v>
      </c>
      <c r="C501" t="s">
        <v>44</v>
      </c>
      <c r="D501" t="s">
        <v>45</v>
      </c>
      <c r="E501">
        <v>1.5</v>
      </c>
      <c r="F501">
        <v>3.08</v>
      </c>
      <c r="G501" s="8">
        <f t="shared" si="7"/>
        <v>29.220779220779221</v>
      </c>
    </row>
    <row r="502" spans="1:7" x14ac:dyDescent="0.25">
      <c r="A502" s="5">
        <v>45807.375</v>
      </c>
      <c r="B502">
        <v>37</v>
      </c>
      <c r="C502" t="s">
        <v>45</v>
      </c>
      <c r="D502" t="s">
        <v>46</v>
      </c>
      <c r="E502">
        <v>1.38</v>
      </c>
      <c r="F502">
        <v>4.2300000000000004</v>
      </c>
      <c r="G502" s="8">
        <f t="shared" si="7"/>
        <v>19.574468085106382</v>
      </c>
    </row>
    <row r="503" spans="1:7" x14ac:dyDescent="0.25">
      <c r="A503" s="5">
        <v>45807.375</v>
      </c>
      <c r="B503">
        <v>38</v>
      </c>
      <c r="C503" t="s">
        <v>46</v>
      </c>
      <c r="D503" t="s">
        <v>47</v>
      </c>
      <c r="E503">
        <v>1.61</v>
      </c>
      <c r="F503">
        <v>3.73</v>
      </c>
      <c r="G503" s="8">
        <f t="shared" si="7"/>
        <v>25.898123324396785</v>
      </c>
    </row>
    <row r="504" spans="1:7" x14ac:dyDescent="0.25">
      <c r="A504" s="5">
        <v>45807.375</v>
      </c>
      <c r="B504">
        <v>39</v>
      </c>
      <c r="C504" t="s">
        <v>47</v>
      </c>
      <c r="D504" t="s">
        <v>48</v>
      </c>
      <c r="E504">
        <v>1.55</v>
      </c>
      <c r="F504">
        <v>3.45</v>
      </c>
      <c r="G504" s="8">
        <f t="shared" si="7"/>
        <v>26.956521739130434</v>
      </c>
    </row>
    <row r="505" spans="1:7" x14ac:dyDescent="0.25">
      <c r="A505" s="5">
        <v>45807.375</v>
      </c>
      <c r="B505">
        <v>40</v>
      </c>
      <c r="C505" t="s">
        <v>48</v>
      </c>
      <c r="D505" t="s">
        <v>49</v>
      </c>
      <c r="E505">
        <v>1.39</v>
      </c>
      <c r="F505">
        <v>2.92</v>
      </c>
      <c r="G505" s="8">
        <f t="shared" si="7"/>
        <v>28.561643835616437</v>
      </c>
    </row>
    <row r="506" spans="1:7" x14ac:dyDescent="0.25">
      <c r="A506" s="5">
        <v>45807.375</v>
      </c>
      <c r="B506">
        <v>41</v>
      </c>
      <c r="C506" t="s">
        <v>50</v>
      </c>
      <c r="D506" t="s">
        <v>51</v>
      </c>
      <c r="E506">
        <v>1.56</v>
      </c>
      <c r="F506">
        <v>4.42</v>
      </c>
      <c r="G506" s="8">
        <f t="shared" si="7"/>
        <v>21.176470588235297</v>
      </c>
    </row>
    <row r="507" spans="1:7" x14ac:dyDescent="0.25">
      <c r="A507" s="5">
        <v>45807.375</v>
      </c>
      <c r="B507">
        <v>42</v>
      </c>
      <c r="C507" t="s">
        <v>51</v>
      </c>
      <c r="D507" t="s">
        <v>52</v>
      </c>
      <c r="E507">
        <v>1.56</v>
      </c>
      <c r="F507">
        <v>4.3499999999999996</v>
      </c>
      <c r="G507" s="8">
        <f t="shared" si="7"/>
        <v>21.517241379310349</v>
      </c>
    </row>
    <row r="508" spans="1:7" x14ac:dyDescent="0.25">
      <c r="A508" s="5">
        <v>45807.375</v>
      </c>
      <c r="B508">
        <v>43</v>
      </c>
      <c r="C508" t="s">
        <v>52</v>
      </c>
      <c r="D508" t="s">
        <v>53</v>
      </c>
      <c r="E508">
        <v>1.51</v>
      </c>
      <c r="F508">
        <v>3.58</v>
      </c>
      <c r="G508" s="8">
        <f t="shared" si="7"/>
        <v>25.3072625698324</v>
      </c>
    </row>
    <row r="509" spans="1:7" x14ac:dyDescent="0.25">
      <c r="A509" s="5">
        <v>45807.375</v>
      </c>
      <c r="B509">
        <v>44</v>
      </c>
      <c r="C509" t="s">
        <v>54</v>
      </c>
      <c r="D509" t="s">
        <v>55</v>
      </c>
      <c r="E509">
        <v>1.51</v>
      </c>
      <c r="F509">
        <v>4.57</v>
      </c>
      <c r="G509" s="8">
        <f t="shared" si="7"/>
        <v>19.824945295404813</v>
      </c>
    </row>
    <row r="510" spans="1:7" x14ac:dyDescent="0.25">
      <c r="A510" s="5">
        <v>45807.375</v>
      </c>
      <c r="B510">
        <v>45</v>
      </c>
      <c r="C510" t="s">
        <v>55</v>
      </c>
      <c r="D510" t="s">
        <v>56</v>
      </c>
      <c r="E510">
        <v>1.49</v>
      </c>
      <c r="F510">
        <v>3.75</v>
      </c>
      <c r="G510" s="8">
        <f t="shared" si="7"/>
        <v>23.84</v>
      </c>
    </row>
    <row r="511" spans="1:7" x14ac:dyDescent="0.25">
      <c r="A511" s="5">
        <v>45807.375</v>
      </c>
      <c r="B511">
        <v>46</v>
      </c>
      <c r="C511" t="s">
        <v>56</v>
      </c>
      <c r="D511" t="s">
        <v>57</v>
      </c>
      <c r="E511">
        <v>1.52</v>
      </c>
      <c r="F511">
        <v>4.0999999999999996</v>
      </c>
      <c r="G511" s="8">
        <f t="shared" si="7"/>
        <v>22.243902439024392</v>
      </c>
    </row>
    <row r="512" spans="1:7" x14ac:dyDescent="0.25">
      <c r="A512" s="5">
        <v>45807.375</v>
      </c>
      <c r="B512">
        <v>47</v>
      </c>
      <c r="C512" t="s">
        <v>58</v>
      </c>
      <c r="D512" t="s">
        <v>59</v>
      </c>
      <c r="E512">
        <v>1.52</v>
      </c>
      <c r="F512">
        <v>5.85</v>
      </c>
      <c r="G512" s="8">
        <f t="shared" si="7"/>
        <v>15.589743589743591</v>
      </c>
    </row>
    <row r="513" spans="1:7" x14ac:dyDescent="0.25">
      <c r="A513" s="5">
        <v>45807.375</v>
      </c>
      <c r="B513">
        <v>48</v>
      </c>
      <c r="C513" t="s">
        <v>59</v>
      </c>
      <c r="D513" t="s">
        <v>60</v>
      </c>
      <c r="E513">
        <v>1.5</v>
      </c>
      <c r="F513">
        <v>3.73</v>
      </c>
      <c r="G513" s="8">
        <f t="shared" si="7"/>
        <v>24.128686327077748</v>
      </c>
    </row>
    <row r="514" spans="1:7" x14ac:dyDescent="0.25">
      <c r="A514" s="5">
        <v>45807.375</v>
      </c>
      <c r="B514">
        <v>49</v>
      </c>
      <c r="C514" t="s">
        <v>60</v>
      </c>
      <c r="D514" t="s">
        <v>61</v>
      </c>
      <c r="E514">
        <v>1.57</v>
      </c>
      <c r="F514">
        <v>5.0199999999999996</v>
      </c>
      <c r="G514" s="8">
        <f t="shared" si="7"/>
        <v>18.764940239043828</v>
      </c>
    </row>
    <row r="515" spans="1:7" x14ac:dyDescent="0.25">
      <c r="A515" s="5">
        <v>45807.375</v>
      </c>
      <c r="B515">
        <v>50</v>
      </c>
      <c r="C515" t="s">
        <v>62</v>
      </c>
      <c r="D515" t="s">
        <v>63</v>
      </c>
      <c r="E515">
        <v>1.38</v>
      </c>
      <c r="F515">
        <v>3.15</v>
      </c>
      <c r="G515" s="8">
        <f t="shared" ref="G515:G578" si="8">E515*60/F515</f>
        <v>26.285714285714285</v>
      </c>
    </row>
    <row r="516" spans="1:7" x14ac:dyDescent="0.25">
      <c r="A516" s="5">
        <v>45807.375</v>
      </c>
      <c r="B516">
        <v>51</v>
      </c>
      <c r="C516" t="s">
        <v>63</v>
      </c>
      <c r="D516" t="s">
        <v>64</v>
      </c>
      <c r="E516">
        <v>2.79</v>
      </c>
      <c r="F516">
        <v>5.7</v>
      </c>
      <c r="G516" s="8">
        <f t="shared" si="8"/>
        <v>29.368421052631579</v>
      </c>
    </row>
    <row r="517" spans="1:7" x14ac:dyDescent="0.25">
      <c r="A517" s="5">
        <v>45807.375</v>
      </c>
      <c r="B517">
        <v>52</v>
      </c>
      <c r="C517" t="s">
        <v>64</v>
      </c>
      <c r="D517" t="s">
        <v>65</v>
      </c>
      <c r="E517">
        <v>1.5</v>
      </c>
      <c r="F517">
        <v>2.9</v>
      </c>
      <c r="G517" s="8">
        <f t="shared" si="8"/>
        <v>31.03448275862069</v>
      </c>
    </row>
    <row r="518" spans="1:7" x14ac:dyDescent="0.25">
      <c r="A518" s="5">
        <v>45807.375</v>
      </c>
      <c r="B518">
        <v>53</v>
      </c>
      <c r="C518" t="s">
        <v>65</v>
      </c>
      <c r="D518" t="s">
        <v>66</v>
      </c>
      <c r="E518">
        <v>1.46</v>
      </c>
      <c r="F518">
        <v>3.85</v>
      </c>
      <c r="G518" s="8">
        <f t="shared" si="8"/>
        <v>22.753246753246753</v>
      </c>
    </row>
    <row r="519" spans="1:7" x14ac:dyDescent="0.25">
      <c r="A519" s="5">
        <v>45807.375</v>
      </c>
      <c r="B519">
        <v>54</v>
      </c>
      <c r="C519" t="s">
        <v>67</v>
      </c>
      <c r="D519" t="s">
        <v>68</v>
      </c>
      <c r="E519">
        <v>1.46</v>
      </c>
      <c r="F519">
        <v>4.5199999999999996</v>
      </c>
      <c r="G519" s="8">
        <f t="shared" si="8"/>
        <v>19.380530973451329</v>
      </c>
    </row>
    <row r="520" spans="1:7" x14ac:dyDescent="0.25">
      <c r="A520" s="5">
        <v>45807.375</v>
      </c>
      <c r="B520">
        <v>55</v>
      </c>
      <c r="C520" t="s">
        <v>68</v>
      </c>
      <c r="D520" t="s">
        <v>69</v>
      </c>
      <c r="E520">
        <v>1.5</v>
      </c>
      <c r="F520">
        <v>2.25</v>
      </c>
      <c r="G520" s="8">
        <f t="shared" si="8"/>
        <v>40</v>
      </c>
    </row>
    <row r="521" spans="1:7" x14ac:dyDescent="0.25">
      <c r="A521" s="5">
        <v>45807.375</v>
      </c>
      <c r="B521">
        <v>56</v>
      </c>
      <c r="C521" t="s">
        <v>70</v>
      </c>
      <c r="D521" t="s">
        <v>71</v>
      </c>
      <c r="E521">
        <v>1.51</v>
      </c>
      <c r="F521">
        <v>5.0999999999999996</v>
      </c>
      <c r="G521" s="8">
        <f t="shared" si="8"/>
        <v>17.764705882352942</v>
      </c>
    </row>
    <row r="522" spans="1:7" x14ac:dyDescent="0.25">
      <c r="A522" s="5">
        <v>45807.375</v>
      </c>
      <c r="B522">
        <v>57</v>
      </c>
      <c r="C522" t="s">
        <v>71</v>
      </c>
      <c r="D522" t="s">
        <v>72</v>
      </c>
      <c r="E522">
        <v>1.52</v>
      </c>
      <c r="F522">
        <v>4.1500000000000004</v>
      </c>
      <c r="G522" s="8">
        <f t="shared" si="8"/>
        <v>21.975903614457831</v>
      </c>
    </row>
    <row r="523" spans="1:7" x14ac:dyDescent="0.25">
      <c r="A523" s="5">
        <v>45807.375</v>
      </c>
      <c r="B523">
        <v>58</v>
      </c>
      <c r="C523" t="s">
        <v>72</v>
      </c>
      <c r="D523" t="s">
        <v>73</v>
      </c>
      <c r="E523">
        <v>1.5</v>
      </c>
      <c r="F523">
        <v>4</v>
      </c>
      <c r="G523" s="8">
        <f t="shared" si="8"/>
        <v>22.5</v>
      </c>
    </row>
    <row r="524" spans="1:7" x14ac:dyDescent="0.25">
      <c r="A524" s="5">
        <v>45807.385416666664</v>
      </c>
      <c r="B524">
        <v>1</v>
      </c>
      <c r="C524" t="s">
        <v>6</v>
      </c>
      <c r="D524" t="s">
        <v>7</v>
      </c>
      <c r="E524">
        <v>1.53</v>
      </c>
      <c r="F524">
        <v>3.22</v>
      </c>
      <c r="G524" s="8">
        <f t="shared" si="8"/>
        <v>28.509316770186334</v>
      </c>
    </row>
    <row r="525" spans="1:7" x14ac:dyDescent="0.25">
      <c r="A525" s="5">
        <v>45807.385416666664</v>
      </c>
      <c r="B525">
        <v>2</v>
      </c>
      <c r="C525" t="s">
        <v>7</v>
      </c>
      <c r="D525" t="s">
        <v>8</v>
      </c>
      <c r="E525">
        <v>1.57</v>
      </c>
      <c r="F525">
        <v>4.92</v>
      </c>
      <c r="G525" s="8">
        <f t="shared" si="8"/>
        <v>19.146341463414636</v>
      </c>
    </row>
    <row r="526" spans="1:7" x14ac:dyDescent="0.25">
      <c r="A526" s="5">
        <v>45807.385416666664</v>
      </c>
      <c r="B526">
        <v>3</v>
      </c>
      <c r="C526" t="s">
        <v>8</v>
      </c>
      <c r="D526" t="s">
        <v>9</v>
      </c>
      <c r="E526">
        <v>1.5</v>
      </c>
      <c r="F526">
        <v>3.12</v>
      </c>
      <c r="G526" s="8">
        <f t="shared" si="8"/>
        <v>28.846153846153847</v>
      </c>
    </row>
    <row r="527" spans="1:7" x14ac:dyDescent="0.25">
      <c r="A527" s="5">
        <v>45807.385416666664</v>
      </c>
      <c r="B527">
        <v>4</v>
      </c>
      <c r="C527" t="s">
        <v>9</v>
      </c>
      <c r="D527" t="s">
        <v>10</v>
      </c>
      <c r="E527">
        <v>1.5</v>
      </c>
      <c r="F527">
        <v>2.83</v>
      </c>
      <c r="G527" s="8">
        <f t="shared" si="8"/>
        <v>31.802120141342755</v>
      </c>
    </row>
    <row r="528" spans="1:7" x14ac:dyDescent="0.25">
      <c r="A528" s="5">
        <v>45807.385416666664</v>
      </c>
      <c r="B528">
        <v>5</v>
      </c>
      <c r="C528" t="s">
        <v>10</v>
      </c>
      <c r="D528" t="s">
        <v>11</v>
      </c>
      <c r="E528">
        <v>1.52</v>
      </c>
      <c r="F528">
        <v>3.27</v>
      </c>
      <c r="G528" s="8">
        <f t="shared" si="8"/>
        <v>27.889908256880734</v>
      </c>
    </row>
    <row r="529" spans="1:7" x14ac:dyDescent="0.25">
      <c r="A529" s="5">
        <v>45807.385416666664</v>
      </c>
      <c r="B529">
        <v>6</v>
      </c>
      <c r="C529" t="s">
        <v>11</v>
      </c>
      <c r="D529" t="s">
        <v>12</v>
      </c>
      <c r="E529">
        <v>1.5</v>
      </c>
      <c r="F529">
        <v>2.65</v>
      </c>
      <c r="G529" s="8">
        <f t="shared" si="8"/>
        <v>33.962264150943398</v>
      </c>
    </row>
    <row r="530" spans="1:7" x14ac:dyDescent="0.25">
      <c r="A530" s="5">
        <v>45807.385416666664</v>
      </c>
      <c r="B530">
        <v>7</v>
      </c>
      <c r="C530" t="s">
        <v>12</v>
      </c>
      <c r="D530" t="s">
        <v>13</v>
      </c>
      <c r="E530">
        <v>1.54</v>
      </c>
      <c r="F530">
        <v>2.63</v>
      </c>
      <c r="G530" s="8">
        <f t="shared" si="8"/>
        <v>35.133079847908746</v>
      </c>
    </row>
    <row r="531" spans="1:7" x14ac:dyDescent="0.25">
      <c r="A531" s="5">
        <v>45807.385416666664</v>
      </c>
      <c r="B531">
        <v>8</v>
      </c>
      <c r="C531" t="s">
        <v>13</v>
      </c>
      <c r="D531" t="s">
        <v>14</v>
      </c>
      <c r="E531">
        <v>1.54</v>
      </c>
      <c r="F531">
        <v>3.28</v>
      </c>
      <c r="G531" s="8">
        <f t="shared" si="8"/>
        <v>28.170731707317078</v>
      </c>
    </row>
    <row r="532" spans="1:7" x14ac:dyDescent="0.25">
      <c r="A532" s="5">
        <v>45807.385416666664</v>
      </c>
      <c r="B532">
        <v>9</v>
      </c>
      <c r="C532" t="s">
        <v>14</v>
      </c>
      <c r="D532" t="s">
        <v>15</v>
      </c>
      <c r="E532">
        <v>1.52</v>
      </c>
      <c r="F532">
        <v>3.88</v>
      </c>
      <c r="G532" s="8">
        <f t="shared" si="8"/>
        <v>23.505154639175259</v>
      </c>
    </row>
    <row r="533" spans="1:7" x14ac:dyDescent="0.25">
      <c r="A533" s="5">
        <v>45807.385416666664</v>
      </c>
      <c r="B533">
        <v>10</v>
      </c>
      <c r="C533" t="s">
        <v>15</v>
      </c>
      <c r="D533" t="s">
        <v>16</v>
      </c>
      <c r="E533">
        <v>1.5</v>
      </c>
      <c r="F533">
        <v>3.95</v>
      </c>
      <c r="G533" s="8">
        <f t="shared" si="8"/>
        <v>22.784810126582279</v>
      </c>
    </row>
    <row r="534" spans="1:7" x14ac:dyDescent="0.25">
      <c r="A534" s="5">
        <v>45807.385416666664</v>
      </c>
      <c r="B534">
        <v>11</v>
      </c>
      <c r="C534" t="s">
        <v>16</v>
      </c>
      <c r="D534" t="s">
        <v>17</v>
      </c>
      <c r="E534">
        <v>1.48</v>
      </c>
      <c r="F534">
        <v>4.42</v>
      </c>
      <c r="G534" s="8">
        <f t="shared" si="8"/>
        <v>20.090497737556561</v>
      </c>
    </row>
    <row r="535" spans="1:7" x14ac:dyDescent="0.25">
      <c r="A535" s="5">
        <v>45807.385416666664</v>
      </c>
      <c r="B535">
        <v>12</v>
      </c>
      <c r="C535" t="s">
        <v>17</v>
      </c>
      <c r="D535" t="s">
        <v>18</v>
      </c>
      <c r="E535">
        <v>1.46</v>
      </c>
      <c r="F535">
        <v>4.33</v>
      </c>
      <c r="G535" s="8">
        <f t="shared" si="8"/>
        <v>20.23094688221709</v>
      </c>
    </row>
    <row r="536" spans="1:7" x14ac:dyDescent="0.25">
      <c r="A536" s="5">
        <v>45807.385416666664</v>
      </c>
      <c r="B536">
        <v>13</v>
      </c>
      <c r="C536" t="s">
        <v>18</v>
      </c>
      <c r="D536" t="s">
        <v>19</v>
      </c>
      <c r="E536">
        <v>1.52</v>
      </c>
      <c r="F536">
        <v>4.0199999999999996</v>
      </c>
      <c r="G536" s="8">
        <f t="shared" si="8"/>
        <v>22.686567164179106</v>
      </c>
    </row>
    <row r="537" spans="1:7" x14ac:dyDescent="0.25">
      <c r="A537" s="5">
        <v>45807.385416666664</v>
      </c>
      <c r="B537">
        <v>14</v>
      </c>
      <c r="C537" t="s">
        <v>19</v>
      </c>
      <c r="D537" t="s">
        <v>20</v>
      </c>
      <c r="E537">
        <v>1.51</v>
      </c>
      <c r="F537">
        <v>3.85</v>
      </c>
      <c r="G537" s="8">
        <f t="shared" si="8"/>
        <v>23.532467532467532</v>
      </c>
    </row>
    <row r="538" spans="1:7" x14ac:dyDescent="0.25">
      <c r="A538" s="5">
        <v>45807.385416666664</v>
      </c>
      <c r="B538">
        <v>15</v>
      </c>
      <c r="C538" t="s">
        <v>20</v>
      </c>
      <c r="D538" t="s">
        <v>21</v>
      </c>
      <c r="E538">
        <v>1.47</v>
      </c>
      <c r="F538">
        <v>2.85</v>
      </c>
      <c r="G538" s="8">
        <f t="shared" si="8"/>
        <v>30.94736842105263</v>
      </c>
    </row>
    <row r="539" spans="1:7" x14ac:dyDescent="0.25">
      <c r="A539" s="5">
        <v>45807.385416666664</v>
      </c>
      <c r="B539">
        <v>16</v>
      </c>
      <c r="C539" t="s">
        <v>21</v>
      </c>
      <c r="D539" t="s">
        <v>22</v>
      </c>
      <c r="E539">
        <v>1.5</v>
      </c>
      <c r="F539">
        <v>1.83</v>
      </c>
      <c r="G539" s="8">
        <f t="shared" si="8"/>
        <v>49.180327868852459</v>
      </c>
    </row>
    <row r="540" spans="1:7" x14ac:dyDescent="0.25">
      <c r="A540" s="5">
        <v>45807.385416666664</v>
      </c>
      <c r="B540">
        <v>17</v>
      </c>
      <c r="C540" t="s">
        <v>22</v>
      </c>
      <c r="D540" t="s">
        <v>23</v>
      </c>
      <c r="E540">
        <v>1.51</v>
      </c>
      <c r="F540">
        <v>3.1</v>
      </c>
      <c r="G540" s="8">
        <f t="shared" si="8"/>
        <v>29.2258064516129</v>
      </c>
    </row>
    <row r="541" spans="1:7" x14ac:dyDescent="0.25">
      <c r="A541" s="5">
        <v>45807.385416666664</v>
      </c>
      <c r="B541">
        <v>18</v>
      </c>
      <c r="C541" t="s">
        <v>23</v>
      </c>
      <c r="D541" t="s">
        <v>24</v>
      </c>
      <c r="E541">
        <v>1.51</v>
      </c>
      <c r="F541">
        <v>3.17</v>
      </c>
      <c r="G541" s="8">
        <f t="shared" si="8"/>
        <v>28.580441640378549</v>
      </c>
    </row>
    <row r="542" spans="1:7" x14ac:dyDescent="0.25">
      <c r="A542" s="5">
        <v>45807.385416666664</v>
      </c>
      <c r="B542">
        <v>19</v>
      </c>
      <c r="C542" t="s">
        <v>25</v>
      </c>
      <c r="D542" t="s">
        <v>26</v>
      </c>
      <c r="E542">
        <v>1.5</v>
      </c>
      <c r="F542">
        <v>4.2699999999999996</v>
      </c>
      <c r="G542" s="8">
        <f t="shared" si="8"/>
        <v>21.077283372365343</v>
      </c>
    </row>
    <row r="543" spans="1:7" x14ac:dyDescent="0.25">
      <c r="A543" s="5">
        <v>45807.385416666664</v>
      </c>
      <c r="B543">
        <v>20</v>
      </c>
      <c r="C543" t="s">
        <v>26</v>
      </c>
      <c r="D543" t="s">
        <v>27</v>
      </c>
      <c r="E543">
        <v>1.48</v>
      </c>
      <c r="F543">
        <v>4.08</v>
      </c>
      <c r="G543" s="8">
        <f t="shared" si="8"/>
        <v>21.764705882352938</v>
      </c>
    </row>
    <row r="544" spans="1:7" x14ac:dyDescent="0.25">
      <c r="A544" s="5">
        <v>45807.385416666664</v>
      </c>
      <c r="B544">
        <v>21</v>
      </c>
      <c r="C544" t="s">
        <v>27</v>
      </c>
      <c r="D544" t="s">
        <v>28</v>
      </c>
      <c r="E544">
        <v>1.51</v>
      </c>
      <c r="F544">
        <v>3.63</v>
      </c>
      <c r="G544" s="8">
        <f t="shared" si="8"/>
        <v>24.958677685950413</v>
      </c>
    </row>
    <row r="545" spans="1:7" x14ac:dyDescent="0.25">
      <c r="A545" s="5">
        <v>45807.385416666664</v>
      </c>
      <c r="B545">
        <v>22</v>
      </c>
      <c r="C545" t="s">
        <v>28</v>
      </c>
      <c r="D545" t="s">
        <v>29</v>
      </c>
      <c r="E545">
        <v>1.57</v>
      </c>
      <c r="F545">
        <v>3.53</v>
      </c>
      <c r="G545" s="8">
        <f t="shared" si="8"/>
        <v>26.685552407932015</v>
      </c>
    </row>
    <row r="546" spans="1:7" x14ac:dyDescent="0.25">
      <c r="A546" s="5">
        <v>45807.385416666664</v>
      </c>
      <c r="B546">
        <v>23</v>
      </c>
      <c r="C546" t="s">
        <v>29</v>
      </c>
      <c r="D546" t="s">
        <v>30</v>
      </c>
      <c r="E546">
        <v>1.43</v>
      </c>
      <c r="F546">
        <v>4.33</v>
      </c>
      <c r="G546" s="8">
        <f t="shared" si="8"/>
        <v>19.815242494226325</v>
      </c>
    </row>
    <row r="547" spans="1:7" x14ac:dyDescent="0.25">
      <c r="A547" s="5">
        <v>45807.385416666664</v>
      </c>
      <c r="B547">
        <v>24</v>
      </c>
      <c r="C547" t="s">
        <v>30</v>
      </c>
      <c r="D547" t="s">
        <v>31</v>
      </c>
      <c r="E547">
        <v>1.52</v>
      </c>
      <c r="F547">
        <v>3.33</v>
      </c>
      <c r="G547" s="8">
        <f t="shared" si="8"/>
        <v>27.387387387387388</v>
      </c>
    </row>
    <row r="548" spans="1:7" x14ac:dyDescent="0.25">
      <c r="A548" s="5">
        <v>45807.385416666664</v>
      </c>
      <c r="B548">
        <v>25</v>
      </c>
      <c r="C548" t="s">
        <v>31</v>
      </c>
      <c r="D548" t="s">
        <v>32</v>
      </c>
      <c r="E548">
        <v>1.52</v>
      </c>
      <c r="F548">
        <v>3.35</v>
      </c>
      <c r="G548" s="8">
        <f t="shared" si="8"/>
        <v>27.223880597014926</v>
      </c>
    </row>
    <row r="549" spans="1:7" x14ac:dyDescent="0.25">
      <c r="A549" s="5">
        <v>45807.385416666664</v>
      </c>
      <c r="B549">
        <v>26</v>
      </c>
      <c r="C549" t="s">
        <v>32</v>
      </c>
      <c r="D549" t="s">
        <v>33</v>
      </c>
      <c r="E549">
        <v>1.49</v>
      </c>
      <c r="F549">
        <v>5.63</v>
      </c>
      <c r="G549" s="8">
        <f t="shared" si="8"/>
        <v>15.879218472468917</v>
      </c>
    </row>
    <row r="550" spans="1:7" x14ac:dyDescent="0.25">
      <c r="A550" s="5">
        <v>45807.385416666664</v>
      </c>
      <c r="B550">
        <v>27</v>
      </c>
      <c r="C550" t="s">
        <v>33</v>
      </c>
      <c r="D550" t="s">
        <v>34</v>
      </c>
      <c r="E550">
        <v>1.53</v>
      </c>
      <c r="F550">
        <v>3.95</v>
      </c>
      <c r="G550" s="8">
        <f t="shared" si="8"/>
        <v>23.240506329113924</v>
      </c>
    </row>
    <row r="551" spans="1:7" x14ac:dyDescent="0.25">
      <c r="A551" s="5">
        <v>45807.385416666664</v>
      </c>
      <c r="B551">
        <v>28</v>
      </c>
      <c r="C551" t="s">
        <v>34</v>
      </c>
      <c r="D551" t="s">
        <v>35</v>
      </c>
      <c r="E551">
        <v>1.51</v>
      </c>
      <c r="F551">
        <v>4.13</v>
      </c>
      <c r="G551" s="8">
        <f t="shared" si="8"/>
        <v>21.937046004842614</v>
      </c>
    </row>
    <row r="552" spans="1:7" x14ac:dyDescent="0.25">
      <c r="A552" s="5">
        <v>45807.385416666664</v>
      </c>
      <c r="B552">
        <v>29</v>
      </c>
      <c r="C552" t="s">
        <v>36</v>
      </c>
      <c r="D552" t="s">
        <v>37</v>
      </c>
      <c r="E552">
        <v>1.57</v>
      </c>
      <c r="F552">
        <v>4.97</v>
      </c>
      <c r="G552" s="8">
        <f t="shared" si="8"/>
        <v>18.953722334004027</v>
      </c>
    </row>
    <row r="553" spans="1:7" x14ac:dyDescent="0.25">
      <c r="A553" s="5">
        <v>45807.385416666664</v>
      </c>
      <c r="B553">
        <v>30</v>
      </c>
      <c r="C553" t="s">
        <v>37</v>
      </c>
      <c r="D553" t="s">
        <v>38</v>
      </c>
      <c r="E553">
        <v>1.57</v>
      </c>
      <c r="F553">
        <v>6.33</v>
      </c>
      <c r="G553" s="8">
        <f t="shared" si="8"/>
        <v>14.881516587677725</v>
      </c>
    </row>
    <row r="554" spans="1:7" x14ac:dyDescent="0.25">
      <c r="A554" s="5">
        <v>45807.385416666664</v>
      </c>
      <c r="B554">
        <v>31</v>
      </c>
      <c r="C554" t="s">
        <v>38</v>
      </c>
      <c r="D554" t="s">
        <v>39</v>
      </c>
      <c r="E554">
        <v>1.52</v>
      </c>
      <c r="F554">
        <v>2.73</v>
      </c>
      <c r="G554" s="8">
        <f t="shared" si="8"/>
        <v>33.406593406593409</v>
      </c>
    </row>
    <row r="555" spans="1:7" x14ac:dyDescent="0.25">
      <c r="A555" s="5">
        <v>45807.385416666664</v>
      </c>
      <c r="B555">
        <v>32</v>
      </c>
      <c r="C555" t="s">
        <v>39</v>
      </c>
      <c r="D555" t="s">
        <v>40</v>
      </c>
      <c r="E555">
        <v>1.5</v>
      </c>
      <c r="F555">
        <v>1.85</v>
      </c>
      <c r="G555" s="8">
        <f t="shared" si="8"/>
        <v>48.648648648648646</v>
      </c>
    </row>
    <row r="556" spans="1:7" x14ac:dyDescent="0.25">
      <c r="A556" s="5">
        <v>45807.385416666664</v>
      </c>
      <c r="B556">
        <v>33</v>
      </c>
      <c r="C556" t="s">
        <v>40</v>
      </c>
      <c r="D556" t="s">
        <v>41</v>
      </c>
      <c r="E556">
        <v>1.51</v>
      </c>
      <c r="F556">
        <v>1.83</v>
      </c>
      <c r="G556" s="8">
        <f t="shared" si="8"/>
        <v>49.508196721311471</v>
      </c>
    </row>
    <row r="557" spans="1:7" x14ac:dyDescent="0.25">
      <c r="A557" s="5">
        <v>45807.385416666664</v>
      </c>
      <c r="B557">
        <v>34</v>
      </c>
      <c r="C557" t="s">
        <v>41</v>
      </c>
      <c r="D557" t="s">
        <v>42</v>
      </c>
      <c r="E557">
        <v>1.5</v>
      </c>
      <c r="F557">
        <v>2.1</v>
      </c>
      <c r="G557" s="8">
        <f t="shared" si="8"/>
        <v>42.857142857142854</v>
      </c>
    </row>
    <row r="558" spans="1:7" x14ac:dyDescent="0.25">
      <c r="A558" s="5">
        <v>45807.385416666664</v>
      </c>
      <c r="B558">
        <v>35</v>
      </c>
      <c r="C558" t="s">
        <v>43</v>
      </c>
      <c r="D558" t="s">
        <v>44</v>
      </c>
      <c r="E558">
        <v>1.55</v>
      </c>
      <c r="F558">
        <v>3.97</v>
      </c>
      <c r="G558" s="8">
        <f t="shared" si="8"/>
        <v>23.425692695214103</v>
      </c>
    </row>
    <row r="559" spans="1:7" x14ac:dyDescent="0.25">
      <c r="A559" s="5">
        <v>45807.385416666664</v>
      </c>
      <c r="B559">
        <v>36</v>
      </c>
      <c r="C559" t="s">
        <v>44</v>
      </c>
      <c r="D559" t="s">
        <v>45</v>
      </c>
      <c r="E559">
        <v>1.5</v>
      </c>
      <c r="F559">
        <v>3.17</v>
      </c>
      <c r="G559" s="8">
        <f t="shared" si="8"/>
        <v>28.391167192429023</v>
      </c>
    </row>
    <row r="560" spans="1:7" x14ac:dyDescent="0.25">
      <c r="A560" s="5">
        <v>45807.385416666664</v>
      </c>
      <c r="B560">
        <v>37</v>
      </c>
      <c r="C560" t="s">
        <v>45</v>
      </c>
      <c r="D560" t="s">
        <v>46</v>
      </c>
      <c r="E560">
        <v>1.38</v>
      </c>
      <c r="F560">
        <v>3.95</v>
      </c>
      <c r="G560" s="8">
        <f t="shared" si="8"/>
        <v>20.962025316455694</v>
      </c>
    </row>
    <row r="561" spans="1:7" x14ac:dyDescent="0.25">
      <c r="A561" s="5">
        <v>45807.385416666664</v>
      </c>
      <c r="B561">
        <v>38</v>
      </c>
      <c r="C561" t="s">
        <v>46</v>
      </c>
      <c r="D561" t="s">
        <v>47</v>
      </c>
      <c r="E561">
        <v>1.61</v>
      </c>
      <c r="F561">
        <v>3.82</v>
      </c>
      <c r="G561" s="8">
        <f t="shared" si="8"/>
        <v>25.287958115183251</v>
      </c>
    </row>
    <row r="562" spans="1:7" x14ac:dyDescent="0.25">
      <c r="A562" s="5">
        <v>45807.385416666664</v>
      </c>
      <c r="B562">
        <v>39</v>
      </c>
      <c r="C562" t="s">
        <v>47</v>
      </c>
      <c r="D562" t="s">
        <v>48</v>
      </c>
      <c r="E562">
        <v>1.55</v>
      </c>
      <c r="F562">
        <v>3.42</v>
      </c>
      <c r="G562" s="8">
        <f t="shared" si="8"/>
        <v>27.192982456140353</v>
      </c>
    </row>
    <row r="563" spans="1:7" x14ac:dyDescent="0.25">
      <c r="A563" s="5">
        <v>45807.385416666664</v>
      </c>
      <c r="B563">
        <v>40</v>
      </c>
      <c r="C563" t="s">
        <v>48</v>
      </c>
      <c r="D563" t="s">
        <v>49</v>
      </c>
      <c r="E563">
        <v>1.39</v>
      </c>
      <c r="F563">
        <v>2.82</v>
      </c>
      <c r="G563" s="8">
        <f t="shared" si="8"/>
        <v>29.574468085106382</v>
      </c>
    </row>
    <row r="564" spans="1:7" x14ac:dyDescent="0.25">
      <c r="A564" s="5">
        <v>45807.385416666664</v>
      </c>
      <c r="B564">
        <v>41</v>
      </c>
      <c r="C564" t="s">
        <v>50</v>
      </c>
      <c r="D564" t="s">
        <v>51</v>
      </c>
      <c r="E564">
        <v>1.56</v>
      </c>
      <c r="F564">
        <v>4.75</v>
      </c>
      <c r="G564" s="8">
        <f t="shared" si="8"/>
        <v>19.705263157894738</v>
      </c>
    </row>
    <row r="565" spans="1:7" x14ac:dyDescent="0.25">
      <c r="A565" s="5">
        <v>45807.385416666664</v>
      </c>
      <c r="B565">
        <v>42</v>
      </c>
      <c r="C565" t="s">
        <v>51</v>
      </c>
      <c r="D565" t="s">
        <v>52</v>
      </c>
      <c r="E565">
        <v>1.56</v>
      </c>
      <c r="F565">
        <v>3.97</v>
      </c>
      <c r="G565" s="8">
        <f t="shared" si="8"/>
        <v>23.576826196473554</v>
      </c>
    </row>
    <row r="566" spans="1:7" x14ac:dyDescent="0.25">
      <c r="A566" s="5">
        <v>45807.385416666664</v>
      </c>
      <c r="B566">
        <v>43</v>
      </c>
      <c r="C566" t="s">
        <v>52</v>
      </c>
      <c r="D566" t="s">
        <v>53</v>
      </c>
      <c r="E566">
        <v>1.51</v>
      </c>
      <c r="F566">
        <v>3.58</v>
      </c>
      <c r="G566" s="8">
        <f t="shared" si="8"/>
        <v>25.3072625698324</v>
      </c>
    </row>
    <row r="567" spans="1:7" x14ac:dyDescent="0.25">
      <c r="A567" s="5">
        <v>45807.385416666664</v>
      </c>
      <c r="B567">
        <v>44</v>
      </c>
      <c r="C567" t="s">
        <v>54</v>
      </c>
      <c r="D567" t="s">
        <v>55</v>
      </c>
      <c r="E567">
        <v>1.51</v>
      </c>
      <c r="F567">
        <v>4.57</v>
      </c>
      <c r="G567" s="8">
        <f t="shared" si="8"/>
        <v>19.824945295404813</v>
      </c>
    </row>
    <row r="568" spans="1:7" x14ac:dyDescent="0.25">
      <c r="A568" s="5">
        <v>45807.385416666664</v>
      </c>
      <c r="B568">
        <v>45</v>
      </c>
      <c r="C568" t="s">
        <v>55</v>
      </c>
      <c r="D568" t="s">
        <v>56</v>
      </c>
      <c r="E568">
        <v>1.49</v>
      </c>
      <c r="F568">
        <v>3.55</v>
      </c>
      <c r="G568" s="8">
        <f t="shared" si="8"/>
        <v>25.1830985915493</v>
      </c>
    </row>
    <row r="569" spans="1:7" x14ac:dyDescent="0.25">
      <c r="A569" s="5">
        <v>45807.385416666664</v>
      </c>
      <c r="B569">
        <v>46</v>
      </c>
      <c r="C569" t="s">
        <v>56</v>
      </c>
      <c r="D569" t="s">
        <v>57</v>
      </c>
      <c r="E569">
        <v>1.52</v>
      </c>
      <c r="F569">
        <v>3.78</v>
      </c>
      <c r="G569" s="8">
        <f t="shared" si="8"/>
        <v>24.12698412698413</v>
      </c>
    </row>
    <row r="570" spans="1:7" x14ac:dyDescent="0.25">
      <c r="A570" s="5">
        <v>45807.385416666664</v>
      </c>
      <c r="B570">
        <v>47</v>
      </c>
      <c r="C570" t="s">
        <v>58</v>
      </c>
      <c r="D570" t="s">
        <v>59</v>
      </c>
      <c r="E570">
        <v>1.52</v>
      </c>
      <c r="F570">
        <v>7.8</v>
      </c>
      <c r="G570" s="8">
        <f t="shared" si="8"/>
        <v>11.692307692307693</v>
      </c>
    </row>
    <row r="571" spans="1:7" x14ac:dyDescent="0.25">
      <c r="A571" s="5">
        <v>45807.385416666664</v>
      </c>
      <c r="B571">
        <v>48</v>
      </c>
      <c r="C571" t="s">
        <v>59</v>
      </c>
      <c r="D571" t="s">
        <v>60</v>
      </c>
      <c r="E571">
        <v>1.5</v>
      </c>
      <c r="F571">
        <v>3.77</v>
      </c>
      <c r="G571" s="8">
        <f t="shared" si="8"/>
        <v>23.872679045092838</v>
      </c>
    </row>
    <row r="572" spans="1:7" x14ac:dyDescent="0.25">
      <c r="A572" s="5">
        <v>45807.385416666664</v>
      </c>
      <c r="B572">
        <v>49</v>
      </c>
      <c r="C572" t="s">
        <v>60</v>
      </c>
      <c r="D572" t="s">
        <v>61</v>
      </c>
      <c r="E572">
        <v>1.54</v>
      </c>
      <c r="F572">
        <v>3.97</v>
      </c>
      <c r="G572" s="8">
        <f t="shared" si="8"/>
        <v>23.274559193954659</v>
      </c>
    </row>
    <row r="573" spans="1:7" x14ac:dyDescent="0.25">
      <c r="A573" s="5">
        <v>45807.385416666664</v>
      </c>
      <c r="B573">
        <v>50</v>
      </c>
      <c r="C573" t="s">
        <v>62</v>
      </c>
      <c r="D573" t="s">
        <v>63</v>
      </c>
      <c r="E573">
        <v>1.38</v>
      </c>
      <c r="F573">
        <v>3.18</v>
      </c>
      <c r="G573" s="8">
        <f t="shared" si="8"/>
        <v>26.037735849056602</v>
      </c>
    </row>
    <row r="574" spans="1:7" x14ac:dyDescent="0.25">
      <c r="A574" s="5">
        <v>45807.385416666664</v>
      </c>
      <c r="B574">
        <v>51</v>
      </c>
      <c r="C574" t="s">
        <v>63</v>
      </c>
      <c r="D574" t="s">
        <v>64</v>
      </c>
      <c r="E574">
        <v>2.79</v>
      </c>
      <c r="F574">
        <v>5.83</v>
      </c>
      <c r="G574" s="8">
        <f t="shared" si="8"/>
        <v>28.713550600343055</v>
      </c>
    </row>
    <row r="575" spans="1:7" x14ac:dyDescent="0.25">
      <c r="A575" s="5">
        <v>45807.385416666664</v>
      </c>
      <c r="B575">
        <v>52</v>
      </c>
      <c r="C575" t="s">
        <v>64</v>
      </c>
      <c r="D575" t="s">
        <v>65</v>
      </c>
      <c r="E575">
        <v>1.5</v>
      </c>
      <c r="F575">
        <v>2.83</v>
      </c>
      <c r="G575" s="8">
        <f t="shared" si="8"/>
        <v>31.802120141342755</v>
      </c>
    </row>
    <row r="576" spans="1:7" x14ac:dyDescent="0.25">
      <c r="A576" s="5">
        <v>45807.385416666664</v>
      </c>
      <c r="B576">
        <v>53</v>
      </c>
      <c r="C576" t="s">
        <v>65</v>
      </c>
      <c r="D576" t="s">
        <v>66</v>
      </c>
      <c r="E576">
        <v>1.46</v>
      </c>
      <c r="F576">
        <v>3.77</v>
      </c>
      <c r="G576" s="8">
        <f t="shared" si="8"/>
        <v>23.236074270557026</v>
      </c>
    </row>
    <row r="577" spans="1:7" x14ac:dyDescent="0.25">
      <c r="A577" s="5">
        <v>45807.385416666664</v>
      </c>
      <c r="B577">
        <v>54</v>
      </c>
      <c r="C577" t="s">
        <v>67</v>
      </c>
      <c r="D577" t="s">
        <v>68</v>
      </c>
      <c r="E577">
        <v>1.46</v>
      </c>
      <c r="F577">
        <v>4.6500000000000004</v>
      </c>
      <c r="G577" s="8">
        <f t="shared" si="8"/>
        <v>18.838709677419352</v>
      </c>
    </row>
    <row r="578" spans="1:7" x14ac:dyDescent="0.25">
      <c r="A578" s="5">
        <v>45807.385416666664</v>
      </c>
      <c r="B578">
        <v>55</v>
      </c>
      <c r="C578" t="s">
        <v>68</v>
      </c>
      <c r="D578" t="s">
        <v>69</v>
      </c>
      <c r="E578">
        <v>1.5</v>
      </c>
      <c r="F578">
        <v>2.1800000000000002</v>
      </c>
      <c r="G578" s="8">
        <f t="shared" si="8"/>
        <v>41.284403669724767</v>
      </c>
    </row>
    <row r="579" spans="1:7" x14ac:dyDescent="0.25">
      <c r="A579" s="5">
        <v>45807.385416666664</v>
      </c>
      <c r="B579">
        <v>56</v>
      </c>
      <c r="C579" t="s">
        <v>70</v>
      </c>
      <c r="D579" t="s">
        <v>71</v>
      </c>
      <c r="E579">
        <v>1.51</v>
      </c>
      <c r="F579">
        <v>6.3</v>
      </c>
      <c r="G579" s="8">
        <f t="shared" ref="G579:G642" si="9">E579*60/F579</f>
        <v>14.38095238095238</v>
      </c>
    </row>
    <row r="580" spans="1:7" x14ac:dyDescent="0.25">
      <c r="A580" s="5">
        <v>45807.385416666664</v>
      </c>
      <c r="B580">
        <v>57</v>
      </c>
      <c r="C580" t="s">
        <v>71</v>
      </c>
      <c r="D580" t="s">
        <v>72</v>
      </c>
      <c r="E580">
        <v>1.52</v>
      </c>
      <c r="F580">
        <v>4.7699999999999996</v>
      </c>
      <c r="G580" s="8">
        <f t="shared" si="9"/>
        <v>19.119496855345915</v>
      </c>
    </row>
    <row r="581" spans="1:7" x14ac:dyDescent="0.25">
      <c r="A581" s="5">
        <v>45807.385416666664</v>
      </c>
      <c r="B581">
        <v>58</v>
      </c>
      <c r="C581" t="s">
        <v>72</v>
      </c>
      <c r="D581" t="s">
        <v>73</v>
      </c>
      <c r="E581">
        <v>1.5</v>
      </c>
      <c r="F581">
        <v>3.9</v>
      </c>
      <c r="G581" s="8">
        <f t="shared" si="9"/>
        <v>23.076923076923077</v>
      </c>
    </row>
    <row r="582" spans="1:7" x14ac:dyDescent="0.25">
      <c r="A582" s="5">
        <v>45807.395833333336</v>
      </c>
      <c r="B582">
        <v>1</v>
      </c>
      <c r="C582" t="s">
        <v>6</v>
      </c>
      <c r="D582" t="s">
        <v>7</v>
      </c>
      <c r="E582">
        <v>1.53</v>
      </c>
      <c r="F582">
        <v>3.1</v>
      </c>
      <c r="G582" s="8">
        <f t="shared" si="9"/>
        <v>29.612903225806448</v>
      </c>
    </row>
    <row r="583" spans="1:7" x14ac:dyDescent="0.25">
      <c r="A583" s="5">
        <v>45807.395833333336</v>
      </c>
      <c r="B583">
        <v>2</v>
      </c>
      <c r="C583" t="s">
        <v>7</v>
      </c>
      <c r="D583" t="s">
        <v>8</v>
      </c>
      <c r="E583">
        <v>1.57</v>
      </c>
      <c r="F583">
        <v>5.28</v>
      </c>
      <c r="G583" s="8">
        <f t="shared" si="9"/>
        <v>17.84090909090909</v>
      </c>
    </row>
    <row r="584" spans="1:7" x14ac:dyDescent="0.25">
      <c r="A584" s="5">
        <v>45807.395833333336</v>
      </c>
      <c r="B584">
        <v>3</v>
      </c>
      <c r="C584" t="s">
        <v>8</v>
      </c>
      <c r="D584" t="s">
        <v>9</v>
      </c>
      <c r="E584">
        <v>1.5</v>
      </c>
      <c r="F584">
        <v>3.03</v>
      </c>
      <c r="G584" s="8">
        <f t="shared" si="9"/>
        <v>29.702970297029704</v>
      </c>
    </row>
    <row r="585" spans="1:7" x14ac:dyDescent="0.25">
      <c r="A585" s="5">
        <v>45807.395833333336</v>
      </c>
      <c r="B585">
        <v>4</v>
      </c>
      <c r="C585" t="s">
        <v>9</v>
      </c>
      <c r="D585" t="s">
        <v>10</v>
      </c>
      <c r="E585">
        <v>1.5</v>
      </c>
      <c r="F585">
        <v>2.77</v>
      </c>
      <c r="G585" s="8">
        <f t="shared" si="9"/>
        <v>32.490974729241877</v>
      </c>
    </row>
    <row r="586" spans="1:7" x14ac:dyDescent="0.25">
      <c r="A586" s="5">
        <v>45807.395833333336</v>
      </c>
      <c r="B586">
        <v>5</v>
      </c>
      <c r="C586" t="s">
        <v>10</v>
      </c>
      <c r="D586" t="s">
        <v>11</v>
      </c>
      <c r="E586">
        <v>1.52</v>
      </c>
      <c r="F586">
        <v>3.33</v>
      </c>
      <c r="G586" s="8">
        <f t="shared" si="9"/>
        <v>27.387387387387388</v>
      </c>
    </row>
    <row r="587" spans="1:7" x14ac:dyDescent="0.25">
      <c r="A587" s="5">
        <v>45807.395833333336</v>
      </c>
      <c r="B587">
        <v>6</v>
      </c>
      <c r="C587" t="s">
        <v>11</v>
      </c>
      <c r="D587" t="s">
        <v>12</v>
      </c>
      <c r="E587">
        <v>1.5</v>
      </c>
      <c r="F587">
        <v>2.8</v>
      </c>
      <c r="G587" s="8">
        <f t="shared" si="9"/>
        <v>32.142857142857146</v>
      </c>
    </row>
    <row r="588" spans="1:7" x14ac:dyDescent="0.25">
      <c r="A588" s="5">
        <v>45807.395833333336</v>
      </c>
      <c r="B588">
        <v>7</v>
      </c>
      <c r="C588" t="s">
        <v>12</v>
      </c>
      <c r="D588" t="s">
        <v>13</v>
      </c>
      <c r="E588">
        <v>1.54</v>
      </c>
      <c r="F588">
        <v>2.65</v>
      </c>
      <c r="G588" s="8">
        <f t="shared" si="9"/>
        <v>34.867924528301891</v>
      </c>
    </row>
    <row r="589" spans="1:7" x14ac:dyDescent="0.25">
      <c r="A589" s="5">
        <v>45807.395833333336</v>
      </c>
      <c r="B589">
        <v>8</v>
      </c>
      <c r="C589" t="s">
        <v>13</v>
      </c>
      <c r="D589" t="s">
        <v>14</v>
      </c>
      <c r="E589">
        <v>1.54</v>
      </c>
      <c r="F589">
        <v>3.25</v>
      </c>
      <c r="G589" s="8">
        <f t="shared" si="9"/>
        <v>28.430769230769233</v>
      </c>
    </row>
    <row r="590" spans="1:7" x14ac:dyDescent="0.25">
      <c r="A590" s="5">
        <v>45807.395833333336</v>
      </c>
      <c r="B590">
        <v>9</v>
      </c>
      <c r="C590" t="s">
        <v>14</v>
      </c>
      <c r="D590" t="s">
        <v>15</v>
      </c>
      <c r="E590">
        <v>1.52</v>
      </c>
      <c r="F590">
        <v>4.17</v>
      </c>
      <c r="G590" s="8">
        <f t="shared" si="9"/>
        <v>21.870503597122305</v>
      </c>
    </row>
    <row r="591" spans="1:7" x14ac:dyDescent="0.25">
      <c r="A591" s="5">
        <v>45807.395833333336</v>
      </c>
      <c r="B591">
        <v>10</v>
      </c>
      <c r="C591" t="s">
        <v>15</v>
      </c>
      <c r="D591" t="s">
        <v>16</v>
      </c>
      <c r="E591">
        <v>1.5</v>
      </c>
      <c r="F591">
        <v>3.97</v>
      </c>
      <c r="G591" s="8">
        <f t="shared" si="9"/>
        <v>22.670025188916874</v>
      </c>
    </row>
    <row r="592" spans="1:7" x14ac:dyDescent="0.25">
      <c r="A592" s="5">
        <v>45807.395833333336</v>
      </c>
      <c r="B592">
        <v>11</v>
      </c>
      <c r="C592" t="s">
        <v>16</v>
      </c>
      <c r="D592" t="s">
        <v>17</v>
      </c>
      <c r="E592">
        <v>1.48</v>
      </c>
      <c r="F592">
        <v>3.65</v>
      </c>
      <c r="G592" s="8">
        <f t="shared" si="9"/>
        <v>24.328767123287673</v>
      </c>
    </row>
    <row r="593" spans="1:7" x14ac:dyDescent="0.25">
      <c r="A593" s="5">
        <v>45807.395833333336</v>
      </c>
      <c r="B593">
        <v>12</v>
      </c>
      <c r="C593" t="s">
        <v>17</v>
      </c>
      <c r="D593" t="s">
        <v>18</v>
      </c>
      <c r="E593">
        <v>1.46</v>
      </c>
      <c r="F593">
        <v>4.88</v>
      </c>
      <c r="G593" s="8">
        <f t="shared" si="9"/>
        <v>17.950819672131146</v>
      </c>
    </row>
    <row r="594" spans="1:7" x14ac:dyDescent="0.25">
      <c r="A594" s="5">
        <v>45807.395833333336</v>
      </c>
      <c r="B594">
        <v>13</v>
      </c>
      <c r="C594" t="s">
        <v>18</v>
      </c>
      <c r="D594" t="s">
        <v>19</v>
      </c>
      <c r="E594">
        <v>1.52</v>
      </c>
      <c r="F594">
        <v>4.07</v>
      </c>
      <c r="G594" s="8">
        <f t="shared" si="9"/>
        <v>22.407862407862407</v>
      </c>
    </row>
    <row r="595" spans="1:7" x14ac:dyDescent="0.25">
      <c r="A595" s="5">
        <v>45807.395833333336</v>
      </c>
      <c r="B595">
        <v>14</v>
      </c>
      <c r="C595" t="s">
        <v>19</v>
      </c>
      <c r="D595" t="s">
        <v>20</v>
      </c>
      <c r="E595">
        <v>1.51</v>
      </c>
      <c r="F595">
        <v>3.88</v>
      </c>
      <c r="G595" s="8">
        <f t="shared" si="9"/>
        <v>23.350515463917525</v>
      </c>
    </row>
    <row r="596" spans="1:7" x14ac:dyDescent="0.25">
      <c r="A596" s="5">
        <v>45807.395833333336</v>
      </c>
      <c r="B596">
        <v>15</v>
      </c>
      <c r="C596" t="s">
        <v>20</v>
      </c>
      <c r="D596" t="s">
        <v>21</v>
      </c>
      <c r="E596">
        <v>1.47</v>
      </c>
      <c r="F596">
        <v>3.28</v>
      </c>
      <c r="G596" s="8">
        <f t="shared" si="9"/>
        <v>26.890243902439028</v>
      </c>
    </row>
    <row r="597" spans="1:7" x14ac:dyDescent="0.25">
      <c r="A597" s="5">
        <v>45807.395833333336</v>
      </c>
      <c r="B597">
        <v>16</v>
      </c>
      <c r="C597" t="s">
        <v>21</v>
      </c>
      <c r="D597" t="s">
        <v>22</v>
      </c>
      <c r="E597">
        <v>1.5</v>
      </c>
      <c r="F597">
        <v>2.42</v>
      </c>
      <c r="G597" s="8">
        <f t="shared" si="9"/>
        <v>37.190082644628099</v>
      </c>
    </row>
    <row r="598" spans="1:7" x14ac:dyDescent="0.25">
      <c r="A598" s="5">
        <v>45807.395833333336</v>
      </c>
      <c r="B598">
        <v>17</v>
      </c>
      <c r="C598" t="s">
        <v>22</v>
      </c>
      <c r="D598" t="s">
        <v>23</v>
      </c>
      <c r="E598">
        <v>1.51</v>
      </c>
      <c r="F598">
        <v>3.4</v>
      </c>
      <c r="G598" s="8">
        <f t="shared" si="9"/>
        <v>26.647058823529409</v>
      </c>
    </row>
    <row r="599" spans="1:7" x14ac:dyDescent="0.25">
      <c r="A599" s="5">
        <v>45807.395833333336</v>
      </c>
      <c r="B599">
        <v>18</v>
      </c>
      <c r="C599" t="s">
        <v>23</v>
      </c>
      <c r="D599" t="s">
        <v>24</v>
      </c>
      <c r="E599">
        <v>1.51</v>
      </c>
      <c r="F599">
        <v>3.3</v>
      </c>
      <c r="G599" s="8">
        <f t="shared" si="9"/>
        <v>27.454545454545453</v>
      </c>
    </row>
    <row r="600" spans="1:7" x14ac:dyDescent="0.25">
      <c r="A600" s="5">
        <v>45807.395833333336</v>
      </c>
      <c r="B600">
        <v>19</v>
      </c>
      <c r="C600" t="s">
        <v>25</v>
      </c>
      <c r="D600" t="s">
        <v>26</v>
      </c>
      <c r="E600">
        <v>1.5</v>
      </c>
      <c r="F600">
        <v>4.0199999999999996</v>
      </c>
      <c r="G600" s="8">
        <f t="shared" si="9"/>
        <v>22.388059701492541</v>
      </c>
    </row>
    <row r="601" spans="1:7" x14ac:dyDescent="0.25">
      <c r="A601" s="5">
        <v>45807.395833333336</v>
      </c>
      <c r="B601">
        <v>20</v>
      </c>
      <c r="C601" t="s">
        <v>26</v>
      </c>
      <c r="D601" t="s">
        <v>27</v>
      </c>
      <c r="E601">
        <v>1.48</v>
      </c>
      <c r="F601">
        <v>4.5</v>
      </c>
      <c r="G601" s="8">
        <f t="shared" si="9"/>
        <v>19.733333333333334</v>
      </c>
    </row>
    <row r="602" spans="1:7" x14ac:dyDescent="0.25">
      <c r="A602" s="5">
        <v>45807.395833333336</v>
      </c>
      <c r="B602">
        <v>21</v>
      </c>
      <c r="C602" t="s">
        <v>27</v>
      </c>
      <c r="D602" t="s">
        <v>28</v>
      </c>
      <c r="E602">
        <v>1.51</v>
      </c>
      <c r="F602">
        <v>4.22</v>
      </c>
      <c r="G602" s="8">
        <f t="shared" si="9"/>
        <v>21.469194312796208</v>
      </c>
    </row>
    <row r="603" spans="1:7" x14ac:dyDescent="0.25">
      <c r="A603" s="5">
        <v>45807.395833333336</v>
      </c>
      <c r="B603">
        <v>22</v>
      </c>
      <c r="C603" t="s">
        <v>28</v>
      </c>
      <c r="D603" t="s">
        <v>29</v>
      </c>
      <c r="E603">
        <v>1.57</v>
      </c>
      <c r="F603">
        <v>3.78</v>
      </c>
      <c r="G603" s="8">
        <f t="shared" si="9"/>
        <v>24.920634920634921</v>
      </c>
    </row>
    <row r="604" spans="1:7" x14ac:dyDescent="0.25">
      <c r="A604" s="5">
        <v>45807.395833333336</v>
      </c>
      <c r="B604">
        <v>23</v>
      </c>
      <c r="C604" t="s">
        <v>29</v>
      </c>
      <c r="D604" t="s">
        <v>30</v>
      </c>
      <c r="E604">
        <v>1.43</v>
      </c>
      <c r="F604">
        <v>4.5199999999999996</v>
      </c>
      <c r="G604" s="8">
        <f t="shared" si="9"/>
        <v>18.982300884955752</v>
      </c>
    </row>
    <row r="605" spans="1:7" x14ac:dyDescent="0.25">
      <c r="A605" s="5">
        <v>45807.395833333336</v>
      </c>
      <c r="B605">
        <v>24</v>
      </c>
      <c r="C605" t="s">
        <v>30</v>
      </c>
      <c r="D605" t="s">
        <v>31</v>
      </c>
      <c r="E605">
        <v>1.52</v>
      </c>
      <c r="F605">
        <v>3.6</v>
      </c>
      <c r="G605" s="8">
        <f t="shared" si="9"/>
        <v>25.333333333333332</v>
      </c>
    </row>
    <row r="606" spans="1:7" x14ac:dyDescent="0.25">
      <c r="A606" s="5">
        <v>45807.395833333336</v>
      </c>
      <c r="B606">
        <v>25</v>
      </c>
      <c r="C606" t="s">
        <v>31</v>
      </c>
      <c r="D606" t="s">
        <v>32</v>
      </c>
      <c r="E606">
        <v>1.52</v>
      </c>
      <c r="F606">
        <v>3.65</v>
      </c>
      <c r="G606" s="8">
        <f t="shared" si="9"/>
        <v>24.986301369863014</v>
      </c>
    </row>
    <row r="607" spans="1:7" x14ac:dyDescent="0.25">
      <c r="A607" s="5">
        <v>45807.395833333336</v>
      </c>
      <c r="B607">
        <v>26</v>
      </c>
      <c r="C607" t="s">
        <v>32</v>
      </c>
      <c r="D607" t="s">
        <v>33</v>
      </c>
      <c r="E607">
        <v>1.49</v>
      </c>
      <c r="F607">
        <v>4.07</v>
      </c>
      <c r="G607" s="8">
        <f t="shared" si="9"/>
        <v>21.965601965601966</v>
      </c>
    </row>
    <row r="608" spans="1:7" x14ac:dyDescent="0.25">
      <c r="A608" s="5">
        <v>45807.395833333336</v>
      </c>
      <c r="B608">
        <v>27</v>
      </c>
      <c r="C608" t="s">
        <v>33</v>
      </c>
      <c r="D608" t="s">
        <v>34</v>
      </c>
      <c r="E608">
        <v>1.53</v>
      </c>
      <c r="F608">
        <v>3.78</v>
      </c>
      <c r="G608" s="8">
        <f t="shared" si="9"/>
        <v>24.285714285714285</v>
      </c>
    </row>
    <row r="609" spans="1:7" x14ac:dyDescent="0.25">
      <c r="A609" s="5">
        <v>45807.395833333336</v>
      </c>
      <c r="B609">
        <v>28</v>
      </c>
      <c r="C609" t="s">
        <v>34</v>
      </c>
      <c r="D609" t="s">
        <v>35</v>
      </c>
      <c r="E609">
        <v>1.51</v>
      </c>
      <c r="F609">
        <v>4</v>
      </c>
      <c r="G609" s="8">
        <f t="shared" si="9"/>
        <v>22.65</v>
      </c>
    </row>
    <row r="610" spans="1:7" x14ac:dyDescent="0.25">
      <c r="A610" s="5">
        <v>45807.395833333336</v>
      </c>
      <c r="B610">
        <v>29</v>
      </c>
      <c r="C610" t="s">
        <v>36</v>
      </c>
      <c r="D610" t="s">
        <v>37</v>
      </c>
      <c r="E610">
        <v>1.57</v>
      </c>
      <c r="F610">
        <v>4.32</v>
      </c>
      <c r="G610" s="8">
        <f t="shared" si="9"/>
        <v>21.805555555555554</v>
      </c>
    </row>
    <row r="611" spans="1:7" x14ac:dyDescent="0.25">
      <c r="A611" s="5">
        <v>45807.395833333336</v>
      </c>
      <c r="B611">
        <v>30</v>
      </c>
      <c r="C611" t="s">
        <v>37</v>
      </c>
      <c r="D611" t="s">
        <v>38</v>
      </c>
      <c r="E611">
        <v>1.57</v>
      </c>
      <c r="F611">
        <v>5.88</v>
      </c>
      <c r="G611" s="8">
        <f t="shared" si="9"/>
        <v>16.020408163265309</v>
      </c>
    </row>
    <row r="612" spans="1:7" x14ac:dyDescent="0.25">
      <c r="A612" s="5">
        <v>45807.395833333336</v>
      </c>
      <c r="B612">
        <v>31</v>
      </c>
      <c r="C612" t="s">
        <v>38</v>
      </c>
      <c r="D612" t="s">
        <v>39</v>
      </c>
      <c r="E612">
        <v>1.52</v>
      </c>
      <c r="F612">
        <v>2.82</v>
      </c>
      <c r="G612" s="8">
        <f t="shared" si="9"/>
        <v>32.340425531914896</v>
      </c>
    </row>
    <row r="613" spans="1:7" x14ac:dyDescent="0.25">
      <c r="A613" s="5">
        <v>45807.395833333336</v>
      </c>
      <c r="B613">
        <v>32</v>
      </c>
      <c r="C613" t="s">
        <v>39</v>
      </c>
      <c r="D613" t="s">
        <v>40</v>
      </c>
      <c r="E613">
        <v>1.5</v>
      </c>
      <c r="F613">
        <v>1.8</v>
      </c>
      <c r="G613" s="8">
        <f t="shared" si="9"/>
        <v>50</v>
      </c>
    </row>
    <row r="614" spans="1:7" x14ac:dyDescent="0.25">
      <c r="A614" s="5">
        <v>45807.395833333336</v>
      </c>
      <c r="B614">
        <v>33</v>
      </c>
      <c r="C614" t="s">
        <v>40</v>
      </c>
      <c r="D614" t="s">
        <v>41</v>
      </c>
      <c r="E614">
        <v>1.51</v>
      </c>
      <c r="F614">
        <v>1.82</v>
      </c>
      <c r="G614" s="8">
        <f t="shared" si="9"/>
        <v>49.780219780219774</v>
      </c>
    </row>
    <row r="615" spans="1:7" x14ac:dyDescent="0.25">
      <c r="A615" s="5">
        <v>45807.395833333336</v>
      </c>
      <c r="B615">
        <v>34</v>
      </c>
      <c r="C615" t="s">
        <v>41</v>
      </c>
      <c r="D615" t="s">
        <v>42</v>
      </c>
      <c r="E615">
        <v>1.5</v>
      </c>
      <c r="F615">
        <v>1.85</v>
      </c>
      <c r="G615" s="8">
        <f t="shared" si="9"/>
        <v>48.648648648648646</v>
      </c>
    </row>
    <row r="616" spans="1:7" x14ac:dyDescent="0.25">
      <c r="A616" s="5">
        <v>45807.395833333336</v>
      </c>
      <c r="B616">
        <v>35</v>
      </c>
      <c r="C616" t="s">
        <v>43</v>
      </c>
      <c r="D616" t="s">
        <v>44</v>
      </c>
      <c r="E616">
        <v>1.55</v>
      </c>
      <c r="F616">
        <v>3.9</v>
      </c>
      <c r="G616" s="8">
        <f t="shared" si="9"/>
        <v>23.846153846153847</v>
      </c>
    </row>
    <row r="617" spans="1:7" x14ac:dyDescent="0.25">
      <c r="A617" s="5">
        <v>45807.395833333336</v>
      </c>
      <c r="B617">
        <v>36</v>
      </c>
      <c r="C617" t="s">
        <v>44</v>
      </c>
      <c r="D617" t="s">
        <v>45</v>
      </c>
      <c r="E617">
        <v>1.5</v>
      </c>
      <c r="F617">
        <v>3.12</v>
      </c>
      <c r="G617" s="8">
        <f t="shared" si="9"/>
        <v>28.846153846153847</v>
      </c>
    </row>
    <row r="618" spans="1:7" x14ac:dyDescent="0.25">
      <c r="A618" s="5">
        <v>45807.395833333336</v>
      </c>
      <c r="B618">
        <v>37</v>
      </c>
      <c r="C618" t="s">
        <v>45</v>
      </c>
      <c r="D618" t="s">
        <v>46</v>
      </c>
      <c r="E618">
        <v>1.38</v>
      </c>
      <c r="F618">
        <v>3.87</v>
      </c>
      <c r="G618" s="8">
        <f t="shared" si="9"/>
        <v>21.395348837209301</v>
      </c>
    </row>
    <row r="619" spans="1:7" x14ac:dyDescent="0.25">
      <c r="A619" s="5">
        <v>45807.395833333336</v>
      </c>
      <c r="B619">
        <v>38</v>
      </c>
      <c r="C619" t="s">
        <v>46</v>
      </c>
      <c r="D619" t="s">
        <v>47</v>
      </c>
      <c r="E619">
        <v>1.61</v>
      </c>
      <c r="F619">
        <v>3.85</v>
      </c>
      <c r="G619" s="8">
        <f t="shared" si="9"/>
        <v>25.090909090909093</v>
      </c>
    </row>
    <row r="620" spans="1:7" x14ac:dyDescent="0.25">
      <c r="A620" s="5">
        <v>45807.395833333336</v>
      </c>
      <c r="B620">
        <v>39</v>
      </c>
      <c r="C620" t="s">
        <v>47</v>
      </c>
      <c r="D620" t="s">
        <v>48</v>
      </c>
      <c r="E620">
        <v>1.55</v>
      </c>
      <c r="F620">
        <v>3.43</v>
      </c>
      <c r="G620" s="8">
        <f t="shared" si="9"/>
        <v>27.113702623906704</v>
      </c>
    </row>
    <row r="621" spans="1:7" x14ac:dyDescent="0.25">
      <c r="A621" s="5">
        <v>45807.395833333336</v>
      </c>
      <c r="B621">
        <v>40</v>
      </c>
      <c r="C621" t="s">
        <v>48</v>
      </c>
      <c r="D621" t="s">
        <v>49</v>
      </c>
      <c r="E621">
        <v>1.39</v>
      </c>
      <c r="F621">
        <v>2.87</v>
      </c>
      <c r="G621" s="8">
        <f t="shared" si="9"/>
        <v>29.059233449477347</v>
      </c>
    </row>
    <row r="622" spans="1:7" x14ac:dyDescent="0.25">
      <c r="A622" s="5">
        <v>45807.395833333336</v>
      </c>
      <c r="B622">
        <v>41</v>
      </c>
      <c r="C622" t="s">
        <v>50</v>
      </c>
      <c r="D622" t="s">
        <v>51</v>
      </c>
      <c r="E622">
        <v>1.56</v>
      </c>
      <c r="F622">
        <v>4.2300000000000004</v>
      </c>
      <c r="G622" s="8">
        <f t="shared" si="9"/>
        <v>22.127659574468083</v>
      </c>
    </row>
    <row r="623" spans="1:7" x14ac:dyDescent="0.25">
      <c r="A623" s="5">
        <v>45807.395833333336</v>
      </c>
      <c r="B623">
        <v>42</v>
      </c>
      <c r="C623" t="s">
        <v>51</v>
      </c>
      <c r="D623" t="s">
        <v>52</v>
      </c>
      <c r="E623">
        <v>1.56</v>
      </c>
      <c r="F623">
        <v>4.63</v>
      </c>
      <c r="G623" s="8">
        <f t="shared" si="9"/>
        <v>20.215982721382293</v>
      </c>
    </row>
    <row r="624" spans="1:7" x14ac:dyDescent="0.25">
      <c r="A624" s="5">
        <v>45807.395833333336</v>
      </c>
      <c r="B624">
        <v>43</v>
      </c>
      <c r="C624" t="s">
        <v>52</v>
      </c>
      <c r="D624" t="s">
        <v>53</v>
      </c>
      <c r="E624">
        <v>1.51</v>
      </c>
      <c r="F624">
        <v>3.6</v>
      </c>
      <c r="G624" s="8">
        <f t="shared" si="9"/>
        <v>25.166666666666664</v>
      </c>
    </row>
    <row r="625" spans="1:7" x14ac:dyDescent="0.25">
      <c r="A625" s="5">
        <v>45807.395833333336</v>
      </c>
      <c r="B625">
        <v>44</v>
      </c>
      <c r="C625" t="s">
        <v>54</v>
      </c>
      <c r="D625" t="s">
        <v>55</v>
      </c>
      <c r="E625">
        <v>1.51</v>
      </c>
      <c r="F625">
        <v>4.58</v>
      </c>
      <c r="G625" s="8">
        <f t="shared" si="9"/>
        <v>19.781659388646286</v>
      </c>
    </row>
    <row r="626" spans="1:7" x14ac:dyDescent="0.25">
      <c r="A626" s="5">
        <v>45807.395833333336</v>
      </c>
      <c r="B626">
        <v>45</v>
      </c>
      <c r="C626" t="s">
        <v>55</v>
      </c>
      <c r="D626" t="s">
        <v>56</v>
      </c>
      <c r="E626">
        <v>1.49</v>
      </c>
      <c r="F626">
        <v>3.6</v>
      </c>
      <c r="G626" s="8">
        <f t="shared" si="9"/>
        <v>24.833333333333336</v>
      </c>
    </row>
    <row r="627" spans="1:7" x14ac:dyDescent="0.25">
      <c r="A627" s="5">
        <v>45807.395833333336</v>
      </c>
      <c r="B627">
        <v>46</v>
      </c>
      <c r="C627" t="s">
        <v>56</v>
      </c>
      <c r="D627" t="s">
        <v>57</v>
      </c>
      <c r="E627">
        <v>1.52</v>
      </c>
      <c r="F627">
        <v>3.67</v>
      </c>
      <c r="G627" s="8">
        <f t="shared" si="9"/>
        <v>24.850136239782017</v>
      </c>
    </row>
    <row r="628" spans="1:7" x14ac:dyDescent="0.25">
      <c r="A628" s="5">
        <v>45807.395833333336</v>
      </c>
      <c r="B628">
        <v>47</v>
      </c>
      <c r="C628" t="s">
        <v>58</v>
      </c>
      <c r="D628" t="s">
        <v>59</v>
      </c>
      <c r="E628">
        <v>1.52</v>
      </c>
      <c r="F628">
        <v>5.53</v>
      </c>
      <c r="G628" s="8">
        <f t="shared" si="9"/>
        <v>16.491862567811935</v>
      </c>
    </row>
    <row r="629" spans="1:7" x14ac:dyDescent="0.25">
      <c r="A629" s="5">
        <v>45807.395833333336</v>
      </c>
      <c r="B629">
        <v>48</v>
      </c>
      <c r="C629" t="s">
        <v>59</v>
      </c>
      <c r="D629" t="s">
        <v>60</v>
      </c>
      <c r="E629">
        <v>1.5</v>
      </c>
      <c r="F629">
        <v>3.75</v>
      </c>
      <c r="G629" s="8">
        <f t="shared" si="9"/>
        <v>24</v>
      </c>
    </row>
    <row r="630" spans="1:7" x14ac:dyDescent="0.25">
      <c r="A630" s="5">
        <v>45807.395833333336</v>
      </c>
      <c r="B630">
        <v>49</v>
      </c>
      <c r="C630" t="s">
        <v>60</v>
      </c>
      <c r="D630" t="s">
        <v>61</v>
      </c>
      <c r="E630">
        <v>1.54</v>
      </c>
      <c r="F630">
        <v>3.87</v>
      </c>
      <c r="G630" s="8">
        <f t="shared" si="9"/>
        <v>23.875968992248062</v>
      </c>
    </row>
    <row r="631" spans="1:7" x14ac:dyDescent="0.25">
      <c r="A631" s="5">
        <v>45807.395833333336</v>
      </c>
      <c r="B631">
        <v>50</v>
      </c>
      <c r="C631" t="s">
        <v>62</v>
      </c>
      <c r="D631" t="s">
        <v>63</v>
      </c>
      <c r="E631">
        <v>1.38</v>
      </c>
      <c r="F631">
        <v>3.15</v>
      </c>
      <c r="G631" s="8">
        <f t="shared" si="9"/>
        <v>26.285714285714285</v>
      </c>
    </row>
    <row r="632" spans="1:7" x14ac:dyDescent="0.25">
      <c r="A632" s="5">
        <v>45807.395833333336</v>
      </c>
      <c r="B632">
        <v>51</v>
      </c>
      <c r="C632" t="s">
        <v>63</v>
      </c>
      <c r="D632" t="s">
        <v>64</v>
      </c>
      <c r="E632">
        <v>2.79</v>
      </c>
      <c r="F632">
        <v>5.85</v>
      </c>
      <c r="G632" s="8">
        <f t="shared" si="9"/>
        <v>28.615384615384617</v>
      </c>
    </row>
    <row r="633" spans="1:7" x14ac:dyDescent="0.25">
      <c r="A633" s="5">
        <v>45807.395833333336</v>
      </c>
      <c r="B633">
        <v>52</v>
      </c>
      <c r="C633" t="s">
        <v>64</v>
      </c>
      <c r="D633" t="s">
        <v>65</v>
      </c>
      <c r="E633">
        <v>1.5</v>
      </c>
      <c r="F633">
        <v>2.83</v>
      </c>
      <c r="G633" s="8">
        <f t="shared" si="9"/>
        <v>31.802120141342755</v>
      </c>
    </row>
    <row r="634" spans="1:7" x14ac:dyDescent="0.25">
      <c r="A634" s="5">
        <v>45807.395833333336</v>
      </c>
      <c r="B634">
        <v>53</v>
      </c>
      <c r="C634" t="s">
        <v>65</v>
      </c>
      <c r="D634" t="s">
        <v>66</v>
      </c>
      <c r="E634">
        <v>1.46</v>
      </c>
      <c r="F634">
        <v>3.62</v>
      </c>
      <c r="G634" s="8">
        <f t="shared" si="9"/>
        <v>24.198895027624307</v>
      </c>
    </row>
    <row r="635" spans="1:7" x14ac:dyDescent="0.25">
      <c r="A635" s="5">
        <v>45807.395833333336</v>
      </c>
      <c r="B635">
        <v>54</v>
      </c>
      <c r="C635" t="s">
        <v>67</v>
      </c>
      <c r="D635" t="s">
        <v>68</v>
      </c>
      <c r="E635">
        <v>1.46</v>
      </c>
      <c r="F635">
        <v>4.42</v>
      </c>
      <c r="G635" s="8">
        <f t="shared" si="9"/>
        <v>19.819004524886878</v>
      </c>
    </row>
    <row r="636" spans="1:7" x14ac:dyDescent="0.25">
      <c r="A636" s="5">
        <v>45807.395833333336</v>
      </c>
      <c r="B636">
        <v>55</v>
      </c>
      <c r="C636" t="s">
        <v>68</v>
      </c>
      <c r="D636" t="s">
        <v>69</v>
      </c>
      <c r="E636">
        <v>1.5</v>
      </c>
      <c r="F636">
        <v>2.23</v>
      </c>
      <c r="G636" s="8">
        <f t="shared" si="9"/>
        <v>40.358744394618832</v>
      </c>
    </row>
    <row r="637" spans="1:7" x14ac:dyDescent="0.25">
      <c r="A637" s="5">
        <v>45807.395833333336</v>
      </c>
      <c r="B637">
        <v>56</v>
      </c>
      <c r="C637" t="s">
        <v>70</v>
      </c>
      <c r="D637" t="s">
        <v>71</v>
      </c>
      <c r="E637">
        <v>1.51</v>
      </c>
      <c r="F637">
        <v>6.1</v>
      </c>
      <c r="G637" s="8">
        <f t="shared" si="9"/>
        <v>14.852459016393443</v>
      </c>
    </row>
    <row r="638" spans="1:7" x14ac:dyDescent="0.25">
      <c r="A638" s="5">
        <v>45807.395833333336</v>
      </c>
      <c r="B638">
        <v>57</v>
      </c>
      <c r="C638" t="s">
        <v>71</v>
      </c>
      <c r="D638" t="s">
        <v>72</v>
      </c>
      <c r="E638">
        <v>1.52</v>
      </c>
      <c r="F638">
        <v>3.98</v>
      </c>
      <c r="G638" s="8">
        <f t="shared" si="9"/>
        <v>22.91457286432161</v>
      </c>
    </row>
    <row r="639" spans="1:7" x14ac:dyDescent="0.25">
      <c r="A639" s="5">
        <v>45807.395833333336</v>
      </c>
      <c r="B639">
        <v>58</v>
      </c>
      <c r="C639" t="s">
        <v>72</v>
      </c>
      <c r="D639" t="s">
        <v>73</v>
      </c>
      <c r="E639">
        <v>1.5</v>
      </c>
      <c r="F639">
        <v>4</v>
      </c>
      <c r="G639" s="8">
        <f t="shared" si="9"/>
        <v>22.5</v>
      </c>
    </row>
    <row r="640" spans="1:7" x14ac:dyDescent="0.25">
      <c r="A640" s="5">
        <v>45807.40625</v>
      </c>
      <c r="B640">
        <v>1</v>
      </c>
      <c r="C640" t="s">
        <v>6</v>
      </c>
      <c r="D640" t="s">
        <v>7</v>
      </c>
      <c r="E640">
        <v>1.53</v>
      </c>
      <c r="F640">
        <v>3.12</v>
      </c>
      <c r="G640" s="8">
        <f t="shared" si="9"/>
        <v>29.42307692307692</v>
      </c>
    </row>
    <row r="641" spans="1:7" x14ac:dyDescent="0.25">
      <c r="A641" s="5">
        <v>45807.40625</v>
      </c>
      <c r="B641">
        <v>2</v>
      </c>
      <c r="C641" t="s">
        <v>7</v>
      </c>
      <c r="D641" t="s">
        <v>8</v>
      </c>
      <c r="E641">
        <v>1.57</v>
      </c>
      <c r="F641">
        <v>4.7699999999999996</v>
      </c>
      <c r="G641" s="8">
        <f t="shared" si="9"/>
        <v>19.748427672955977</v>
      </c>
    </row>
    <row r="642" spans="1:7" x14ac:dyDescent="0.25">
      <c r="A642" s="5">
        <v>45807.40625</v>
      </c>
      <c r="B642">
        <v>3</v>
      </c>
      <c r="C642" t="s">
        <v>8</v>
      </c>
      <c r="D642" t="s">
        <v>9</v>
      </c>
      <c r="E642">
        <v>1.5</v>
      </c>
      <c r="F642">
        <v>3.07</v>
      </c>
      <c r="G642" s="8">
        <f t="shared" si="9"/>
        <v>29.31596091205212</v>
      </c>
    </row>
    <row r="643" spans="1:7" x14ac:dyDescent="0.25">
      <c r="A643" s="5">
        <v>45807.40625</v>
      </c>
      <c r="B643">
        <v>4</v>
      </c>
      <c r="C643" t="s">
        <v>9</v>
      </c>
      <c r="D643" t="s">
        <v>10</v>
      </c>
      <c r="E643">
        <v>1.5</v>
      </c>
      <c r="F643">
        <v>2.67</v>
      </c>
      <c r="G643" s="8">
        <f t="shared" ref="G643:G706" si="10">E643*60/F643</f>
        <v>33.707865168539328</v>
      </c>
    </row>
    <row r="644" spans="1:7" x14ac:dyDescent="0.25">
      <c r="A644" s="5">
        <v>45807.40625</v>
      </c>
      <c r="B644">
        <v>5</v>
      </c>
      <c r="C644" t="s">
        <v>10</v>
      </c>
      <c r="D644" t="s">
        <v>11</v>
      </c>
      <c r="E644">
        <v>1.52</v>
      </c>
      <c r="F644">
        <v>3.32</v>
      </c>
      <c r="G644" s="8">
        <f t="shared" si="10"/>
        <v>27.46987951807229</v>
      </c>
    </row>
    <row r="645" spans="1:7" x14ac:dyDescent="0.25">
      <c r="A645" s="5">
        <v>45807.40625</v>
      </c>
      <c r="B645">
        <v>6</v>
      </c>
      <c r="C645" t="s">
        <v>11</v>
      </c>
      <c r="D645" t="s">
        <v>12</v>
      </c>
      <c r="E645">
        <v>1.5</v>
      </c>
      <c r="F645">
        <v>2.7</v>
      </c>
      <c r="G645" s="8">
        <f t="shared" si="10"/>
        <v>33.333333333333329</v>
      </c>
    </row>
    <row r="646" spans="1:7" x14ac:dyDescent="0.25">
      <c r="A646" s="5">
        <v>45807.40625</v>
      </c>
      <c r="B646">
        <v>7</v>
      </c>
      <c r="C646" t="s">
        <v>12</v>
      </c>
      <c r="D646" t="s">
        <v>13</v>
      </c>
      <c r="E646">
        <v>1.54</v>
      </c>
      <c r="F646">
        <v>2.72</v>
      </c>
      <c r="G646" s="8">
        <f t="shared" si="10"/>
        <v>33.970588235294116</v>
      </c>
    </row>
    <row r="647" spans="1:7" x14ac:dyDescent="0.25">
      <c r="A647" s="5">
        <v>45807.40625</v>
      </c>
      <c r="B647">
        <v>8</v>
      </c>
      <c r="C647" t="s">
        <v>13</v>
      </c>
      <c r="D647" t="s">
        <v>14</v>
      </c>
      <c r="E647">
        <v>1.54</v>
      </c>
      <c r="F647">
        <v>2.95</v>
      </c>
      <c r="G647" s="8">
        <f t="shared" si="10"/>
        <v>31.322033898305087</v>
      </c>
    </row>
    <row r="648" spans="1:7" x14ac:dyDescent="0.25">
      <c r="A648" s="5">
        <v>45807.40625</v>
      </c>
      <c r="B648">
        <v>9</v>
      </c>
      <c r="C648" t="s">
        <v>14</v>
      </c>
      <c r="D648" t="s">
        <v>15</v>
      </c>
      <c r="E648">
        <v>1.52</v>
      </c>
      <c r="F648">
        <v>3.97</v>
      </c>
      <c r="G648" s="8">
        <f t="shared" si="10"/>
        <v>22.972292191435766</v>
      </c>
    </row>
    <row r="649" spans="1:7" x14ac:dyDescent="0.25">
      <c r="A649" s="5">
        <v>45807.40625</v>
      </c>
      <c r="B649">
        <v>10</v>
      </c>
      <c r="C649" t="s">
        <v>15</v>
      </c>
      <c r="D649" t="s">
        <v>16</v>
      </c>
      <c r="E649">
        <v>1.5</v>
      </c>
      <c r="F649">
        <v>3.9</v>
      </c>
      <c r="G649" s="8">
        <f t="shared" si="10"/>
        <v>23.076923076923077</v>
      </c>
    </row>
    <row r="650" spans="1:7" x14ac:dyDescent="0.25">
      <c r="A650" s="5">
        <v>45807.40625</v>
      </c>
      <c r="B650">
        <v>11</v>
      </c>
      <c r="C650" t="s">
        <v>16</v>
      </c>
      <c r="D650" t="s">
        <v>17</v>
      </c>
      <c r="E650">
        <v>1.48</v>
      </c>
      <c r="F650">
        <v>3.13</v>
      </c>
      <c r="G650" s="8">
        <f t="shared" si="10"/>
        <v>28.370607028753994</v>
      </c>
    </row>
    <row r="651" spans="1:7" x14ac:dyDescent="0.25">
      <c r="A651" s="5">
        <v>45807.40625</v>
      </c>
      <c r="B651">
        <v>12</v>
      </c>
      <c r="C651" t="s">
        <v>17</v>
      </c>
      <c r="D651" t="s">
        <v>18</v>
      </c>
      <c r="E651">
        <v>1.46</v>
      </c>
      <c r="F651">
        <v>4.6500000000000004</v>
      </c>
      <c r="G651" s="8">
        <f t="shared" si="10"/>
        <v>18.838709677419352</v>
      </c>
    </row>
    <row r="652" spans="1:7" x14ac:dyDescent="0.25">
      <c r="A652" s="5">
        <v>45807.40625</v>
      </c>
      <c r="B652">
        <v>13</v>
      </c>
      <c r="C652" t="s">
        <v>18</v>
      </c>
      <c r="D652" t="s">
        <v>19</v>
      </c>
      <c r="E652">
        <v>1.52</v>
      </c>
      <c r="F652">
        <v>4</v>
      </c>
      <c r="G652" s="8">
        <f t="shared" si="10"/>
        <v>22.8</v>
      </c>
    </row>
    <row r="653" spans="1:7" x14ac:dyDescent="0.25">
      <c r="A653" s="5">
        <v>45807.40625</v>
      </c>
      <c r="B653">
        <v>14</v>
      </c>
      <c r="C653" t="s">
        <v>19</v>
      </c>
      <c r="D653" t="s">
        <v>20</v>
      </c>
      <c r="E653">
        <v>1.51</v>
      </c>
      <c r="F653">
        <v>3.5</v>
      </c>
      <c r="G653" s="8">
        <f t="shared" si="10"/>
        <v>25.885714285714283</v>
      </c>
    </row>
    <row r="654" spans="1:7" x14ac:dyDescent="0.25">
      <c r="A654" s="5">
        <v>45807.40625</v>
      </c>
      <c r="B654">
        <v>15</v>
      </c>
      <c r="C654" t="s">
        <v>20</v>
      </c>
      <c r="D654" t="s">
        <v>21</v>
      </c>
      <c r="E654">
        <v>1.47</v>
      </c>
      <c r="F654">
        <v>2.8</v>
      </c>
      <c r="G654" s="8">
        <f t="shared" si="10"/>
        <v>31.500000000000004</v>
      </c>
    </row>
    <row r="655" spans="1:7" x14ac:dyDescent="0.25">
      <c r="A655" s="5">
        <v>45807.40625</v>
      </c>
      <c r="B655">
        <v>16</v>
      </c>
      <c r="C655" t="s">
        <v>21</v>
      </c>
      <c r="D655" t="s">
        <v>22</v>
      </c>
      <c r="E655">
        <v>1.5</v>
      </c>
      <c r="F655">
        <v>1.93</v>
      </c>
      <c r="G655" s="8">
        <f t="shared" si="10"/>
        <v>46.632124352331608</v>
      </c>
    </row>
    <row r="656" spans="1:7" x14ac:dyDescent="0.25">
      <c r="A656" s="5">
        <v>45807.40625</v>
      </c>
      <c r="B656">
        <v>17</v>
      </c>
      <c r="C656" t="s">
        <v>22</v>
      </c>
      <c r="D656" t="s">
        <v>23</v>
      </c>
      <c r="E656">
        <v>1.51</v>
      </c>
      <c r="F656">
        <v>3.28</v>
      </c>
      <c r="G656" s="8">
        <f t="shared" si="10"/>
        <v>27.621951219512194</v>
      </c>
    </row>
    <row r="657" spans="1:7" x14ac:dyDescent="0.25">
      <c r="A657" s="5">
        <v>45807.40625</v>
      </c>
      <c r="B657">
        <v>18</v>
      </c>
      <c r="C657" t="s">
        <v>23</v>
      </c>
      <c r="D657" t="s">
        <v>24</v>
      </c>
      <c r="E657">
        <v>1.51</v>
      </c>
      <c r="F657">
        <v>3.28</v>
      </c>
      <c r="G657" s="8">
        <f t="shared" si="10"/>
        <v>27.621951219512194</v>
      </c>
    </row>
    <row r="658" spans="1:7" x14ac:dyDescent="0.25">
      <c r="A658" s="5">
        <v>45807.40625</v>
      </c>
      <c r="B658">
        <v>19</v>
      </c>
      <c r="C658" t="s">
        <v>25</v>
      </c>
      <c r="D658" t="s">
        <v>26</v>
      </c>
      <c r="E658">
        <v>1.5</v>
      </c>
      <c r="F658">
        <v>4.2699999999999996</v>
      </c>
      <c r="G658" s="8">
        <f t="shared" si="10"/>
        <v>21.077283372365343</v>
      </c>
    </row>
    <row r="659" spans="1:7" x14ac:dyDescent="0.25">
      <c r="A659" s="5">
        <v>45807.40625</v>
      </c>
      <c r="B659">
        <v>20</v>
      </c>
      <c r="C659" t="s">
        <v>26</v>
      </c>
      <c r="D659" t="s">
        <v>27</v>
      </c>
      <c r="E659">
        <v>1.48</v>
      </c>
      <c r="F659">
        <v>4.1500000000000004</v>
      </c>
      <c r="G659" s="8">
        <f t="shared" si="10"/>
        <v>21.397590361445779</v>
      </c>
    </row>
    <row r="660" spans="1:7" x14ac:dyDescent="0.25">
      <c r="A660" s="5">
        <v>45807.40625</v>
      </c>
      <c r="B660">
        <v>21</v>
      </c>
      <c r="C660" t="s">
        <v>27</v>
      </c>
      <c r="D660" t="s">
        <v>28</v>
      </c>
      <c r="E660">
        <v>1.51</v>
      </c>
      <c r="F660">
        <v>3.63</v>
      </c>
      <c r="G660" s="8">
        <f t="shared" si="10"/>
        <v>24.958677685950413</v>
      </c>
    </row>
    <row r="661" spans="1:7" x14ac:dyDescent="0.25">
      <c r="A661" s="5">
        <v>45807.40625</v>
      </c>
      <c r="B661">
        <v>22</v>
      </c>
      <c r="C661" t="s">
        <v>28</v>
      </c>
      <c r="D661" t="s">
        <v>29</v>
      </c>
      <c r="E661">
        <v>1.57</v>
      </c>
      <c r="F661">
        <v>3.78</v>
      </c>
      <c r="G661" s="8">
        <f t="shared" si="10"/>
        <v>24.920634920634921</v>
      </c>
    </row>
    <row r="662" spans="1:7" x14ac:dyDescent="0.25">
      <c r="A662" s="5">
        <v>45807.40625</v>
      </c>
      <c r="B662">
        <v>23</v>
      </c>
      <c r="C662" t="s">
        <v>29</v>
      </c>
      <c r="D662" t="s">
        <v>30</v>
      </c>
      <c r="E662">
        <v>1.43</v>
      </c>
      <c r="F662">
        <v>4.08</v>
      </c>
      <c r="G662" s="8">
        <f t="shared" si="10"/>
        <v>21.02941176470588</v>
      </c>
    </row>
    <row r="663" spans="1:7" x14ac:dyDescent="0.25">
      <c r="A663" s="5">
        <v>45807.40625</v>
      </c>
      <c r="B663">
        <v>24</v>
      </c>
      <c r="C663" t="s">
        <v>30</v>
      </c>
      <c r="D663" t="s">
        <v>31</v>
      </c>
      <c r="E663">
        <v>1.52</v>
      </c>
      <c r="F663">
        <v>3.38</v>
      </c>
      <c r="G663" s="8">
        <f t="shared" si="10"/>
        <v>26.982248520710062</v>
      </c>
    </row>
    <row r="664" spans="1:7" x14ac:dyDescent="0.25">
      <c r="A664" s="5">
        <v>45807.40625</v>
      </c>
      <c r="B664">
        <v>25</v>
      </c>
      <c r="C664" t="s">
        <v>31</v>
      </c>
      <c r="D664" t="s">
        <v>32</v>
      </c>
      <c r="E664">
        <v>1.52</v>
      </c>
      <c r="F664">
        <v>3.38</v>
      </c>
      <c r="G664" s="8">
        <f t="shared" si="10"/>
        <v>26.982248520710062</v>
      </c>
    </row>
    <row r="665" spans="1:7" x14ac:dyDescent="0.25">
      <c r="A665" s="5">
        <v>45807.40625</v>
      </c>
      <c r="B665">
        <v>26</v>
      </c>
      <c r="C665" t="s">
        <v>32</v>
      </c>
      <c r="D665" t="s">
        <v>33</v>
      </c>
      <c r="E665">
        <v>1.49</v>
      </c>
      <c r="F665">
        <v>4.1500000000000004</v>
      </c>
      <c r="G665" s="8">
        <f t="shared" si="10"/>
        <v>21.542168674698793</v>
      </c>
    </row>
    <row r="666" spans="1:7" x14ac:dyDescent="0.25">
      <c r="A666" s="5">
        <v>45807.40625</v>
      </c>
      <c r="B666">
        <v>27</v>
      </c>
      <c r="C666" t="s">
        <v>33</v>
      </c>
      <c r="D666" t="s">
        <v>34</v>
      </c>
      <c r="E666">
        <v>1.53</v>
      </c>
      <c r="F666">
        <v>3.63</v>
      </c>
      <c r="G666" s="8">
        <f t="shared" si="10"/>
        <v>25.289256198347108</v>
      </c>
    </row>
    <row r="667" spans="1:7" x14ac:dyDescent="0.25">
      <c r="A667" s="5">
        <v>45807.40625</v>
      </c>
      <c r="B667">
        <v>28</v>
      </c>
      <c r="C667" t="s">
        <v>34</v>
      </c>
      <c r="D667" t="s">
        <v>35</v>
      </c>
      <c r="E667">
        <v>1.51</v>
      </c>
      <c r="F667">
        <v>4.17</v>
      </c>
      <c r="G667" s="8">
        <f t="shared" si="10"/>
        <v>21.726618705035971</v>
      </c>
    </row>
    <row r="668" spans="1:7" x14ac:dyDescent="0.25">
      <c r="A668" s="5">
        <v>45807.40625</v>
      </c>
      <c r="B668">
        <v>29</v>
      </c>
      <c r="C668" t="s">
        <v>36</v>
      </c>
      <c r="D668" t="s">
        <v>37</v>
      </c>
      <c r="E668">
        <v>1.57</v>
      </c>
      <c r="F668">
        <v>4.08</v>
      </c>
      <c r="G668" s="8">
        <f t="shared" si="10"/>
        <v>23.088235294117649</v>
      </c>
    </row>
    <row r="669" spans="1:7" x14ac:dyDescent="0.25">
      <c r="A669" s="5">
        <v>45807.40625</v>
      </c>
      <c r="B669">
        <v>30</v>
      </c>
      <c r="C669" t="s">
        <v>37</v>
      </c>
      <c r="D669" t="s">
        <v>38</v>
      </c>
      <c r="E669">
        <v>1.57</v>
      </c>
      <c r="F669">
        <v>5.75</v>
      </c>
      <c r="G669" s="8">
        <f t="shared" si="10"/>
        <v>16.382608695652173</v>
      </c>
    </row>
    <row r="670" spans="1:7" x14ac:dyDescent="0.25">
      <c r="A670" s="5">
        <v>45807.40625</v>
      </c>
      <c r="B670">
        <v>31</v>
      </c>
      <c r="C670" t="s">
        <v>38</v>
      </c>
      <c r="D670" t="s">
        <v>39</v>
      </c>
      <c r="E670">
        <v>1.52</v>
      </c>
      <c r="F670">
        <v>2.83</v>
      </c>
      <c r="G670" s="8">
        <f t="shared" si="10"/>
        <v>32.226148409893995</v>
      </c>
    </row>
    <row r="671" spans="1:7" x14ac:dyDescent="0.25">
      <c r="A671" s="5">
        <v>45807.40625</v>
      </c>
      <c r="B671">
        <v>32</v>
      </c>
      <c r="C671" t="s">
        <v>39</v>
      </c>
      <c r="D671" t="s">
        <v>40</v>
      </c>
      <c r="E671">
        <v>1.5</v>
      </c>
      <c r="F671">
        <v>1.78</v>
      </c>
      <c r="G671" s="8">
        <f t="shared" si="10"/>
        <v>50.561797752808985</v>
      </c>
    </row>
    <row r="672" spans="1:7" x14ac:dyDescent="0.25">
      <c r="A672" s="5">
        <v>45807.40625</v>
      </c>
      <c r="B672">
        <v>33</v>
      </c>
      <c r="C672" t="s">
        <v>40</v>
      </c>
      <c r="D672" t="s">
        <v>41</v>
      </c>
      <c r="E672">
        <v>1.51</v>
      </c>
      <c r="F672">
        <v>1.82</v>
      </c>
      <c r="G672" s="8">
        <f t="shared" si="10"/>
        <v>49.780219780219774</v>
      </c>
    </row>
    <row r="673" spans="1:7" x14ac:dyDescent="0.25">
      <c r="A673" s="5">
        <v>45807.40625</v>
      </c>
      <c r="B673">
        <v>34</v>
      </c>
      <c r="C673" t="s">
        <v>41</v>
      </c>
      <c r="D673" t="s">
        <v>42</v>
      </c>
      <c r="E673">
        <v>1.5</v>
      </c>
      <c r="F673">
        <v>1.88</v>
      </c>
      <c r="G673" s="8">
        <f t="shared" si="10"/>
        <v>47.872340425531917</v>
      </c>
    </row>
    <row r="674" spans="1:7" x14ac:dyDescent="0.25">
      <c r="A674" s="5">
        <v>45807.40625</v>
      </c>
      <c r="B674">
        <v>35</v>
      </c>
      <c r="C674" t="s">
        <v>43</v>
      </c>
      <c r="D674" t="s">
        <v>44</v>
      </c>
      <c r="E674">
        <v>1.55</v>
      </c>
      <c r="F674">
        <v>4</v>
      </c>
      <c r="G674" s="8">
        <f t="shared" si="10"/>
        <v>23.25</v>
      </c>
    </row>
    <row r="675" spans="1:7" x14ac:dyDescent="0.25">
      <c r="A675" s="5">
        <v>45807.40625</v>
      </c>
      <c r="B675">
        <v>36</v>
      </c>
      <c r="C675" t="s">
        <v>44</v>
      </c>
      <c r="D675" t="s">
        <v>45</v>
      </c>
      <c r="E675">
        <v>1.5</v>
      </c>
      <c r="F675">
        <v>2.95</v>
      </c>
      <c r="G675" s="8">
        <f t="shared" si="10"/>
        <v>30.508474576271183</v>
      </c>
    </row>
    <row r="676" spans="1:7" x14ac:dyDescent="0.25">
      <c r="A676" s="5">
        <v>45807.40625</v>
      </c>
      <c r="B676">
        <v>37</v>
      </c>
      <c r="C676" t="s">
        <v>45</v>
      </c>
      <c r="D676" t="s">
        <v>46</v>
      </c>
      <c r="E676">
        <v>1.38</v>
      </c>
      <c r="F676">
        <v>3.85</v>
      </c>
      <c r="G676" s="8">
        <f t="shared" si="10"/>
        <v>21.506493506493506</v>
      </c>
    </row>
    <row r="677" spans="1:7" x14ac:dyDescent="0.25">
      <c r="A677" s="5">
        <v>45807.40625</v>
      </c>
      <c r="B677">
        <v>38</v>
      </c>
      <c r="C677" t="s">
        <v>46</v>
      </c>
      <c r="D677" t="s">
        <v>47</v>
      </c>
      <c r="E677">
        <v>1.61</v>
      </c>
      <c r="F677">
        <v>3.87</v>
      </c>
      <c r="G677" s="8">
        <f t="shared" si="10"/>
        <v>24.961240310077521</v>
      </c>
    </row>
    <row r="678" spans="1:7" x14ac:dyDescent="0.25">
      <c r="A678" s="5">
        <v>45807.40625</v>
      </c>
      <c r="B678">
        <v>39</v>
      </c>
      <c r="C678" t="s">
        <v>47</v>
      </c>
      <c r="D678" t="s">
        <v>48</v>
      </c>
      <c r="E678">
        <v>1.55</v>
      </c>
      <c r="F678">
        <v>3.45</v>
      </c>
      <c r="G678" s="8">
        <f t="shared" si="10"/>
        <v>26.956521739130434</v>
      </c>
    </row>
    <row r="679" spans="1:7" x14ac:dyDescent="0.25">
      <c r="A679" s="5">
        <v>45807.40625</v>
      </c>
      <c r="B679">
        <v>40</v>
      </c>
      <c r="C679" t="s">
        <v>48</v>
      </c>
      <c r="D679" t="s">
        <v>49</v>
      </c>
      <c r="E679">
        <v>1.39</v>
      </c>
      <c r="F679">
        <v>2.87</v>
      </c>
      <c r="G679" s="8">
        <f t="shared" si="10"/>
        <v>29.059233449477347</v>
      </c>
    </row>
    <row r="680" spans="1:7" x14ac:dyDescent="0.25">
      <c r="A680" s="5">
        <v>45807.40625</v>
      </c>
      <c r="B680">
        <v>41</v>
      </c>
      <c r="C680" t="s">
        <v>50</v>
      </c>
      <c r="D680" t="s">
        <v>51</v>
      </c>
      <c r="E680">
        <v>1.56</v>
      </c>
      <c r="F680">
        <v>4.32</v>
      </c>
      <c r="G680" s="8">
        <f t="shared" si="10"/>
        <v>21.666666666666668</v>
      </c>
    </row>
    <row r="681" spans="1:7" x14ac:dyDescent="0.25">
      <c r="A681" s="5">
        <v>45807.40625</v>
      </c>
      <c r="B681">
        <v>42</v>
      </c>
      <c r="C681" t="s">
        <v>51</v>
      </c>
      <c r="D681" t="s">
        <v>52</v>
      </c>
      <c r="E681">
        <v>1.56</v>
      </c>
      <c r="F681">
        <v>4.08</v>
      </c>
      <c r="G681" s="8">
        <f t="shared" si="10"/>
        <v>22.941176470588236</v>
      </c>
    </row>
    <row r="682" spans="1:7" x14ac:dyDescent="0.25">
      <c r="A682" s="5">
        <v>45807.40625</v>
      </c>
      <c r="B682">
        <v>43</v>
      </c>
      <c r="C682" t="s">
        <v>52</v>
      </c>
      <c r="D682" t="s">
        <v>53</v>
      </c>
      <c r="E682">
        <v>1.51</v>
      </c>
      <c r="F682">
        <v>3.55</v>
      </c>
      <c r="G682" s="8">
        <f t="shared" si="10"/>
        <v>25.52112676056338</v>
      </c>
    </row>
    <row r="683" spans="1:7" x14ac:dyDescent="0.25">
      <c r="A683" s="5">
        <v>45807.40625</v>
      </c>
      <c r="B683">
        <v>44</v>
      </c>
      <c r="C683" t="s">
        <v>54</v>
      </c>
      <c r="D683" t="s">
        <v>55</v>
      </c>
      <c r="E683">
        <v>1.51</v>
      </c>
      <c r="F683">
        <v>4.75</v>
      </c>
      <c r="G683" s="8">
        <f t="shared" si="10"/>
        <v>19.073684210526313</v>
      </c>
    </row>
    <row r="684" spans="1:7" x14ac:dyDescent="0.25">
      <c r="A684" s="5">
        <v>45807.40625</v>
      </c>
      <c r="B684">
        <v>45</v>
      </c>
      <c r="C684" t="s">
        <v>55</v>
      </c>
      <c r="D684" t="s">
        <v>56</v>
      </c>
      <c r="E684">
        <v>1.49</v>
      </c>
      <c r="F684">
        <v>3.5</v>
      </c>
      <c r="G684" s="8">
        <f t="shared" si="10"/>
        <v>25.542857142857144</v>
      </c>
    </row>
    <row r="685" spans="1:7" x14ac:dyDescent="0.25">
      <c r="A685" s="5">
        <v>45807.40625</v>
      </c>
      <c r="B685">
        <v>46</v>
      </c>
      <c r="C685" t="s">
        <v>56</v>
      </c>
      <c r="D685" t="s">
        <v>57</v>
      </c>
      <c r="E685">
        <v>1.52</v>
      </c>
      <c r="F685">
        <v>3.75</v>
      </c>
      <c r="G685" s="8">
        <f t="shared" si="10"/>
        <v>24.32</v>
      </c>
    </row>
    <row r="686" spans="1:7" x14ac:dyDescent="0.25">
      <c r="A686" s="5">
        <v>45807.40625</v>
      </c>
      <c r="B686">
        <v>47</v>
      </c>
      <c r="C686" t="s">
        <v>58</v>
      </c>
      <c r="D686" t="s">
        <v>59</v>
      </c>
      <c r="E686">
        <v>1.52</v>
      </c>
      <c r="F686">
        <v>5.32</v>
      </c>
      <c r="G686" s="8">
        <f t="shared" si="10"/>
        <v>17.142857142857142</v>
      </c>
    </row>
    <row r="687" spans="1:7" x14ac:dyDescent="0.25">
      <c r="A687" s="5">
        <v>45807.40625</v>
      </c>
      <c r="B687">
        <v>48</v>
      </c>
      <c r="C687" t="s">
        <v>59</v>
      </c>
      <c r="D687" t="s">
        <v>60</v>
      </c>
      <c r="E687">
        <v>1.5</v>
      </c>
      <c r="F687">
        <v>3.92</v>
      </c>
      <c r="G687" s="8">
        <f t="shared" si="10"/>
        <v>22.95918367346939</v>
      </c>
    </row>
    <row r="688" spans="1:7" x14ac:dyDescent="0.25">
      <c r="A688" s="5">
        <v>45807.40625</v>
      </c>
      <c r="B688">
        <v>49</v>
      </c>
      <c r="C688" t="s">
        <v>60</v>
      </c>
      <c r="D688" t="s">
        <v>61</v>
      </c>
      <c r="E688">
        <v>1.54</v>
      </c>
      <c r="F688">
        <v>4.03</v>
      </c>
      <c r="G688" s="8">
        <f t="shared" si="10"/>
        <v>22.928039702233249</v>
      </c>
    </row>
    <row r="689" spans="1:7" x14ac:dyDescent="0.25">
      <c r="A689" s="5">
        <v>45807.40625</v>
      </c>
      <c r="B689">
        <v>50</v>
      </c>
      <c r="C689" t="s">
        <v>62</v>
      </c>
      <c r="D689" t="s">
        <v>63</v>
      </c>
      <c r="E689">
        <v>1.38</v>
      </c>
      <c r="F689">
        <v>3.12</v>
      </c>
      <c r="G689" s="8">
        <f t="shared" si="10"/>
        <v>26.538461538461537</v>
      </c>
    </row>
    <row r="690" spans="1:7" x14ac:dyDescent="0.25">
      <c r="A690" s="5">
        <v>45807.40625</v>
      </c>
      <c r="B690">
        <v>51</v>
      </c>
      <c r="C690" t="s">
        <v>63</v>
      </c>
      <c r="D690" t="s">
        <v>64</v>
      </c>
      <c r="E690">
        <v>2.79</v>
      </c>
      <c r="F690">
        <v>5.52</v>
      </c>
      <c r="G690" s="8">
        <f t="shared" si="10"/>
        <v>30.326086956521742</v>
      </c>
    </row>
    <row r="691" spans="1:7" x14ac:dyDescent="0.25">
      <c r="A691" s="5">
        <v>45807.40625</v>
      </c>
      <c r="B691">
        <v>52</v>
      </c>
      <c r="C691" t="s">
        <v>64</v>
      </c>
      <c r="D691" t="s">
        <v>65</v>
      </c>
      <c r="E691">
        <v>1.5</v>
      </c>
      <c r="F691">
        <v>2.87</v>
      </c>
      <c r="G691" s="8">
        <f t="shared" si="10"/>
        <v>31.358885017421603</v>
      </c>
    </row>
    <row r="692" spans="1:7" x14ac:dyDescent="0.25">
      <c r="A692" s="5">
        <v>45807.40625</v>
      </c>
      <c r="B692">
        <v>53</v>
      </c>
      <c r="C692" t="s">
        <v>65</v>
      </c>
      <c r="D692" t="s">
        <v>66</v>
      </c>
      <c r="E692">
        <v>1.46</v>
      </c>
      <c r="F692">
        <v>3.65</v>
      </c>
      <c r="G692" s="8">
        <f t="shared" si="10"/>
        <v>24</v>
      </c>
    </row>
    <row r="693" spans="1:7" x14ac:dyDescent="0.25">
      <c r="A693" s="5">
        <v>45807.40625</v>
      </c>
      <c r="B693">
        <v>54</v>
      </c>
      <c r="C693" t="s">
        <v>67</v>
      </c>
      <c r="D693" t="s">
        <v>68</v>
      </c>
      <c r="E693">
        <v>1.46</v>
      </c>
      <c r="F693">
        <v>3.4</v>
      </c>
      <c r="G693" s="8">
        <f t="shared" si="10"/>
        <v>25.764705882352938</v>
      </c>
    </row>
    <row r="694" spans="1:7" x14ac:dyDescent="0.25">
      <c r="A694" s="5">
        <v>45807.40625</v>
      </c>
      <c r="B694">
        <v>55</v>
      </c>
      <c r="C694" t="s">
        <v>68</v>
      </c>
      <c r="D694" t="s">
        <v>69</v>
      </c>
      <c r="E694">
        <v>1.5</v>
      </c>
      <c r="F694">
        <v>2.17</v>
      </c>
      <c r="G694" s="8">
        <f t="shared" si="10"/>
        <v>41.474654377880185</v>
      </c>
    </row>
    <row r="695" spans="1:7" x14ac:dyDescent="0.25">
      <c r="A695" s="5">
        <v>45807.40625</v>
      </c>
      <c r="B695">
        <v>56</v>
      </c>
      <c r="C695" t="s">
        <v>70</v>
      </c>
      <c r="D695" t="s">
        <v>71</v>
      </c>
      <c r="E695">
        <v>1.51</v>
      </c>
      <c r="F695">
        <v>6.3</v>
      </c>
      <c r="G695" s="8">
        <f t="shared" si="10"/>
        <v>14.38095238095238</v>
      </c>
    </row>
    <row r="696" spans="1:7" x14ac:dyDescent="0.25">
      <c r="A696" s="5">
        <v>45807.40625</v>
      </c>
      <c r="B696">
        <v>57</v>
      </c>
      <c r="C696" t="s">
        <v>71</v>
      </c>
      <c r="D696" t="s">
        <v>72</v>
      </c>
      <c r="E696">
        <v>1.52</v>
      </c>
      <c r="F696">
        <v>4</v>
      </c>
      <c r="G696" s="8">
        <f t="shared" si="10"/>
        <v>22.8</v>
      </c>
    </row>
    <row r="697" spans="1:7" x14ac:dyDescent="0.25">
      <c r="A697" s="5">
        <v>45807.40625</v>
      </c>
      <c r="B697">
        <v>58</v>
      </c>
      <c r="C697" t="s">
        <v>72</v>
      </c>
      <c r="D697" t="s">
        <v>73</v>
      </c>
      <c r="E697">
        <v>1.5</v>
      </c>
      <c r="F697">
        <v>3.97</v>
      </c>
      <c r="G697" s="8">
        <f t="shared" si="10"/>
        <v>22.670025188916874</v>
      </c>
    </row>
    <row r="698" spans="1:7" x14ac:dyDescent="0.25">
      <c r="A698" s="5">
        <v>45807.416666666664</v>
      </c>
      <c r="B698">
        <v>1</v>
      </c>
      <c r="C698" t="s">
        <v>6</v>
      </c>
      <c r="D698" t="s">
        <v>7</v>
      </c>
      <c r="E698">
        <v>1.53</v>
      </c>
      <c r="F698">
        <v>3.15</v>
      </c>
      <c r="G698" s="8">
        <f t="shared" si="10"/>
        <v>29.142857142857142</v>
      </c>
    </row>
    <row r="699" spans="1:7" x14ac:dyDescent="0.25">
      <c r="A699" s="5">
        <v>45807.416666666664</v>
      </c>
      <c r="B699">
        <v>2</v>
      </c>
      <c r="C699" t="s">
        <v>7</v>
      </c>
      <c r="D699" t="s">
        <v>8</v>
      </c>
      <c r="E699">
        <v>1.57</v>
      </c>
      <c r="F699">
        <v>4.9000000000000004</v>
      </c>
      <c r="G699" s="8">
        <f t="shared" si="10"/>
        <v>19.224489795918366</v>
      </c>
    </row>
    <row r="700" spans="1:7" x14ac:dyDescent="0.25">
      <c r="A700" s="5">
        <v>45807.416666666664</v>
      </c>
      <c r="B700">
        <v>3</v>
      </c>
      <c r="C700" t="s">
        <v>8</v>
      </c>
      <c r="D700" t="s">
        <v>9</v>
      </c>
      <c r="E700">
        <v>1.5</v>
      </c>
      <c r="F700">
        <v>3.05</v>
      </c>
      <c r="G700" s="8">
        <f t="shared" si="10"/>
        <v>29.508196721311478</v>
      </c>
    </row>
    <row r="701" spans="1:7" x14ac:dyDescent="0.25">
      <c r="A701" s="5">
        <v>45807.416666666664</v>
      </c>
      <c r="B701">
        <v>4</v>
      </c>
      <c r="C701" t="s">
        <v>9</v>
      </c>
      <c r="D701" t="s">
        <v>10</v>
      </c>
      <c r="E701">
        <v>1.5</v>
      </c>
      <c r="F701">
        <v>2.78</v>
      </c>
      <c r="G701" s="8">
        <f t="shared" si="10"/>
        <v>32.374100719424462</v>
      </c>
    </row>
    <row r="702" spans="1:7" x14ac:dyDescent="0.25">
      <c r="A702" s="5">
        <v>45807.416666666664</v>
      </c>
      <c r="B702">
        <v>5</v>
      </c>
      <c r="C702" t="s">
        <v>10</v>
      </c>
      <c r="D702" t="s">
        <v>11</v>
      </c>
      <c r="E702">
        <v>1.52</v>
      </c>
      <c r="F702">
        <v>3.3</v>
      </c>
      <c r="G702" s="8">
        <f t="shared" si="10"/>
        <v>27.63636363636364</v>
      </c>
    </row>
    <row r="703" spans="1:7" x14ac:dyDescent="0.25">
      <c r="A703" s="5">
        <v>45807.416666666664</v>
      </c>
      <c r="B703">
        <v>6</v>
      </c>
      <c r="C703" t="s">
        <v>11</v>
      </c>
      <c r="D703" t="s">
        <v>12</v>
      </c>
      <c r="E703">
        <v>1.5</v>
      </c>
      <c r="F703">
        <v>2.63</v>
      </c>
      <c r="G703" s="8">
        <f t="shared" si="10"/>
        <v>34.220532319391637</v>
      </c>
    </row>
    <row r="704" spans="1:7" x14ac:dyDescent="0.25">
      <c r="A704" s="5">
        <v>45807.416666666664</v>
      </c>
      <c r="B704">
        <v>7</v>
      </c>
      <c r="C704" t="s">
        <v>12</v>
      </c>
      <c r="D704" t="s">
        <v>13</v>
      </c>
      <c r="E704">
        <v>1.54</v>
      </c>
      <c r="F704">
        <v>2.78</v>
      </c>
      <c r="G704" s="8">
        <f t="shared" si="10"/>
        <v>33.237410071942449</v>
      </c>
    </row>
    <row r="705" spans="1:7" x14ac:dyDescent="0.25">
      <c r="A705" s="5">
        <v>45807.416666666664</v>
      </c>
      <c r="B705">
        <v>8</v>
      </c>
      <c r="C705" t="s">
        <v>13</v>
      </c>
      <c r="D705" t="s">
        <v>14</v>
      </c>
      <c r="E705">
        <v>1.54</v>
      </c>
      <c r="F705">
        <v>3.35</v>
      </c>
      <c r="G705" s="8">
        <f t="shared" si="10"/>
        <v>27.582089552238806</v>
      </c>
    </row>
    <row r="706" spans="1:7" x14ac:dyDescent="0.25">
      <c r="A706" s="5">
        <v>45807.416666666664</v>
      </c>
      <c r="B706">
        <v>9</v>
      </c>
      <c r="C706" t="s">
        <v>14</v>
      </c>
      <c r="D706" t="s">
        <v>15</v>
      </c>
      <c r="E706">
        <v>1.52</v>
      </c>
      <c r="F706">
        <v>3.73</v>
      </c>
      <c r="G706" s="8">
        <f t="shared" si="10"/>
        <v>24.45040214477212</v>
      </c>
    </row>
    <row r="707" spans="1:7" x14ac:dyDescent="0.25">
      <c r="A707" s="5">
        <v>45807.416666666664</v>
      </c>
      <c r="B707">
        <v>10</v>
      </c>
      <c r="C707" t="s">
        <v>15</v>
      </c>
      <c r="D707" t="s">
        <v>16</v>
      </c>
      <c r="E707">
        <v>1.5</v>
      </c>
      <c r="F707">
        <v>3.68</v>
      </c>
      <c r="G707" s="8">
        <f t="shared" ref="G707:G770" si="11">E707*60/F707</f>
        <v>24.456521739130434</v>
      </c>
    </row>
    <row r="708" spans="1:7" x14ac:dyDescent="0.25">
      <c r="A708" s="5">
        <v>45807.416666666664</v>
      </c>
      <c r="B708">
        <v>11</v>
      </c>
      <c r="C708" t="s">
        <v>16</v>
      </c>
      <c r="D708" t="s">
        <v>17</v>
      </c>
      <c r="E708">
        <v>1.48</v>
      </c>
      <c r="F708">
        <v>2.85</v>
      </c>
      <c r="G708" s="8">
        <f t="shared" si="11"/>
        <v>31.157894736842103</v>
      </c>
    </row>
    <row r="709" spans="1:7" x14ac:dyDescent="0.25">
      <c r="A709" s="5">
        <v>45807.416666666664</v>
      </c>
      <c r="B709">
        <v>12</v>
      </c>
      <c r="C709" t="s">
        <v>17</v>
      </c>
      <c r="D709" t="s">
        <v>18</v>
      </c>
      <c r="E709">
        <v>1.46</v>
      </c>
      <c r="F709">
        <v>4.08</v>
      </c>
      <c r="G709" s="8">
        <f t="shared" si="11"/>
        <v>21.470588235294116</v>
      </c>
    </row>
    <row r="710" spans="1:7" x14ac:dyDescent="0.25">
      <c r="A710" s="5">
        <v>45807.416666666664</v>
      </c>
      <c r="B710">
        <v>13</v>
      </c>
      <c r="C710" t="s">
        <v>18</v>
      </c>
      <c r="D710" t="s">
        <v>19</v>
      </c>
      <c r="E710">
        <v>1.52</v>
      </c>
      <c r="F710">
        <v>4.03</v>
      </c>
      <c r="G710" s="8">
        <f t="shared" si="11"/>
        <v>22.630272952853598</v>
      </c>
    </row>
    <row r="711" spans="1:7" x14ac:dyDescent="0.25">
      <c r="A711" s="5">
        <v>45807.416666666664</v>
      </c>
      <c r="B711">
        <v>14</v>
      </c>
      <c r="C711" t="s">
        <v>19</v>
      </c>
      <c r="D711" t="s">
        <v>20</v>
      </c>
      <c r="E711">
        <v>1.51</v>
      </c>
      <c r="F711">
        <v>3.85</v>
      </c>
      <c r="G711" s="8">
        <f t="shared" si="11"/>
        <v>23.532467532467532</v>
      </c>
    </row>
    <row r="712" spans="1:7" x14ac:dyDescent="0.25">
      <c r="A712" s="5">
        <v>45807.416666666664</v>
      </c>
      <c r="B712">
        <v>15</v>
      </c>
      <c r="C712" t="s">
        <v>20</v>
      </c>
      <c r="D712" t="s">
        <v>21</v>
      </c>
      <c r="E712">
        <v>1.47</v>
      </c>
      <c r="F712">
        <v>2.6</v>
      </c>
      <c r="G712" s="8">
        <f t="shared" si="11"/>
        <v>33.92307692307692</v>
      </c>
    </row>
    <row r="713" spans="1:7" x14ac:dyDescent="0.25">
      <c r="A713" s="5">
        <v>45807.416666666664</v>
      </c>
      <c r="B713">
        <v>16</v>
      </c>
      <c r="C713" t="s">
        <v>21</v>
      </c>
      <c r="D713" t="s">
        <v>22</v>
      </c>
      <c r="E713">
        <v>1.5</v>
      </c>
      <c r="F713">
        <v>1.9</v>
      </c>
      <c r="G713" s="8">
        <f t="shared" si="11"/>
        <v>47.368421052631582</v>
      </c>
    </row>
    <row r="714" spans="1:7" x14ac:dyDescent="0.25">
      <c r="A714" s="5">
        <v>45807.416666666664</v>
      </c>
      <c r="B714">
        <v>17</v>
      </c>
      <c r="C714" t="s">
        <v>22</v>
      </c>
      <c r="D714" t="s">
        <v>23</v>
      </c>
      <c r="E714">
        <v>1.51</v>
      </c>
      <c r="F714">
        <v>3.12</v>
      </c>
      <c r="G714" s="8">
        <f t="shared" si="11"/>
        <v>29.038461538461537</v>
      </c>
    </row>
    <row r="715" spans="1:7" x14ac:dyDescent="0.25">
      <c r="A715" s="5">
        <v>45807.416666666664</v>
      </c>
      <c r="B715">
        <v>18</v>
      </c>
      <c r="C715" t="s">
        <v>23</v>
      </c>
      <c r="D715" t="s">
        <v>24</v>
      </c>
      <c r="E715">
        <v>1.51</v>
      </c>
      <c r="F715">
        <v>3.15</v>
      </c>
      <c r="G715" s="8">
        <f t="shared" si="11"/>
        <v>28.761904761904759</v>
      </c>
    </row>
    <row r="716" spans="1:7" x14ac:dyDescent="0.25">
      <c r="A716" s="5">
        <v>45807.416666666664</v>
      </c>
      <c r="B716">
        <v>19</v>
      </c>
      <c r="C716" t="s">
        <v>25</v>
      </c>
      <c r="D716" t="s">
        <v>26</v>
      </c>
      <c r="E716">
        <v>1.5</v>
      </c>
      <c r="F716">
        <v>3.97</v>
      </c>
      <c r="G716" s="8">
        <f t="shared" si="11"/>
        <v>22.670025188916874</v>
      </c>
    </row>
    <row r="717" spans="1:7" x14ac:dyDescent="0.25">
      <c r="A717" s="5">
        <v>45807.416666666664</v>
      </c>
      <c r="B717">
        <v>20</v>
      </c>
      <c r="C717" t="s">
        <v>26</v>
      </c>
      <c r="D717" t="s">
        <v>27</v>
      </c>
      <c r="E717">
        <v>1.48</v>
      </c>
      <c r="F717">
        <v>3.45</v>
      </c>
      <c r="G717" s="8">
        <f t="shared" si="11"/>
        <v>25.739130434782606</v>
      </c>
    </row>
    <row r="718" spans="1:7" x14ac:dyDescent="0.25">
      <c r="A718" s="5">
        <v>45807.416666666664</v>
      </c>
      <c r="B718">
        <v>21</v>
      </c>
      <c r="C718" t="s">
        <v>27</v>
      </c>
      <c r="D718" t="s">
        <v>28</v>
      </c>
      <c r="E718">
        <v>1.51</v>
      </c>
      <c r="F718">
        <v>3.85</v>
      </c>
      <c r="G718" s="8">
        <f t="shared" si="11"/>
        <v>23.532467532467532</v>
      </c>
    </row>
    <row r="719" spans="1:7" x14ac:dyDescent="0.25">
      <c r="A719" s="5">
        <v>45807.416666666664</v>
      </c>
      <c r="B719">
        <v>22</v>
      </c>
      <c r="C719" t="s">
        <v>28</v>
      </c>
      <c r="D719" t="s">
        <v>29</v>
      </c>
      <c r="E719">
        <v>1.57</v>
      </c>
      <c r="F719">
        <v>3.78</v>
      </c>
      <c r="G719" s="8">
        <f t="shared" si="11"/>
        <v>24.920634920634921</v>
      </c>
    </row>
    <row r="720" spans="1:7" x14ac:dyDescent="0.25">
      <c r="A720" s="5">
        <v>45807.416666666664</v>
      </c>
      <c r="B720">
        <v>23</v>
      </c>
      <c r="C720" t="s">
        <v>29</v>
      </c>
      <c r="D720" t="s">
        <v>30</v>
      </c>
      <c r="E720">
        <v>1.43</v>
      </c>
      <c r="F720">
        <v>4.32</v>
      </c>
      <c r="G720" s="8">
        <f t="shared" si="11"/>
        <v>19.861111111111111</v>
      </c>
    </row>
    <row r="721" spans="1:7" x14ac:dyDescent="0.25">
      <c r="A721" s="5">
        <v>45807.416666666664</v>
      </c>
      <c r="B721">
        <v>24</v>
      </c>
      <c r="C721" t="s">
        <v>30</v>
      </c>
      <c r="D721" t="s">
        <v>31</v>
      </c>
      <c r="E721">
        <v>1.52</v>
      </c>
      <c r="F721">
        <v>3.3</v>
      </c>
      <c r="G721" s="8">
        <f t="shared" si="11"/>
        <v>27.63636363636364</v>
      </c>
    </row>
    <row r="722" spans="1:7" x14ac:dyDescent="0.25">
      <c r="A722" s="5">
        <v>45807.416666666664</v>
      </c>
      <c r="B722">
        <v>25</v>
      </c>
      <c r="C722" t="s">
        <v>31</v>
      </c>
      <c r="D722" t="s">
        <v>32</v>
      </c>
      <c r="E722">
        <v>1.52</v>
      </c>
      <c r="F722">
        <v>3.45</v>
      </c>
      <c r="G722" s="8">
        <f t="shared" si="11"/>
        <v>26.434782608695652</v>
      </c>
    </row>
    <row r="723" spans="1:7" x14ac:dyDescent="0.25">
      <c r="A723" s="5">
        <v>45807.416666666664</v>
      </c>
      <c r="B723">
        <v>26</v>
      </c>
      <c r="C723" t="s">
        <v>32</v>
      </c>
      <c r="D723" t="s">
        <v>33</v>
      </c>
      <c r="E723">
        <v>1.49</v>
      </c>
      <c r="F723">
        <v>4.7</v>
      </c>
      <c r="G723" s="8">
        <f t="shared" si="11"/>
        <v>19.021276595744681</v>
      </c>
    </row>
    <row r="724" spans="1:7" x14ac:dyDescent="0.25">
      <c r="A724" s="5">
        <v>45807.416666666664</v>
      </c>
      <c r="B724">
        <v>27</v>
      </c>
      <c r="C724" t="s">
        <v>33</v>
      </c>
      <c r="D724" t="s">
        <v>34</v>
      </c>
      <c r="E724">
        <v>1.53</v>
      </c>
      <c r="F724">
        <v>4.58</v>
      </c>
      <c r="G724" s="8">
        <f t="shared" si="11"/>
        <v>20.043668122270741</v>
      </c>
    </row>
    <row r="725" spans="1:7" x14ac:dyDescent="0.25">
      <c r="A725" s="5">
        <v>45807.416666666664</v>
      </c>
      <c r="B725">
        <v>28</v>
      </c>
      <c r="C725" t="s">
        <v>34</v>
      </c>
      <c r="D725" t="s">
        <v>35</v>
      </c>
      <c r="E725">
        <v>1.51</v>
      </c>
      <c r="F725">
        <v>4.12</v>
      </c>
      <c r="G725" s="8">
        <f t="shared" si="11"/>
        <v>21.990291262135919</v>
      </c>
    </row>
    <row r="726" spans="1:7" x14ac:dyDescent="0.25">
      <c r="A726" s="5">
        <v>45807.416666666664</v>
      </c>
      <c r="B726">
        <v>29</v>
      </c>
      <c r="C726" t="s">
        <v>36</v>
      </c>
      <c r="D726" t="s">
        <v>37</v>
      </c>
      <c r="E726">
        <v>1.57</v>
      </c>
      <c r="F726">
        <v>4.3499999999999996</v>
      </c>
      <c r="G726" s="8">
        <f t="shared" si="11"/>
        <v>21.655172413793107</v>
      </c>
    </row>
    <row r="727" spans="1:7" x14ac:dyDescent="0.25">
      <c r="A727" s="5">
        <v>45807.416666666664</v>
      </c>
      <c r="B727">
        <v>30</v>
      </c>
      <c r="C727" t="s">
        <v>37</v>
      </c>
      <c r="D727" t="s">
        <v>38</v>
      </c>
      <c r="E727">
        <v>1.57</v>
      </c>
      <c r="F727">
        <v>5.5</v>
      </c>
      <c r="G727" s="8">
        <f t="shared" si="11"/>
        <v>17.127272727272729</v>
      </c>
    </row>
    <row r="728" spans="1:7" x14ac:dyDescent="0.25">
      <c r="A728" s="5">
        <v>45807.416666666664</v>
      </c>
      <c r="B728">
        <v>31</v>
      </c>
      <c r="C728" t="s">
        <v>38</v>
      </c>
      <c r="D728" t="s">
        <v>39</v>
      </c>
      <c r="E728">
        <v>1.52</v>
      </c>
      <c r="F728">
        <v>2.65</v>
      </c>
      <c r="G728" s="8">
        <f t="shared" si="11"/>
        <v>34.415094339622641</v>
      </c>
    </row>
    <row r="729" spans="1:7" x14ac:dyDescent="0.25">
      <c r="A729" s="5">
        <v>45807.416666666664</v>
      </c>
      <c r="B729">
        <v>32</v>
      </c>
      <c r="C729" t="s">
        <v>39</v>
      </c>
      <c r="D729" t="s">
        <v>40</v>
      </c>
      <c r="E729">
        <v>1.5</v>
      </c>
      <c r="F729">
        <v>1.82</v>
      </c>
      <c r="G729" s="8">
        <f t="shared" si="11"/>
        <v>49.450549450549445</v>
      </c>
    </row>
    <row r="730" spans="1:7" x14ac:dyDescent="0.25">
      <c r="A730" s="5">
        <v>45807.416666666664</v>
      </c>
      <c r="B730">
        <v>33</v>
      </c>
      <c r="C730" t="s">
        <v>40</v>
      </c>
      <c r="D730" t="s">
        <v>41</v>
      </c>
      <c r="E730">
        <v>1.51</v>
      </c>
      <c r="F730">
        <v>1.8</v>
      </c>
      <c r="G730" s="8">
        <f t="shared" si="11"/>
        <v>50.333333333333329</v>
      </c>
    </row>
    <row r="731" spans="1:7" x14ac:dyDescent="0.25">
      <c r="A731" s="5">
        <v>45807.416666666664</v>
      </c>
      <c r="B731">
        <v>34</v>
      </c>
      <c r="C731" t="s">
        <v>41</v>
      </c>
      <c r="D731" t="s">
        <v>42</v>
      </c>
      <c r="E731">
        <v>1.5</v>
      </c>
      <c r="F731">
        <v>1.95</v>
      </c>
      <c r="G731" s="8">
        <f t="shared" si="11"/>
        <v>46.153846153846153</v>
      </c>
    </row>
    <row r="732" spans="1:7" x14ac:dyDescent="0.25">
      <c r="A732" s="5">
        <v>45807.416666666664</v>
      </c>
      <c r="B732">
        <v>35</v>
      </c>
      <c r="C732" t="s">
        <v>43</v>
      </c>
      <c r="D732" t="s">
        <v>44</v>
      </c>
      <c r="E732">
        <v>1.55</v>
      </c>
      <c r="F732">
        <v>3.62</v>
      </c>
      <c r="G732" s="8">
        <f t="shared" si="11"/>
        <v>25.69060773480663</v>
      </c>
    </row>
    <row r="733" spans="1:7" x14ac:dyDescent="0.25">
      <c r="A733" s="5">
        <v>45807.416666666664</v>
      </c>
      <c r="B733">
        <v>36</v>
      </c>
      <c r="C733" t="s">
        <v>44</v>
      </c>
      <c r="D733" t="s">
        <v>45</v>
      </c>
      <c r="E733">
        <v>1.5</v>
      </c>
      <c r="F733">
        <v>2.95</v>
      </c>
      <c r="G733" s="8">
        <f t="shared" si="11"/>
        <v>30.508474576271183</v>
      </c>
    </row>
    <row r="734" spans="1:7" x14ac:dyDescent="0.25">
      <c r="A734" s="5">
        <v>45807.416666666664</v>
      </c>
      <c r="B734">
        <v>37</v>
      </c>
      <c r="C734" t="s">
        <v>45</v>
      </c>
      <c r="D734" t="s">
        <v>46</v>
      </c>
      <c r="E734">
        <v>1.38</v>
      </c>
      <c r="F734">
        <v>3.72</v>
      </c>
      <c r="G734" s="8">
        <f t="shared" si="11"/>
        <v>22.258064516129032</v>
      </c>
    </row>
    <row r="735" spans="1:7" x14ac:dyDescent="0.25">
      <c r="A735" s="5">
        <v>45807.416666666664</v>
      </c>
      <c r="B735">
        <v>38</v>
      </c>
      <c r="C735" t="s">
        <v>46</v>
      </c>
      <c r="D735" t="s">
        <v>47</v>
      </c>
      <c r="E735">
        <v>1.61</v>
      </c>
      <c r="F735">
        <v>3.9</v>
      </c>
      <c r="G735" s="8">
        <f t="shared" si="11"/>
        <v>24.769230769230774</v>
      </c>
    </row>
    <row r="736" spans="1:7" x14ac:dyDescent="0.25">
      <c r="A736" s="5">
        <v>45807.416666666664</v>
      </c>
      <c r="B736">
        <v>39</v>
      </c>
      <c r="C736" t="s">
        <v>47</v>
      </c>
      <c r="D736" t="s">
        <v>48</v>
      </c>
      <c r="E736">
        <v>1.55</v>
      </c>
      <c r="F736">
        <v>3.4</v>
      </c>
      <c r="G736" s="8">
        <f t="shared" si="11"/>
        <v>27.352941176470591</v>
      </c>
    </row>
    <row r="737" spans="1:7" x14ac:dyDescent="0.25">
      <c r="A737" s="5">
        <v>45807.416666666664</v>
      </c>
      <c r="B737">
        <v>40</v>
      </c>
      <c r="C737" t="s">
        <v>48</v>
      </c>
      <c r="D737" t="s">
        <v>49</v>
      </c>
      <c r="E737">
        <v>1.39</v>
      </c>
      <c r="F737">
        <v>2.83</v>
      </c>
      <c r="G737" s="8">
        <f t="shared" si="11"/>
        <v>29.46996466431095</v>
      </c>
    </row>
    <row r="738" spans="1:7" x14ac:dyDescent="0.25">
      <c r="A738" s="5">
        <v>45807.416666666664</v>
      </c>
      <c r="B738">
        <v>41</v>
      </c>
      <c r="C738" t="s">
        <v>50</v>
      </c>
      <c r="D738" t="s">
        <v>51</v>
      </c>
      <c r="E738">
        <v>1.56</v>
      </c>
      <c r="F738">
        <v>4.18</v>
      </c>
      <c r="G738" s="8">
        <f t="shared" si="11"/>
        <v>22.39234449760766</v>
      </c>
    </row>
    <row r="739" spans="1:7" x14ac:dyDescent="0.25">
      <c r="A739" s="5">
        <v>45807.416666666664</v>
      </c>
      <c r="B739">
        <v>42</v>
      </c>
      <c r="C739" t="s">
        <v>51</v>
      </c>
      <c r="D739" t="s">
        <v>52</v>
      </c>
      <c r="E739">
        <v>1.56</v>
      </c>
      <c r="F739">
        <v>3.83</v>
      </c>
      <c r="G739" s="8">
        <f t="shared" si="11"/>
        <v>24.438642297650134</v>
      </c>
    </row>
    <row r="740" spans="1:7" x14ac:dyDescent="0.25">
      <c r="A740" s="5">
        <v>45807.416666666664</v>
      </c>
      <c r="B740">
        <v>43</v>
      </c>
      <c r="C740" t="s">
        <v>52</v>
      </c>
      <c r="D740" t="s">
        <v>53</v>
      </c>
      <c r="E740">
        <v>1.51</v>
      </c>
      <c r="F740">
        <v>3.55</v>
      </c>
      <c r="G740" s="8">
        <f t="shared" si="11"/>
        <v>25.52112676056338</v>
      </c>
    </row>
    <row r="741" spans="1:7" x14ac:dyDescent="0.25">
      <c r="A741" s="5">
        <v>45807.416666666664</v>
      </c>
      <c r="B741">
        <v>44</v>
      </c>
      <c r="C741" t="s">
        <v>54</v>
      </c>
      <c r="D741" t="s">
        <v>55</v>
      </c>
      <c r="E741">
        <v>1.51</v>
      </c>
      <c r="F741">
        <v>5.15</v>
      </c>
      <c r="G741" s="8">
        <f t="shared" si="11"/>
        <v>17.592233009708735</v>
      </c>
    </row>
    <row r="742" spans="1:7" x14ac:dyDescent="0.25">
      <c r="A742" s="5">
        <v>45807.416666666664</v>
      </c>
      <c r="B742">
        <v>45</v>
      </c>
      <c r="C742" t="s">
        <v>55</v>
      </c>
      <c r="D742" t="s">
        <v>56</v>
      </c>
      <c r="E742">
        <v>1.49</v>
      </c>
      <c r="F742">
        <v>3.43</v>
      </c>
      <c r="G742" s="8">
        <f t="shared" si="11"/>
        <v>26.064139941690964</v>
      </c>
    </row>
    <row r="743" spans="1:7" x14ac:dyDescent="0.25">
      <c r="A743" s="5">
        <v>45807.416666666664</v>
      </c>
      <c r="B743">
        <v>46</v>
      </c>
      <c r="C743" t="s">
        <v>56</v>
      </c>
      <c r="D743" t="s">
        <v>57</v>
      </c>
      <c r="E743">
        <v>1.52</v>
      </c>
      <c r="F743">
        <v>3.65</v>
      </c>
      <c r="G743" s="8">
        <f t="shared" si="11"/>
        <v>24.986301369863014</v>
      </c>
    </row>
    <row r="744" spans="1:7" x14ac:dyDescent="0.25">
      <c r="A744" s="5">
        <v>45807.416666666664</v>
      </c>
      <c r="B744">
        <v>47</v>
      </c>
      <c r="C744" t="s">
        <v>58</v>
      </c>
      <c r="D744" t="s">
        <v>59</v>
      </c>
      <c r="E744">
        <v>1.52</v>
      </c>
      <c r="F744">
        <v>4.6500000000000004</v>
      </c>
      <c r="G744" s="8">
        <f t="shared" si="11"/>
        <v>19.612903225806452</v>
      </c>
    </row>
    <row r="745" spans="1:7" x14ac:dyDescent="0.25">
      <c r="A745" s="5">
        <v>45807.416666666664</v>
      </c>
      <c r="B745">
        <v>48</v>
      </c>
      <c r="C745" t="s">
        <v>59</v>
      </c>
      <c r="D745" t="s">
        <v>60</v>
      </c>
      <c r="E745">
        <v>1.5</v>
      </c>
      <c r="F745">
        <v>3.52</v>
      </c>
      <c r="G745" s="8">
        <f t="shared" si="11"/>
        <v>25.568181818181817</v>
      </c>
    </row>
    <row r="746" spans="1:7" x14ac:dyDescent="0.25">
      <c r="A746" s="5">
        <v>45807.416666666664</v>
      </c>
      <c r="B746">
        <v>49</v>
      </c>
      <c r="C746" t="s">
        <v>60</v>
      </c>
      <c r="D746" t="s">
        <v>61</v>
      </c>
      <c r="E746">
        <v>1.54</v>
      </c>
      <c r="F746">
        <v>3.87</v>
      </c>
      <c r="G746" s="8">
        <f t="shared" si="11"/>
        <v>23.875968992248062</v>
      </c>
    </row>
    <row r="747" spans="1:7" x14ac:dyDescent="0.25">
      <c r="A747" s="5">
        <v>45807.416666666664</v>
      </c>
      <c r="B747">
        <v>50</v>
      </c>
      <c r="C747" t="s">
        <v>62</v>
      </c>
      <c r="D747" t="s">
        <v>63</v>
      </c>
      <c r="E747">
        <v>1.38</v>
      </c>
      <c r="F747">
        <v>3.12</v>
      </c>
      <c r="G747" s="8">
        <f t="shared" si="11"/>
        <v>26.538461538461537</v>
      </c>
    </row>
    <row r="748" spans="1:7" x14ac:dyDescent="0.25">
      <c r="A748" s="5">
        <v>45807.416666666664</v>
      </c>
      <c r="B748">
        <v>51</v>
      </c>
      <c r="C748" t="s">
        <v>63</v>
      </c>
      <c r="D748" t="s">
        <v>64</v>
      </c>
      <c r="E748">
        <v>2.79</v>
      </c>
      <c r="F748">
        <v>5.65</v>
      </c>
      <c r="G748" s="8">
        <f t="shared" si="11"/>
        <v>29.628318584070797</v>
      </c>
    </row>
    <row r="749" spans="1:7" x14ac:dyDescent="0.25">
      <c r="A749" s="5">
        <v>45807.416666666664</v>
      </c>
      <c r="B749">
        <v>52</v>
      </c>
      <c r="C749" t="s">
        <v>64</v>
      </c>
      <c r="D749" t="s">
        <v>65</v>
      </c>
      <c r="E749">
        <v>1.5</v>
      </c>
      <c r="F749">
        <v>2.85</v>
      </c>
      <c r="G749" s="8">
        <f t="shared" si="11"/>
        <v>31.578947368421051</v>
      </c>
    </row>
    <row r="750" spans="1:7" x14ac:dyDescent="0.25">
      <c r="A750" s="5">
        <v>45807.416666666664</v>
      </c>
      <c r="B750">
        <v>53</v>
      </c>
      <c r="C750" t="s">
        <v>65</v>
      </c>
      <c r="D750" t="s">
        <v>66</v>
      </c>
      <c r="E750">
        <v>1.46</v>
      </c>
      <c r="F750">
        <v>3.67</v>
      </c>
      <c r="G750" s="8">
        <f t="shared" si="11"/>
        <v>23.869209809264305</v>
      </c>
    </row>
    <row r="751" spans="1:7" x14ac:dyDescent="0.25">
      <c r="A751" s="5">
        <v>45807.416666666664</v>
      </c>
      <c r="B751">
        <v>54</v>
      </c>
      <c r="C751" t="s">
        <v>67</v>
      </c>
      <c r="D751" t="s">
        <v>68</v>
      </c>
      <c r="E751">
        <v>1.46</v>
      </c>
      <c r="F751">
        <v>3.5</v>
      </c>
      <c r="G751" s="8">
        <f t="shared" si="11"/>
        <v>25.028571428571428</v>
      </c>
    </row>
    <row r="752" spans="1:7" x14ac:dyDescent="0.25">
      <c r="A752" s="5">
        <v>45807.416666666664</v>
      </c>
      <c r="B752">
        <v>55</v>
      </c>
      <c r="C752" t="s">
        <v>68</v>
      </c>
      <c r="D752" t="s">
        <v>69</v>
      </c>
      <c r="E752">
        <v>1.5</v>
      </c>
      <c r="F752">
        <v>2.2200000000000002</v>
      </c>
      <c r="G752" s="8">
        <f t="shared" si="11"/>
        <v>40.54054054054054</v>
      </c>
    </row>
    <row r="753" spans="1:7" x14ac:dyDescent="0.25">
      <c r="A753" s="5">
        <v>45807.416666666664</v>
      </c>
      <c r="B753">
        <v>56</v>
      </c>
      <c r="C753" t="s">
        <v>70</v>
      </c>
      <c r="D753" t="s">
        <v>71</v>
      </c>
      <c r="E753">
        <v>1.51</v>
      </c>
      <c r="F753">
        <v>5.75</v>
      </c>
      <c r="G753" s="8">
        <f t="shared" si="11"/>
        <v>15.756521739130434</v>
      </c>
    </row>
    <row r="754" spans="1:7" x14ac:dyDescent="0.25">
      <c r="A754" s="5">
        <v>45807.416666666664</v>
      </c>
      <c r="B754">
        <v>57</v>
      </c>
      <c r="C754" t="s">
        <v>71</v>
      </c>
      <c r="D754" t="s">
        <v>72</v>
      </c>
      <c r="E754">
        <v>1.52</v>
      </c>
      <c r="F754">
        <v>4.0999999999999996</v>
      </c>
      <c r="G754" s="8">
        <f t="shared" si="11"/>
        <v>22.243902439024392</v>
      </c>
    </row>
    <row r="755" spans="1:7" x14ac:dyDescent="0.25">
      <c r="A755" s="5">
        <v>45807.416666666664</v>
      </c>
      <c r="B755">
        <v>58</v>
      </c>
      <c r="C755" t="s">
        <v>72</v>
      </c>
      <c r="D755" t="s">
        <v>73</v>
      </c>
      <c r="E755">
        <v>1.5</v>
      </c>
      <c r="F755">
        <v>3.97</v>
      </c>
      <c r="G755" s="8">
        <f t="shared" si="11"/>
        <v>22.670025188916874</v>
      </c>
    </row>
    <row r="756" spans="1:7" s="3" customFormat="1" x14ac:dyDescent="0.25">
      <c r="A756" s="6">
        <v>45807.666666666664</v>
      </c>
      <c r="B756" s="3">
        <v>1</v>
      </c>
      <c r="C756" s="3" t="s">
        <v>6</v>
      </c>
      <c r="D756" s="3" t="s">
        <v>7</v>
      </c>
      <c r="E756" s="3">
        <v>1.53</v>
      </c>
      <c r="F756" s="3">
        <v>3.47</v>
      </c>
      <c r="G756" s="8">
        <f t="shared" si="11"/>
        <v>26.455331412103742</v>
      </c>
    </row>
    <row r="757" spans="1:7" x14ac:dyDescent="0.25">
      <c r="A757" s="6">
        <v>45807.666666666664</v>
      </c>
      <c r="B757">
        <v>2</v>
      </c>
      <c r="C757" t="s">
        <v>7</v>
      </c>
      <c r="D757" t="s">
        <v>8</v>
      </c>
      <c r="E757">
        <v>1.57</v>
      </c>
      <c r="F757">
        <v>5.63</v>
      </c>
      <c r="G757" s="8">
        <f t="shared" si="11"/>
        <v>16.731793960923625</v>
      </c>
    </row>
    <row r="758" spans="1:7" x14ac:dyDescent="0.25">
      <c r="A758" s="6">
        <v>45807.666666666664</v>
      </c>
      <c r="B758">
        <v>3</v>
      </c>
      <c r="C758" t="s">
        <v>8</v>
      </c>
      <c r="D758" t="s">
        <v>9</v>
      </c>
      <c r="E758">
        <v>1.5</v>
      </c>
      <c r="F758">
        <v>3.32</v>
      </c>
      <c r="G758" s="8">
        <f t="shared" si="11"/>
        <v>27.108433734939759</v>
      </c>
    </row>
    <row r="759" spans="1:7" x14ac:dyDescent="0.25">
      <c r="A759" s="6">
        <v>45807.666666666664</v>
      </c>
      <c r="B759">
        <v>4</v>
      </c>
      <c r="C759" t="s">
        <v>9</v>
      </c>
      <c r="D759" t="s">
        <v>10</v>
      </c>
      <c r="E759">
        <v>1.5</v>
      </c>
      <c r="F759">
        <v>3.08</v>
      </c>
      <c r="G759" s="8">
        <f t="shared" si="11"/>
        <v>29.220779220779221</v>
      </c>
    </row>
    <row r="760" spans="1:7" x14ac:dyDescent="0.25">
      <c r="A760" s="6">
        <v>45807.666666666664</v>
      </c>
      <c r="B760">
        <v>5</v>
      </c>
      <c r="C760" t="s">
        <v>10</v>
      </c>
      <c r="D760" t="s">
        <v>11</v>
      </c>
      <c r="E760">
        <v>1.52</v>
      </c>
      <c r="F760">
        <v>3.62</v>
      </c>
      <c r="G760" s="8">
        <f t="shared" si="11"/>
        <v>25.193370165745858</v>
      </c>
    </row>
    <row r="761" spans="1:7" x14ac:dyDescent="0.25">
      <c r="A761" s="6">
        <v>45807.666666666664</v>
      </c>
      <c r="B761">
        <v>6</v>
      </c>
      <c r="C761" t="s">
        <v>11</v>
      </c>
      <c r="D761" t="s">
        <v>12</v>
      </c>
      <c r="E761">
        <v>1.5</v>
      </c>
      <c r="F761">
        <v>2.77</v>
      </c>
      <c r="G761" s="8">
        <f t="shared" si="11"/>
        <v>32.490974729241877</v>
      </c>
    </row>
    <row r="762" spans="1:7" x14ac:dyDescent="0.25">
      <c r="A762" s="6">
        <v>45807.666666666664</v>
      </c>
      <c r="B762">
        <v>7</v>
      </c>
      <c r="C762" t="s">
        <v>12</v>
      </c>
      <c r="D762" t="s">
        <v>13</v>
      </c>
      <c r="E762">
        <v>1.54</v>
      </c>
      <c r="F762">
        <v>2.68</v>
      </c>
      <c r="G762" s="8">
        <f t="shared" si="11"/>
        <v>34.477611940298509</v>
      </c>
    </row>
    <row r="763" spans="1:7" x14ac:dyDescent="0.25">
      <c r="A763" s="6">
        <v>45807.666666666664</v>
      </c>
      <c r="B763">
        <v>8</v>
      </c>
      <c r="C763" t="s">
        <v>13</v>
      </c>
      <c r="D763" t="s">
        <v>14</v>
      </c>
      <c r="E763">
        <v>1.54</v>
      </c>
      <c r="F763">
        <v>3.3</v>
      </c>
      <c r="G763" s="8">
        <f t="shared" si="11"/>
        <v>28.000000000000004</v>
      </c>
    </row>
    <row r="764" spans="1:7" x14ac:dyDescent="0.25">
      <c r="A764" s="6">
        <v>45807.666666666664</v>
      </c>
      <c r="B764">
        <v>9</v>
      </c>
      <c r="C764" t="s">
        <v>14</v>
      </c>
      <c r="D764" t="s">
        <v>15</v>
      </c>
      <c r="E764">
        <v>1.52</v>
      </c>
      <c r="F764">
        <v>3.63</v>
      </c>
      <c r="G764" s="8">
        <f t="shared" si="11"/>
        <v>25.123966942148762</v>
      </c>
    </row>
    <row r="765" spans="1:7" x14ac:dyDescent="0.25">
      <c r="A765" s="6">
        <v>45807.666666666664</v>
      </c>
      <c r="B765">
        <v>10</v>
      </c>
      <c r="C765" t="s">
        <v>15</v>
      </c>
      <c r="D765" t="s">
        <v>16</v>
      </c>
      <c r="E765">
        <v>1.5</v>
      </c>
      <c r="F765">
        <v>4.28</v>
      </c>
      <c r="G765" s="8">
        <f t="shared" si="11"/>
        <v>21.028037383177569</v>
      </c>
    </row>
    <row r="766" spans="1:7" x14ac:dyDescent="0.25">
      <c r="A766" s="6">
        <v>45807.666666666664</v>
      </c>
      <c r="B766">
        <v>11</v>
      </c>
      <c r="C766" t="s">
        <v>16</v>
      </c>
      <c r="D766" t="s">
        <v>17</v>
      </c>
      <c r="E766">
        <v>1.48</v>
      </c>
      <c r="F766">
        <v>3.47</v>
      </c>
      <c r="G766" s="8">
        <f t="shared" si="11"/>
        <v>25.590778097982707</v>
      </c>
    </row>
    <row r="767" spans="1:7" x14ac:dyDescent="0.25">
      <c r="A767" s="6">
        <v>45807.666666666664</v>
      </c>
      <c r="B767">
        <v>12</v>
      </c>
      <c r="C767" t="s">
        <v>17</v>
      </c>
      <c r="D767" t="s">
        <v>18</v>
      </c>
      <c r="E767">
        <v>1.46</v>
      </c>
      <c r="F767">
        <v>4.68</v>
      </c>
      <c r="G767" s="8">
        <f t="shared" si="11"/>
        <v>18.717948717948719</v>
      </c>
    </row>
    <row r="768" spans="1:7" x14ac:dyDescent="0.25">
      <c r="A768" s="6">
        <v>45807.666666666664</v>
      </c>
      <c r="B768">
        <v>13</v>
      </c>
      <c r="C768" t="s">
        <v>18</v>
      </c>
      <c r="D768" t="s">
        <v>19</v>
      </c>
      <c r="E768">
        <v>1.52</v>
      </c>
      <c r="F768">
        <v>4.5</v>
      </c>
      <c r="G768" s="8">
        <f t="shared" si="11"/>
        <v>20.266666666666666</v>
      </c>
    </row>
    <row r="769" spans="1:7" x14ac:dyDescent="0.25">
      <c r="A769" s="6">
        <v>45807.666666666664</v>
      </c>
      <c r="B769">
        <v>14</v>
      </c>
      <c r="C769" t="s">
        <v>19</v>
      </c>
      <c r="D769" t="s">
        <v>20</v>
      </c>
      <c r="E769">
        <v>1.51</v>
      </c>
      <c r="F769">
        <v>4.72</v>
      </c>
      <c r="G769" s="8">
        <f t="shared" si="11"/>
        <v>19.194915254237287</v>
      </c>
    </row>
    <row r="770" spans="1:7" x14ac:dyDescent="0.25">
      <c r="A770" s="6">
        <v>45807.666666666664</v>
      </c>
      <c r="B770">
        <v>15</v>
      </c>
      <c r="C770" t="s">
        <v>20</v>
      </c>
      <c r="D770" t="s">
        <v>21</v>
      </c>
      <c r="E770">
        <v>1.47</v>
      </c>
      <c r="F770">
        <v>2.48</v>
      </c>
      <c r="G770" s="8">
        <f t="shared" si="11"/>
        <v>35.564516129032256</v>
      </c>
    </row>
    <row r="771" spans="1:7" x14ac:dyDescent="0.25">
      <c r="A771" s="6">
        <v>45807.666666666664</v>
      </c>
      <c r="B771">
        <v>16</v>
      </c>
      <c r="C771" t="s">
        <v>21</v>
      </c>
      <c r="D771" t="s">
        <v>22</v>
      </c>
      <c r="E771">
        <v>1.5</v>
      </c>
      <c r="F771">
        <v>2.65</v>
      </c>
      <c r="G771" s="8">
        <f t="shared" ref="G771:G834" si="12">E771*60/F771</f>
        <v>33.962264150943398</v>
      </c>
    </row>
    <row r="772" spans="1:7" x14ac:dyDescent="0.25">
      <c r="A772" s="6">
        <v>45807.666666666664</v>
      </c>
      <c r="B772">
        <v>17</v>
      </c>
      <c r="C772" t="s">
        <v>22</v>
      </c>
      <c r="D772" t="s">
        <v>23</v>
      </c>
      <c r="E772">
        <v>1.51</v>
      </c>
      <c r="F772">
        <v>3.67</v>
      </c>
      <c r="G772" s="8">
        <f t="shared" si="12"/>
        <v>24.686648501362395</v>
      </c>
    </row>
    <row r="773" spans="1:7" x14ac:dyDescent="0.25">
      <c r="A773" s="6">
        <v>45807.666666666664</v>
      </c>
      <c r="B773">
        <v>18</v>
      </c>
      <c r="C773" t="s">
        <v>23</v>
      </c>
      <c r="D773" t="s">
        <v>24</v>
      </c>
      <c r="E773">
        <v>1.51</v>
      </c>
      <c r="F773">
        <v>4.32</v>
      </c>
      <c r="G773" s="8">
        <f t="shared" si="12"/>
        <v>20.972222222222218</v>
      </c>
    </row>
    <row r="774" spans="1:7" x14ac:dyDescent="0.25">
      <c r="A774" s="6">
        <v>45807.666666666664</v>
      </c>
      <c r="B774">
        <v>19</v>
      </c>
      <c r="C774" t="s">
        <v>25</v>
      </c>
      <c r="D774" t="s">
        <v>26</v>
      </c>
      <c r="E774">
        <v>1.5</v>
      </c>
      <c r="F774">
        <v>4.2</v>
      </c>
      <c r="G774" s="8">
        <f t="shared" si="12"/>
        <v>21.428571428571427</v>
      </c>
    </row>
    <row r="775" spans="1:7" x14ac:dyDescent="0.25">
      <c r="A775" s="6">
        <v>45807.666666666664</v>
      </c>
      <c r="B775">
        <v>20</v>
      </c>
      <c r="C775" t="s">
        <v>26</v>
      </c>
      <c r="D775" t="s">
        <v>27</v>
      </c>
      <c r="E775">
        <v>1.48</v>
      </c>
      <c r="F775">
        <v>4.1500000000000004</v>
      </c>
      <c r="G775" s="8">
        <f t="shared" si="12"/>
        <v>21.397590361445779</v>
      </c>
    </row>
    <row r="776" spans="1:7" x14ac:dyDescent="0.25">
      <c r="A776" s="6">
        <v>45807.666666666664</v>
      </c>
      <c r="B776">
        <v>21</v>
      </c>
      <c r="C776" t="s">
        <v>27</v>
      </c>
      <c r="D776" t="s">
        <v>28</v>
      </c>
      <c r="E776">
        <v>1.51</v>
      </c>
      <c r="F776">
        <v>3.67</v>
      </c>
      <c r="G776" s="8">
        <f t="shared" si="12"/>
        <v>24.686648501362395</v>
      </c>
    </row>
    <row r="777" spans="1:7" x14ac:dyDescent="0.25">
      <c r="A777" s="6">
        <v>45807.666666666664</v>
      </c>
      <c r="B777">
        <v>22</v>
      </c>
      <c r="C777" t="s">
        <v>28</v>
      </c>
      <c r="D777" t="s">
        <v>29</v>
      </c>
      <c r="E777">
        <v>1.57</v>
      </c>
      <c r="F777">
        <v>3.97</v>
      </c>
      <c r="G777" s="8">
        <f t="shared" si="12"/>
        <v>23.727959697732999</v>
      </c>
    </row>
    <row r="778" spans="1:7" x14ac:dyDescent="0.25">
      <c r="A778" s="6">
        <v>45807.666666666664</v>
      </c>
      <c r="B778">
        <v>23</v>
      </c>
      <c r="C778" t="s">
        <v>29</v>
      </c>
      <c r="D778" t="s">
        <v>30</v>
      </c>
      <c r="E778">
        <v>1.43</v>
      </c>
      <c r="F778">
        <v>5.15</v>
      </c>
      <c r="G778" s="8">
        <f t="shared" si="12"/>
        <v>16.660194174757279</v>
      </c>
    </row>
    <row r="779" spans="1:7" x14ac:dyDescent="0.25">
      <c r="A779" s="6">
        <v>45807.666666666664</v>
      </c>
      <c r="B779">
        <v>24</v>
      </c>
      <c r="C779" t="s">
        <v>30</v>
      </c>
      <c r="D779" t="s">
        <v>31</v>
      </c>
      <c r="E779">
        <v>1.52</v>
      </c>
      <c r="F779">
        <v>3.77</v>
      </c>
      <c r="G779" s="8">
        <f t="shared" si="12"/>
        <v>24.190981432360743</v>
      </c>
    </row>
    <row r="780" spans="1:7" x14ac:dyDescent="0.25">
      <c r="A780" s="6">
        <v>45807.666666666664</v>
      </c>
      <c r="B780">
        <v>25</v>
      </c>
      <c r="C780" t="s">
        <v>31</v>
      </c>
      <c r="D780" t="s">
        <v>32</v>
      </c>
      <c r="E780">
        <v>1.52</v>
      </c>
      <c r="F780">
        <v>4.17</v>
      </c>
      <c r="G780" s="8">
        <f t="shared" si="12"/>
        <v>21.870503597122305</v>
      </c>
    </row>
    <row r="781" spans="1:7" x14ac:dyDescent="0.25">
      <c r="A781" s="6">
        <v>45807.666666666664</v>
      </c>
      <c r="B781">
        <v>26</v>
      </c>
      <c r="C781" t="s">
        <v>32</v>
      </c>
      <c r="D781" t="s">
        <v>33</v>
      </c>
      <c r="E781">
        <v>1.49</v>
      </c>
      <c r="F781">
        <v>7.23</v>
      </c>
      <c r="G781" s="8">
        <f t="shared" si="12"/>
        <v>12.365145228215768</v>
      </c>
    </row>
    <row r="782" spans="1:7" x14ac:dyDescent="0.25">
      <c r="A782" s="6">
        <v>45807.666666666664</v>
      </c>
      <c r="B782">
        <v>27</v>
      </c>
      <c r="C782" t="s">
        <v>33</v>
      </c>
      <c r="D782" t="s">
        <v>34</v>
      </c>
      <c r="E782">
        <v>1.53</v>
      </c>
      <c r="F782">
        <v>4.07</v>
      </c>
      <c r="G782" s="8">
        <f t="shared" si="12"/>
        <v>22.555282555282552</v>
      </c>
    </row>
    <row r="783" spans="1:7" x14ac:dyDescent="0.25">
      <c r="A783" s="6">
        <v>45807.666666666664</v>
      </c>
      <c r="B783">
        <v>28</v>
      </c>
      <c r="C783" t="s">
        <v>34</v>
      </c>
      <c r="D783" t="s">
        <v>35</v>
      </c>
      <c r="E783">
        <v>1.51</v>
      </c>
      <c r="F783">
        <v>5.12</v>
      </c>
      <c r="G783" s="8">
        <f t="shared" si="12"/>
        <v>17.6953125</v>
      </c>
    </row>
    <row r="784" spans="1:7" x14ac:dyDescent="0.25">
      <c r="A784" s="6">
        <v>45807.666666666664</v>
      </c>
      <c r="B784">
        <v>29</v>
      </c>
      <c r="C784" t="s">
        <v>36</v>
      </c>
      <c r="D784" t="s">
        <v>37</v>
      </c>
      <c r="E784">
        <v>1.57</v>
      </c>
      <c r="F784">
        <v>4.13</v>
      </c>
      <c r="G784" s="8">
        <f t="shared" si="12"/>
        <v>22.808716707021794</v>
      </c>
    </row>
    <row r="785" spans="1:7" x14ac:dyDescent="0.25">
      <c r="A785" s="6">
        <v>45807.666666666664</v>
      </c>
      <c r="B785">
        <v>30</v>
      </c>
      <c r="C785" t="s">
        <v>37</v>
      </c>
      <c r="D785" t="s">
        <v>38</v>
      </c>
      <c r="E785">
        <v>1.57</v>
      </c>
      <c r="F785">
        <v>5.62</v>
      </c>
      <c r="G785" s="8">
        <f t="shared" si="12"/>
        <v>16.761565836298931</v>
      </c>
    </row>
    <row r="786" spans="1:7" x14ac:dyDescent="0.25">
      <c r="A786" s="6">
        <v>45807.666666666664</v>
      </c>
      <c r="B786">
        <v>31</v>
      </c>
      <c r="C786" t="s">
        <v>38</v>
      </c>
      <c r="D786" t="s">
        <v>39</v>
      </c>
      <c r="E786">
        <v>1.52</v>
      </c>
      <c r="F786">
        <v>3.02</v>
      </c>
      <c r="G786" s="8">
        <f t="shared" si="12"/>
        <v>30.198675496688743</v>
      </c>
    </row>
    <row r="787" spans="1:7" x14ac:dyDescent="0.25">
      <c r="A787" s="6">
        <v>45807.666666666664</v>
      </c>
      <c r="B787">
        <v>32</v>
      </c>
      <c r="C787" t="s">
        <v>39</v>
      </c>
      <c r="D787" t="s">
        <v>40</v>
      </c>
      <c r="E787">
        <v>1.5</v>
      </c>
      <c r="F787">
        <v>1.88</v>
      </c>
      <c r="G787" s="8">
        <f t="shared" si="12"/>
        <v>47.872340425531917</v>
      </c>
    </row>
    <row r="788" spans="1:7" x14ac:dyDescent="0.25">
      <c r="A788" s="6">
        <v>45807.666666666664</v>
      </c>
      <c r="B788">
        <v>33</v>
      </c>
      <c r="C788" t="s">
        <v>40</v>
      </c>
      <c r="D788" t="s">
        <v>41</v>
      </c>
      <c r="E788">
        <v>1.51</v>
      </c>
      <c r="F788">
        <v>2.15</v>
      </c>
      <c r="G788" s="8">
        <f t="shared" si="12"/>
        <v>42.139534883720927</v>
      </c>
    </row>
    <row r="789" spans="1:7" x14ac:dyDescent="0.25">
      <c r="A789" s="6">
        <v>45807.666666666664</v>
      </c>
      <c r="B789">
        <v>34</v>
      </c>
      <c r="C789" t="s">
        <v>41</v>
      </c>
      <c r="D789" t="s">
        <v>42</v>
      </c>
      <c r="E789">
        <v>1.5</v>
      </c>
      <c r="F789">
        <v>2.13</v>
      </c>
      <c r="G789" s="8">
        <f t="shared" si="12"/>
        <v>42.253521126760567</v>
      </c>
    </row>
    <row r="790" spans="1:7" x14ac:dyDescent="0.25">
      <c r="A790" s="6">
        <v>45807.666666666664</v>
      </c>
      <c r="B790">
        <v>35</v>
      </c>
      <c r="C790" t="s">
        <v>43</v>
      </c>
      <c r="D790" t="s">
        <v>44</v>
      </c>
      <c r="E790">
        <v>1.55</v>
      </c>
      <c r="F790">
        <v>3.88</v>
      </c>
      <c r="G790" s="8">
        <f t="shared" si="12"/>
        <v>23.969072164948454</v>
      </c>
    </row>
    <row r="791" spans="1:7" x14ac:dyDescent="0.25">
      <c r="A791" s="6">
        <v>45807.666666666664</v>
      </c>
      <c r="B791">
        <v>36</v>
      </c>
      <c r="C791" t="s">
        <v>44</v>
      </c>
      <c r="D791" t="s">
        <v>45</v>
      </c>
      <c r="E791">
        <v>1.5</v>
      </c>
      <c r="F791">
        <v>3.28</v>
      </c>
      <c r="G791" s="8">
        <f t="shared" si="12"/>
        <v>27.439024390243905</v>
      </c>
    </row>
    <row r="792" spans="1:7" x14ac:dyDescent="0.25">
      <c r="A792" s="6">
        <v>45807.666666666664</v>
      </c>
      <c r="B792">
        <v>37</v>
      </c>
      <c r="C792" t="s">
        <v>45</v>
      </c>
      <c r="D792" t="s">
        <v>46</v>
      </c>
      <c r="E792">
        <v>1.38</v>
      </c>
      <c r="F792">
        <v>4.7699999999999996</v>
      </c>
      <c r="G792" s="8">
        <f t="shared" si="12"/>
        <v>17.358490566037737</v>
      </c>
    </row>
    <row r="793" spans="1:7" x14ac:dyDescent="0.25">
      <c r="A793" s="6">
        <v>45807.666666666664</v>
      </c>
      <c r="B793">
        <v>38</v>
      </c>
      <c r="C793" t="s">
        <v>46</v>
      </c>
      <c r="D793" t="s">
        <v>47</v>
      </c>
      <c r="E793">
        <v>1.61</v>
      </c>
      <c r="F793">
        <v>4.43</v>
      </c>
      <c r="G793" s="8">
        <f t="shared" si="12"/>
        <v>21.805869074492101</v>
      </c>
    </row>
    <row r="794" spans="1:7" x14ac:dyDescent="0.25">
      <c r="A794" s="6">
        <v>45807.666666666664</v>
      </c>
      <c r="B794">
        <v>39</v>
      </c>
      <c r="C794" t="s">
        <v>47</v>
      </c>
      <c r="D794" t="s">
        <v>48</v>
      </c>
      <c r="E794">
        <v>1.55</v>
      </c>
      <c r="F794">
        <v>3.55</v>
      </c>
      <c r="G794" s="8">
        <f t="shared" si="12"/>
        <v>26.197183098591552</v>
      </c>
    </row>
    <row r="795" spans="1:7" x14ac:dyDescent="0.25">
      <c r="A795" s="6">
        <v>45807.666666666664</v>
      </c>
      <c r="B795">
        <v>40</v>
      </c>
      <c r="C795" t="s">
        <v>48</v>
      </c>
      <c r="D795" t="s">
        <v>49</v>
      </c>
      <c r="E795">
        <v>1.39</v>
      </c>
      <c r="F795">
        <v>3.1</v>
      </c>
      <c r="G795" s="8">
        <f t="shared" si="12"/>
        <v>26.903225806451609</v>
      </c>
    </row>
    <row r="796" spans="1:7" x14ac:dyDescent="0.25">
      <c r="A796" s="6">
        <v>45807.666666666664</v>
      </c>
      <c r="B796">
        <v>41</v>
      </c>
      <c r="C796" t="s">
        <v>50</v>
      </c>
      <c r="D796" t="s">
        <v>51</v>
      </c>
      <c r="E796">
        <v>1.56</v>
      </c>
      <c r="F796">
        <v>5.08</v>
      </c>
      <c r="G796" s="8">
        <f t="shared" si="12"/>
        <v>18.425196850393704</v>
      </c>
    </row>
    <row r="797" spans="1:7" x14ac:dyDescent="0.25">
      <c r="A797" s="6">
        <v>45807.666666666664</v>
      </c>
      <c r="B797">
        <v>42</v>
      </c>
      <c r="C797" t="s">
        <v>51</v>
      </c>
      <c r="D797" t="s">
        <v>52</v>
      </c>
      <c r="E797">
        <v>1.56</v>
      </c>
      <c r="F797">
        <v>4.57</v>
      </c>
      <c r="G797" s="8">
        <f t="shared" si="12"/>
        <v>20.481400437636761</v>
      </c>
    </row>
    <row r="798" spans="1:7" x14ac:dyDescent="0.25">
      <c r="A798" s="6">
        <v>45807.666666666664</v>
      </c>
      <c r="B798">
        <v>43</v>
      </c>
      <c r="C798" t="s">
        <v>52</v>
      </c>
      <c r="D798" t="s">
        <v>53</v>
      </c>
      <c r="E798">
        <v>1.51</v>
      </c>
      <c r="F798">
        <v>3.72</v>
      </c>
      <c r="G798" s="8">
        <f t="shared" si="12"/>
        <v>24.354838709677416</v>
      </c>
    </row>
    <row r="799" spans="1:7" x14ac:dyDescent="0.25">
      <c r="A799" s="6">
        <v>45807.666666666664</v>
      </c>
      <c r="B799">
        <v>44</v>
      </c>
      <c r="C799" t="s">
        <v>54</v>
      </c>
      <c r="D799" t="s">
        <v>55</v>
      </c>
      <c r="E799">
        <v>1.51</v>
      </c>
      <c r="F799">
        <v>4.6500000000000004</v>
      </c>
      <c r="G799" s="8">
        <f t="shared" si="12"/>
        <v>19.483870967741932</v>
      </c>
    </row>
    <row r="800" spans="1:7" x14ac:dyDescent="0.25">
      <c r="A800" s="6">
        <v>45807.666666666664</v>
      </c>
      <c r="B800">
        <v>45</v>
      </c>
      <c r="C800" t="s">
        <v>55</v>
      </c>
      <c r="D800" t="s">
        <v>56</v>
      </c>
      <c r="E800">
        <v>1.49</v>
      </c>
      <c r="F800">
        <v>4.07</v>
      </c>
      <c r="G800" s="8">
        <f t="shared" si="12"/>
        <v>21.965601965601966</v>
      </c>
    </row>
    <row r="801" spans="1:7" x14ac:dyDescent="0.25">
      <c r="A801" s="6">
        <v>45807.666666666664</v>
      </c>
      <c r="B801">
        <v>46</v>
      </c>
      <c r="C801" t="s">
        <v>56</v>
      </c>
      <c r="D801" t="s">
        <v>57</v>
      </c>
      <c r="E801">
        <v>1.52</v>
      </c>
      <c r="F801">
        <v>3.93</v>
      </c>
      <c r="G801" s="8">
        <f t="shared" si="12"/>
        <v>23.206106870229007</v>
      </c>
    </row>
    <row r="802" spans="1:7" x14ac:dyDescent="0.25">
      <c r="A802" s="6">
        <v>45807.666666666664</v>
      </c>
      <c r="B802">
        <v>47</v>
      </c>
      <c r="C802" t="s">
        <v>58</v>
      </c>
      <c r="D802" t="s">
        <v>59</v>
      </c>
      <c r="E802">
        <v>1.52</v>
      </c>
      <c r="F802">
        <v>5.7</v>
      </c>
      <c r="G802" s="8">
        <f t="shared" si="12"/>
        <v>16</v>
      </c>
    </row>
    <row r="803" spans="1:7" x14ac:dyDescent="0.25">
      <c r="A803" s="6">
        <v>45807.666666666664</v>
      </c>
      <c r="B803">
        <v>48</v>
      </c>
      <c r="C803" t="s">
        <v>59</v>
      </c>
      <c r="D803" t="s">
        <v>60</v>
      </c>
      <c r="E803">
        <v>1.5</v>
      </c>
      <c r="F803">
        <v>3.9</v>
      </c>
      <c r="G803" s="8">
        <f t="shared" si="12"/>
        <v>23.076923076923077</v>
      </c>
    </row>
    <row r="804" spans="1:7" x14ac:dyDescent="0.25">
      <c r="A804" s="6">
        <v>45807.666666666664</v>
      </c>
      <c r="B804">
        <v>49</v>
      </c>
      <c r="C804" t="s">
        <v>60</v>
      </c>
      <c r="D804" t="s">
        <v>61</v>
      </c>
      <c r="E804">
        <v>1.54</v>
      </c>
      <c r="F804">
        <v>4.33</v>
      </c>
      <c r="G804" s="8">
        <f t="shared" si="12"/>
        <v>21.339491916859124</v>
      </c>
    </row>
    <row r="805" spans="1:7" x14ac:dyDescent="0.25">
      <c r="A805" s="6">
        <v>45807.666666666664</v>
      </c>
      <c r="B805">
        <v>50</v>
      </c>
      <c r="C805" t="s">
        <v>62</v>
      </c>
      <c r="D805" t="s">
        <v>63</v>
      </c>
      <c r="E805">
        <v>1.38</v>
      </c>
      <c r="F805">
        <v>3.2</v>
      </c>
      <c r="G805" s="8">
        <f t="shared" si="12"/>
        <v>25.874999999999996</v>
      </c>
    </row>
    <row r="806" spans="1:7" x14ac:dyDescent="0.25">
      <c r="A806" s="6">
        <v>45807.666666666664</v>
      </c>
      <c r="B806">
        <v>51</v>
      </c>
      <c r="C806" t="s">
        <v>63</v>
      </c>
      <c r="D806" t="s">
        <v>64</v>
      </c>
      <c r="E806">
        <v>2.79</v>
      </c>
      <c r="F806">
        <v>5.85</v>
      </c>
      <c r="G806" s="8">
        <f t="shared" si="12"/>
        <v>28.615384615384617</v>
      </c>
    </row>
    <row r="807" spans="1:7" x14ac:dyDescent="0.25">
      <c r="A807" s="6">
        <v>45807.666666666664</v>
      </c>
      <c r="B807">
        <v>52</v>
      </c>
      <c r="C807" t="s">
        <v>64</v>
      </c>
      <c r="D807" t="s">
        <v>65</v>
      </c>
      <c r="E807">
        <v>1.5</v>
      </c>
      <c r="F807">
        <v>2.88</v>
      </c>
      <c r="G807" s="8">
        <f t="shared" si="12"/>
        <v>31.25</v>
      </c>
    </row>
    <row r="808" spans="1:7" x14ac:dyDescent="0.25">
      <c r="A808" s="6">
        <v>45807.666666666664</v>
      </c>
      <c r="B808">
        <v>53</v>
      </c>
      <c r="C808" t="s">
        <v>65</v>
      </c>
      <c r="D808" t="s">
        <v>66</v>
      </c>
      <c r="E808">
        <v>1.46</v>
      </c>
      <c r="F808">
        <v>3.88</v>
      </c>
      <c r="G808" s="8">
        <f t="shared" si="12"/>
        <v>22.577319587628864</v>
      </c>
    </row>
    <row r="809" spans="1:7" x14ac:dyDescent="0.25">
      <c r="A809" s="6">
        <v>45807.666666666664</v>
      </c>
      <c r="B809">
        <v>54</v>
      </c>
      <c r="C809" t="s">
        <v>67</v>
      </c>
      <c r="D809" t="s">
        <v>68</v>
      </c>
      <c r="E809">
        <v>1.46</v>
      </c>
      <c r="F809">
        <v>3.43</v>
      </c>
      <c r="G809" s="8">
        <f t="shared" si="12"/>
        <v>25.539358600583089</v>
      </c>
    </row>
    <row r="810" spans="1:7" x14ac:dyDescent="0.25">
      <c r="A810" s="6">
        <v>45807.666666666664</v>
      </c>
      <c r="B810">
        <v>55</v>
      </c>
      <c r="C810" t="s">
        <v>68</v>
      </c>
      <c r="D810" t="s">
        <v>69</v>
      </c>
      <c r="E810">
        <v>1.5</v>
      </c>
      <c r="F810">
        <v>5.03</v>
      </c>
      <c r="G810" s="8">
        <f t="shared" si="12"/>
        <v>17.892644135188867</v>
      </c>
    </row>
    <row r="811" spans="1:7" x14ac:dyDescent="0.25">
      <c r="A811" s="6">
        <v>45807.666666666664</v>
      </c>
      <c r="B811">
        <v>56</v>
      </c>
      <c r="C811" t="s">
        <v>70</v>
      </c>
      <c r="D811" t="s">
        <v>71</v>
      </c>
      <c r="E811">
        <v>1.51</v>
      </c>
      <c r="F811">
        <v>4.3499999999999996</v>
      </c>
      <c r="G811" s="8">
        <f t="shared" si="12"/>
        <v>20.827586206896552</v>
      </c>
    </row>
    <row r="812" spans="1:7" x14ac:dyDescent="0.25">
      <c r="A812" s="6">
        <v>45807.666666666664</v>
      </c>
      <c r="B812">
        <v>57</v>
      </c>
      <c r="C812" t="s">
        <v>71</v>
      </c>
      <c r="D812" t="s">
        <v>72</v>
      </c>
      <c r="E812">
        <v>1.52</v>
      </c>
      <c r="F812">
        <v>4.32</v>
      </c>
      <c r="G812" s="8">
        <f t="shared" si="12"/>
        <v>21.111111111111111</v>
      </c>
    </row>
    <row r="813" spans="1:7" x14ac:dyDescent="0.25">
      <c r="A813" s="6">
        <v>45807.666666666664</v>
      </c>
      <c r="B813">
        <v>58</v>
      </c>
      <c r="C813" t="s">
        <v>72</v>
      </c>
      <c r="D813" t="s">
        <v>73</v>
      </c>
      <c r="E813">
        <v>1.5</v>
      </c>
      <c r="F813">
        <v>4.3</v>
      </c>
      <c r="G813" s="8">
        <f t="shared" si="12"/>
        <v>20.930232558139537</v>
      </c>
    </row>
    <row r="814" spans="1:7" x14ac:dyDescent="0.25">
      <c r="A814" s="5">
        <v>45807.677083333336</v>
      </c>
      <c r="B814">
        <v>1</v>
      </c>
      <c r="C814" t="s">
        <v>6</v>
      </c>
      <c r="D814" t="s">
        <v>7</v>
      </c>
      <c r="E814">
        <v>1.53</v>
      </c>
      <c r="F814">
        <v>3.48</v>
      </c>
      <c r="G814" s="8">
        <f t="shared" si="12"/>
        <v>26.379310344827587</v>
      </c>
    </row>
    <row r="815" spans="1:7" x14ac:dyDescent="0.25">
      <c r="A815" s="5">
        <v>45807.677083333336</v>
      </c>
      <c r="B815">
        <v>2</v>
      </c>
      <c r="C815" t="s">
        <v>7</v>
      </c>
      <c r="D815" t="s">
        <v>8</v>
      </c>
      <c r="E815">
        <v>1.57</v>
      </c>
      <c r="F815">
        <v>5.45</v>
      </c>
      <c r="G815" s="8">
        <f t="shared" si="12"/>
        <v>17.284403669724771</v>
      </c>
    </row>
    <row r="816" spans="1:7" x14ac:dyDescent="0.25">
      <c r="A816" s="5">
        <v>45807.677083333336</v>
      </c>
      <c r="B816">
        <v>3</v>
      </c>
      <c r="C816" t="s">
        <v>8</v>
      </c>
      <c r="D816" t="s">
        <v>9</v>
      </c>
      <c r="E816">
        <v>1.5</v>
      </c>
      <c r="F816">
        <v>3.38</v>
      </c>
      <c r="G816" s="8">
        <f t="shared" si="12"/>
        <v>26.627218934911244</v>
      </c>
    </row>
    <row r="817" spans="1:7" x14ac:dyDescent="0.25">
      <c r="A817" s="5">
        <v>45807.677083333336</v>
      </c>
      <c r="B817">
        <v>4</v>
      </c>
      <c r="C817" t="s">
        <v>9</v>
      </c>
      <c r="D817" t="s">
        <v>10</v>
      </c>
      <c r="E817">
        <v>1.5</v>
      </c>
      <c r="F817">
        <v>3.12</v>
      </c>
      <c r="G817" s="8">
        <f t="shared" si="12"/>
        <v>28.846153846153847</v>
      </c>
    </row>
    <row r="818" spans="1:7" x14ac:dyDescent="0.25">
      <c r="A818" s="5">
        <v>45807.677083333336</v>
      </c>
      <c r="B818">
        <v>5</v>
      </c>
      <c r="C818" t="s">
        <v>10</v>
      </c>
      <c r="D818" t="s">
        <v>11</v>
      </c>
      <c r="E818">
        <v>1.52</v>
      </c>
      <c r="F818">
        <v>4.07</v>
      </c>
      <c r="G818" s="8">
        <f t="shared" si="12"/>
        <v>22.407862407862407</v>
      </c>
    </row>
    <row r="819" spans="1:7" x14ac:dyDescent="0.25">
      <c r="A819" s="5">
        <v>45807.677083333336</v>
      </c>
      <c r="B819">
        <v>6</v>
      </c>
      <c r="C819" t="s">
        <v>11</v>
      </c>
      <c r="D819" t="s">
        <v>12</v>
      </c>
      <c r="E819">
        <v>1.5</v>
      </c>
      <c r="F819">
        <v>2.87</v>
      </c>
      <c r="G819" s="8">
        <f t="shared" si="12"/>
        <v>31.358885017421603</v>
      </c>
    </row>
    <row r="820" spans="1:7" x14ac:dyDescent="0.25">
      <c r="A820" s="5">
        <v>45807.677083333336</v>
      </c>
      <c r="B820">
        <v>7</v>
      </c>
      <c r="C820" t="s">
        <v>12</v>
      </c>
      <c r="D820" t="s">
        <v>13</v>
      </c>
      <c r="E820">
        <v>1.54</v>
      </c>
      <c r="F820">
        <v>2.8</v>
      </c>
      <c r="G820" s="8">
        <f t="shared" si="12"/>
        <v>33.000000000000007</v>
      </c>
    </row>
    <row r="821" spans="1:7" x14ac:dyDescent="0.25">
      <c r="A821" s="5">
        <v>45807.677083333336</v>
      </c>
      <c r="B821">
        <v>8</v>
      </c>
      <c r="C821" t="s">
        <v>13</v>
      </c>
      <c r="D821" t="s">
        <v>14</v>
      </c>
      <c r="E821">
        <v>1.54</v>
      </c>
      <c r="F821">
        <v>3.55</v>
      </c>
      <c r="G821" s="8">
        <f t="shared" si="12"/>
        <v>26.028169014084511</v>
      </c>
    </row>
    <row r="822" spans="1:7" x14ac:dyDescent="0.25">
      <c r="A822" s="5">
        <v>45807.677083333336</v>
      </c>
      <c r="B822">
        <v>9</v>
      </c>
      <c r="C822" t="s">
        <v>14</v>
      </c>
      <c r="D822" t="s">
        <v>15</v>
      </c>
      <c r="E822">
        <v>1.52</v>
      </c>
      <c r="F822">
        <v>3.87</v>
      </c>
      <c r="G822" s="8">
        <f t="shared" si="12"/>
        <v>23.565891472868216</v>
      </c>
    </row>
    <row r="823" spans="1:7" x14ac:dyDescent="0.25">
      <c r="A823" s="5">
        <v>45807.677083333336</v>
      </c>
      <c r="B823">
        <v>10</v>
      </c>
      <c r="C823" t="s">
        <v>15</v>
      </c>
      <c r="D823" t="s">
        <v>16</v>
      </c>
      <c r="E823">
        <v>1.5</v>
      </c>
      <c r="F823">
        <v>4.37</v>
      </c>
      <c r="G823" s="8">
        <f t="shared" si="12"/>
        <v>20.594965675057207</v>
      </c>
    </row>
    <row r="824" spans="1:7" x14ac:dyDescent="0.25">
      <c r="A824" s="5">
        <v>45807.677083333336</v>
      </c>
      <c r="B824">
        <v>11</v>
      </c>
      <c r="C824" t="s">
        <v>16</v>
      </c>
      <c r="D824" t="s">
        <v>17</v>
      </c>
      <c r="E824">
        <v>1.48</v>
      </c>
      <c r="F824">
        <v>3</v>
      </c>
      <c r="G824" s="8">
        <f t="shared" si="12"/>
        <v>29.599999999999998</v>
      </c>
    </row>
    <row r="825" spans="1:7" x14ac:dyDescent="0.25">
      <c r="A825" s="5">
        <v>45807.677083333336</v>
      </c>
      <c r="B825">
        <v>12</v>
      </c>
      <c r="C825" t="s">
        <v>17</v>
      </c>
      <c r="D825" t="s">
        <v>18</v>
      </c>
      <c r="E825">
        <v>1.46</v>
      </c>
      <c r="F825">
        <v>4.87</v>
      </c>
      <c r="G825" s="8">
        <f t="shared" si="12"/>
        <v>17.987679671457904</v>
      </c>
    </row>
    <row r="826" spans="1:7" x14ac:dyDescent="0.25">
      <c r="A826" s="5">
        <v>45807.677083333336</v>
      </c>
      <c r="B826">
        <v>13</v>
      </c>
      <c r="C826" t="s">
        <v>18</v>
      </c>
      <c r="D826" t="s">
        <v>19</v>
      </c>
      <c r="E826">
        <v>1.52</v>
      </c>
      <c r="F826">
        <v>4.8</v>
      </c>
      <c r="G826" s="8">
        <f t="shared" si="12"/>
        <v>19</v>
      </c>
    </row>
    <row r="827" spans="1:7" x14ac:dyDescent="0.25">
      <c r="A827" s="5">
        <v>45807.677083333336</v>
      </c>
      <c r="B827">
        <v>14</v>
      </c>
      <c r="C827" t="s">
        <v>19</v>
      </c>
      <c r="D827" t="s">
        <v>20</v>
      </c>
      <c r="E827">
        <v>1.51</v>
      </c>
      <c r="F827">
        <v>4.7</v>
      </c>
      <c r="G827" s="8">
        <f t="shared" si="12"/>
        <v>19.276595744680851</v>
      </c>
    </row>
    <row r="828" spans="1:7" x14ac:dyDescent="0.25">
      <c r="A828" s="5">
        <v>45807.677083333336</v>
      </c>
      <c r="B828">
        <v>15</v>
      </c>
      <c r="C828" t="s">
        <v>20</v>
      </c>
      <c r="D828" t="s">
        <v>21</v>
      </c>
      <c r="E828">
        <v>1.47</v>
      </c>
      <c r="F828">
        <v>2.37</v>
      </c>
      <c r="G828" s="8">
        <f t="shared" si="12"/>
        <v>37.215189873417721</v>
      </c>
    </row>
    <row r="829" spans="1:7" x14ac:dyDescent="0.25">
      <c r="A829" s="5">
        <v>45807.677083333336</v>
      </c>
      <c r="B829">
        <v>16</v>
      </c>
      <c r="C829" t="s">
        <v>21</v>
      </c>
      <c r="D829" t="s">
        <v>22</v>
      </c>
      <c r="E829">
        <v>1.5</v>
      </c>
      <c r="F829">
        <v>1.97</v>
      </c>
      <c r="G829" s="8">
        <f t="shared" si="12"/>
        <v>45.685279187817258</v>
      </c>
    </row>
    <row r="830" spans="1:7" x14ac:dyDescent="0.25">
      <c r="A830" s="5">
        <v>45807.677083333336</v>
      </c>
      <c r="B830">
        <v>17</v>
      </c>
      <c r="C830" t="s">
        <v>22</v>
      </c>
      <c r="D830" t="s">
        <v>23</v>
      </c>
      <c r="E830">
        <v>1.51</v>
      </c>
      <c r="F830">
        <v>3.38</v>
      </c>
      <c r="G830" s="8">
        <f t="shared" si="12"/>
        <v>26.80473372781065</v>
      </c>
    </row>
    <row r="831" spans="1:7" x14ac:dyDescent="0.25">
      <c r="A831" s="5">
        <v>45807.677083333336</v>
      </c>
      <c r="B831">
        <v>18</v>
      </c>
      <c r="C831" t="s">
        <v>23</v>
      </c>
      <c r="D831" t="s">
        <v>24</v>
      </c>
      <c r="E831">
        <v>1.51</v>
      </c>
      <c r="F831">
        <v>4.0199999999999996</v>
      </c>
      <c r="G831" s="8">
        <f t="shared" si="12"/>
        <v>22.537313432835823</v>
      </c>
    </row>
    <row r="832" spans="1:7" x14ac:dyDescent="0.25">
      <c r="A832" s="5">
        <v>45807.677083333336</v>
      </c>
      <c r="B832">
        <v>19</v>
      </c>
      <c r="C832" t="s">
        <v>25</v>
      </c>
      <c r="D832" t="s">
        <v>26</v>
      </c>
      <c r="E832">
        <v>1.5</v>
      </c>
      <c r="F832">
        <v>4.25</v>
      </c>
      <c r="G832" s="8">
        <f t="shared" si="12"/>
        <v>21.176470588235293</v>
      </c>
    </row>
    <row r="833" spans="1:7" x14ac:dyDescent="0.25">
      <c r="A833" s="5">
        <v>45807.677083333336</v>
      </c>
      <c r="B833">
        <v>20</v>
      </c>
      <c r="C833" t="s">
        <v>26</v>
      </c>
      <c r="D833" t="s">
        <v>27</v>
      </c>
      <c r="E833">
        <v>1.48</v>
      </c>
      <c r="F833">
        <v>4.0999999999999996</v>
      </c>
      <c r="G833" s="8">
        <f t="shared" si="12"/>
        <v>21.658536585365855</v>
      </c>
    </row>
    <row r="834" spans="1:7" x14ac:dyDescent="0.25">
      <c r="A834" s="5">
        <v>45807.677083333336</v>
      </c>
      <c r="B834">
        <v>21</v>
      </c>
      <c r="C834" t="s">
        <v>27</v>
      </c>
      <c r="D834" t="s">
        <v>28</v>
      </c>
      <c r="E834">
        <v>1.51</v>
      </c>
      <c r="F834">
        <v>3.8</v>
      </c>
      <c r="G834" s="8">
        <f t="shared" si="12"/>
        <v>23.842105263157894</v>
      </c>
    </row>
    <row r="835" spans="1:7" x14ac:dyDescent="0.25">
      <c r="A835" s="5">
        <v>45807.677083333336</v>
      </c>
      <c r="B835">
        <v>22</v>
      </c>
      <c r="C835" t="s">
        <v>28</v>
      </c>
      <c r="D835" t="s">
        <v>29</v>
      </c>
      <c r="E835">
        <v>1.57</v>
      </c>
      <c r="F835">
        <v>3.85</v>
      </c>
      <c r="G835" s="8">
        <f t="shared" ref="G835:G898" si="13">E835*60/F835</f>
        <v>24.467532467532468</v>
      </c>
    </row>
    <row r="836" spans="1:7" x14ac:dyDescent="0.25">
      <c r="A836" s="5">
        <v>45807.677083333336</v>
      </c>
      <c r="B836">
        <v>23</v>
      </c>
      <c r="C836" t="s">
        <v>29</v>
      </c>
      <c r="D836" t="s">
        <v>30</v>
      </c>
      <c r="E836">
        <v>1.43</v>
      </c>
      <c r="F836">
        <v>4.62</v>
      </c>
      <c r="G836" s="8">
        <f t="shared" si="13"/>
        <v>18.571428571428569</v>
      </c>
    </row>
    <row r="837" spans="1:7" x14ac:dyDescent="0.25">
      <c r="A837" s="5">
        <v>45807.677083333336</v>
      </c>
      <c r="B837">
        <v>24</v>
      </c>
      <c r="C837" t="s">
        <v>30</v>
      </c>
      <c r="D837" t="s">
        <v>31</v>
      </c>
      <c r="E837">
        <v>1.52</v>
      </c>
      <c r="F837">
        <v>3.7</v>
      </c>
      <c r="G837" s="8">
        <f t="shared" si="13"/>
        <v>24.648648648648649</v>
      </c>
    </row>
    <row r="838" spans="1:7" x14ac:dyDescent="0.25">
      <c r="A838" s="5">
        <v>45807.677083333336</v>
      </c>
      <c r="B838">
        <v>25</v>
      </c>
      <c r="C838" t="s">
        <v>31</v>
      </c>
      <c r="D838" t="s">
        <v>32</v>
      </c>
      <c r="E838">
        <v>1.52</v>
      </c>
      <c r="F838">
        <v>3.85</v>
      </c>
      <c r="G838" s="8">
        <f t="shared" si="13"/>
        <v>23.688311688311689</v>
      </c>
    </row>
    <row r="839" spans="1:7" x14ac:dyDescent="0.25">
      <c r="A839" s="5">
        <v>45807.677083333336</v>
      </c>
      <c r="B839">
        <v>26</v>
      </c>
      <c r="C839" t="s">
        <v>32</v>
      </c>
      <c r="D839" t="s">
        <v>33</v>
      </c>
      <c r="E839">
        <v>1.49</v>
      </c>
      <c r="F839">
        <v>5.65</v>
      </c>
      <c r="G839" s="8">
        <f t="shared" si="13"/>
        <v>15.823008849557523</v>
      </c>
    </row>
    <row r="840" spans="1:7" x14ac:dyDescent="0.25">
      <c r="A840" s="5">
        <v>45807.677083333336</v>
      </c>
      <c r="B840">
        <v>27</v>
      </c>
      <c r="C840" t="s">
        <v>33</v>
      </c>
      <c r="D840" t="s">
        <v>34</v>
      </c>
      <c r="E840">
        <v>1.53</v>
      </c>
      <c r="F840">
        <v>4.08</v>
      </c>
      <c r="G840" s="8">
        <f t="shared" si="13"/>
        <v>22.5</v>
      </c>
    </row>
    <row r="841" spans="1:7" x14ac:dyDescent="0.25">
      <c r="A841" s="5">
        <v>45807.677083333336</v>
      </c>
      <c r="B841">
        <v>28</v>
      </c>
      <c r="C841" t="s">
        <v>34</v>
      </c>
      <c r="D841" t="s">
        <v>35</v>
      </c>
      <c r="E841">
        <v>1.51</v>
      </c>
      <c r="F841">
        <v>4.5</v>
      </c>
      <c r="G841" s="8">
        <f t="shared" si="13"/>
        <v>20.133333333333333</v>
      </c>
    </row>
    <row r="842" spans="1:7" x14ac:dyDescent="0.25">
      <c r="A842" s="5">
        <v>45807.677083333336</v>
      </c>
      <c r="B842">
        <v>29</v>
      </c>
      <c r="C842" t="s">
        <v>36</v>
      </c>
      <c r="D842" t="s">
        <v>37</v>
      </c>
      <c r="E842">
        <v>1.57</v>
      </c>
      <c r="F842">
        <v>4.28</v>
      </c>
      <c r="G842" s="8">
        <f t="shared" si="13"/>
        <v>22.009345794392523</v>
      </c>
    </row>
    <row r="843" spans="1:7" x14ac:dyDescent="0.25">
      <c r="A843" s="5">
        <v>45807.677083333336</v>
      </c>
      <c r="B843">
        <v>30</v>
      </c>
      <c r="C843" t="s">
        <v>37</v>
      </c>
      <c r="D843" t="s">
        <v>38</v>
      </c>
      <c r="E843">
        <v>1.57</v>
      </c>
      <c r="F843">
        <v>5.13</v>
      </c>
      <c r="G843" s="8">
        <f t="shared" si="13"/>
        <v>18.362573099415204</v>
      </c>
    </row>
    <row r="844" spans="1:7" x14ac:dyDescent="0.25">
      <c r="A844" s="5">
        <v>45807.677083333336</v>
      </c>
      <c r="B844">
        <v>31</v>
      </c>
      <c r="C844" t="s">
        <v>38</v>
      </c>
      <c r="D844" t="s">
        <v>39</v>
      </c>
      <c r="E844">
        <v>1.52</v>
      </c>
      <c r="F844">
        <v>3.93</v>
      </c>
      <c r="G844" s="8">
        <f t="shared" si="13"/>
        <v>23.206106870229007</v>
      </c>
    </row>
    <row r="845" spans="1:7" x14ac:dyDescent="0.25">
      <c r="A845" s="5">
        <v>45807.677083333336</v>
      </c>
      <c r="B845">
        <v>32</v>
      </c>
      <c r="C845" t="s">
        <v>39</v>
      </c>
      <c r="D845" t="s">
        <v>40</v>
      </c>
      <c r="E845">
        <v>1.5</v>
      </c>
      <c r="F845">
        <v>2.2000000000000002</v>
      </c>
      <c r="G845" s="8">
        <f t="shared" si="13"/>
        <v>40.909090909090907</v>
      </c>
    </row>
    <row r="846" spans="1:7" x14ac:dyDescent="0.25">
      <c r="A846" s="5">
        <v>45807.677083333336</v>
      </c>
      <c r="B846">
        <v>33</v>
      </c>
      <c r="C846" t="s">
        <v>40</v>
      </c>
      <c r="D846" t="s">
        <v>41</v>
      </c>
      <c r="E846">
        <v>1.51</v>
      </c>
      <c r="F846">
        <v>2.15</v>
      </c>
      <c r="G846" s="8">
        <f t="shared" si="13"/>
        <v>42.139534883720927</v>
      </c>
    </row>
    <row r="847" spans="1:7" x14ac:dyDescent="0.25">
      <c r="A847" s="5">
        <v>45807.677083333336</v>
      </c>
      <c r="B847">
        <v>34</v>
      </c>
      <c r="C847" t="s">
        <v>41</v>
      </c>
      <c r="D847" t="s">
        <v>42</v>
      </c>
      <c r="E847">
        <v>1.5</v>
      </c>
      <c r="F847">
        <v>2.15</v>
      </c>
      <c r="G847" s="8">
        <f t="shared" si="13"/>
        <v>41.860465116279073</v>
      </c>
    </row>
    <row r="848" spans="1:7" x14ac:dyDescent="0.25">
      <c r="A848" s="5">
        <v>45807.677083333336</v>
      </c>
      <c r="B848">
        <v>35</v>
      </c>
      <c r="C848" t="s">
        <v>43</v>
      </c>
      <c r="D848" t="s">
        <v>44</v>
      </c>
      <c r="E848">
        <v>1.55</v>
      </c>
      <c r="F848">
        <v>3.98</v>
      </c>
      <c r="G848" s="8">
        <f t="shared" si="13"/>
        <v>23.366834170854272</v>
      </c>
    </row>
    <row r="849" spans="1:7" x14ac:dyDescent="0.25">
      <c r="A849" s="5">
        <v>45807.677083333336</v>
      </c>
      <c r="B849">
        <v>36</v>
      </c>
      <c r="C849" t="s">
        <v>44</v>
      </c>
      <c r="D849" t="s">
        <v>45</v>
      </c>
      <c r="E849">
        <v>1.5</v>
      </c>
      <c r="F849">
        <v>3.35</v>
      </c>
      <c r="G849" s="8">
        <f t="shared" si="13"/>
        <v>26.865671641791042</v>
      </c>
    </row>
    <row r="850" spans="1:7" x14ac:dyDescent="0.25">
      <c r="A850" s="5">
        <v>45807.677083333336</v>
      </c>
      <c r="B850">
        <v>37</v>
      </c>
      <c r="C850" t="s">
        <v>45</v>
      </c>
      <c r="D850" t="s">
        <v>46</v>
      </c>
      <c r="E850">
        <v>1.38</v>
      </c>
      <c r="F850">
        <v>5.3</v>
      </c>
      <c r="G850" s="8">
        <f t="shared" si="13"/>
        <v>15.622641509433961</v>
      </c>
    </row>
    <row r="851" spans="1:7" x14ac:dyDescent="0.25">
      <c r="A851" s="5">
        <v>45807.677083333336</v>
      </c>
      <c r="B851">
        <v>38</v>
      </c>
      <c r="C851" t="s">
        <v>46</v>
      </c>
      <c r="D851" t="s">
        <v>47</v>
      </c>
      <c r="E851">
        <v>1.61</v>
      </c>
      <c r="F851">
        <v>4.5199999999999996</v>
      </c>
      <c r="G851" s="8">
        <f t="shared" si="13"/>
        <v>21.371681415929206</v>
      </c>
    </row>
    <row r="852" spans="1:7" x14ac:dyDescent="0.25">
      <c r="A852" s="5">
        <v>45807.677083333336</v>
      </c>
      <c r="B852">
        <v>39</v>
      </c>
      <c r="C852" t="s">
        <v>47</v>
      </c>
      <c r="D852" t="s">
        <v>48</v>
      </c>
      <c r="E852">
        <v>1.55</v>
      </c>
      <c r="F852">
        <v>3.62</v>
      </c>
      <c r="G852" s="8">
        <f t="shared" si="13"/>
        <v>25.69060773480663</v>
      </c>
    </row>
    <row r="853" spans="1:7" x14ac:dyDescent="0.25">
      <c r="A853" s="5">
        <v>45807.677083333336</v>
      </c>
      <c r="B853">
        <v>40</v>
      </c>
      <c r="C853" t="s">
        <v>48</v>
      </c>
      <c r="D853" t="s">
        <v>49</v>
      </c>
      <c r="E853">
        <v>1.39</v>
      </c>
      <c r="F853">
        <v>3.17</v>
      </c>
      <c r="G853" s="8">
        <f t="shared" si="13"/>
        <v>26.309148264984223</v>
      </c>
    </row>
    <row r="854" spans="1:7" x14ac:dyDescent="0.25">
      <c r="A854" s="5">
        <v>45807.677083333336</v>
      </c>
      <c r="B854">
        <v>41</v>
      </c>
      <c r="C854" t="s">
        <v>50</v>
      </c>
      <c r="D854" t="s">
        <v>51</v>
      </c>
      <c r="E854">
        <v>1.56</v>
      </c>
      <c r="F854">
        <v>5.52</v>
      </c>
      <c r="G854" s="8">
        <f t="shared" si="13"/>
        <v>16.956521739130437</v>
      </c>
    </row>
    <row r="855" spans="1:7" x14ac:dyDescent="0.25">
      <c r="A855" s="5">
        <v>45807.677083333336</v>
      </c>
      <c r="B855">
        <v>42</v>
      </c>
      <c r="C855" t="s">
        <v>51</v>
      </c>
      <c r="D855" t="s">
        <v>52</v>
      </c>
      <c r="E855">
        <v>1.56</v>
      </c>
      <c r="F855">
        <v>4.78</v>
      </c>
      <c r="G855" s="8">
        <f t="shared" si="13"/>
        <v>19.581589958158997</v>
      </c>
    </row>
    <row r="856" spans="1:7" x14ac:dyDescent="0.25">
      <c r="A856" s="5">
        <v>45807.677083333336</v>
      </c>
      <c r="B856">
        <v>43</v>
      </c>
      <c r="C856" t="s">
        <v>52</v>
      </c>
      <c r="D856" t="s">
        <v>53</v>
      </c>
      <c r="E856">
        <v>1.51</v>
      </c>
      <c r="F856">
        <v>3.87</v>
      </c>
      <c r="G856" s="8">
        <f t="shared" si="13"/>
        <v>23.410852713178294</v>
      </c>
    </row>
    <row r="857" spans="1:7" x14ac:dyDescent="0.25">
      <c r="A857" s="5">
        <v>45807.677083333336</v>
      </c>
      <c r="B857">
        <v>44</v>
      </c>
      <c r="C857" t="s">
        <v>54</v>
      </c>
      <c r="D857" t="s">
        <v>55</v>
      </c>
      <c r="E857">
        <v>1.51</v>
      </c>
      <c r="F857">
        <v>4.63</v>
      </c>
      <c r="G857" s="8">
        <f t="shared" si="13"/>
        <v>19.568034557235421</v>
      </c>
    </row>
    <row r="858" spans="1:7" x14ac:dyDescent="0.25">
      <c r="A858" s="5">
        <v>45807.677083333336</v>
      </c>
      <c r="B858">
        <v>45</v>
      </c>
      <c r="C858" t="s">
        <v>55</v>
      </c>
      <c r="D858" t="s">
        <v>56</v>
      </c>
      <c r="E858">
        <v>1.49</v>
      </c>
      <c r="F858">
        <v>3.87</v>
      </c>
      <c r="G858" s="8">
        <f t="shared" si="13"/>
        <v>23.100775193798452</v>
      </c>
    </row>
    <row r="859" spans="1:7" x14ac:dyDescent="0.25">
      <c r="A859" s="5">
        <v>45807.677083333336</v>
      </c>
      <c r="B859">
        <v>46</v>
      </c>
      <c r="C859" t="s">
        <v>56</v>
      </c>
      <c r="D859" t="s">
        <v>57</v>
      </c>
      <c r="E859">
        <v>1.52</v>
      </c>
      <c r="F859">
        <v>4.13</v>
      </c>
      <c r="G859" s="8">
        <f t="shared" si="13"/>
        <v>22.082324455205811</v>
      </c>
    </row>
    <row r="860" spans="1:7" x14ac:dyDescent="0.25">
      <c r="A860" s="5">
        <v>45807.677083333336</v>
      </c>
      <c r="B860">
        <v>47</v>
      </c>
      <c r="C860" t="s">
        <v>58</v>
      </c>
      <c r="D860" t="s">
        <v>59</v>
      </c>
      <c r="E860">
        <v>1.52</v>
      </c>
      <c r="F860">
        <v>5.2</v>
      </c>
      <c r="G860" s="8">
        <f t="shared" si="13"/>
        <v>17.53846153846154</v>
      </c>
    </row>
    <row r="861" spans="1:7" x14ac:dyDescent="0.25">
      <c r="A861" s="5">
        <v>45807.677083333336</v>
      </c>
      <c r="B861">
        <v>48</v>
      </c>
      <c r="C861" t="s">
        <v>59</v>
      </c>
      <c r="D861" t="s">
        <v>60</v>
      </c>
      <c r="E861">
        <v>1.5</v>
      </c>
      <c r="F861">
        <v>4.2</v>
      </c>
      <c r="G861" s="8">
        <f t="shared" si="13"/>
        <v>21.428571428571427</v>
      </c>
    </row>
    <row r="862" spans="1:7" x14ac:dyDescent="0.25">
      <c r="A862" s="5">
        <v>45807.677083333336</v>
      </c>
      <c r="B862">
        <v>49</v>
      </c>
      <c r="C862" t="s">
        <v>60</v>
      </c>
      <c r="D862" t="s">
        <v>61</v>
      </c>
      <c r="E862">
        <v>1.54</v>
      </c>
      <c r="F862">
        <v>4.13</v>
      </c>
      <c r="G862" s="8">
        <f t="shared" si="13"/>
        <v>22.372881355932204</v>
      </c>
    </row>
    <row r="863" spans="1:7" x14ac:dyDescent="0.25">
      <c r="A863" s="5">
        <v>45807.677083333336</v>
      </c>
      <c r="B863">
        <v>50</v>
      </c>
      <c r="C863" t="s">
        <v>62</v>
      </c>
      <c r="D863" t="s">
        <v>63</v>
      </c>
      <c r="E863">
        <v>1.38</v>
      </c>
      <c r="F863">
        <v>3.33</v>
      </c>
      <c r="G863" s="8">
        <f t="shared" si="13"/>
        <v>24.864864864864863</v>
      </c>
    </row>
    <row r="864" spans="1:7" x14ac:dyDescent="0.25">
      <c r="A864" s="5">
        <v>45807.677083333336</v>
      </c>
      <c r="B864">
        <v>51</v>
      </c>
      <c r="C864" t="s">
        <v>63</v>
      </c>
      <c r="D864" t="s">
        <v>64</v>
      </c>
      <c r="E864">
        <v>2.79</v>
      </c>
      <c r="F864">
        <v>6.23</v>
      </c>
      <c r="G864" s="8">
        <f t="shared" si="13"/>
        <v>26.869983948635632</v>
      </c>
    </row>
    <row r="865" spans="1:7" x14ac:dyDescent="0.25">
      <c r="A865" s="5">
        <v>45807.677083333336</v>
      </c>
      <c r="B865">
        <v>52</v>
      </c>
      <c r="C865" t="s">
        <v>64</v>
      </c>
      <c r="D865" t="s">
        <v>65</v>
      </c>
      <c r="E865">
        <v>1.5</v>
      </c>
      <c r="F865">
        <v>2.88</v>
      </c>
      <c r="G865" s="8">
        <f t="shared" si="13"/>
        <v>31.25</v>
      </c>
    </row>
    <row r="866" spans="1:7" x14ac:dyDescent="0.25">
      <c r="A866" s="5">
        <v>45807.677083333336</v>
      </c>
      <c r="B866">
        <v>53</v>
      </c>
      <c r="C866" t="s">
        <v>65</v>
      </c>
      <c r="D866" t="s">
        <v>66</v>
      </c>
      <c r="E866">
        <v>1.46</v>
      </c>
      <c r="F866">
        <v>4</v>
      </c>
      <c r="G866" s="8">
        <f t="shared" si="13"/>
        <v>21.9</v>
      </c>
    </row>
    <row r="867" spans="1:7" x14ac:dyDescent="0.25">
      <c r="A867" s="5">
        <v>45807.677083333336</v>
      </c>
      <c r="B867">
        <v>54</v>
      </c>
      <c r="C867" t="s">
        <v>67</v>
      </c>
      <c r="D867" t="s">
        <v>68</v>
      </c>
      <c r="E867">
        <v>1.46</v>
      </c>
      <c r="F867">
        <v>3.3</v>
      </c>
      <c r="G867" s="8">
        <f t="shared" si="13"/>
        <v>26.545454545454547</v>
      </c>
    </row>
    <row r="868" spans="1:7" x14ac:dyDescent="0.25">
      <c r="A868" s="5">
        <v>45807.677083333336</v>
      </c>
      <c r="B868">
        <v>55</v>
      </c>
      <c r="C868" t="s">
        <v>68</v>
      </c>
      <c r="D868" t="s">
        <v>69</v>
      </c>
      <c r="E868">
        <v>1.5</v>
      </c>
      <c r="F868">
        <v>2.4300000000000002</v>
      </c>
      <c r="G868" s="8">
        <f t="shared" si="13"/>
        <v>37.037037037037038</v>
      </c>
    </row>
    <row r="869" spans="1:7" x14ac:dyDescent="0.25">
      <c r="A869" s="5">
        <v>45807.677083333336</v>
      </c>
      <c r="B869">
        <v>56</v>
      </c>
      <c r="C869" t="s">
        <v>70</v>
      </c>
      <c r="D869" t="s">
        <v>71</v>
      </c>
      <c r="E869">
        <v>1.51</v>
      </c>
      <c r="F869">
        <v>4.82</v>
      </c>
      <c r="G869" s="8">
        <f t="shared" si="13"/>
        <v>18.796680497925308</v>
      </c>
    </row>
    <row r="870" spans="1:7" x14ac:dyDescent="0.25">
      <c r="A870" s="5">
        <v>45807.677083333336</v>
      </c>
      <c r="B870">
        <v>57</v>
      </c>
      <c r="C870" t="s">
        <v>71</v>
      </c>
      <c r="D870" t="s">
        <v>72</v>
      </c>
      <c r="E870">
        <v>1.52</v>
      </c>
      <c r="F870">
        <v>4.45</v>
      </c>
      <c r="G870" s="8">
        <f t="shared" si="13"/>
        <v>20.49438202247191</v>
      </c>
    </row>
    <row r="871" spans="1:7" x14ac:dyDescent="0.25">
      <c r="A871" s="5">
        <v>45807.677083333336</v>
      </c>
      <c r="B871">
        <v>58</v>
      </c>
      <c r="C871" t="s">
        <v>72</v>
      </c>
      <c r="D871" t="s">
        <v>73</v>
      </c>
      <c r="E871">
        <v>1.5</v>
      </c>
      <c r="F871">
        <v>4.3499999999999996</v>
      </c>
      <c r="G871" s="8">
        <f t="shared" si="13"/>
        <v>20.689655172413794</v>
      </c>
    </row>
    <row r="872" spans="1:7" x14ac:dyDescent="0.25">
      <c r="A872" s="5">
        <v>45807.6875</v>
      </c>
      <c r="B872">
        <v>1</v>
      </c>
      <c r="C872" t="s">
        <v>6</v>
      </c>
      <c r="D872" t="s">
        <v>7</v>
      </c>
      <c r="E872">
        <v>1.53</v>
      </c>
      <c r="F872">
        <v>3.47</v>
      </c>
      <c r="G872" s="8">
        <f t="shared" si="13"/>
        <v>26.455331412103742</v>
      </c>
    </row>
    <row r="873" spans="1:7" x14ac:dyDescent="0.25">
      <c r="A873" s="5">
        <v>45807.6875</v>
      </c>
      <c r="B873">
        <v>2</v>
      </c>
      <c r="C873" t="s">
        <v>7</v>
      </c>
      <c r="D873" t="s">
        <v>8</v>
      </c>
      <c r="E873">
        <v>1.57</v>
      </c>
      <c r="F873">
        <v>5.75</v>
      </c>
      <c r="G873" s="8">
        <f t="shared" si="13"/>
        <v>16.382608695652173</v>
      </c>
    </row>
    <row r="874" spans="1:7" x14ac:dyDescent="0.25">
      <c r="A874" s="5">
        <v>45807.6875</v>
      </c>
      <c r="B874">
        <v>3</v>
      </c>
      <c r="C874" t="s">
        <v>8</v>
      </c>
      <c r="D874" t="s">
        <v>9</v>
      </c>
      <c r="E874">
        <v>1.5</v>
      </c>
      <c r="F874">
        <v>3.38</v>
      </c>
      <c r="G874" s="8">
        <f t="shared" si="13"/>
        <v>26.627218934911244</v>
      </c>
    </row>
    <row r="875" spans="1:7" x14ac:dyDescent="0.25">
      <c r="A875" s="5">
        <v>45807.6875</v>
      </c>
      <c r="B875">
        <v>4</v>
      </c>
      <c r="C875" t="s">
        <v>9</v>
      </c>
      <c r="D875" t="s">
        <v>10</v>
      </c>
      <c r="E875">
        <v>1.5</v>
      </c>
      <c r="F875">
        <v>3.15</v>
      </c>
      <c r="G875" s="8">
        <f t="shared" si="13"/>
        <v>28.571428571428573</v>
      </c>
    </row>
    <row r="876" spans="1:7" x14ac:dyDescent="0.25">
      <c r="A876" s="5">
        <v>45807.6875</v>
      </c>
      <c r="B876">
        <v>5</v>
      </c>
      <c r="C876" t="s">
        <v>10</v>
      </c>
      <c r="D876" t="s">
        <v>11</v>
      </c>
      <c r="E876">
        <v>1.52</v>
      </c>
      <c r="F876">
        <v>4.0999999999999996</v>
      </c>
      <c r="G876" s="8">
        <f t="shared" si="13"/>
        <v>22.243902439024392</v>
      </c>
    </row>
    <row r="877" spans="1:7" x14ac:dyDescent="0.25">
      <c r="A877" s="5">
        <v>45807.6875</v>
      </c>
      <c r="B877">
        <v>6</v>
      </c>
      <c r="C877" t="s">
        <v>11</v>
      </c>
      <c r="D877" t="s">
        <v>12</v>
      </c>
      <c r="E877">
        <v>1.5</v>
      </c>
      <c r="F877">
        <v>2.88</v>
      </c>
      <c r="G877" s="8">
        <f t="shared" si="13"/>
        <v>31.25</v>
      </c>
    </row>
    <row r="878" spans="1:7" x14ac:dyDescent="0.25">
      <c r="A878" s="5">
        <v>45807.6875</v>
      </c>
      <c r="B878">
        <v>7</v>
      </c>
      <c r="C878" t="s">
        <v>12</v>
      </c>
      <c r="D878" t="s">
        <v>13</v>
      </c>
      <c r="E878">
        <v>1.54</v>
      </c>
      <c r="F878">
        <v>2.65</v>
      </c>
      <c r="G878" s="8">
        <f t="shared" si="13"/>
        <v>34.867924528301891</v>
      </c>
    </row>
    <row r="879" spans="1:7" x14ac:dyDescent="0.25">
      <c r="A879" s="5">
        <v>45807.6875</v>
      </c>
      <c r="B879">
        <v>8</v>
      </c>
      <c r="C879" t="s">
        <v>13</v>
      </c>
      <c r="D879" t="s">
        <v>14</v>
      </c>
      <c r="E879">
        <v>1.54</v>
      </c>
      <c r="F879">
        <v>3.38</v>
      </c>
      <c r="G879" s="8">
        <f t="shared" si="13"/>
        <v>27.337278106508879</v>
      </c>
    </row>
    <row r="880" spans="1:7" x14ac:dyDescent="0.25">
      <c r="A880" s="5">
        <v>45807.6875</v>
      </c>
      <c r="B880">
        <v>9</v>
      </c>
      <c r="C880" t="s">
        <v>14</v>
      </c>
      <c r="D880" t="s">
        <v>15</v>
      </c>
      <c r="E880">
        <v>1.52</v>
      </c>
      <c r="F880">
        <v>3.55</v>
      </c>
      <c r="G880" s="8">
        <f t="shared" si="13"/>
        <v>25.690140845070424</v>
      </c>
    </row>
    <row r="881" spans="1:7" x14ac:dyDescent="0.25">
      <c r="A881" s="5">
        <v>45807.6875</v>
      </c>
      <c r="B881">
        <v>10</v>
      </c>
      <c r="C881" t="s">
        <v>15</v>
      </c>
      <c r="D881" t="s">
        <v>16</v>
      </c>
      <c r="E881">
        <v>1.5</v>
      </c>
      <c r="F881">
        <v>4.5</v>
      </c>
      <c r="G881" s="8">
        <f t="shared" si="13"/>
        <v>20</v>
      </c>
    </row>
    <row r="882" spans="1:7" x14ac:dyDescent="0.25">
      <c r="A882" s="5">
        <v>45807.6875</v>
      </c>
      <c r="B882">
        <v>11</v>
      </c>
      <c r="C882" t="s">
        <v>16</v>
      </c>
      <c r="D882" t="s">
        <v>17</v>
      </c>
      <c r="E882">
        <v>1.48</v>
      </c>
      <c r="F882">
        <v>3.25</v>
      </c>
      <c r="G882" s="8">
        <f t="shared" si="13"/>
        <v>27.323076923076922</v>
      </c>
    </row>
    <row r="883" spans="1:7" x14ac:dyDescent="0.25">
      <c r="A883" s="5">
        <v>45807.6875</v>
      </c>
      <c r="B883">
        <v>12</v>
      </c>
      <c r="C883" t="s">
        <v>17</v>
      </c>
      <c r="D883" t="s">
        <v>18</v>
      </c>
      <c r="E883">
        <v>1.46</v>
      </c>
      <c r="F883">
        <v>5.13</v>
      </c>
      <c r="G883" s="8">
        <f t="shared" si="13"/>
        <v>17.076023391812864</v>
      </c>
    </row>
    <row r="884" spans="1:7" x14ac:dyDescent="0.25">
      <c r="A884" s="5">
        <v>45807.6875</v>
      </c>
      <c r="B884">
        <v>13</v>
      </c>
      <c r="C884" t="s">
        <v>18</v>
      </c>
      <c r="D884" t="s">
        <v>19</v>
      </c>
      <c r="E884">
        <v>1.52</v>
      </c>
      <c r="F884">
        <v>4.55</v>
      </c>
      <c r="G884" s="8">
        <f t="shared" si="13"/>
        <v>20.043956043956044</v>
      </c>
    </row>
    <row r="885" spans="1:7" x14ac:dyDescent="0.25">
      <c r="A885" s="5">
        <v>45807.6875</v>
      </c>
      <c r="B885">
        <v>14</v>
      </c>
      <c r="C885" t="s">
        <v>19</v>
      </c>
      <c r="D885" t="s">
        <v>20</v>
      </c>
      <c r="E885">
        <v>1.51</v>
      </c>
      <c r="F885">
        <v>4.38</v>
      </c>
      <c r="G885" s="8">
        <f t="shared" si="13"/>
        <v>20.684931506849313</v>
      </c>
    </row>
    <row r="886" spans="1:7" x14ac:dyDescent="0.25">
      <c r="A886" s="5">
        <v>45807.6875</v>
      </c>
      <c r="B886">
        <v>15</v>
      </c>
      <c r="C886" t="s">
        <v>20</v>
      </c>
      <c r="D886" t="s">
        <v>21</v>
      </c>
      <c r="E886">
        <v>1.47</v>
      </c>
      <c r="F886">
        <v>2.6</v>
      </c>
      <c r="G886" s="8">
        <f t="shared" si="13"/>
        <v>33.92307692307692</v>
      </c>
    </row>
    <row r="887" spans="1:7" x14ac:dyDescent="0.25">
      <c r="A887" s="5">
        <v>45807.6875</v>
      </c>
      <c r="B887">
        <v>16</v>
      </c>
      <c r="C887" t="s">
        <v>21</v>
      </c>
      <c r="D887" t="s">
        <v>22</v>
      </c>
      <c r="E887">
        <v>1.5</v>
      </c>
      <c r="F887">
        <v>2.1800000000000002</v>
      </c>
      <c r="G887" s="8">
        <f t="shared" si="13"/>
        <v>41.284403669724767</v>
      </c>
    </row>
    <row r="888" spans="1:7" x14ac:dyDescent="0.25">
      <c r="A888" s="5">
        <v>45807.6875</v>
      </c>
      <c r="B888">
        <v>17</v>
      </c>
      <c r="C888" t="s">
        <v>22</v>
      </c>
      <c r="D888" t="s">
        <v>23</v>
      </c>
      <c r="E888">
        <v>1.51</v>
      </c>
      <c r="F888">
        <v>3.67</v>
      </c>
      <c r="G888" s="8">
        <f t="shared" si="13"/>
        <v>24.686648501362395</v>
      </c>
    </row>
    <row r="889" spans="1:7" x14ac:dyDescent="0.25">
      <c r="A889" s="5">
        <v>45807.6875</v>
      </c>
      <c r="B889">
        <v>18</v>
      </c>
      <c r="C889" t="s">
        <v>23</v>
      </c>
      <c r="D889" t="s">
        <v>24</v>
      </c>
      <c r="E889">
        <v>1.51</v>
      </c>
      <c r="F889">
        <v>4</v>
      </c>
      <c r="G889" s="8">
        <f t="shared" si="13"/>
        <v>22.65</v>
      </c>
    </row>
    <row r="890" spans="1:7" x14ac:dyDescent="0.25">
      <c r="A890" s="5">
        <v>45807.6875</v>
      </c>
      <c r="B890">
        <v>19</v>
      </c>
      <c r="C890" t="s">
        <v>25</v>
      </c>
      <c r="D890" t="s">
        <v>26</v>
      </c>
      <c r="E890">
        <v>1.5</v>
      </c>
      <c r="F890">
        <v>4.08</v>
      </c>
      <c r="G890" s="8">
        <f t="shared" si="13"/>
        <v>22.058823529411764</v>
      </c>
    </row>
    <row r="891" spans="1:7" x14ac:dyDescent="0.25">
      <c r="A891" s="5">
        <v>45807.6875</v>
      </c>
      <c r="B891">
        <v>20</v>
      </c>
      <c r="C891" t="s">
        <v>26</v>
      </c>
      <c r="D891" t="s">
        <v>27</v>
      </c>
      <c r="E891">
        <v>1.48</v>
      </c>
      <c r="F891">
        <v>3.77</v>
      </c>
      <c r="G891" s="8">
        <f t="shared" si="13"/>
        <v>23.554376657824932</v>
      </c>
    </row>
    <row r="892" spans="1:7" x14ac:dyDescent="0.25">
      <c r="A892" s="5">
        <v>45807.6875</v>
      </c>
      <c r="B892">
        <v>21</v>
      </c>
      <c r="C892" t="s">
        <v>27</v>
      </c>
      <c r="D892" t="s">
        <v>28</v>
      </c>
      <c r="E892">
        <v>1.51</v>
      </c>
      <c r="F892">
        <v>3.83</v>
      </c>
      <c r="G892" s="8">
        <f t="shared" si="13"/>
        <v>23.655352480417754</v>
      </c>
    </row>
    <row r="893" spans="1:7" x14ac:dyDescent="0.25">
      <c r="A893" s="5">
        <v>45807.6875</v>
      </c>
      <c r="B893">
        <v>22</v>
      </c>
      <c r="C893" t="s">
        <v>28</v>
      </c>
      <c r="D893" t="s">
        <v>29</v>
      </c>
      <c r="E893">
        <v>1.57</v>
      </c>
      <c r="F893">
        <v>3.9</v>
      </c>
      <c r="G893" s="8">
        <f t="shared" si="13"/>
        <v>24.153846153846157</v>
      </c>
    </row>
    <row r="894" spans="1:7" x14ac:dyDescent="0.25">
      <c r="A894" s="5">
        <v>45807.6875</v>
      </c>
      <c r="B894">
        <v>23</v>
      </c>
      <c r="C894" t="s">
        <v>29</v>
      </c>
      <c r="D894" t="s">
        <v>30</v>
      </c>
      <c r="E894">
        <v>1.43</v>
      </c>
      <c r="F894">
        <v>4.22</v>
      </c>
      <c r="G894" s="8">
        <f t="shared" si="13"/>
        <v>20.33175355450237</v>
      </c>
    </row>
    <row r="895" spans="1:7" x14ac:dyDescent="0.25">
      <c r="A895" s="5">
        <v>45807.6875</v>
      </c>
      <c r="B895">
        <v>24</v>
      </c>
      <c r="C895" t="s">
        <v>30</v>
      </c>
      <c r="D895" t="s">
        <v>31</v>
      </c>
      <c r="E895">
        <v>1.52</v>
      </c>
      <c r="F895">
        <v>3.78</v>
      </c>
      <c r="G895" s="8">
        <f t="shared" si="13"/>
        <v>24.12698412698413</v>
      </c>
    </row>
    <row r="896" spans="1:7" x14ac:dyDescent="0.25">
      <c r="A896" s="5">
        <v>45807.6875</v>
      </c>
      <c r="B896">
        <v>25</v>
      </c>
      <c r="C896" t="s">
        <v>31</v>
      </c>
      <c r="D896" t="s">
        <v>32</v>
      </c>
      <c r="E896">
        <v>1.52</v>
      </c>
      <c r="F896">
        <v>3.87</v>
      </c>
      <c r="G896" s="8">
        <f t="shared" si="13"/>
        <v>23.565891472868216</v>
      </c>
    </row>
    <row r="897" spans="1:7" x14ac:dyDescent="0.25">
      <c r="A897" s="5">
        <v>45807.6875</v>
      </c>
      <c r="B897">
        <v>26</v>
      </c>
      <c r="C897" t="s">
        <v>32</v>
      </c>
      <c r="D897" t="s">
        <v>33</v>
      </c>
      <c r="E897">
        <v>1.49</v>
      </c>
      <c r="F897">
        <v>6.58</v>
      </c>
      <c r="G897" s="8">
        <f t="shared" si="13"/>
        <v>13.58662613981763</v>
      </c>
    </row>
    <row r="898" spans="1:7" x14ac:dyDescent="0.25">
      <c r="A898" s="5">
        <v>45807.6875</v>
      </c>
      <c r="B898">
        <v>27</v>
      </c>
      <c r="C898" t="s">
        <v>33</v>
      </c>
      <c r="D898" t="s">
        <v>34</v>
      </c>
      <c r="E898">
        <v>1.53</v>
      </c>
      <c r="F898">
        <v>5.25</v>
      </c>
      <c r="G898" s="8">
        <f t="shared" si="13"/>
        <v>17.485714285714284</v>
      </c>
    </row>
    <row r="899" spans="1:7" x14ac:dyDescent="0.25">
      <c r="A899" s="5">
        <v>45807.6875</v>
      </c>
      <c r="B899">
        <v>28</v>
      </c>
      <c r="C899" t="s">
        <v>34</v>
      </c>
      <c r="D899" t="s">
        <v>35</v>
      </c>
      <c r="E899">
        <v>1.51</v>
      </c>
      <c r="F899">
        <v>4.78</v>
      </c>
      <c r="G899" s="8">
        <f t="shared" ref="G899:G962" si="14">E899*60/F899</f>
        <v>18.953974895397486</v>
      </c>
    </row>
    <row r="900" spans="1:7" x14ac:dyDescent="0.25">
      <c r="A900" s="5">
        <v>45807.6875</v>
      </c>
      <c r="B900">
        <v>29</v>
      </c>
      <c r="C900" t="s">
        <v>36</v>
      </c>
      <c r="D900" t="s">
        <v>37</v>
      </c>
      <c r="E900">
        <v>1.57</v>
      </c>
      <c r="F900">
        <v>4.25</v>
      </c>
      <c r="G900" s="8">
        <f t="shared" si="14"/>
        <v>22.164705882352941</v>
      </c>
    </row>
    <row r="901" spans="1:7" x14ac:dyDescent="0.25">
      <c r="A901" s="5">
        <v>45807.6875</v>
      </c>
      <c r="B901">
        <v>30</v>
      </c>
      <c r="C901" t="s">
        <v>37</v>
      </c>
      <c r="D901" t="s">
        <v>38</v>
      </c>
      <c r="E901">
        <v>1.57</v>
      </c>
      <c r="F901">
        <v>4.63</v>
      </c>
      <c r="G901" s="8">
        <f t="shared" si="14"/>
        <v>20.345572354211665</v>
      </c>
    </row>
    <row r="902" spans="1:7" x14ac:dyDescent="0.25">
      <c r="A902" s="5">
        <v>45807.6875</v>
      </c>
      <c r="B902">
        <v>31</v>
      </c>
      <c r="C902" t="s">
        <v>38</v>
      </c>
      <c r="D902" t="s">
        <v>39</v>
      </c>
      <c r="E902">
        <v>1.52</v>
      </c>
      <c r="F902">
        <v>3.73</v>
      </c>
      <c r="G902" s="8">
        <f t="shared" si="14"/>
        <v>24.45040214477212</v>
      </c>
    </row>
    <row r="903" spans="1:7" x14ac:dyDescent="0.25">
      <c r="A903" s="5">
        <v>45807.6875</v>
      </c>
      <c r="B903">
        <v>32</v>
      </c>
      <c r="C903" t="s">
        <v>39</v>
      </c>
      <c r="D903" t="s">
        <v>40</v>
      </c>
      <c r="E903">
        <v>1.5</v>
      </c>
      <c r="F903">
        <v>1.77</v>
      </c>
      <c r="G903" s="8">
        <f t="shared" si="14"/>
        <v>50.847457627118644</v>
      </c>
    </row>
    <row r="904" spans="1:7" x14ac:dyDescent="0.25">
      <c r="A904" s="5">
        <v>45807.6875</v>
      </c>
      <c r="B904">
        <v>33</v>
      </c>
      <c r="C904" t="s">
        <v>40</v>
      </c>
      <c r="D904" t="s">
        <v>41</v>
      </c>
      <c r="E904">
        <v>1.51</v>
      </c>
      <c r="F904">
        <v>1.95</v>
      </c>
      <c r="G904" s="8">
        <f t="shared" si="14"/>
        <v>46.46153846153846</v>
      </c>
    </row>
    <row r="905" spans="1:7" x14ac:dyDescent="0.25">
      <c r="A905" s="5">
        <v>45807.6875</v>
      </c>
      <c r="B905">
        <v>34</v>
      </c>
      <c r="C905" t="s">
        <v>41</v>
      </c>
      <c r="D905" t="s">
        <v>42</v>
      </c>
      <c r="E905">
        <v>1.5</v>
      </c>
      <c r="F905">
        <v>2.4500000000000002</v>
      </c>
      <c r="G905" s="8">
        <f t="shared" si="14"/>
        <v>36.734693877551017</v>
      </c>
    </row>
    <row r="906" spans="1:7" x14ac:dyDescent="0.25">
      <c r="A906" s="5">
        <v>45807.6875</v>
      </c>
      <c r="B906">
        <v>35</v>
      </c>
      <c r="C906" t="s">
        <v>43</v>
      </c>
      <c r="D906" t="s">
        <v>44</v>
      </c>
      <c r="E906">
        <v>1.55</v>
      </c>
      <c r="F906">
        <v>4.05</v>
      </c>
      <c r="G906" s="8">
        <f t="shared" si="14"/>
        <v>22.962962962962965</v>
      </c>
    </row>
    <row r="907" spans="1:7" x14ac:dyDescent="0.25">
      <c r="A907" s="5">
        <v>45807.6875</v>
      </c>
      <c r="B907">
        <v>36</v>
      </c>
      <c r="C907" t="s">
        <v>44</v>
      </c>
      <c r="D907" t="s">
        <v>45</v>
      </c>
      <c r="E907">
        <v>1.5</v>
      </c>
      <c r="F907">
        <v>3.37</v>
      </c>
      <c r="G907" s="8">
        <f t="shared" si="14"/>
        <v>26.706231454005934</v>
      </c>
    </row>
    <row r="908" spans="1:7" x14ac:dyDescent="0.25">
      <c r="A908" s="5">
        <v>45807.6875</v>
      </c>
      <c r="B908">
        <v>37</v>
      </c>
      <c r="C908" t="s">
        <v>45</v>
      </c>
      <c r="D908" t="s">
        <v>46</v>
      </c>
      <c r="E908">
        <v>1.38</v>
      </c>
      <c r="F908">
        <v>4.55</v>
      </c>
      <c r="G908" s="8">
        <f t="shared" si="14"/>
        <v>18.197802197802197</v>
      </c>
    </row>
    <row r="909" spans="1:7" x14ac:dyDescent="0.25">
      <c r="A909" s="5">
        <v>45807.6875</v>
      </c>
      <c r="B909">
        <v>38</v>
      </c>
      <c r="C909" t="s">
        <v>46</v>
      </c>
      <c r="D909" t="s">
        <v>47</v>
      </c>
      <c r="E909">
        <v>1.61</v>
      </c>
      <c r="F909">
        <v>4.57</v>
      </c>
      <c r="G909" s="8">
        <f t="shared" si="14"/>
        <v>21.13785557986871</v>
      </c>
    </row>
    <row r="910" spans="1:7" x14ac:dyDescent="0.25">
      <c r="A910" s="5">
        <v>45807.6875</v>
      </c>
      <c r="B910">
        <v>39</v>
      </c>
      <c r="C910" t="s">
        <v>47</v>
      </c>
      <c r="D910" t="s">
        <v>48</v>
      </c>
      <c r="E910">
        <v>1.55</v>
      </c>
      <c r="F910">
        <v>3.62</v>
      </c>
      <c r="G910" s="8">
        <f t="shared" si="14"/>
        <v>25.69060773480663</v>
      </c>
    </row>
    <row r="911" spans="1:7" x14ac:dyDescent="0.25">
      <c r="A911" s="5">
        <v>45807.6875</v>
      </c>
      <c r="B911">
        <v>40</v>
      </c>
      <c r="C911" t="s">
        <v>48</v>
      </c>
      <c r="D911" t="s">
        <v>49</v>
      </c>
      <c r="E911">
        <v>1.39</v>
      </c>
      <c r="F911">
        <v>3.23</v>
      </c>
      <c r="G911" s="8">
        <f t="shared" si="14"/>
        <v>25.820433436532504</v>
      </c>
    </row>
    <row r="912" spans="1:7" x14ac:dyDescent="0.25">
      <c r="A912" s="5">
        <v>45807.6875</v>
      </c>
      <c r="B912">
        <v>41</v>
      </c>
      <c r="C912" t="s">
        <v>50</v>
      </c>
      <c r="D912" t="s">
        <v>51</v>
      </c>
      <c r="E912">
        <v>1.56</v>
      </c>
      <c r="F912">
        <v>5.43</v>
      </c>
      <c r="G912" s="8">
        <f t="shared" si="14"/>
        <v>17.237569060773485</v>
      </c>
    </row>
    <row r="913" spans="1:7" x14ac:dyDescent="0.25">
      <c r="A913" s="5">
        <v>45807.6875</v>
      </c>
      <c r="B913">
        <v>42</v>
      </c>
      <c r="C913" t="s">
        <v>51</v>
      </c>
      <c r="D913" t="s">
        <v>52</v>
      </c>
      <c r="E913">
        <v>1.56</v>
      </c>
      <c r="F913">
        <v>4.7</v>
      </c>
      <c r="G913" s="8">
        <f t="shared" si="14"/>
        <v>19.914893617021278</v>
      </c>
    </row>
    <row r="914" spans="1:7" x14ac:dyDescent="0.25">
      <c r="A914" s="5">
        <v>45807.6875</v>
      </c>
      <c r="B914">
        <v>43</v>
      </c>
      <c r="C914" t="s">
        <v>52</v>
      </c>
      <c r="D914" t="s">
        <v>53</v>
      </c>
      <c r="E914">
        <v>1.51</v>
      </c>
      <c r="F914">
        <v>3.9</v>
      </c>
      <c r="G914" s="8">
        <f t="shared" si="14"/>
        <v>23.23076923076923</v>
      </c>
    </row>
    <row r="915" spans="1:7" x14ac:dyDescent="0.25">
      <c r="A915" s="5">
        <v>45807.6875</v>
      </c>
      <c r="B915">
        <v>44</v>
      </c>
      <c r="C915" t="s">
        <v>54</v>
      </c>
      <c r="D915" t="s">
        <v>55</v>
      </c>
      <c r="E915">
        <v>1.51</v>
      </c>
      <c r="F915">
        <v>4.92</v>
      </c>
      <c r="G915" s="8">
        <f t="shared" si="14"/>
        <v>18.414634146341463</v>
      </c>
    </row>
    <row r="916" spans="1:7" x14ac:dyDescent="0.25">
      <c r="A916" s="5">
        <v>45807.6875</v>
      </c>
      <c r="B916">
        <v>45</v>
      </c>
      <c r="C916" t="s">
        <v>55</v>
      </c>
      <c r="D916" t="s">
        <v>56</v>
      </c>
      <c r="E916">
        <v>1.49</v>
      </c>
      <c r="F916">
        <v>3.98</v>
      </c>
      <c r="G916" s="8">
        <f t="shared" si="14"/>
        <v>22.462311557788947</v>
      </c>
    </row>
    <row r="917" spans="1:7" x14ac:dyDescent="0.25">
      <c r="A917" s="5">
        <v>45807.6875</v>
      </c>
      <c r="B917">
        <v>46</v>
      </c>
      <c r="C917" t="s">
        <v>56</v>
      </c>
      <c r="D917" t="s">
        <v>57</v>
      </c>
      <c r="E917">
        <v>1.52</v>
      </c>
      <c r="F917">
        <v>4</v>
      </c>
      <c r="G917" s="8">
        <f t="shared" si="14"/>
        <v>22.8</v>
      </c>
    </row>
    <row r="918" spans="1:7" x14ac:dyDescent="0.25">
      <c r="A918" s="5">
        <v>45807.6875</v>
      </c>
      <c r="B918">
        <v>47</v>
      </c>
      <c r="C918" t="s">
        <v>58</v>
      </c>
      <c r="D918" t="s">
        <v>59</v>
      </c>
      <c r="E918">
        <v>1.52</v>
      </c>
      <c r="F918">
        <v>4.9000000000000004</v>
      </c>
      <c r="G918" s="8">
        <f t="shared" si="14"/>
        <v>18.612244897959183</v>
      </c>
    </row>
    <row r="919" spans="1:7" x14ac:dyDescent="0.25">
      <c r="A919" s="5">
        <v>45807.6875</v>
      </c>
      <c r="B919">
        <v>48</v>
      </c>
      <c r="C919" t="s">
        <v>59</v>
      </c>
      <c r="D919" t="s">
        <v>60</v>
      </c>
      <c r="E919">
        <v>1.5</v>
      </c>
      <c r="F919">
        <v>4.37</v>
      </c>
      <c r="G919" s="8">
        <f t="shared" si="14"/>
        <v>20.594965675057207</v>
      </c>
    </row>
    <row r="920" spans="1:7" x14ac:dyDescent="0.25">
      <c r="A920" s="5">
        <v>45807.6875</v>
      </c>
      <c r="B920">
        <v>49</v>
      </c>
      <c r="C920" t="s">
        <v>60</v>
      </c>
      <c r="D920" t="s">
        <v>61</v>
      </c>
      <c r="E920">
        <v>1.54</v>
      </c>
      <c r="F920">
        <v>4.42</v>
      </c>
      <c r="G920" s="8">
        <f t="shared" si="14"/>
        <v>20.904977375565611</v>
      </c>
    </row>
    <row r="921" spans="1:7" x14ac:dyDescent="0.25">
      <c r="A921" s="5">
        <v>45807.6875</v>
      </c>
      <c r="B921">
        <v>50</v>
      </c>
      <c r="C921" t="s">
        <v>62</v>
      </c>
      <c r="D921" t="s">
        <v>63</v>
      </c>
      <c r="E921">
        <v>1.38</v>
      </c>
      <c r="F921">
        <v>3.43</v>
      </c>
      <c r="G921" s="8">
        <f t="shared" si="14"/>
        <v>24.139941690962097</v>
      </c>
    </row>
    <row r="922" spans="1:7" x14ac:dyDescent="0.25">
      <c r="A922" s="5">
        <v>45807.6875</v>
      </c>
      <c r="B922">
        <v>51</v>
      </c>
      <c r="C922" t="s">
        <v>63</v>
      </c>
      <c r="D922" t="s">
        <v>64</v>
      </c>
      <c r="E922">
        <v>2.79</v>
      </c>
      <c r="F922">
        <v>5.8</v>
      </c>
      <c r="G922" s="8">
        <f t="shared" si="14"/>
        <v>28.862068965517242</v>
      </c>
    </row>
    <row r="923" spans="1:7" x14ac:dyDescent="0.25">
      <c r="A923" s="5">
        <v>45807.6875</v>
      </c>
      <c r="B923">
        <v>52</v>
      </c>
      <c r="C923" t="s">
        <v>64</v>
      </c>
      <c r="D923" t="s">
        <v>65</v>
      </c>
      <c r="E923">
        <v>1.5</v>
      </c>
      <c r="F923">
        <v>3.05</v>
      </c>
      <c r="G923" s="8">
        <f t="shared" si="14"/>
        <v>29.508196721311478</v>
      </c>
    </row>
    <row r="924" spans="1:7" x14ac:dyDescent="0.25">
      <c r="A924" s="5">
        <v>45807.6875</v>
      </c>
      <c r="B924">
        <v>53</v>
      </c>
      <c r="C924" t="s">
        <v>65</v>
      </c>
      <c r="D924" t="s">
        <v>66</v>
      </c>
      <c r="E924">
        <v>1.46</v>
      </c>
      <c r="F924">
        <v>3.97</v>
      </c>
      <c r="G924" s="8">
        <f t="shared" si="14"/>
        <v>22.065491183879089</v>
      </c>
    </row>
    <row r="925" spans="1:7" x14ac:dyDescent="0.25">
      <c r="A925" s="5">
        <v>45807.6875</v>
      </c>
      <c r="B925">
        <v>54</v>
      </c>
      <c r="C925" t="s">
        <v>67</v>
      </c>
      <c r="D925" t="s">
        <v>68</v>
      </c>
      <c r="E925">
        <v>1.46</v>
      </c>
      <c r="F925">
        <v>3.23</v>
      </c>
      <c r="G925" s="8">
        <f t="shared" si="14"/>
        <v>27.120743034055725</v>
      </c>
    </row>
    <row r="926" spans="1:7" x14ac:dyDescent="0.25">
      <c r="A926" s="5">
        <v>45807.6875</v>
      </c>
      <c r="B926">
        <v>55</v>
      </c>
      <c r="C926" t="s">
        <v>68</v>
      </c>
      <c r="D926" t="s">
        <v>69</v>
      </c>
      <c r="E926">
        <v>1.5</v>
      </c>
      <c r="F926">
        <v>2.2799999999999998</v>
      </c>
      <c r="G926" s="8">
        <f t="shared" si="14"/>
        <v>39.473684210526322</v>
      </c>
    </row>
    <row r="927" spans="1:7" x14ac:dyDescent="0.25">
      <c r="A927" s="5">
        <v>45807.6875</v>
      </c>
      <c r="B927">
        <v>56</v>
      </c>
      <c r="C927" t="s">
        <v>70</v>
      </c>
      <c r="D927" t="s">
        <v>71</v>
      </c>
      <c r="E927">
        <v>1.51</v>
      </c>
      <c r="F927">
        <v>5.4</v>
      </c>
      <c r="G927" s="8">
        <f t="shared" si="14"/>
        <v>16.777777777777775</v>
      </c>
    </row>
    <row r="928" spans="1:7" x14ac:dyDescent="0.25">
      <c r="A928" s="5">
        <v>45807.6875</v>
      </c>
      <c r="B928">
        <v>57</v>
      </c>
      <c r="C928" t="s">
        <v>71</v>
      </c>
      <c r="D928" t="s">
        <v>72</v>
      </c>
      <c r="E928">
        <v>1.52</v>
      </c>
      <c r="F928">
        <v>4.7699999999999996</v>
      </c>
      <c r="G928" s="8">
        <f t="shared" si="14"/>
        <v>19.119496855345915</v>
      </c>
    </row>
    <row r="929" spans="1:7" x14ac:dyDescent="0.25">
      <c r="A929" s="5">
        <v>45807.6875</v>
      </c>
      <c r="B929">
        <v>58</v>
      </c>
      <c r="C929" t="s">
        <v>72</v>
      </c>
      <c r="D929" t="s">
        <v>73</v>
      </c>
      <c r="E929">
        <v>1.5</v>
      </c>
      <c r="F929">
        <v>4.2699999999999996</v>
      </c>
      <c r="G929" s="8">
        <f t="shared" si="14"/>
        <v>21.077283372365343</v>
      </c>
    </row>
    <row r="930" spans="1:7" x14ac:dyDescent="0.25">
      <c r="A930" s="5">
        <v>45807.697916666664</v>
      </c>
      <c r="B930">
        <v>1</v>
      </c>
      <c r="C930" t="s">
        <v>6</v>
      </c>
      <c r="D930" t="s">
        <v>7</v>
      </c>
      <c r="E930">
        <v>1.53</v>
      </c>
      <c r="F930">
        <v>3.58</v>
      </c>
      <c r="G930" s="8">
        <f t="shared" si="14"/>
        <v>25.64245810055866</v>
      </c>
    </row>
    <row r="931" spans="1:7" x14ac:dyDescent="0.25">
      <c r="A931" s="5">
        <v>45807.697916666664</v>
      </c>
      <c r="B931">
        <v>2</v>
      </c>
      <c r="C931" t="s">
        <v>7</v>
      </c>
      <c r="D931" t="s">
        <v>8</v>
      </c>
      <c r="E931">
        <v>1.57</v>
      </c>
      <c r="F931">
        <v>6.18</v>
      </c>
      <c r="G931" s="8">
        <f t="shared" si="14"/>
        <v>15.242718446601943</v>
      </c>
    </row>
    <row r="932" spans="1:7" x14ac:dyDescent="0.25">
      <c r="A932" s="5">
        <v>45807.697916666664</v>
      </c>
      <c r="B932">
        <v>3</v>
      </c>
      <c r="C932" t="s">
        <v>8</v>
      </c>
      <c r="D932" t="s">
        <v>9</v>
      </c>
      <c r="E932">
        <v>1.5</v>
      </c>
      <c r="F932">
        <v>3.22</v>
      </c>
      <c r="G932" s="8">
        <f t="shared" si="14"/>
        <v>27.950310559006208</v>
      </c>
    </row>
    <row r="933" spans="1:7" x14ac:dyDescent="0.25">
      <c r="A933" s="5">
        <v>45807.697916666664</v>
      </c>
      <c r="B933">
        <v>4</v>
      </c>
      <c r="C933" t="s">
        <v>9</v>
      </c>
      <c r="D933" t="s">
        <v>10</v>
      </c>
      <c r="E933">
        <v>1.5</v>
      </c>
      <c r="F933">
        <v>3.25</v>
      </c>
      <c r="G933" s="8">
        <f t="shared" si="14"/>
        <v>27.692307692307693</v>
      </c>
    </row>
    <row r="934" spans="1:7" x14ac:dyDescent="0.25">
      <c r="A934" s="5">
        <v>45807.697916666664</v>
      </c>
      <c r="B934">
        <v>5</v>
      </c>
      <c r="C934" t="s">
        <v>10</v>
      </c>
      <c r="D934" t="s">
        <v>11</v>
      </c>
      <c r="E934">
        <v>1.52</v>
      </c>
      <c r="F934">
        <v>3.82</v>
      </c>
      <c r="G934" s="8">
        <f t="shared" si="14"/>
        <v>23.874345549738223</v>
      </c>
    </row>
    <row r="935" spans="1:7" x14ac:dyDescent="0.25">
      <c r="A935" s="5">
        <v>45807.697916666664</v>
      </c>
      <c r="B935">
        <v>6</v>
      </c>
      <c r="C935" t="s">
        <v>11</v>
      </c>
      <c r="D935" t="s">
        <v>12</v>
      </c>
      <c r="E935">
        <v>1.5</v>
      </c>
      <c r="F935">
        <v>2.88</v>
      </c>
      <c r="G935" s="8">
        <f t="shared" si="14"/>
        <v>31.25</v>
      </c>
    </row>
    <row r="936" spans="1:7" x14ac:dyDescent="0.25">
      <c r="A936" s="5">
        <v>45807.697916666664</v>
      </c>
      <c r="B936">
        <v>7</v>
      </c>
      <c r="C936" t="s">
        <v>12</v>
      </c>
      <c r="D936" t="s">
        <v>13</v>
      </c>
      <c r="E936">
        <v>1.54</v>
      </c>
      <c r="F936">
        <v>2.72</v>
      </c>
      <c r="G936" s="8">
        <f t="shared" si="14"/>
        <v>33.970588235294116</v>
      </c>
    </row>
    <row r="937" spans="1:7" x14ac:dyDescent="0.25">
      <c r="A937" s="5">
        <v>45807.697916666664</v>
      </c>
      <c r="B937">
        <v>8</v>
      </c>
      <c r="C937" t="s">
        <v>13</v>
      </c>
      <c r="D937" t="s">
        <v>14</v>
      </c>
      <c r="E937">
        <v>1.54</v>
      </c>
      <c r="F937">
        <v>3.42</v>
      </c>
      <c r="G937" s="8">
        <f t="shared" si="14"/>
        <v>27.017543859649123</v>
      </c>
    </row>
    <row r="938" spans="1:7" x14ac:dyDescent="0.25">
      <c r="A938" s="5">
        <v>45807.697916666664</v>
      </c>
      <c r="B938">
        <v>9</v>
      </c>
      <c r="C938" t="s">
        <v>14</v>
      </c>
      <c r="D938" t="s">
        <v>15</v>
      </c>
      <c r="E938">
        <v>1.52</v>
      </c>
      <c r="F938">
        <v>3.73</v>
      </c>
      <c r="G938" s="8">
        <f t="shared" si="14"/>
        <v>24.45040214477212</v>
      </c>
    </row>
    <row r="939" spans="1:7" x14ac:dyDescent="0.25">
      <c r="A939" s="5">
        <v>45807.697916666664</v>
      </c>
      <c r="B939">
        <v>10</v>
      </c>
      <c r="C939" t="s">
        <v>15</v>
      </c>
      <c r="D939" t="s">
        <v>16</v>
      </c>
      <c r="E939">
        <v>1.5</v>
      </c>
      <c r="F939">
        <v>4.58</v>
      </c>
      <c r="G939" s="8">
        <f t="shared" si="14"/>
        <v>19.650655021834062</v>
      </c>
    </row>
    <row r="940" spans="1:7" x14ac:dyDescent="0.25">
      <c r="A940" s="5">
        <v>45807.697916666664</v>
      </c>
      <c r="B940">
        <v>11</v>
      </c>
      <c r="C940" t="s">
        <v>16</v>
      </c>
      <c r="D940" t="s">
        <v>17</v>
      </c>
      <c r="E940">
        <v>1.48</v>
      </c>
      <c r="F940">
        <v>3.07</v>
      </c>
      <c r="G940" s="8">
        <f t="shared" si="14"/>
        <v>28.925081433224758</v>
      </c>
    </row>
    <row r="941" spans="1:7" x14ac:dyDescent="0.25">
      <c r="A941" s="5">
        <v>45807.697916666664</v>
      </c>
      <c r="B941">
        <v>12</v>
      </c>
      <c r="C941" t="s">
        <v>17</v>
      </c>
      <c r="D941" t="s">
        <v>18</v>
      </c>
      <c r="E941">
        <v>1.46</v>
      </c>
      <c r="F941">
        <v>5.3</v>
      </c>
      <c r="G941" s="8">
        <f t="shared" si="14"/>
        <v>16.528301886792452</v>
      </c>
    </row>
    <row r="942" spans="1:7" x14ac:dyDescent="0.25">
      <c r="A942" s="5">
        <v>45807.697916666664</v>
      </c>
      <c r="B942">
        <v>13</v>
      </c>
      <c r="C942" t="s">
        <v>18</v>
      </c>
      <c r="D942" t="s">
        <v>19</v>
      </c>
      <c r="E942">
        <v>1.52</v>
      </c>
      <c r="F942">
        <v>4.68</v>
      </c>
      <c r="G942" s="8">
        <f t="shared" si="14"/>
        <v>19.487179487179489</v>
      </c>
    </row>
    <row r="943" spans="1:7" x14ac:dyDescent="0.25">
      <c r="A943" s="5">
        <v>45807.697916666664</v>
      </c>
      <c r="B943">
        <v>14</v>
      </c>
      <c r="C943" t="s">
        <v>19</v>
      </c>
      <c r="D943" t="s">
        <v>20</v>
      </c>
      <c r="E943">
        <v>1.51</v>
      </c>
      <c r="F943">
        <v>4.57</v>
      </c>
      <c r="G943" s="8">
        <f t="shared" si="14"/>
        <v>19.824945295404813</v>
      </c>
    </row>
    <row r="944" spans="1:7" x14ac:dyDescent="0.25">
      <c r="A944" s="5">
        <v>45807.697916666664</v>
      </c>
      <c r="B944">
        <v>15</v>
      </c>
      <c r="C944" t="s">
        <v>20</v>
      </c>
      <c r="D944" t="s">
        <v>21</v>
      </c>
      <c r="E944">
        <v>1.47</v>
      </c>
      <c r="F944">
        <v>2.68</v>
      </c>
      <c r="G944" s="8">
        <f t="shared" si="14"/>
        <v>32.910447761194028</v>
      </c>
    </row>
    <row r="945" spans="1:7" x14ac:dyDescent="0.25">
      <c r="A945" s="5">
        <v>45807.697916666664</v>
      </c>
      <c r="B945">
        <v>16</v>
      </c>
      <c r="C945" t="s">
        <v>21</v>
      </c>
      <c r="D945" t="s">
        <v>22</v>
      </c>
      <c r="E945">
        <v>1.5</v>
      </c>
      <c r="F945">
        <v>2.17</v>
      </c>
      <c r="G945" s="8">
        <f t="shared" si="14"/>
        <v>41.474654377880185</v>
      </c>
    </row>
    <row r="946" spans="1:7" x14ac:dyDescent="0.25">
      <c r="A946" s="5">
        <v>45807.697916666664</v>
      </c>
      <c r="B946">
        <v>17</v>
      </c>
      <c r="C946" t="s">
        <v>22</v>
      </c>
      <c r="D946" t="s">
        <v>23</v>
      </c>
      <c r="E946">
        <v>1.51</v>
      </c>
      <c r="F946">
        <v>3.78</v>
      </c>
      <c r="G946" s="8">
        <f t="shared" si="14"/>
        <v>23.968253968253968</v>
      </c>
    </row>
    <row r="947" spans="1:7" x14ac:dyDescent="0.25">
      <c r="A947" s="5">
        <v>45807.697916666664</v>
      </c>
      <c r="B947">
        <v>18</v>
      </c>
      <c r="C947" t="s">
        <v>23</v>
      </c>
      <c r="D947" t="s">
        <v>24</v>
      </c>
      <c r="E947">
        <v>1.51</v>
      </c>
      <c r="F947">
        <v>3.95</v>
      </c>
      <c r="G947" s="8">
        <f t="shared" si="14"/>
        <v>22.936708860759492</v>
      </c>
    </row>
    <row r="948" spans="1:7" x14ac:dyDescent="0.25">
      <c r="A948" s="5">
        <v>45807.697916666664</v>
      </c>
      <c r="B948">
        <v>19</v>
      </c>
      <c r="C948" t="s">
        <v>25</v>
      </c>
      <c r="D948" t="s">
        <v>26</v>
      </c>
      <c r="E948">
        <v>1.5</v>
      </c>
      <c r="F948">
        <v>3.98</v>
      </c>
      <c r="G948" s="8">
        <f t="shared" si="14"/>
        <v>22.613065326633166</v>
      </c>
    </row>
    <row r="949" spans="1:7" x14ac:dyDescent="0.25">
      <c r="A949" s="5">
        <v>45807.697916666664</v>
      </c>
      <c r="B949">
        <v>20</v>
      </c>
      <c r="C949" t="s">
        <v>26</v>
      </c>
      <c r="D949" t="s">
        <v>27</v>
      </c>
      <c r="E949">
        <v>1.48</v>
      </c>
      <c r="F949">
        <v>3.98</v>
      </c>
      <c r="G949" s="8">
        <f t="shared" si="14"/>
        <v>22.311557788944722</v>
      </c>
    </row>
    <row r="950" spans="1:7" x14ac:dyDescent="0.25">
      <c r="A950" s="5">
        <v>45807.697916666664</v>
      </c>
      <c r="B950">
        <v>21</v>
      </c>
      <c r="C950" t="s">
        <v>27</v>
      </c>
      <c r="D950" t="s">
        <v>28</v>
      </c>
      <c r="E950">
        <v>1.51</v>
      </c>
      <c r="F950">
        <v>3.88</v>
      </c>
      <c r="G950" s="8">
        <f t="shared" si="14"/>
        <v>23.350515463917525</v>
      </c>
    </row>
    <row r="951" spans="1:7" x14ac:dyDescent="0.25">
      <c r="A951" s="5">
        <v>45807.697916666664</v>
      </c>
      <c r="B951">
        <v>22</v>
      </c>
      <c r="C951" t="s">
        <v>28</v>
      </c>
      <c r="D951" t="s">
        <v>29</v>
      </c>
      <c r="E951">
        <v>1.57</v>
      </c>
      <c r="F951">
        <v>3.92</v>
      </c>
      <c r="G951" s="8">
        <f t="shared" si="14"/>
        <v>24.030612244897959</v>
      </c>
    </row>
    <row r="952" spans="1:7" x14ac:dyDescent="0.25">
      <c r="A952" s="5">
        <v>45807.697916666664</v>
      </c>
      <c r="B952">
        <v>23</v>
      </c>
      <c r="C952" t="s">
        <v>29</v>
      </c>
      <c r="D952" t="s">
        <v>30</v>
      </c>
      <c r="E952">
        <v>1.43</v>
      </c>
      <c r="F952">
        <v>4.9000000000000004</v>
      </c>
      <c r="G952" s="8">
        <f t="shared" si="14"/>
        <v>17.510204081632651</v>
      </c>
    </row>
    <row r="953" spans="1:7" x14ac:dyDescent="0.25">
      <c r="A953" s="5">
        <v>45807.697916666664</v>
      </c>
      <c r="B953">
        <v>24</v>
      </c>
      <c r="C953" t="s">
        <v>30</v>
      </c>
      <c r="D953" t="s">
        <v>31</v>
      </c>
      <c r="E953">
        <v>1.52</v>
      </c>
      <c r="F953">
        <v>4.62</v>
      </c>
      <c r="G953" s="8">
        <f t="shared" si="14"/>
        <v>19.740259740259742</v>
      </c>
    </row>
    <row r="954" spans="1:7" x14ac:dyDescent="0.25">
      <c r="A954" s="5">
        <v>45807.697916666664</v>
      </c>
      <c r="B954">
        <v>25</v>
      </c>
      <c r="C954" t="s">
        <v>31</v>
      </c>
      <c r="D954" t="s">
        <v>32</v>
      </c>
      <c r="E954">
        <v>1.52</v>
      </c>
      <c r="F954">
        <v>4.37</v>
      </c>
      <c r="G954" s="8">
        <f t="shared" si="14"/>
        <v>20.869565217391305</v>
      </c>
    </row>
    <row r="955" spans="1:7" x14ac:dyDescent="0.25">
      <c r="A955" s="5">
        <v>45807.697916666664</v>
      </c>
      <c r="B955">
        <v>26</v>
      </c>
      <c r="C955" t="s">
        <v>32</v>
      </c>
      <c r="D955" t="s">
        <v>33</v>
      </c>
      <c r="E955">
        <v>1.49</v>
      </c>
      <c r="F955">
        <v>4.9800000000000004</v>
      </c>
      <c r="G955" s="8">
        <f t="shared" si="14"/>
        <v>17.951807228915662</v>
      </c>
    </row>
    <row r="956" spans="1:7" x14ac:dyDescent="0.25">
      <c r="A956" s="5">
        <v>45807.697916666664</v>
      </c>
      <c r="B956">
        <v>27</v>
      </c>
      <c r="C956" t="s">
        <v>33</v>
      </c>
      <c r="D956" t="s">
        <v>34</v>
      </c>
      <c r="E956">
        <v>1.53</v>
      </c>
      <c r="F956">
        <v>4.93</v>
      </c>
      <c r="G956" s="8">
        <f t="shared" si="14"/>
        <v>18.620689655172413</v>
      </c>
    </row>
    <row r="957" spans="1:7" x14ac:dyDescent="0.25">
      <c r="A957" s="5">
        <v>45807.697916666664</v>
      </c>
      <c r="B957">
        <v>28</v>
      </c>
      <c r="C957" t="s">
        <v>34</v>
      </c>
      <c r="D957" t="s">
        <v>35</v>
      </c>
      <c r="E957">
        <v>1.51</v>
      </c>
      <c r="F957">
        <v>4.8</v>
      </c>
      <c r="G957" s="8">
        <f t="shared" si="14"/>
        <v>18.875</v>
      </c>
    </row>
    <row r="958" spans="1:7" x14ac:dyDescent="0.25">
      <c r="A958" s="5">
        <v>45807.697916666664</v>
      </c>
      <c r="B958">
        <v>29</v>
      </c>
      <c r="C958" t="s">
        <v>36</v>
      </c>
      <c r="D958" t="s">
        <v>37</v>
      </c>
      <c r="E958">
        <v>1.57</v>
      </c>
      <c r="F958">
        <v>4.38</v>
      </c>
      <c r="G958" s="8">
        <f t="shared" si="14"/>
        <v>21.506849315068493</v>
      </c>
    </row>
    <row r="959" spans="1:7" x14ac:dyDescent="0.25">
      <c r="A959" s="5">
        <v>45807.697916666664</v>
      </c>
      <c r="B959">
        <v>30</v>
      </c>
      <c r="C959" t="s">
        <v>37</v>
      </c>
      <c r="D959" t="s">
        <v>38</v>
      </c>
      <c r="E959">
        <v>1.57</v>
      </c>
      <c r="F959">
        <v>4.5999999999999996</v>
      </c>
      <c r="G959" s="8">
        <f t="shared" si="14"/>
        <v>20.478260869565219</v>
      </c>
    </row>
    <row r="960" spans="1:7" x14ac:dyDescent="0.25">
      <c r="A960" s="5">
        <v>45807.697916666664</v>
      </c>
      <c r="B960">
        <v>31</v>
      </c>
      <c r="C960" t="s">
        <v>38</v>
      </c>
      <c r="D960" t="s">
        <v>39</v>
      </c>
      <c r="E960">
        <v>1.52</v>
      </c>
      <c r="F960">
        <v>3.03</v>
      </c>
      <c r="G960" s="8">
        <f t="shared" si="14"/>
        <v>30.099009900990101</v>
      </c>
    </row>
    <row r="961" spans="1:7" x14ac:dyDescent="0.25">
      <c r="A961" s="5">
        <v>45807.697916666664</v>
      </c>
      <c r="B961">
        <v>32</v>
      </c>
      <c r="C961" t="s">
        <v>39</v>
      </c>
      <c r="D961" t="s">
        <v>40</v>
      </c>
      <c r="E961">
        <v>1.5</v>
      </c>
      <c r="F961">
        <v>1.83</v>
      </c>
      <c r="G961" s="8">
        <f t="shared" si="14"/>
        <v>49.180327868852459</v>
      </c>
    </row>
    <row r="962" spans="1:7" x14ac:dyDescent="0.25">
      <c r="A962" s="5">
        <v>45807.697916666664</v>
      </c>
      <c r="B962">
        <v>33</v>
      </c>
      <c r="C962" t="s">
        <v>40</v>
      </c>
      <c r="D962" t="s">
        <v>41</v>
      </c>
      <c r="E962">
        <v>1.51</v>
      </c>
      <c r="F962">
        <v>2.25</v>
      </c>
      <c r="G962" s="8">
        <f t="shared" si="14"/>
        <v>40.266666666666666</v>
      </c>
    </row>
    <row r="963" spans="1:7" x14ac:dyDescent="0.25">
      <c r="A963" s="5">
        <v>45807.697916666664</v>
      </c>
      <c r="B963">
        <v>34</v>
      </c>
      <c r="C963" t="s">
        <v>41</v>
      </c>
      <c r="D963" t="s">
        <v>42</v>
      </c>
      <c r="E963">
        <v>1.5</v>
      </c>
      <c r="F963">
        <v>2.27</v>
      </c>
      <c r="G963" s="8">
        <f t="shared" ref="G963:G1026" si="15">E963*60/F963</f>
        <v>39.647577092511014</v>
      </c>
    </row>
    <row r="964" spans="1:7" x14ac:dyDescent="0.25">
      <c r="A964" s="5">
        <v>45807.697916666664</v>
      </c>
      <c r="B964">
        <v>35</v>
      </c>
      <c r="C964" t="s">
        <v>43</v>
      </c>
      <c r="D964" t="s">
        <v>44</v>
      </c>
      <c r="E964">
        <v>1.55</v>
      </c>
      <c r="F964">
        <v>3.98</v>
      </c>
      <c r="G964" s="8">
        <f t="shared" si="15"/>
        <v>23.366834170854272</v>
      </c>
    </row>
    <row r="965" spans="1:7" x14ac:dyDescent="0.25">
      <c r="A965" s="5">
        <v>45807.697916666664</v>
      </c>
      <c r="B965">
        <v>36</v>
      </c>
      <c r="C965" t="s">
        <v>44</v>
      </c>
      <c r="D965" t="s">
        <v>45</v>
      </c>
      <c r="E965">
        <v>1.5</v>
      </c>
      <c r="F965">
        <v>3.57</v>
      </c>
      <c r="G965" s="8">
        <f t="shared" si="15"/>
        <v>25.210084033613448</v>
      </c>
    </row>
    <row r="966" spans="1:7" x14ac:dyDescent="0.25">
      <c r="A966" s="5">
        <v>45807.697916666664</v>
      </c>
      <c r="B966">
        <v>37</v>
      </c>
      <c r="C966" t="s">
        <v>45</v>
      </c>
      <c r="D966" t="s">
        <v>46</v>
      </c>
      <c r="E966">
        <v>1.38</v>
      </c>
      <c r="F966">
        <v>4.82</v>
      </c>
      <c r="G966" s="8">
        <f t="shared" si="15"/>
        <v>17.178423236514522</v>
      </c>
    </row>
    <row r="967" spans="1:7" x14ac:dyDescent="0.25">
      <c r="A967" s="5">
        <v>45807.697916666664</v>
      </c>
      <c r="B967">
        <v>38</v>
      </c>
      <c r="C967" t="s">
        <v>46</v>
      </c>
      <c r="D967" t="s">
        <v>47</v>
      </c>
      <c r="E967">
        <v>1.61</v>
      </c>
      <c r="F967">
        <v>4.67</v>
      </c>
      <c r="G967" s="8">
        <f t="shared" si="15"/>
        <v>20.68522483940043</v>
      </c>
    </row>
    <row r="968" spans="1:7" x14ac:dyDescent="0.25">
      <c r="A968" s="5">
        <v>45807.697916666664</v>
      </c>
      <c r="B968">
        <v>39</v>
      </c>
      <c r="C968" t="s">
        <v>47</v>
      </c>
      <c r="D968" t="s">
        <v>48</v>
      </c>
      <c r="E968">
        <v>1.55</v>
      </c>
      <c r="F968">
        <v>3.57</v>
      </c>
      <c r="G968" s="8">
        <f t="shared" si="15"/>
        <v>26.050420168067227</v>
      </c>
    </row>
    <row r="969" spans="1:7" x14ac:dyDescent="0.25">
      <c r="A969" s="5">
        <v>45807.697916666664</v>
      </c>
      <c r="B969">
        <v>40</v>
      </c>
      <c r="C969" t="s">
        <v>48</v>
      </c>
      <c r="D969" t="s">
        <v>49</v>
      </c>
      <c r="E969">
        <v>1.39</v>
      </c>
      <c r="F969">
        <v>3.25</v>
      </c>
      <c r="G969" s="8">
        <f t="shared" si="15"/>
        <v>25.661538461538459</v>
      </c>
    </row>
    <row r="970" spans="1:7" x14ac:dyDescent="0.25">
      <c r="A970" s="5">
        <v>45807.697916666664</v>
      </c>
      <c r="B970">
        <v>41</v>
      </c>
      <c r="C970" t="s">
        <v>50</v>
      </c>
      <c r="D970" t="s">
        <v>51</v>
      </c>
      <c r="E970">
        <v>1.56</v>
      </c>
      <c r="F970">
        <v>5.0199999999999996</v>
      </c>
      <c r="G970" s="8">
        <f t="shared" si="15"/>
        <v>18.645418326693232</v>
      </c>
    </row>
    <row r="971" spans="1:7" x14ac:dyDescent="0.25">
      <c r="A971" s="5">
        <v>45807.697916666664</v>
      </c>
      <c r="B971">
        <v>42</v>
      </c>
      <c r="C971" t="s">
        <v>51</v>
      </c>
      <c r="D971" t="s">
        <v>52</v>
      </c>
      <c r="E971">
        <v>1.56</v>
      </c>
      <c r="F971">
        <v>4.62</v>
      </c>
      <c r="G971" s="8">
        <f t="shared" si="15"/>
        <v>20.259740259740262</v>
      </c>
    </row>
    <row r="972" spans="1:7" x14ac:dyDescent="0.25">
      <c r="A972" s="5">
        <v>45807.697916666664</v>
      </c>
      <c r="B972">
        <v>43</v>
      </c>
      <c r="C972" t="s">
        <v>52</v>
      </c>
      <c r="D972" t="s">
        <v>53</v>
      </c>
      <c r="E972">
        <v>1.51</v>
      </c>
      <c r="F972">
        <v>3.98</v>
      </c>
      <c r="G972" s="8">
        <f t="shared" si="15"/>
        <v>22.763819095477384</v>
      </c>
    </row>
    <row r="973" spans="1:7" x14ac:dyDescent="0.25">
      <c r="A973" s="5">
        <v>45807.697916666664</v>
      </c>
      <c r="B973">
        <v>44</v>
      </c>
      <c r="C973" t="s">
        <v>54</v>
      </c>
      <c r="D973" t="s">
        <v>55</v>
      </c>
      <c r="E973">
        <v>1.51</v>
      </c>
      <c r="F973">
        <v>4.6500000000000004</v>
      </c>
      <c r="G973" s="8">
        <f t="shared" si="15"/>
        <v>19.483870967741932</v>
      </c>
    </row>
    <row r="974" spans="1:7" x14ac:dyDescent="0.25">
      <c r="A974" s="5">
        <v>45807.697916666664</v>
      </c>
      <c r="B974">
        <v>45</v>
      </c>
      <c r="C974" t="s">
        <v>55</v>
      </c>
      <c r="D974" t="s">
        <v>56</v>
      </c>
      <c r="E974">
        <v>1.49</v>
      </c>
      <c r="F974">
        <v>3.8</v>
      </c>
      <c r="G974" s="8">
        <f t="shared" si="15"/>
        <v>23.526315789473689</v>
      </c>
    </row>
    <row r="975" spans="1:7" x14ac:dyDescent="0.25">
      <c r="A975" s="5">
        <v>45807.697916666664</v>
      </c>
      <c r="B975">
        <v>46</v>
      </c>
      <c r="C975" t="s">
        <v>56</v>
      </c>
      <c r="D975" t="s">
        <v>57</v>
      </c>
      <c r="E975">
        <v>1.52</v>
      </c>
      <c r="F975">
        <v>4.0199999999999996</v>
      </c>
      <c r="G975" s="8">
        <f t="shared" si="15"/>
        <v>22.686567164179106</v>
      </c>
    </row>
    <row r="976" spans="1:7" x14ac:dyDescent="0.25">
      <c r="A976" s="5">
        <v>45807.697916666664</v>
      </c>
      <c r="B976">
        <v>47</v>
      </c>
      <c r="C976" t="s">
        <v>58</v>
      </c>
      <c r="D976" t="s">
        <v>59</v>
      </c>
      <c r="E976">
        <v>1.52</v>
      </c>
      <c r="F976">
        <v>5.55</v>
      </c>
      <c r="G976" s="8">
        <f t="shared" si="15"/>
        <v>16.432432432432435</v>
      </c>
    </row>
    <row r="977" spans="1:7" x14ac:dyDescent="0.25">
      <c r="A977" s="5">
        <v>45807.697916666664</v>
      </c>
      <c r="B977">
        <v>48</v>
      </c>
      <c r="C977" t="s">
        <v>59</v>
      </c>
      <c r="D977" t="s">
        <v>60</v>
      </c>
      <c r="E977">
        <v>1.5</v>
      </c>
      <c r="F977">
        <v>4.08</v>
      </c>
      <c r="G977" s="8">
        <f t="shared" si="15"/>
        <v>22.058823529411764</v>
      </c>
    </row>
    <row r="978" spans="1:7" x14ac:dyDescent="0.25">
      <c r="A978" s="5">
        <v>45807.697916666664</v>
      </c>
      <c r="B978">
        <v>49</v>
      </c>
      <c r="C978" t="s">
        <v>60</v>
      </c>
      <c r="D978" t="s">
        <v>61</v>
      </c>
      <c r="E978">
        <v>1.54</v>
      </c>
      <c r="F978">
        <v>4.58</v>
      </c>
      <c r="G978" s="8">
        <f t="shared" si="15"/>
        <v>20.174672489082969</v>
      </c>
    </row>
    <row r="979" spans="1:7" x14ac:dyDescent="0.25">
      <c r="A979" s="5">
        <v>45807.697916666664</v>
      </c>
      <c r="B979">
        <v>50</v>
      </c>
      <c r="C979" t="s">
        <v>62</v>
      </c>
      <c r="D979" t="s">
        <v>63</v>
      </c>
      <c r="E979">
        <v>1.38</v>
      </c>
      <c r="F979">
        <v>3.57</v>
      </c>
      <c r="G979" s="8">
        <f t="shared" si="15"/>
        <v>23.193277310924369</v>
      </c>
    </row>
    <row r="980" spans="1:7" x14ac:dyDescent="0.25">
      <c r="A980" s="5">
        <v>45807.697916666664</v>
      </c>
      <c r="B980">
        <v>51</v>
      </c>
      <c r="C980" t="s">
        <v>63</v>
      </c>
      <c r="D980" t="s">
        <v>64</v>
      </c>
      <c r="E980">
        <v>2.79</v>
      </c>
      <c r="F980">
        <v>5.93</v>
      </c>
      <c r="G980" s="8">
        <f t="shared" si="15"/>
        <v>28.229342327150086</v>
      </c>
    </row>
    <row r="981" spans="1:7" x14ac:dyDescent="0.25">
      <c r="A981" s="5">
        <v>45807.697916666664</v>
      </c>
      <c r="B981">
        <v>52</v>
      </c>
      <c r="C981" t="s">
        <v>64</v>
      </c>
      <c r="D981" t="s">
        <v>65</v>
      </c>
      <c r="E981">
        <v>1.5</v>
      </c>
      <c r="F981">
        <v>2.97</v>
      </c>
      <c r="G981" s="8">
        <f t="shared" si="15"/>
        <v>30.303030303030301</v>
      </c>
    </row>
    <row r="982" spans="1:7" x14ac:dyDescent="0.25">
      <c r="A982" s="5">
        <v>45807.697916666664</v>
      </c>
      <c r="B982">
        <v>53</v>
      </c>
      <c r="C982" t="s">
        <v>65</v>
      </c>
      <c r="D982" t="s">
        <v>66</v>
      </c>
      <c r="E982">
        <v>1.46</v>
      </c>
      <c r="F982">
        <v>3.98</v>
      </c>
      <c r="G982" s="8">
        <f t="shared" si="15"/>
        <v>22.010050251256281</v>
      </c>
    </row>
    <row r="983" spans="1:7" x14ac:dyDescent="0.25">
      <c r="A983" s="5">
        <v>45807.697916666664</v>
      </c>
      <c r="B983">
        <v>54</v>
      </c>
      <c r="C983" t="s">
        <v>67</v>
      </c>
      <c r="D983" t="s">
        <v>68</v>
      </c>
      <c r="E983">
        <v>1.46</v>
      </c>
      <c r="F983">
        <v>3.75</v>
      </c>
      <c r="G983" s="8">
        <f t="shared" si="15"/>
        <v>23.36</v>
      </c>
    </row>
    <row r="984" spans="1:7" x14ac:dyDescent="0.25">
      <c r="A984" s="5">
        <v>45807.697916666664</v>
      </c>
      <c r="B984">
        <v>55</v>
      </c>
      <c r="C984" t="s">
        <v>68</v>
      </c>
      <c r="D984" t="s">
        <v>69</v>
      </c>
      <c r="E984">
        <v>1.5</v>
      </c>
      <c r="F984">
        <v>2.25</v>
      </c>
      <c r="G984" s="8">
        <f t="shared" si="15"/>
        <v>40</v>
      </c>
    </row>
    <row r="985" spans="1:7" x14ac:dyDescent="0.25">
      <c r="A985" s="5">
        <v>45807.697916666664</v>
      </c>
      <c r="B985">
        <v>56</v>
      </c>
      <c r="C985" t="s">
        <v>70</v>
      </c>
      <c r="D985" t="s">
        <v>71</v>
      </c>
      <c r="E985">
        <v>1.51</v>
      </c>
      <c r="F985">
        <v>5.7</v>
      </c>
      <c r="G985" s="8">
        <f t="shared" si="15"/>
        <v>15.894736842105262</v>
      </c>
    </row>
    <row r="986" spans="1:7" x14ac:dyDescent="0.25">
      <c r="A986" s="5">
        <v>45807.697916666664</v>
      </c>
      <c r="B986">
        <v>57</v>
      </c>
      <c r="C986" t="s">
        <v>71</v>
      </c>
      <c r="D986" t="s">
        <v>72</v>
      </c>
      <c r="E986">
        <v>1.52</v>
      </c>
      <c r="F986">
        <v>5</v>
      </c>
      <c r="G986" s="8">
        <f t="shared" si="15"/>
        <v>18.240000000000002</v>
      </c>
    </row>
    <row r="987" spans="1:7" x14ac:dyDescent="0.25">
      <c r="A987" s="5">
        <v>45807.697916666664</v>
      </c>
      <c r="B987">
        <v>58</v>
      </c>
      <c r="C987" t="s">
        <v>72</v>
      </c>
      <c r="D987" t="s">
        <v>73</v>
      </c>
      <c r="E987">
        <v>1.5</v>
      </c>
      <c r="F987">
        <v>4.5</v>
      </c>
      <c r="G987" s="8">
        <f t="shared" si="15"/>
        <v>20</v>
      </c>
    </row>
    <row r="988" spans="1:7" x14ac:dyDescent="0.25">
      <c r="A988" s="5">
        <v>45807.708333333336</v>
      </c>
      <c r="B988">
        <v>1</v>
      </c>
      <c r="C988" t="s">
        <v>6</v>
      </c>
      <c r="D988" t="s">
        <v>7</v>
      </c>
      <c r="E988">
        <v>1.53</v>
      </c>
      <c r="F988">
        <v>3.65</v>
      </c>
      <c r="G988" s="8">
        <f t="shared" si="15"/>
        <v>25.150684931506849</v>
      </c>
    </row>
    <row r="989" spans="1:7" x14ac:dyDescent="0.25">
      <c r="A989" s="5">
        <v>45807.708333333336</v>
      </c>
      <c r="B989">
        <v>2</v>
      </c>
      <c r="C989" t="s">
        <v>7</v>
      </c>
      <c r="D989" t="s">
        <v>8</v>
      </c>
      <c r="E989">
        <v>1.57</v>
      </c>
      <c r="F989">
        <v>6.42</v>
      </c>
      <c r="G989" s="8">
        <f t="shared" si="15"/>
        <v>14.672897196261683</v>
      </c>
    </row>
    <row r="990" spans="1:7" x14ac:dyDescent="0.25">
      <c r="A990" s="5">
        <v>45807.708333333336</v>
      </c>
      <c r="B990">
        <v>3</v>
      </c>
      <c r="C990" t="s">
        <v>8</v>
      </c>
      <c r="D990" t="s">
        <v>9</v>
      </c>
      <c r="E990">
        <v>1.5</v>
      </c>
      <c r="F990">
        <v>3.4</v>
      </c>
      <c r="G990" s="8">
        <f t="shared" si="15"/>
        <v>26.47058823529412</v>
      </c>
    </row>
    <row r="991" spans="1:7" x14ac:dyDescent="0.25">
      <c r="A991" s="5">
        <v>45807.708333333336</v>
      </c>
      <c r="B991">
        <v>4</v>
      </c>
      <c r="C991" t="s">
        <v>9</v>
      </c>
      <c r="D991" t="s">
        <v>10</v>
      </c>
      <c r="E991">
        <v>1.5</v>
      </c>
      <c r="F991">
        <v>3.2</v>
      </c>
      <c r="G991" s="8">
        <f t="shared" si="15"/>
        <v>28.125</v>
      </c>
    </row>
    <row r="992" spans="1:7" x14ac:dyDescent="0.25">
      <c r="A992" s="5">
        <v>45807.708333333336</v>
      </c>
      <c r="B992">
        <v>5</v>
      </c>
      <c r="C992" t="s">
        <v>10</v>
      </c>
      <c r="D992" t="s">
        <v>11</v>
      </c>
      <c r="E992">
        <v>1.52</v>
      </c>
      <c r="F992">
        <v>4.4800000000000004</v>
      </c>
      <c r="G992" s="8">
        <f t="shared" si="15"/>
        <v>20.357142857142854</v>
      </c>
    </row>
    <row r="993" spans="1:7" x14ac:dyDescent="0.25">
      <c r="A993" s="5">
        <v>45807.708333333336</v>
      </c>
      <c r="B993">
        <v>6</v>
      </c>
      <c r="C993" t="s">
        <v>11</v>
      </c>
      <c r="D993" t="s">
        <v>12</v>
      </c>
      <c r="E993">
        <v>1.5</v>
      </c>
      <c r="F993">
        <v>2.82</v>
      </c>
      <c r="G993" s="8">
        <f t="shared" si="15"/>
        <v>31.914893617021278</v>
      </c>
    </row>
    <row r="994" spans="1:7" x14ac:dyDescent="0.25">
      <c r="A994" s="5">
        <v>45807.708333333336</v>
      </c>
      <c r="B994">
        <v>7</v>
      </c>
      <c r="C994" t="s">
        <v>12</v>
      </c>
      <c r="D994" t="s">
        <v>13</v>
      </c>
      <c r="E994">
        <v>1.54</v>
      </c>
      <c r="F994">
        <v>2.85</v>
      </c>
      <c r="G994" s="8">
        <f t="shared" si="15"/>
        <v>32.421052631578945</v>
      </c>
    </row>
    <row r="995" spans="1:7" x14ac:dyDescent="0.25">
      <c r="A995" s="5">
        <v>45807.708333333336</v>
      </c>
      <c r="B995">
        <v>8</v>
      </c>
      <c r="C995" t="s">
        <v>13</v>
      </c>
      <c r="D995" t="s">
        <v>14</v>
      </c>
      <c r="E995">
        <v>1.54</v>
      </c>
      <c r="F995">
        <v>3.38</v>
      </c>
      <c r="G995" s="8">
        <f t="shared" si="15"/>
        <v>27.337278106508879</v>
      </c>
    </row>
    <row r="996" spans="1:7" x14ac:dyDescent="0.25">
      <c r="A996" s="5">
        <v>45807.708333333336</v>
      </c>
      <c r="B996">
        <v>9</v>
      </c>
      <c r="C996" t="s">
        <v>14</v>
      </c>
      <c r="D996" t="s">
        <v>15</v>
      </c>
      <c r="E996">
        <v>1.52</v>
      </c>
      <c r="F996">
        <v>3.82</v>
      </c>
      <c r="G996" s="8">
        <f t="shared" si="15"/>
        <v>23.874345549738223</v>
      </c>
    </row>
    <row r="997" spans="1:7" x14ac:dyDescent="0.25">
      <c r="A997" s="5">
        <v>45807.708333333336</v>
      </c>
      <c r="B997">
        <v>10</v>
      </c>
      <c r="C997" t="s">
        <v>15</v>
      </c>
      <c r="D997" t="s">
        <v>16</v>
      </c>
      <c r="E997">
        <v>1.5</v>
      </c>
      <c r="F997">
        <v>4.55</v>
      </c>
      <c r="G997" s="8">
        <f t="shared" si="15"/>
        <v>19.780219780219781</v>
      </c>
    </row>
    <row r="998" spans="1:7" x14ac:dyDescent="0.25">
      <c r="A998" s="5">
        <v>45807.708333333336</v>
      </c>
      <c r="B998">
        <v>11</v>
      </c>
      <c r="C998" t="s">
        <v>16</v>
      </c>
      <c r="D998" t="s">
        <v>17</v>
      </c>
      <c r="E998">
        <v>1.48</v>
      </c>
      <c r="F998">
        <v>3.18</v>
      </c>
      <c r="G998" s="8">
        <f t="shared" si="15"/>
        <v>27.924528301886792</v>
      </c>
    </row>
    <row r="999" spans="1:7" x14ac:dyDescent="0.25">
      <c r="A999" s="5">
        <v>45807.708333333336</v>
      </c>
      <c r="B999">
        <v>12</v>
      </c>
      <c r="C999" t="s">
        <v>17</v>
      </c>
      <c r="D999" t="s">
        <v>18</v>
      </c>
      <c r="E999">
        <v>1.46</v>
      </c>
      <c r="F999">
        <v>4.43</v>
      </c>
      <c r="G999" s="8">
        <f t="shared" si="15"/>
        <v>19.774266365688487</v>
      </c>
    </row>
    <row r="1000" spans="1:7" x14ac:dyDescent="0.25">
      <c r="A1000" s="5">
        <v>45807.708333333336</v>
      </c>
      <c r="B1000">
        <v>13</v>
      </c>
      <c r="C1000" t="s">
        <v>18</v>
      </c>
      <c r="D1000" t="s">
        <v>19</v>
      </c>
      <c r="E1000">
        <v>1.52</v>
      </c>
      <c r="F1000">
        <v>4.7</v>
      </c>
      <c r="G1000" s="8">
        <f t="shared" si="15"/>
        <v>19.404255319148938</v>
      </c>
    </row>
    <row r="1001" spans="1:7" x14ac:dyDescent="0.25">
      <c r="A1001" s="5">
        <v>45807.708333333336</v>
      </c>
      <c r="B1001">
        <v>14</v>
      </c>
      <c r="C1001" t="s">
        <v>19</v>
      </c>
      <c r="D1001" t="s">
        <v>20</v>
      </c>
      <c r="E1001">
        <v>1.51</v>
      </c>
      <c r="F1001">
        <v>4.33</v>
      </c>
      <c r="G1001" s="8">
        <f t="shared" si="15"/>
        <v>20.92378752886836</v>
      </c>
    </row>
    <row r="1002" spans="1:7" x14ac:dyDescent="0.25">
      <c r="A1002" s="5">
        <v>45807.708333333336</v>
      </c>
      <c r="B1002">
        <v>15</v>
      </c>
      <c r="C1002" t="s">
        <v>20</v>
      </c>
      <c r="D1002" t="s">
        <v>21</v>
      </c>
      <c r="E1002">
        <v>1.47</v>
      </c>
      <c r="F1002">
        <v>3.03</v>
      </c>
      <c r="G1002" s="8">
        <f t="shared" si="15"/>
        <v>29.108910891089113</v>
      </c>
    </row>
    <row r="1003" spans="1:7" x14ac:dyDescent="0.25">
      <c r="A1003" s="5">
        <v>45807.708333333336</v>
      </c>
      <c r="B1003">
        <v>16</v>
      </c>
      <c r="C1003" t="s">
        <v>21</v>
      </c>
      <c r="D1003" t="s">
        <v>22</v>
      </c>
      <c r="E1003">
        <v>1.5</v>
      </c>
      <c r="F1003">
        <v>2.63</v>
      </c>
      <c r="G1003" s="8">
        <f t="shared" si="15"/>
        <v>34.220532319391637</v>
      </c>
    </row>
    <row r="1004" spans="1:7" x14ac:dyDescent="0.25">
      <c r="A1004" s="5">
        <v>45807.708333333336</v>
      </c>
      <c r="B1004">
        <v>17</v>
      </c>
      <c r="C1004" t="s">
        <v>22</v>
      </c>
      <c r="D1004" t="s">
        <v>23</v>
      </c>
      <c r="E1004">
        <v>1.51</v>
      </c>
      <c r="F1004">
        <v>3.93</v>
      </c>
      <c r="G1004" s="8">
        <f t="shared" si="15"/>
        <v>23.053435114503813</v>
      </c>
    </row>
    <row r="1005" spans="1:7" x14ac:dyDescent="0.25">
      <c r="A1005" s="5">
        <v>45807.708333333336</v>
      </c>
      <c r="B1005">
        <v>18</v>
      </c>
      <c r="C1005" t="s">
        <v>23</v>
      </c>
      <c r="D1005" t="s">
        <v>24</v>
      </c>
      <c r="E1005">
        <v>1.51</v>
      </c>
      <c r="F1005">
        <v>3.75</v>
      </c>
      <c r="G1005" s="8">
        <f t="shared" si="15"/>
        <v>24.16</v>
      </c>
    </row>
    <row r="1006" spans="1:7" x14ac:dyDescent="0.25">
      <c r="A1006" s="5">
        <v>45807.708333333336</v>
      </c>
      <c r="B1006">
        <v>19</v>
      </c>
      <c r="C1006" t="s">
        <v>25</v>
      </c>
      <c r="D1006" t="s">
        <v>26</v>
      </c>
      <c r="E1006">
        <v>1.5</v>
      </c>
      <c r="F1006">
        <v>4.0999999999999996</v>
      </c>
      <c r="G1006" s="8">
        <f t="shared" si="15"/>
        <v>21.951219512195124</v>
      </c>
    </row>
    <row r="1007" spans="1:7" x14ac:dyDescent="0.25">
      <c r="A1007" s="5">
        <v>45807.708333333336</v>
      </c>
      <c r="B1007">
        <v>20</v>
      </c>
      <c r="C1007" t="s">
        <v>26</v>
      </c>
      <c r="D1007" t="s">
        <v>27</v>
      </c>
      <c r="E1007">
        <v>1.48</v>
      </c>
      <c r="F1007">
        <v>3.72</v>
      </c>
      <c r="G1007" s="8">
        <f t="shared" si="15"/>
        <v>23.87096774193548</v>
      </c>
    </row>
    <row r="1008" spans="1:7" x14ac:dyDescent="0.25">
      <c r="A1008" s="5">
        <v>45807.708333333336</v>
      </c>
      <c r="B1008">
        <v>21</v>
      </c>
      <c r="C1008" t="s">
        <v>27</v>
      </c>
      <c r="D1008" t="s">
        <v>28</v>
      </c>
      <c r="E1008">
        <v>1.51</v>
      </c>
      <c r="F1008">
        <v>4.5999999999999996</v>
      </c>
      <c r="G1008" s="8">
        <f t="shared" si="15"/>
        <v>19.695652173913043</v>
      </c>
    </row>
    <row r="1009" spans="1:7" x14ac:dyDescent="0.25">
      <c r="A1009" s="5">
        <v>45807.708333333336</v>
      </c>
      <c r="B1009">
        <v>22</v>
      </c>
      <c r="C1009" t="s">
        <v>28</v>
      </c>
      <c r="D1009" t="s">
        <v>29</v>
      </c>
      <c r="E1009">
        <v>1.57</v>
      </c>
      <c r="F1009">
        <v>3.97</v>
      </c>
      <c r="G1009" s="8">
        <f t="shared" si="15"/>
        <v>23.727959697732999</v>
      </c>
    </row>
    <row r="1010" spans="1:7" x14ac:dyDescent="0.25">
      <c r="A1010" s="5">
        <v>45807.708333333336</v>
      </c>
      <c r="B1010">
        <v>23</v>
      </c>
      <c r="C1010" t="s">
        <v>29</v>
      </c>
      <c r="D1010" t="s">
        <v>30</v>
      </c>
      <c r="E1010">
        <v>1.43</v>
      </c>
      <c r="F1010">
        <v>5.5</v>
      </c>
      <c r="G1010" s="8">
        <f t="shared" si="15"/>
        <v>15.6</v>
      </c>
    </row>
    <row r="1011" spans="1:7" x14ac:dyDescent="0.25">
      <c r="A1011" s="5">
        <v>45807.708333333336</v>
      </c>
      <c r="B1011">
        <v>24</v>
      </c>
      <c r="C1011" t="s">
        <v>30</v>
      </c>
      <c r="D1011" t="s">
        <v>31</v>
      </c>
      <c r="E1011">
        <v>1.52</v>
      </c>
      <c r="F1011">
        <v>4.5</v>
      </c>
      <c r="G1011" s="8">
        <f t="shared" si="15"/>
        <v>20.266666666666666</v>
      </c>
    </row>
    <row r="1012" spans="1:7" x14ac:dyDescent="0.25">
      <c r="A1012" s="5">
        <v>45807.708333333336</v>
      </c>
      <c r="B1012">
        <v>25</v>
      </c>
      <c r="C1012" t="s">
        <v>31</v>
      </c>
      <c r="D1012" t="s">
        <v>32</v>
      </c>
      <c r="E1012">
        <v>1.52</v>
      </c>
      <c r="F1012">
        <v>4.67</v>
      </c>
      <c r="G1012" s="8">
        <f t="shared" si="15"/>
        <v>19.528907922912207</v>
      </c>
    </row>
    <row r="1013" spans="1:7" x14ac:dyDescent="0.25">
      <c r="A1013" s="5">
        <v>45807.708333333336</v>
      </c>
      <c r="B1013">
        <v>26</v>
      </c>
      <c r="C1013" t="s">
        <v>32</v>
      </c>
      <c r="D1013" t="s">
        <v>33</v>
      </c>
      <c r="E1013">
        <v>1.49</v>
      </c>
      <c r="F1013">
        <v>5.15</v>
      </c>
      <c r="G1013" s="8">
        <f t="shared" si="15"/>
        <v>17.359223300970875</v>
      </c>
    </row>
    <row r="1014" spans="1:7" x14ac:dyDescent="0.25">
      <c r="A1014" s="5">
        <v>45807.708333333336</v>
      </c>
      <c r="B1014">
        <v>27</v>
      </c>
      <c r="C1014" t="s">
        <v>33</v>
      </c>
      <c r="D1014" t="s">
        <v>34</v>
      </c>
      <c r="E1014">
        <v>1.53</v>
      </c>
      <c r="F1014">
        <v>4.75</v>
      </c>
      <c r="G1014" s="8">
        <f t="shared" si="15"/>
        <v>19.326315789473682</v>
      </c>
    </row>
    <row r="1015" spans="1:7" x14ac:dyDescent="0.25">
      <c r="A1015" s="5">
        <v>45807.708333333336</v>
      </c>
      <c r="B1015">
        <v>28</v>
      </c>
      <c r="C1015" t="s">
        <v>34</v>
      </c>
      <c r="D1015" t="s">
        <v>35</v>
      </c>
      <c r="E1015">
        <v>1.51</v>
      </c>
      <c r="F1015">
        <v>4.6500000000000004</v>
      </c>
      <c r="G1015" s="8">
        <f t="shared" si="15"/>
        <v>19.483870967741932</v>
      </c>
    </row>
    <row r="1016" spans="1:7" x14ac:dyDescent="0.25">
      <c r="A1016" s="5">
        <v>45807.708333333336</v>
      </c>
      <c r="B1016">
        <v>29</v>
      </c>
      <c r="C1016" t="s">
        <v>36</v>
      </c>
      <c r="D1016" t="s">
        <v>37</v>
      </c>
      <c r="E1016">
        <v>1.57</v>
      </c>
      <c r="F1016">
        <v>4.5999999999999996</v>
      </c>
      <c r="G1016" s="8">
        <f t="shared" si="15"/>
        <v>20.478260869565219</v>
      </c>
    </row>
    <row r="1017" spans="1:7" x14ac:dyDescent="0.25">
      <c r="A1017" s="5">
        <v>45807.708333333336</v>
      </c>
      <c r="B1017">
        <v>30</v>
      </c>
      <c r="C1017" t="s">
        <v>37</v>
      </c>
      <c r="D1017" t="s">
        <v>38</v>
      </c>
      <c r="E1017">
        <v>1.57</v>
      </c>
      <c r="F1017">
        <v>4.55</v>
      </c>
      <c r="G1017" s="8">
        <f t="shared" si="15"/>
        <v>20.703296703296704</v>
      </c>
    </row>
    <row r="1018" spans="1:7" x14ac:dyDescent="0.25">
      <c r="A1018" s="5">
        <v>45807.708333333336</v>
      </c>
      <c r="B1018">
        <v>31</v>
      </c>
      <c r="C1018" t="s">
        <v>38</v>
      </c>
      <c r="D1018" t="s">
        <v>39</v>
      </c>
      <c r="E1018">
        <v>1.52</v>
      </c>
      <c r="F1018">
        <v>2.92</v>
      </c>
      <c r="G1018" s="8">
        <f t="shared" si="15"/>
        <v>31.232876712328768</v>
      </c>
    </row>
    <row r="1019" spans="1:7" x14ac:dyDescent="0.25">
      <c r="A1019" s="5">
        <v>45807.708333333336</v>
      </c>
      <c r="B1019">
        <v>32</v>
      </c>
      <c r="C1019" t="s">
        <v>39</v>
      </c>
      <c r="D1019" t="s">
        <v>40</v>
      </c>
      <c r="E1019">
        <v>1.5</v>
      </c>
      <c r="F1019">
        <v>1.82</v>
      </c>
      <c r="G1019" s="8">
        <f t="shared" si="15"/>
        <v>49.450549450549445</v>
      </c>
    </row>
    <row r="1020" spans="1:7" x14ac:dyDescent="0.25">
      <c r="A1020" s="5">
        <v>45807.708333333336</v>
      </c>
      <c r="B1020">
        <v>33</v>
      </c>
      <c r="C1020" t="s">
        <v>40</v>
      </c>
      <c r="D1020" t="s">
        <v>41</v>
      </c>
      <c r="E1020">
        <v>1.51</v>
      </c>
      <c r="F1020">
        <v>2.1</v>
      </c>
      <c r="G1020" s="8">
        <f t="shared" si="15"/>
        <v>43.142857142857139</v>
      </c>
    </row>
    <row r="1021" spans="1:7" x14ac:dyDescent="0.25">
      <c r="A1021" s="5">
        <v>45807.708333333336</v>
      </c>
      <c r="B1021">
        <v>34</v>
      </c>
      <c r="C1021" t="s">
        <v>41</v>
      </c>
      <c r="D1021" t="s">
        <v>42</v>
      </c>
      <c r="E1021">
        <v>1.5</v>
      </c>
      <c r="F1021">
        <v>2.48</v>
      </c>
      <c r="G1021" s="8">
        <f t="shared" si="15"/>
        <v>36.29032258064516</v>
      </c>
    </row>
    <row r="1022" spans="1:7" x14ac:dyDescent="0.25">
      <c r="A1022" s="5">
        <v>45807.708333333336</v>
      </c>
      <c r="B1022">
        <v>35</v>
      </c>
      <c r="C1022" t="s">
        <v>43</v>
      </c>
      <c r="D1022" t="s">
        <v>44</v>
      </c>
      <c r="E1022">
        <v>1.55</v>
      </c>
      <c r="F1022">
        <v>4.0999999999999996</v>
      </c>
      <c r="G1022" s="8">
        <f t="shared" si="15"/>
        <v>22.682926829268293</v>
      </c>
    </row>
    <row r="1023" spans="1:7" x14ac:dyDescent="0.25">
      <c r="A1023" s="5">
        <v>45807.708333333336</v>
      </c>
      <c r="B1023">
        <v>36</v>
      </c>
      <c r="C1023" t="s">
        <v>44</v>
      </c>
      <c r="D1023" t="s">
        <v>45</v>
      </c>
      <c r="E1023">
        <v>1.5</v>
      </c>
      <c r="F1023">
        <v>3.42</v>
      </c>
      <c r="G1023" s="8">
        <f t="shared" si="15"/>
        <v>26.315789473684212</v>
      </c>
    </row>
    <row r="1024" spans="1:7" x14ac:dyDescent="0.25">
      <c r="A1024" s="5">
        <v>45807.708333333336</v>
      </c>
      <c r="B1024">
        <v>37</v>
      </c>
      <c r="C1024" t="s">
        <v>45</v>
      </c>
      <c r="D1024" t="s">
        <v>46</v>
      </c>
      <c r="E1024">
        <v>1.38</v>
      </c>
      <c r="F1024">
        <v>5.03</v>
      </c>
      <c r="G1024" s="8">
        <f t="shared" si="15"/>
        <v>16.461232604373755</v>
      </c>
    </row>
    <row r="1025" spans="1:7" x14ac:dyDescent="0.25">
      <c r="A1025" s="5">
        <v>45807.708333333336</v>
      </c>
      <c r="B1025">
        <v>38</v>
      </c>
      <c r="C1025" t="s">
        <v>46</v>
      </c>
      <c r="D1025" t="s">
        <v>47</v>
      </c>
      <c r="E1025">
        <v>1.61</v>
      </c>
      <c r="F1025">
        <v>4.63</v>
      </c>
      <c r="G1025" s="8">
        <f t="shared" si="15"/>
        <v>20.863930885529161</v>
      </c>
    </row>
    <row r="1026" spans="1:7" x14ac:dyDescent="0.25">
      <c r="A1026" s="5">
        <v>45807.708333333336</v>
      </c>
      <c r="B1026">
        <v>39</v>
      </c>
      <c r="C1026" t="s">
        <v>47</v>
      </c>
      <c r="D1026" t="s">
        <v>48</v>
      </c>
      <c r="E1026">
        <v>1.55</v>
      </c>
      <c r="F1026">
        <v>3.8</v>
      </c>
      <c r="G1026" s="8">
        <f t="shared" si="15"/>
        <v>24.473684210526319</v>
      </c>
    </row>
    <row r="1027" spans="1:7" x14ac:dyDescent="0.25">
      <c r="A1027" s="5">
        <v>45807.708333333336</v>
      </c>
      <c r="B1027">
        <v>40</v>
      </c>
      <c r="C1027" t="s">
        <v>48</v>
      </c>
      <c r="D1027" t="s">
        <v>49</v>
      </c>
      <c r="E1027">
        <v>1.39</v>
      </c>
      <c r="F1027">
        <v>3.22</v>
      </c>
      <c r="G1027" s="8">
        <f t="shared" ref="G1027:G1090" si="16">E1027*60/F1027</f>
        <v>25.900621118012417</v>
      </c>
    </row>
    <row r="1028" spans="1:7" x14ac:dyDescent="0.25">
      <c r="A1028" s="5">
        <v>45807.708333333336</v>
      </c>
      <c r="B1028">
        <v>41</v>
      </c>
      <c r="C1028" t="s">
        <v>50</v>
      </c>
      <c r="D1028" t="s">
        <v>51</v>
      </c>
      <c r="E1028">
        <v>1.56</v>
      </c>
      <c r="F1028">
        <v>5.93</v>
      </c>
      <c r="G1028" s="8">
        <f t="shared" si="16"/>
        <v>15.784148397976393</v>
      </c>
    </row>
    <row r="1029" spans="1:7" x14ac:dyDescent="0.25">
      <c r="A1029" s="5">
        <v>45807.708333333336</v>
      </c>
      <c r="B1029">
        <v>42</v>
      </c>
      <c r="C1029" t="s">
        <v>51</v>
      </c>
      <c r="D1029" t="s">
        <v>52</v>
      </c>
      <c r="E1029">
        <v>1.56</v>
      </c>
      <c r="F1029">
        <v>4.43</v>
      </c>
      <c r="G1029" s="8">
        <f t="shared" si="16"/>
        <v>21.128668171557564</v>
      </c>
    </row>
    <row r="1030" spans="1:7" x14ac:dyDescent="0.25">
      <c r="A1030" s="5">
        <v>45807.708333333336</v>
      </c>
      <c r="B1030">
        <v>43</v>
      </c>
      <c r="C1030" t="s">
        <v>52</v>
      </c>
      <c r="D1030" t="s">
        <v>53</v>
      </c>
      <c r="E1030">
        <v>1.51</v>
      </c>
      <c r="F1030">
        <v>4.55</v>
      </c>
      <c r="G1030" s="8">
        <f t="shared" si="16"/>
        <v>19.912087912087912</v>
      </c>
    </row>
    <row r="1031" spans="1:7" x14ac:dyDescent="0.25">
      <c r="A1031" s="5">
        <v>45807.708333333336</v>
      </c>
      <c r="B1031">
        <v>44</v>
      </c>
      <c r="C1031" t="s">
        <v>54</v>
      </c>
      <c r="D1031" t="s">
        <v>55</v>
      </c>
      <c r="E1031">
        <v>1.51</v>
      </c>
      <c r="F1031">
        <v>4.62</v>
      </c>
      <c r="G1031" s="8">
        <f t="shared" si="16"/>
        <v>19.61038961038961</v>
      </c>
    </row>
    <row r="1032" spans="1:7" x14ac:dyDescent="0.25">
      <c r="A1032" s="5">
        <v>45807.708333333336</v>
      </c>
      <c r="B1032">
        <v>45</v>
      </c>
      <c r="C1032" t="s">
        <v>55</v>
      </c>
      <c r="D1032" t="s">
        <v>56</v>
      </c>
      <c r="E1032">
        <v>1.49</v>
      </c>
      <c r="F1032">
        <v>3.88</v>
      </c>
      <c r="G1032" s="8">
        <f t="shared" si="16"/>
        <v>23.041237113402065</v>
      </c>
    </row>
    <row r="1033" spans="1:7" x14ac:dyDescent="0.25">
      <c r="A1033" s="5">
        <v>45807.708333333336</v>
      </c>
      <c r="B1033">
        <v>46</v>
      </c>
      <c r="C1033" t="s">
        <v>56</v>
      </c>
      <c r="D1033" t="s">
        <v>57</v>
      </c>
      <c r="E1033">
        <v>1.52</v>
      </c>
      <c r="F1033">
        <v>4.25</v>
      </c>
      <c r="G1033" s="8">
        <f t="shared" si="16"/>
        <v>21.458823529411767</v>
      </c>
    </row>
    <row r="1034" spans="1:7" x14ac:dyDescent="0.25">
      <c r="A1034" s="5">
        <v>45807.708333333336</v>
      </c>
      <c r="B1034">
        <v>47</v>
      </c>
      <c r="C1034" t="s">
        <v>58</v>
      </c>
      <c r="D1034" t="s">
        <v>59</v>
      </c>
      <c r="E1034">
        <v>1.52</v>
      </c>
      <c r="F1034">
        <v>4.82</v>
      </c>
      <c r="G1034" s="8">
        <f t="shared" si="16"/>
        <v>18.921161825726141</v>
      </c>
    </row>
    <row r="1035" spans="1:7" x14ac:dyDescent="0.25">
      <c r="A1035" s="5">
        <v>45807.708333333336</v>
      </c>
      <c r="B1035">
        <v>48</v>
      </c>
      <c r="C1035" t="s">
        <v>59</v>
      </c>
      <c r="D1035" t="s">
        <v>60</v>
      </c>
      <c r="E1035">
        <v>1.5</v>
      </c>
      <c r="F1035">
        <v>4.37</v>
      </c>
      <c r="G1035" s="8">
        <f t="shared" si="16"/>
        <v>20.594965675057207</v>
      </c>
    </row>
    <row r="1036" spans="1:7" x14ac:dyDescent="0.25">
      <c r="A1036" s="5">
        <v>45807.708333333336</v>
      </c>
      <c r="B1036">
        <v>49</v>
      </c>
      <c r="C1036" t="s">
        <v>60</v>
      </c>
      <c r="D1036" t="s">
        <v>61</v>
      </c>
      <c r="E1036">
        <v>1.54</v>
      </c>
      <c r="F1036">
        <v>4.4800000000000004</v>
      </c>
      <c r="G1036" s="8">
        <f t="shared" si="16"/>
        <v>20.625</v>
      </c>
    </row>
    <row r="1037" spans="1:7" x14ac:dyDescent="0.25">
      <c r="A1037" s="5">
        <v>45807.708333333336</v>
      </c>
      <c r="B1037">
        <v>50</v>
      </c>
      <c r="C1037" t="s">
        <v>62</v>
      </c>
      <c r="D1037" t="s">
        <v>63</v>
      </c>
      <c r="E1037">
        <v>1.38</v>
      </c>
      <c r="F1037">
        <v>3.67</v>
      </c>
      <c r="G1037" s="8">
        <f t="shared" si="16"/>
        <v>22.561307901907355</v>
      </c>
    </row>
    <row r="1038" spans="1:7" x14ac:dyDescent="0.25">
      <c r="A1038" s="5">
        <v>45807.708333333336</v>
      </c>
      <c r="B1038">
        <v>51</v>
      </c>
      <c r="C1038" t="s">
        <v>63</v>
      </c>
      <c r="D1038" t="s">
        <v>64</v>
      </c>
      <c r="E1038">
        <v>2.79</v>
      </c>
      <c r="F1038">
        <v>5.98</v>
      </c>
      <c r="G1038" s="8">
        <f t="shared" si="16"/>
        <v>27.993311036789297</v>
      </c>
    </row>
    <row r="1039" spans="1:7" x14ac:dyDescent="0.25">
      <c r="A1039" s="5">
        <v>45807.708333333336</v>
      </c>
      <c r="B1039">
        <v>52</v>
      </c>
      <c r="C1039" t="s">
        <v>64</v>
      </c>
      <c r="D1039" t="s">
        <v>65</v>
      </c>
      <c r="E1039">
        <v>1.5</v>
      </c>
      <c r="F1039">
        <v>2.87</v>
      </c>
      <c r="G1039" s="8">
        <f t="shared" si="16"/>
        <v>31.358885017421603</v>
      </c>
    </row>
    <row r="1040" spans="1:7" x14ac:dyDescent="0.25">
      <c r="A1040" s="5">
        <v>45807.708333333336</v>
      </c>
      <c r="B1040">
        <v>53</v>
      </c>
      <c r="C1040" t="s">
        <v>65</v>
      </c>
      <c r="D1040" t="s">
        <v>66</v>
      </c>
      <c r="E1040">
        <v>1.46</v>
      </c>
      <c r="F1040">
        <v>3.9</v>
      </c>
      <c r="G1040" s="8">
        <f t="shared" si="16"/>
        <v>22.46153846153846</v>
      </c>
    </row>
    <row r="1041" spans="1:7" x14ac:dyDescent="0.25">
      <c r="A1041" s="5">
        <v>45807.708333333336</v>
      </c>
      <c r="B1041">
        <v>54</v>
      </c>
      <c r="C1041" t="s">
        <v>67</v>
      </c>
      <c r="D1041" t="s">
        <v>68</v>
      </c>
      <c r="E1041">
        <v>1.46</v>
      </c>
      <c r="F1041">
        <v>3.52</v>
      </c>
      <c r="G1041" s="8">
        <f t="shared" si="16"/>
        <v>24.886363636363633</v>
      </c>
    </row>
    <row r="1042" spans="1:7" x14ac:dyDescent="0.25">
      <c r="A1042" s="5">
        <v>45807.708333333336</v>
      </c>
      <c r="B1042">
        <v>55</v>
      </c>
      <c r="C1042" t="s">
        <v>68</v>
      </c>
      <c r="D1042" t="s">
        <v>69</v>
      </c>
      <c r="E1042">
        <v>1.5</v>
      </c>
      <c r="F1042">
        <v>2.33</v>
      </c>
      <c r="G1042" s="8">
        <f t="shared" si="16"/>
        <v>38.626609442060087</v>
      </c>
    </row>
    <row r="1043" spans="1:7" x14ac:dyDescent="0.25">
      <c r="A1043" s="5">
        <v>45807.708333333336</v>
      </c>
      <c r="B1043">
        <v>56</v>
      </c>
      <c r="C1043" t="s">
        <v>70</v>
      </c>
      <c r="D1043" t="s">
        <v>71</v>
      </c>
      <c r="E1043">
        <v>1.51</v>
      </c>
      <c r="F1043">
        <v>5.42</v>
      </c>
      <c r="G1043" s="8">
        <f t="shared" si="16"/>
        <v>16.715867158671585</v>
      </c>
    </row>
    <row r="1044" spans="1:7" x14ac:dyDescent="0.25">
      <c r="A1044" s="5">
        <v>45807.708333333336</v>
      </c>
      <c r="B1044">
        <v>57</v>
      </c>
      <c r="C1044" t="s">
        <v>71</v>
      </c>
      <c r="D1044" t="s">
        <v>72</v>
      </c>
      <c r="E1044">
        <v>1.52</v>
      </c>
      <c r="F1044">
        <v>4.67</v>
      </c>
      <c r="G1044" s="8">
        <f t="shared" si="16"/>
        <v>19.528907922912207</v>
      </c>
    </row>
    <row r="1045" spans="1:7" x14ac:dyDescent="0.25">
      <c r="A1045" s="5">
        <v>45807.708333333336</v>
      </c>
      <c r="B1045">
        <v>58</v>
      </c>
      <c r="C1045" t="s">
        <v>72</v>
      </c>
      <c r="D1045" t="s">
        <v>73</v>
      </c>
      <c r="E1045">
        <v>1.5</v>
      </c>
      <c r="F1045">
        <v>4.7</v>
      </c>
      <c r="G1045" s="8">
        <f t="shared" si="16"/>
        <v>19.148936170212764</v>
      </c>
    </row>
    <row r="1046" spans="1:7" x14ac:dyDescent="0.25">
      <c r="A1046" s="5">
        <v>45807.71875</v>
      </c>
      <c r="B1046">
        <v>1</v>
      </c>
      <c r="C1046" t="s">
        <v>6</v>
      </c>
      <c r="D1046" t="s">
        <v>7</v>
      </c>
      <c r="E1046">
        <v>1.53</v>
      </c>
      <c r="F1046">
        <v>3.48</v>
      </c>
      <c r="G1046" s="8">
        <f t="shared" si="16"/>
        <v>26.379310344827587</v>
      </c>
    </row>
    <row r="1047" spans="1:7" x14ac:dyDescent="0.25">
      <c r="A1047" s="5">
        <v>45807.71875</v>
      </c>
      <c r="B1047">
        <v>2</v>
      </c>
      <c r="C1047" t="s">
        <v>7</v>
      </c>
      <c r="D1047" t="s">
        <v>8</v>
      </c>
      <c r="E1047">
        <v>1.57</v>
      </c>
      <c r="F1047">
        <v>6.6</v>
      </c>
      <c r="G1047" s="8">
        <f t="shared" si="16"/>
        <v>14.272727272727273</v>
      </c>
    </row>
    <row r="1048" spans="1:7" x14ac:dyDescent="0.25">
      <c r="A1048" s="5">
        <v>45807.71875</v>
      </c>
      <c r="B1048">
        <v>3</v>
      </c>
      <c r="C1048" t="s">
        <v>8</v>
      </c>
      <c r="D1048" t="s">
        <v>9</v>
      </c>
      <c r="E1048">
        <v>1.5</v>
      </c>
      <c r="F1048">
        <v>3.6</v>
      </c>
      <c r="G1048" s="8">
        <f t="shared" si="16"/>
        <v>25</v>
      </c>
    </row>
    <row r="1049" spans="1:7" x14ac:dyDescent="0.25">
      <c r="A1049" s="5">
        <v>45807.71875</v>
      </c>
      <c r="B1049">
        <v>4</v>
      </c>
      <c r="C1049" t="s">
        <v>9</v>
      </c>
      <c r="D1049" t="s">
        <v>10</v>
      </c>
      <c r="E1049">
        <v>1.5</v>
      </c>
      <c r="F1049">
        <v>3.08</v>
      </c>
      <c r="G1049" s="8">
        <f t="shared" si="16"/>
        <v>29.220779220779221</v>
      </c>
    </row>
    <row r="1050" spans="1:7" x14ac:dyDescent="0.25">
      <c r="A1050" s="5">
        <v>45807.71875</v>
      </c>
      <c r="B1050">
        <v>5</v>
      </c>
      <c r="C1050" t="s">
        <v>10</v>
      </c>
      <c r="D1050" t="s">
        <v>11</v>
      </c>
      <c r="E1050">
        <v>1.52</v>
      </c>
      <c r="F1050">
        <v>4.05</v>
      </c>
      <c r="G1050" s="8">
        <f t="shared" si="16"/>
        <v>22.518518518518519</v>
      </c>
    </row>
    <row r="1051" spans="1:7" x14ac:dyDescent="0.25">
      <c r="A1051" s="5">
        <v>45807.71875</v>
      </c>
      <c r="B1051">
        <v>6</v>
      </c>
      <c r="C1051" t="s">
        <v>11</v>
      </c>
      <c r="D1051" t="s">
        <v>12</v>
      </c>
      <c r="E1051">
        <v>1.5</v>
      </c>
      <c r="F1051">
        <v>2.77</v>
      </c>
      <c r="G1051" s="8">
        <f t="shared" si="16"/>
        <v>32.490974729241877</v>
      </c>
    </row>
    <row r="1052" spans="1:7" x14ac:dyDescent="0.25">
      <c r="A1052" s="5">
        <v>45807.71875</v>
      </c>
      <c r="B1052">
        <v>7</v>
      </c>
      <c r="C1052" t="s">
        <v>12</v>
      </c>
      <c r="D1052" t="s">
        <v>13</v>
      </c>
      <c r="E1052">
        <v>1.54</v>
      </c>
      <c r="F1052">
        <v>2.7</v>
      </c>
      <c r="G1052" s="8">
        <f t="shared" si="16"/>
        <v>34.222222222222221</v>
      </c>
    </row>
    <row r="1053" spans="1:7" x14ac:dyDescent="0.25">
      <c r="A1053" s="5">
        <v>45807.71875</v>
      </c>
      <c r="B1053">
        <v>8</v>
      </c>
      <c r="C1053" t="s">
        <v>13</v>
      </c>
      <c r="D1053" t="s">
        <v>14</v>
      </c>
      <c r="E1053">
        <v>1.54</v>
      </c>
      <c r="F1053">
        <v>3.28</v>
      </c>
      <c r="G1053" s="8">
        <f t="shared" si="16"/>
        <v>28.170731707317078</v>
      </c>
    </row>
    <row r="1054" spans="1:7" x14ac:dyDescent="0.25">
      <c r="A1054" s="5">
        <v>45807.71875</v>
      </c>
      <c r="B1054">
        <v>9</v>
      </c>
      <c r="C1054" t="s">
        <v>14</v>
      </c>
      <c r="D1054" t="s">
        <v>15</v>
      </c>
      <c r="E1054">
        <v>1.52</v>
      </c>
      <c r="F1054">
        <v>3.55</v>
      </c>
      <c r="G1054" s="8">
        <f t="shared" si="16"/>
        <v>25.690140845070424</v>
      </c>
    </row>
    <row r="1055" spans="1:7" x14ac:dyDescent="0.25">
      <c r="A1055" s="5">
        <v>45807.71875</v>
      </c>
      <c r="B1055">
        <v>10</v>
      </c>
      <c r="C1055" t="s">
        <v>15</v>
      </c>
      <c r="D1055" t="s">
        <v>16</v>
      </c>
      <c r="E1055">
        <v>1.5</v>
      </c>
      <c r="F1055">
        <v>4.37</v>
      </c>
      <c r="G1055" s="8">
        <f t="shared" si="16"/>
        <v>20.594965675057207</v>
      </c>
    </row>
    <row r="1056" spans="1:7" x14ac:dyDescent="0.25">
      <c r="A1056" s="5">
        <v>45807.71875</v>
      </c>
      <c r="B1056">
        <v>11</v>
      </c>
      <c r="C1056" t="s">
        <v>16</v>
      </c>
      <c r="D1056" t="s">
        <v>17</v>
      </c>
      <c r="E1056">
        <v>1.48</v>
      </c>
      <c r="F1056">
        <v>3.85</v>
      </c>
      <c r="G1056" s="8">
        <f t="shared" si="16"/>
        <v>23.064935064935064</v>
      </c>
    </row>
    <row r="1057" spans="1:7" x14ac:dyDescent="0.25">
      <c r="A1057" s="5">
        <v>45807.71875</v>
      </c>
      <c r="B1057">
        <v>12</v>
      </c>
      <c r="C1057" t="s">
        <v>17</v>
      </c>
      <c r="D1057" t="s">
        <v>18</v>
      </c>
      <c r="E1057">
        <v>1.46</v>
      </c>
      <c r="F1057">
        <v>4.25</v>
      </c>
      <c r="G1057" s="8">
        <f t="shared" si="16"/>
        <v>20.611764705882351</v>
      </c>
    </row>
    <row r="1058" spans="1:7" x14ac:dyDescent="0.25">
      <c r="A1058" s="5">
        <v>45807.71875</v>
      </c>
      <c r="B1058">
        <v>13</v>
      </c>
      <c r="C1058" t="s">
        <v>18</v>
      </c>
      <c r="D1058" t="s">
        <v>19</v>
      </c>
      <c r="E1058">
        <v>1.52</v>
      </c>
      <c r="F1058">
        <v>4.4800000000000004</v>
      </c>
      <c r="G1058" s="8">
        <f t="shared" si="16"/>
        <v>20.357142857142854</v>
      </c>
    </row>
    <row r="1059" spans="1:7" x14ac:dyDescent="0.25">
      <c r="A1059" s="5">
        <v>45807.71875</v>
      </c>
      <c r="B1059">
        <v>14</v>
      </c>
      <c r="C1059" t="s">
        <v>19</v>
      </c>
      <c r="D1059" t="s">
        <v>20</v>
      </c>
      <c r="E1059">
        <v>1.51</v>
      </c>
      <c r="F1059">
        <v>5.55</v>
      </c>
      <c r="G1059" s="8">
        <f t="shared" si="16"/>
        <v>16.324324324324323</v>
      </c>
    </row>
    <row r="1060" spans="1:7" x14ac:dyDescent="0.25">
      <c r="A1060" s="5">
        <v>45807.71875</v>
      </c>
      <c r="B1060">
        <v>15</v>
      </c>
      <c r="C1060" t="s">
        <v>20</v>
      </c>
      <c r="D1060" t="s">
        <v>21</v>
      </c>
      <c r="E1060">
        <v>1.47</v>
      </c>
      <c r="F1060">
        <v>3</v>
      </c>
      <c r="G1060" s="8">
        <f t="shared" si="16"/>
        <v>29.400000000000002</v>
      </c>
    </row>
    <row r="1061" spans="1:7" x14ac:dyDescent="0.25">
      <c r="A1061" s="5">
        <v>45807.71875</v>
      </c>
      <c r="B1061">
        <v>16</v>
      </c>
      <c r="C1061" t="s">
        <v>21</v>
      </c>
      <c r="D1061" t="s">
        <v>22</v>
      </c>
      <c r="E1061">
        <v>1.5</v>
      </c>
      <c r="F1061">
        <v>1.85</v>
      </c>
      <c r="G1061" s="8">
        <f t="shared" si="16"/>
        <v>48.648648648648646</v>
      </c>
    </row>
    <row r="1062" spans="1:7" x14ac:dyDescent="0.25">
      <c r="A1062" s="5">
        <v>45807.71875</v>
      </c>
      <c r="B1062">
        <v>17</v>
      </c>
      <c r="C1062" t="s">
        <v>22</v>
      </c>
      <c r="D1062" t="s">
        <v>23</v>
      </c>
      <c r="E1062">
        <v>1.51</v>
      </c>
      <c r="F1062">
        <v>3.35</v>
      </c>
      <c r="G1062" s="8">
        <f t="shared" si="16"/>
        <v>27.044776119402982</v>
      </c>
    </row>
    <row r="1063" spans="1:7" x14ac:dyDescent="0.25">
      <c r="A1063" s="5">
        <v>45807.71875</v>
      </c>
      <c r="B1063">
        <v>18</v>
      </c>
      <c r="C1063" t="s">
        <v>23</v>
      </c>
      <c r="D1063" t="s">
        <v>24</v>
      </c>
      <c r="E1063">
        <v>1.51</v>
      </c>
      <c r="F1063">
        <v>3.67</v>
      </c>
      <c r="G1063" s="8">
        <f t="shared" si="16"/>
        <v>24.686648501362395</v>
      </c>
    </row>
    <row r="1064" spans="1:7" x14ac:dyDescent="0.25">
      <c r="A1064" s="5">
        <v>45807.71875</v>
      </c>
      <c r="B1064">
        <v>19</v>
      </c>
      <c r="C1064" t="s">
        <v>25</v>
      </c>
      <c r="D1064" t="s">
        <v>26</v>
      </c>
      <c r="E1064">
        <v>1.5</v>
      </c>
      <c r="F1064">
        <v>3.98</v>
      </c>
      <c r="G1064" s="8">
        <f t="shared" si="16"/>
        <v>22.613065326633166</v>
      </c>
    </row>
    <row r="1065" spans="1:7" x14ac:dyDescent="0.25">
      <c r="A1065" s="5">
        <v>45807.71875</v>
      </c>
      <c r="B1065">
        <v>20</v>
      </c>
      <c r="C1065" t="s">
        <v>26</v>
      </c>
      <c r="D1065" t="s">
        <v>27</v>
      </c>
      <c r="E1065">
        <v>1.48</v>
      </c>
      <c r="F1065">
        <v>3.72</v>
      </c>
      <c r="G1065" s="8">
        <f t="shared" si="16"/>
        <v>23.87096774193548</v>
      </c>
    </row>
    <row r="1066" spans="1:7" x14ac:dyDescent="0.25">
      <c r="A1066" s="5">
        <v>45807.71875</v>
      </c>
      <c r="B1066">
        <v>21</v>
      </c>
      <c r="C1066" t="s">
        <v>27</v>
      </c>
      <c r="D1066" t="s">
        <v>28</v>
      </c>
      <c r="E1066">
        <v>1.51</v>
      </c>
      <c r="F1066">
        <v>4.2300000000000004</v>
      </c>
      <c r="G1066" s="8">
        <f t="shared" si="16"/>
        <v>21.418439716312054</v>
      </c>
    </row>
    <row r="1067" spans="1:7" x14ac:dyDescent="0.25">
      <c r="A1067" s="5">
        <v>45807.71875</v>
      </c>
      <c r="B1067">
        <v>22</v>
      </c>
      <c r="C1067" t="s">
        <v>28</v>
      </c>
      <c r="D1067" t="s">
        <v>29</v>
      </c>
      <c r="E1067">
        <v>1.57</v>
      </c>
      <c r="F1067">
        <v>4.12</v>
      </c>
      <c r="G1067" s="8">
        <f t="shared" si="16"/>
        <v>22.864077669902912</v>
      </c>
    </row>
    <row r="1068" spans="1:7" x14ac:dyDescent="0.25">
      <c r="A1068" s="5">
        <v>45807.71875</v>
      </c>
      <c r="B1068">
        <v>23</v>
      </c>
      <c r="C1068" t="s">
        <v>29</v>
      </c>
      <c r="D1068" t="s">
        <v>30</v>
      </c>
      <c r="E1068">
        <v>1.43</v>
      </c>
      <c r="F1068">
        <v>4.75</v>
      </c>
      <c r="G1068" s="8">
        <f t="shared" si="16"/>
        <v>18.063157894736843</v>
      </c>
    </row>
    <row r="1069" spans="1:7" x14ac:dyDescent="0.25">
      <c r="A1069" s="5">
        <v>45807.71875</v>
      </c>
      <c r="B1069">
        <v>24</v>
      </c>
      <c r="C1069" t="s">
        <v>30</v>
      </c>
      <c r="D1069" t="s">
        <v>31</v>
      </c>
      <c r="E1069">
        <v>1.52</v>
      </c>
      <c r="F1069">
        <v>4.3499999999999996</v>
      </c>
      <c r="G1069" s="8">
        <f t="shared" si="16"/>
        <v>20.965517241379313</v>
      </c>
    </row>
    <row r="1070" spans="1:7" x14ac:dyDescent="0.25">
      <c r="A1070" s="5">
        <v>45807.71875</v>
      </c>
      <c r="B1070">
        <v>25</v>
      </c>
      <c r="C1070" t="s">
        <v>31</v>
      </c>
      <c r="D1070" t="s">
        <v>32</v>
      </c>
      <c r="E1070">
        <v>1.52</v>
      </c>
      <c r="F1070">
        <v>5.35</v>
      </c>
      <c r="G1070" s="8">
        <f t="shared" si="16"/>
        <v>17.046728971962619</v>
      </c>
    </row>
    <row r="1071" spans="1:7" x14ac:dyDescent="0.25">
      <c r="A1071" s="5">
        <v>45807.71875</v>
      </c>
      <c r="B1071">
        <v>26</v>
      </c>
      <c r="C1071" t="s">
        <v>32</v>
      </c>
      <c r="D1071" t="s">
        <v>33</v>
      </c>
      <c r="E1071">
        <v>1.49</v>
      </c>
      <c r="F1071">
        <v>4.5</v>
      </c>
      <c r="G1071" s="8">
        <f t="shared" si="16"/>
        <v>19.866666666666667</v>
      </c>
    </row>
    <row r="1072" spans="1:7" x14ac:dyDescent="0.25">
      <c r="A1072" s="5">
        <v>45807.71875</v>
      </c>
      <c r="B1072">
        <v>27</v>
      </c>
      <c r="C1072" t="s">
        <v>33</v>
      </c>
      <c r="D1072" t="s">
        <v>34</v>
      </c>
      <c r="E1072">
        <v>1.53</v>
      </c>
      <c r="F1072">
        <v>4.7300000000000004</v>
      </c>
      <c r="G1072" s="8">
        <f t="shared" si="16"/>
        <v>19.408033826638476</v>
      </c>
    </row>
    <row r="1073" spans="1:7" x14ac:dyDescent="0.25">
      <c r="A1073" s="5">
        <v>45807.71875</v>
      </c>
      <c r="B1073">
        <v>28</v>
      </c>
      <c r="C1073" t="s">
        <v>34</v>
      </c>
      <c r="D1073" t="s">
        <v>35</v>
      </c>
      <c r="E1073">
        <v>1.51</v>
      </c>
      <c r="F1073">
        <v>4.58</v>
      </c>
      <c r="G1073" s="8">
        <f t="shared" si="16"/>
        <v>19.781659388646286</v>
      </c>
    </row>
    <row r="1074" spans="1:7" x14ac:dyDescent="0.25">
      <c r="A1074" s="5">
        <v>45807.71875</v>
      </c>
      <c r="B1074">
        <v>29</v>
      </c>
      <c r="C1074" t="s">
        <v>36</v>
      </c>
      <c r="D1074" t="s">
        <v>37</v>
      </c>
      <c r="E1074">
        <v>1.57</v>
      </c>
      <c r="F1074">
        <v>4.5999999999999996</v>
      </c>
      <c r="G1074" s="8">
        <f t="shared" si="16"/>
        <v>20.478260869565219</v>
      </c>
    </row>
    <row r="1075" spans="1:7" x14ac:dyDescent="0.25">
      <c r="A1075" s="5">
        <v>45807.71875</v>
      </c>
      <c r="B1075">
        <v>30</v>
      </c>
      <c r="C1075" t="s">
        <v>37</v>
      </c>
      <c r="D1075" t="s">
        <v>38</v>
      </c>
      <c r="E1075">
        <v>1.57</v>
      </c>
      <c r="F1075">
        <v>4.03</v>
      </c>
      <c r="G1075" s="8">
        <f t="shared" si="16"/>
        <v>23.374689826302728</v>
      </c>
    </row>
    <row r="1076" spans="1:7" x14ac:dyDescent="0.25">
      <c r="A1076" s="5">
        <v>45807.71875</v>
      </c>
      <c r="B1076">
        <v>31</v>
      </c>
      <c r="C1076" t="s">
        <v>38</v>
      </c>
      <c r="D1076" t="s">
        <v>39</v>
      </c>
      <c r="E1076">
        <v>1.52</v>
      </c>
      <c r="F1076">
        <v>2.75</v>
      </c>
      <c r="G1076" s="8">
        <f t="shared" si="16"/>
        <v>33.163636363636364</v>
      </c>
    </row>
    <row r="1077" spans="1:7" x14ac:dyDescent="0.25">
      <c r="A1077" s="5">
        <v>45807.71875</v>
      </c>
      <c r="B1077">
        <v>32</v>
      </c>
      <c r="C1077" t="s">
        <v>39</v>
      </c>
      <c r="D1077" t="s">
        <v>40</v>
      </c>
      <c r="E1077">
        <v>1.5</v>
      </c>
      <c r="F1077">
        <v>1.95</v>
      </c>
      <c r="G1077" s="8">
        <f t="shared" si="16"/>
        <v>46.153846153846153</v>
      </c>
    </row>
    <row r="1078" spans="1:7" x14ac:dyDescent="0.25">
      <c r="A1078" s="5">
        <v>45807.71875</v>
      </c>
      <c r="B1078">
        <v>33</v>
      </c>
      <c r="C1078" t="s">
        <v>40</v>
      </c>
      <c r="D1078" t="s">
        <v>41</v>
      </c>
      <c r="E1078">
        <v>1.51</v>
      </c>
      <c r="F1078">
        <v>2.33</v>
      </c>
      <c r="G1078" s="8">
        <f t="shared" si="16"/>
        <v>38.884120171673814</v>
      </c>
    </row>
    <row r="1079" spans="1:7" x14ac:dyDescent="0.25">
      <c r="A1079" s="5">
        <v>45807.71875</v>
      </c>
      <c r="B1079">
        <v>34</v>
      </c>
      <c r="C1079" t="s">
        <v>41</v>
      </c>
      <c r="D1079" t="s">
        <v>42</v>
      </c>
      <c r="E1079">
        <v>1.5</v>
      </c>
      <c r="F1079">
        <v>2.33</v>
      </c>
      <c r="G1079" s="8">
        <f t="shared" si="16"/>
        <v>38.626609442060087</v>
      </c>
    </row>
    <row r="1080" spans="1:7" x14ac:dyDescent="0.25">
      <c r="A1080" s="5">
        <v>45807.71875</v>
      </c>
      <c r="B1080">
        <v>35</v>
      </c>
      <c r="C1080" t="s">
        <v>43</v>
      </c>
      <c r="D1080" t="s">
        <v>44</v>
      </c>
      <c r="E1080">
        <v>1.55</v>
      </c>
      <c r="F1080">
        <v>4.28</v>
      </c>
      <c r="G1080" s="8">
        <f t="shared" si="16"/>
        <v>21.728971962616821</v>
      </c>
    </row>
    <row r="1081" spans="1:7" x14ac:dyDescent="0.25">
      <c r="A1081" s="5">
        <v>45807.71875</v>
      </c>
      <c r="B1081">
        <v>36</v>
      </c>
      <c r="C1081" t="s">
        <v>44</v>
      </c>
      <c r="D1081" t="s">
        <v>45</v>
      </c>
      <c r="E1081">
        <v>1.5</v>
      </c>
      <c r="F1081">
        <v>3.33</v>
      </c>
      <c r="G1081" s="8">
        <f t="shared" si="16"/>
        <v>27.027027027027028</v>
      </c>
    </row>
    <row r="1082" spans="1:7" x14ac:dyDescent="0.25">
      <c r="A1082" s="5">
        <v>45807.71875</v>
      </c>
      <c r="B1082">
        <v>37</v>
      </c>
      <c r="C1082" t="s">
        <v>45</v>
      </c>
      <c r="D1082" t="s">
        <v>46</v>
      </c>
      <c r="E1082">
        <v>1.38</v>
      </c>
      <c r="F1082">
        <v>4.7</v>
      </c>
      <c r="G1082" s="8">
        <f t="shared" si="16"/>
        <v>17.617021276595743</v>
      </c>
    </row>
    <row r="1083" spans="1:7" x14ac:dyDescent="0.25">
      <c r="A1083" s="5">
        <v>45807.71875</v>
      </c>
      <c r="B1083">
        <v>38</v>
      </c>
      <c r="C1083" t="s">
        <v>46</v>
      </c>
      <c r="D1083" t="s">
        <v>47</v>
      </c>
      <c r="E1083">
        <v>1.61</v>
      </c>
      <c r="F1083">
        <v>4.62</v>
      </c>
      <c r="G1083" s="8">
        <f t="shared" si="16"/>
        <v>20.90909090909091</v>
      </c>
    </row>
    <row r="1084" spans="1:7" x14ac:dyDescent="0.25">
      <c r="A1084" s="5">
        <v>45807.71875</v>
      </c>
      <c r="B1084">
        <v>39</v>
      </c>
      <c r="C1084" t="s">
        <v>47</v>
      </c>
      <c r="D1084" t="s">
        <v>48</v>
      </c>
      <c r="E1084">
        <v>1.55</v>
      </c>
      <c r="F1084">
        <v>3.82</v>
      </c>
      <c r="G1084" s="8">
        <f t="shared" si="16"/>
        <v>24.345549738219898</v>
      </c>
    </row>
    <row r="1085" spans="1:7" x14ac:dyDescent="0.25">
      <c r="A1085" s="5">
        <v>45807.71875</v>
      </c>
      <c r="B1085">
        <v>40</v>
      </c>
      <c r="C1085" t="s">
        <v>48</v>
      </c>
      <c r="D1085" t="s">
        <v>49</v>
      </c>
      <c r="E1085">
        <v>1.39</v>
      </c>
      <c r="F1085">
        <v>3.35</v>
      </c>
      <c r="G1085" s="8">
        <f t="shared" si="16"/>
        <v>24.8955223880597</v>
      </c>
    </row>
    <row r="1086" spans="1:7" x14ac:dyDescent="0.25">
      <c r="A1086" s="5">
        <v>45807.71875</v>
      </c>
      <c r="B1086">
        <v>41</v>
      </c>
      <c r="C1086" t="s">
        <v>50</v>
      </c>
      <c r="D1086" t="s">
        <v>51</v>
      </c>
      <c r="E1086">
        <v>1.56</v>
      </c>
      <c r="F1086">
        <v>5.82</v>
      </c>
      <c r="G1086" s="8">
        <f t="shared" si="16"/>
        <v>16.082474226804123</v>
      </c>
    </row>
    <row r="1087" spans="1:7" x14ac:dyDescent="0.25">
      <c r="A1087" s="5">
        <v>45807.71875</v>
      </c>
      <c r="B1087">
        <v>42</v>
      </c>
      <c r="C1087" t="s">
        <v>51</v>
      </c>
      <c r="D1087" t="s">
        <v>52</v>
      </c>
      <c r="E1087">
        <v>1.56</v>
      </c>
      <c r="F1087">
        <v>4.42</v>
      </c>
      <c r="G1087" s="8">
        <f t="shared" si="16"/>
        <v>21.176470588235297</v>
      </c>
    </row>
    <row r="1088" spans="1:7" x14ac:dyDescent="0.25">
      <c r="A1088" s="5">
        <v>45807.71875</v>
      </c>
      <c r="B1088">
        <v>43</v>
      </c>
      <c r="C1088" t="s">
        <v>52</v>
      </c>
      <c r="D1088" t="s">
        <v>53</v>
      </c>
      <c r="E1088">
        <v>1.51</v>
      </c>
      <c r="F1088">
        <v>5.12</v>
      </c>
      <c r="G1088" s="8">
        <f t="shared" si="16"/>
        <v>17.6953125</v>
      </c>
    </row>
    <row r="1089" spans="1:7" x14ac:dyDescent="0.25">
      <c r="A1089" s="5">
        <v>45807.71875</v>
      </c>
      <c r="B1089">
        <v>44</v>
      </c>
      <c r="C1089" t="s">
        <v>54</v>
      </c>
      <c r="D1089" t="s">
        <v>55</v>
      </c>
      <c r="E1089">
        <v>1.51</v>
      </c>
      <c r="F1089">
        <v>4.92</v>
      </c>
      <c r="G1089" s="8">
        <f t="shared" si="16"/>
        <v>18.414634146341463</v>
      </c>
    </row>
    <row r="1090" spans="1:7" x14ac:dyDescent="0.25">
      <c r="A1090" s="5">
        <v>45807.71875</v>
      </c>
      <c r="B1090">
        <v>45</v>
      </c>
      <c r="C1090" t="s">
        <v>55</v>
      </c>
      <c r="D1090" t="s">
        <v>56</v>
      </c>
      <c r="E1090">
        <v>1.49</v>
      </c>
      <c r="F1090">
        <v>3.97</v>
      </c>
      <c r="G1090" s="8">
        <f t="shared" si="16"/>
        <v>22.51889168765743</v>
      </c>
    </row>
    <row r="1091" spans="1:7" x14ac:dyDescent="0.25">
      <c r="A1091" s="5">
        <v>45807.71875</v>
      </c>
      <c r="B1091">
        <v>46</v>
      </c>
      <c r="C1091" t="s">
        <v>56</v>
      </c>
      <c r="D1091" t="s">
        <v>57</v>
      </c>
      <c r="E1091">
        <v>1.52</v>
      </c>
      <c r="F1091">
        <v>4.18</v>
      </c>
      <c r="G1091" s="8">
        <f t="shared" ref="G1091:G1154" si="17">E1091*60/F1091</f>
        <v>21.81818181818182</v>
      </c>
    </row>
    <row r="1092" spans="1:7" x14ac:dyDescent="0.25">
      <c r="A1092" s="5">
        <v>45807.71875</v>
      </c>
      <c r="B1092">
        <v>47</v>
      </c>
      <c r="C1092" t="s">
        <v>58</v>
      </c>
      <c r="D1092" t="s">
        <v>59</v>
      </c>
      <c r="E1092">
        <v>1.52</v>
      </c>
      <c r="F1092">
        <v>5.35</v>
      </c>
      <c r="G1092" s="8">
        <f t="shared" si="17"/>
        <v>17.046728971962619</v>
      </c>
    </row>
    <row r="1093" spans="1:7" x14ac:dyDescent="0.25">
      <c r="A1093" s="5">
        <v>45807.71875</v>
      </c>
      <c r="B1093">
        <v>48</v>
      </c>
      <c r="C1093" t="s">
        <v>59</v>
      </c>
      <c r="D1093" t="s">
        <v>60</v>
      </c>
      <c r="E1093">
        <v>1.5</v>
      </c>
      <c r="F1093">
        <v>4.75</v>
      </c>
      <c r="G1093" s="8">
        <f t="shared" si="17"/>
        <v>18.94736842105263</v>
      </c>
    </row>
    <row r="1094" spans="1:7" x14ac:dyDescent="0.25">
      <c r="A1094" s="5">
        <v>45807.71875</v>
      </c>
      <c r="B1094">
        <v>49</v>
      </c>
      <c r="C1094" t="s">
        <v>60</v>
      </c>
      <c r="D1094" t="s">
        <v>61</v>
      </c>
      <c r="E1094">
        <v>1.54</v>
      </c>
      <c r="F1094">
        <v>5.37</v>
      </c>
      <c r="G1094" s="8">
        <f t="shared" si="17"/>
        <v>17.206703910614525</v>
      </c>
    </row>
    <row r="1095" spans="1:7" x14ac:dyDescent="0.25">
      <c r="A1095" s="5">
        <v>45807.71875</v>
      </c>
      <c r="B1095">
        <v>50</v>
      </c>
      <c r="C1095" t="s">
        <v>62</v>
      </c>
      <c r="D1095" t="s">
        <v>63</v>
      </c>
      <c r="E1095">
        <v>1.38</v>
      </c>
      <c r="F1095">
        <v>3.6</v>
      </c>
      <c r="G1095" s="8">
        <f t="shared" si="17"/>
        <v>23</v>
      </c>
    </row>
    <row r="1096" spans="1:7" x14ac:dyDescent="0.25">
      <c r="A1096" s="5">
        <v>45807.71875</v>
      </c>
      <c r="B1096">
        <v>51</v>
      </c>
      <c r="C1096" t="s">
        <v>63</v>
      </c>
      <c r="D1096" t="s">
        <v>64</v>
      </c>
      <c r="E1096">
        <v>2.79</v>
      </c>
      <c r="F1096">
        <v>5.78</v>
      </c>
      <c r="G1096" s="8">
        <f t="shared" si="17"/>
        <v>28.961937716262977</v>
      </c>
    </row>
    <row r="1097" spans="1:7" x14ac:dyDescent="0.25">
      <c r="A1097" s="5">
        <v>45807.71875</v>
      </c>
      <c r="B1097">
        <v>52</v>
      </c>
      <c r="C1097" t="s">
        <v>64</v>
      </c>
      <c r="D1097" t="s">
        <v>65</v>
      </c>
      <c r="E1097">
        <v>1.5</v>
      </c>
      <c r="F1097">
        <v>2.93</v>
      </c>
      <c r="G1097" s="8">
        <f t="shared" si="17"/>
        <v>30.716723549488052</v>
      </c>
    </row>
    <row r="1098" spans="1:7" x14ac:dyDescent="0.25">
      <c r="A1098" s="5">
        <v>45807.71875</v>
      </c>
      <c r="B1098">
        <v>53</v>
      </c>
      <c r="C1098" t="s">
        <v>65</v>
      </c>
      <c r="D1098" t="s">
        <v>66</v>
      </c>
      <c r="E1098">
        <v>1.46</v>
      </c>
      <c r="F1098">
        <v>3.78</v>
      </c>
      <c r="G1098" s="8">
        <f t="shared" si="17"/>
        <v>23.174603174603174</v>
      </c>
    </row>
    <row r="1099" spans="1:7" x14ac:dyDescent="0.25">
      <c r="A1099" s="5">
        <v>45807.71875</v>
      </c>
      <c r="B1099">
        <v>54</v>
      </c>
      <c r="C1099" t="s">
        <v>67</v>
      </c>
      <c r="D1099" t="s">
        <v>68</v>
      </c>
      <c r="E1099">
        <v>1.46</v>
      </c>
      <c r="F1099">
        <v>3.07</v>
      </c>
      <c r="G1099" s="8">
        <f t="shared" si="17"/>
        <v>28.534201954397393</v>
      </c>
    </row>
    <row r="1100" spans="1:7" x14ac:dyDescent="0.25">
      <c r="A1100" s="5">
        <v>45807.71875</v>
      </c>
      <c r="B1100">
        <v>55</v>
      </c>
      <c r="C1100" t="s">
        <v>68</v>
      </c>
      <c r="D1100" t="s">
        <v>69</v>
      </c>
      <c r="E1100">
        <v>1.5</v>
      </c>
      <c r="F1100">
        <v>2.1800000000000002</v>
      </c>
      <c r="G1100" s="8">
        <f t="shared" si="17"/>
        <v>41.284403669724767</v>
      </c>
    </row>
    <row r="1101" spans="1:7" x14ac:dyDescent="0.25">
      <c r="A1101" s="5">
        <v>45807.71875</v>
      </c>
      <c r="B1101">
        <v>56</v>
      </c>
      <c r="C1101" t="s">
        <v>70</v>
      </c>
      <c r="D1101" t="s">
        <v>71</v>
      </c>
      <c r="E1101">
        <v>1.51</v>
      </c>
      <c r="F1101">
        <v>5.25</v>
      </c>
      <c r="G1101" s="8">
        <f t="shared" si="17"/>
        <v>17.257142857142856</v>
      </c>
    </row>
    <row r="1102" spans="1:7" x14ac:dyDescent="0.25">
      <c r="A1102" s="5">
        <v>45807.71875</v>
      </c>
      <c r="B1102">
        <v>57</v>
      </c>
      <c r="C1102" t="s">
        <v>71</v>
      </c>
      <c r="D1102" t="s">
        <v>72</v>
      </c>
      <c r="E1102">
        <v>1.52</v>
      </c>
      <c r="F1102">
        <v>4.7</v>
      </c>
      <c r="G1102" s="8">
        <f t="shared" si="17"/>
        <v>19.404255319148938</v>
      </c>
    </row>
    <row r="1103" spans="1:7" x14ac:dyDescent="0.25">
      <c r="A1103" s="5">
        <v>45807.71875</v>
      </c>
      <c r="B1103">
        <v>58</v>
      </c>
      <c r="C1103" t="s">
        <v>72</v>
      </c>
      <c r="D1103" t="s">
        <v>73</v>
      </c>
      <c r="E1103">
        <v>1.5</v>
      </c>
      <c r="F1103">
        <v>4.55</v>
      </c>
      <c r="G1103" s="8">
        <f t="shared" si="17"/>
        <v>19.780219780219781</v>
      </c>
    </row>
    <row r="1104" spans="1:7" x14ac:dyDescent="0.25">
      <c r="A1104" s="5">
        <v>45807.729166666664</v>
      </c>
      <c r="B1104">
        <v>1</v>
      </c>
      <c r="C1104" t="s">
        <v>6</v>
      </c>
      <c r="D1104" t="s">
        <v>7</v>
      </c>
      <c r="E1104">
        <v>1.53</v>
      </c>
      <c r="F1104">
        <v>3.38</v>
      </c>
      <c r="G1104" s="8">
        <f t="shared" si="17"/>
        <v>27.159763313609467</v>
      </c>
    </row>
    <row r="1105" spans="1:7" x14ac:dyDescent="0.25">
      <c r="A1105" s="5">
        <v>45807.729166666664</v>
      </c>
      <c r="B1105">
        <v>2</v>
      </c>
      <c r="C1105" t="s">
        <v>7</v>
      </c>
      <c r="D1105" t="s">
        <v>8</v>
      </c>
      <c r="E1105">
        <v>1.57</v>
      </c>
      <c r="F1105">
        <v>5.63</v>
      </c>
      <c r="G1105" s="8">
        <f t="shared" si="17"/>
        <v>16.731793960923625</v>
      </c>
    </row>
    <row r="1106" spans="1:7" x14ac:dyDescent="0.25">
      <c r="A1106" s="5">
        <v>45807.729166666664</v>
      </c>
      <c r="B1106">
        <v>3</v>
      </c>
      <c r="C1106" t="s">
        <v>8</v>
      </c>
      <c r="D1106" t="s">
        <v>9</v>
      </c>
      <c r="E1106">
        <v>1.5</v>
      </c>
      <c r="F1106">
        <v>3.68</v>
      </c>
      <c r="G1106" s="8">
        <f t="shared" si="17"/>
        <v>24.456521739130434</v>
      </c>
    </row>
    <row r="1107" spans="1:7" x14ac:dyDescent="0.25">
      <c r="A1107" s="5">
        <v>45807.729166666664</v>
      </c>
      <c r="B1107">
        <v>4</v>
      </c>
      <c r="C1107" t="s">
        <v>9</v>
      </c>
      <c r="D1107" t="s">
        <v>10</v>
      </c>
      <c r="E1107">
        <v>1.5</v>
      </c>
      <c r="F1107">
        <v>3.08</v>
      </c>
      <c r="G1107" s="8">
        <f t="shared" si="17"/>
        <v>29.220779220779221</v>
      </c>
    </row>
    <row r="1108" spans="1:7" x14ac:dyDescent="0.25">
      <c r="A1108" s="5">
        <v>45807.729166666664</v>
      </c>
      <c r="B1108">
        <v>5</v>
      </c>
      <c r="C1108" t="s">
        <v>10</v>
      </c>
      <c r="D1108" t="s">
        <v>11</v>
      </c>
      <c r="E1108">
        <v>1.52</v>
      </c>
      <c r="F1108">
        <v>4.18</v>
      </c>
      <c r="G1108" s="8">
        <f t="shared" si="17"/>
        <v>21.81818181818182</v>
      </c>
    </row>
    <row r="1109" spans="1:7" x14ac:dyDescent="0.25">
      <c r="A1109" s="5">
        <v>45807.729166666664</v>
      </c>
      <c r="B1109">
        <v>6</v>
      </c>
      <c r="C1109" t="s">
        <v>11</v>
      </c>
      <c r="D1109" t="s">
        <v>12</v>
      </c>
      <c r="E1109">
        <v>1.5</v>
      </c>
      <c r="F1109">
        <v>2.85</v>
      </c>
      <c r="G1109" s="8">
        <f t="shared" si="17"/>
        <v>31.578947368421051</v>
      </c>
    </row>
    <row r="1110" spans="1:7" x14ac:dyDescent="0.25">
      <c r="A1110" s="5">
        <v>45807.729166666664</v>
      </c>
      <c r="B1110">
        <v>7</v>
      </c>
      <c r="C1110" t="s">
        <v>12</v>
      </c>
      <c r="D1110" t="s">
        <v>13</v>
      </c>
      <c r="E1110">
        <v>1.54</v>
      </c>
      <c r="F1110">
        <v>2.73</v>
      </c>
      <c r="G1110" s="8">
        <f t="shared" si="17"/>
        <v>33.846153846153847</v>
      </c>
    </row>
    <row r="1111" spans="1:7" x14ac:dyDescent="0.25">
      <c r="A1111" s="5">
        <v>45807.729166666664</v>
      </c>
      <c r="B1111">
        <v>8</v>
      </c>
      <c r="C1111" t="s">
        <v>13</v>
      </c>
      <c r="D1111" t="s">
        <v>14</v>
      </c>
      <c r="E1111">
        <v>1.54</v>
      </c>
      <c r="F1111">
        <v>3.32</v>
      </c>
      <c r="G1111" s="8">
        <f t="shared" si="17"/>
        <v>27.831325301204821</v>
      </c>
    </row>
    <row r="1112" spans="1:7" x14ac:dyDescent="0.25">
      <c r="A1112" s="5">
        <v>45807.729166666664</v>
      </c>
      <c r="B1112">
        <v>9</v>
      </c>
      <c r="C1112" t="s">
        <v>14</v>
      </c>
      <c r="D1112" t="s">
        <v>15</v>
      </c>
      <c r="E1112">
        <v>1.52</v>
      </c>
      <c r="F1112">
        <v>3.6</v>
      </c>
      <c r="G1112" s="8">
        <f t="shared" si="17"/>
        <v>25.333333333333332</v>
      </c>
    </row>
    <row r="1113" spans="1:7" x14ac:dyDescent="0.25">
      <c r="A1113" s="5">
        <v>45807.729166666664</v>
      </c>
      <c r="B1113">
        <v>10</v>
      </c>
      <c r="C1113" t="s">
        <v>15</v>
      </c>
      <c r="D1113" t="s">
        <v>16</v>
      </c>
      <c r="E1113">
        <v>1.5</v>
      </c>
      <c r="F1113">
        <v>4.25</v>
      </c>
      <c r="G1113" s="8">
        <f t="shared" si="17"/>
        <v>21.176470588235293</v>
      </c>
    </row>
    <row r="1114" spans="1:7" x14ac:dyDescent="0.25">
      <c r="A1114" s="5">
        <v>45807.729166666664</v>
      </c>
      <c r="B1114">
        <v>11</v>
      </c>
      <c r="C1114" t="s">
        <v>16</v>
      </c>
      <c r="D1114" t="s">
        <v>17</v>
      </c>
      <c r="E1114">
        <v>1.48</v>
      </c>
      <c r="F1114">
        <v>3.43</v>
      </c>
      <c r="G1114" s="8">
        <f t="shared" si="17"/>
        <v>25.889212827988334</v>
      </c>
    </row>
    <row r="1115" spans="1:7" x14ac:dyDescent="0.25">
      <c r="A1115" s="5">
        <v>45807.729166666664</v>
      </c>
      <c r="B1115">
        <v>12</v>
      </c>
      <c r="C1115" t="s">
        <v>17</v>
      </c>
      <c r="D1115" t="s">
        <v>18</v>
      </c>
      <c r="E1115">
        <v>1.46</v>
      </c>
      <c r="F1115">
        <v>4.6500000000000004</v>
      </c>
      <c r="G1115" s="8">
        <f t="shared" si="17"/>
        <v>18.838709677419352</v>
      </c>
    </row>
    <row r="1116" spans="1:7" x14ac:dyDescent="0.25">
      <c r="A1116" s="5">
        <v>45807.729166666664</v>
      </c>
      <c r="B1116">
        <v>13</v>
      </c>
      <c r="C1116" t="s">
        <v>18</v>
      </c>
      <c r="D1116" t="s">
        <v>19</v>
      </c>
      <c r="E1116">
        <v>1.52</v>
      </c>
      <c r="F1116">
        <v>4.6500000000000004</v>
      </c>
      <c r="G1116" s="8">
        <f t="shared" si="17"/>
        <v>19.612903225806452</v>
      </c>
    </row>
    <row r="1117" spans="1:7" x14ac:dyDescent="0.25">
      <c r="A1117" s="5">
        <v>45807.729166666664</v>
      </c>
      <c r="B1117">
        <v>14</v>
      </c>
      <c r="C1117" t="s">
        <v>19</v>
      </c>
      <c r="D1117" t="s">
        <v>20</v>
      </c>
      <c r="E1117">
        <v>1.51</v>
      </c>
      <c r="F1117">
        <v>4.32</v>
      </c>
      <c r="G1117" s="8">
        <f t="shared" si="17"/>
        <v>20.972222222222218</v>
      </c>
    </row>
    <row r="1118" spans="1:7" x14ac:dyDescent="0.25">
      <c r="A1118" s="5">
        <v>45807.729166666664</v>
      </c>
      <c r="B1118">
        <v>15</v>
      </c>
      <c r="C1118" t="s">
        <v>20</v>
      </c>
      <c r="D1118" t="s">
        <v>21</v>
      </c>
      <c r="E1118">
        <v>1.47</v>
      </c>
      <c r="F1118">
        <v>2.93</v>
      </c>
      <c r="G1118" s="8">
        <f t="shared" si="17"/>
        <v>30.102389078498295</v>
      </c>
    </row>
    <row r="1119" spans="1:7" x14ac:dyDescent="0.25">
      <c r="A1119" s="5">
        <v>45807.729166666664</v>
      </c>
      <c r="B1119">
        <v>16</v>
      </c>
      <c r="C1119" t="s">
        <v>21</v>
      </c>
      <c r="D1119" t="s">
        <v>22</v>
      </c>
      <c r="E1119">
        <v>1.5</v>
      </c>
      <c r="F1119">
        <v>2.5299999999999998</v>
      </c>
      <c r="G1119" s="8">
        <f t="shared" si="17"/>
        <v>35.573122529644273</v>
      </c>
    </row>
    <row r="1120" spans="1:7" x14ac:dyDescent="0.25">
      <c r="A1120" s="5">
        <v>45807.729166666664</v>
      </c>
      <c r="B1120">
        <v>17</v>
      </c>
      <c r="C1120" t="s">
        <v>22</v>
      </c>
      <c r="D1120" t="s">
        <v>23</v>
      </c>
      <c r="E1120">
        <v>1.51</v>
      </c>
      <c r="F1120">
        <v>3.68</v>
      </c>
      <c r="G1120" s="8">
        <f t="shared" si="17"/>
        <v>24.619565217391301</v>
      </c>
    </row>
    <row r="1121" spans="1:7" x14ac:dyDescent="0.25">
      <c r="A1121" s="5">
        <v>45807.729166666664</v>
      </c>
      <c r="B1121">
        <v>18</v>
      </c>
      <c r="C1121" t="s">
        <v>23</v>
      </c>
      <c r="D1121" t="s">
        <v>24</v>
      </c>
      <c r="E1121">
        <v>1.51</v>
      </c>
      <c r="F1121">
        <v>3.73</v>
      </c>
      <c r="G1121" s="8">
        <f t="shared" si="17"/>
        <v>24.289544235924932</v>
      </c>
    </row>
    <row r="1122" spans="1:7" x14ac:dyDescent="0.25">
      <c r="A1122" s="5">
        <v>45807.729166666664</v>
      </c>
      <c r="B1122">
        <v>19</v>
      </c>
      <c r="C1122" t="s">
        <v>25</v>
      </c>
      <c r="D1122" t="s">
        <v>26</v>
      </c>
      <c r="E1122">
        <v>1.5</v>
      </c>
      <c r="F1122">
        <v>3.83</v>
      </c>
      <c r="G1122" s="8">
        <f t="shared" si="17"/>
        <v>23.49869451697128</v>
      </c>
    </row>
    <row r="1123" spans="1:7" x14ac:dyDescent="0.25">
      <c r="A1123" s="5">
        <v>45807.729166666664</v>
      </c>
      <c r="B1123">
        <v>20</v>
      </c>
      <c r="C1123" t="s">
        <v>26</v>
      </c>
      <c r="D1123" t="s">
        <v>27</v>
      </c>
      <c r="E1123">
        <v>1.48</v>
      </c>
      <c r="F1123">
        <v>3.58</v>
      </c>
      <c r="G1123" s="8">
        <f t="shared" si="17"/>
        <v>24.804469273743017</v>
      </c>
    </row>
    <row r="1124" spans="1:7" x14ac:dyDescent="0.25">
      <c r="A1124" s="5">
        <v>45807.729166666664</v>
      </c>
      <c r="B1124">
        <v>21</v>
      </c>
      <c r="C1124" t="s">
        <v>27</v>
      </c>
      <c r="D1124" t="s">
        <v>28</v>
      </c>
      <c r="E1124">
        <v>1.51</v>
      </c>
      <c r="F1124">
        <v>3.78</v>
      </c>
      <c r="G1124" s="8">
        <f t="shared" si="17"/>
        <v>23.968253968253968</v>
      </c>
    </row>
    <row r="1125" spans="1:7" x14ac:dyDescent="0.25">
      <c r="A1125" s="5">
        <v>45807.729166666664</v>
      </c>
      <c r="B1125">
        <v>22</v>
      </c>
      <c r="C1125" t="s">
        <v>28</v>
      </c>
      <c r="D1125" t="s">
        <v>29</v>
      </c>
      <c r="E1125">
        <v>1.57</v>
      </c>
      <c r="F1125">
        <v>3.7</v>
      </c>
      <c r="G1125" s="8">
        <f t="shared" si="17"/>
        <v>25.45945945945946</v>
      </c>
    </row>
    <row r="1126" spans="1:7" x14ac:dyDescent="0.25">
      <c r="A1126" s="5">
        <v>45807.729166666664</v>
      </c>
      <c r="B1126">
        <v>23</v>
      </c>
      <c r="C1126" t="s">
        <v>29</v>
      </c>
      <c r="D1126" t="s">
        <v>30</v>
      </c>
      <c r="E1126">
        <v>1.43</v>
      </c>
      <c r="F1126">
        <v>4.93</v>
      </c>
      <c r="G1126" s="8">
        <f t="shared" si="17"/>
        <v>17.403651115618661</v>
      </c>
    </row>
    <row r="1127" spans="1:7" x14ac:dyDescent="0.25">
      <c r="A1127" s="5">
        <v>45807.729166666664</v>
      </c>
      <c r="B1127">
        <v>24</v>
      </c>
      <c r="C1127" t="s">
        <v>30</v>
      </c>
      <c r="D1127" t="s">
        <v>31</v>
      </c>
      <c r="E1127">
        <v>1.52</v>
      </c>
      <c r="F1127">
        <v>4.1500000000000004</v>
      </c>
      <c r="G1127" s="8">
        <f t="shared" si="17"/>
        <v>21.975903614457831</v>
      </c>
    </row>
    <row r="1128" spans="1:7" x14ac:dyDescent="0.25">
      <c r="A1128" s="5">
        <v>45807.729166666664</v>
      </c>
      <c r="B1128">
        <v>25</v>
      </c>
      <c r="C1128" t="s">
        <v>31</v>
      </c>
      <c r="D1128" t="s">
        <v>32</v>
      </c>
      <c r="E1128">
        <v>1.52</v>
      </c>
      <c r="F1128">
        <v>3.68</v>
      </c>
      <c r="G1128" s="8">
        <f t="shared" si="17"/>
        <v>24.782608695652172</v>
      </c>
    </row>
    <row r="1129" spans="1:7" x14ac:dyDescent="0.25">
      <c r="A1129" s="5">
        <v>45807.729166666664</v>
      </c>
      <c r="B1129">
        <v>26</v>
      </c>
      <c r="C1129" t="s">
        <v>32</v>
      </c>
      <c r="D1129" t="s">
        <v>33</v>
      </c>
      <c r="E1129">
        <v>1.49</v>
      </c>
      <c r="F1129">
        <v>6.2</v>
      </c>
      <c r="G1129" s="8">
        <f t="shared" si="17"/>
        <v>14.419354838709678</v>
      </c>
    </row>
    <row r="1130" spans="1:7" x14ac:dyDescent="0.25">
      <c r="A1130" s="5">
        <v>45807.729166666664</v>
      </c>
      <c r="B1130">
        <v>27</v>
      </c>
      <c r="C1130" t="s">
        <v>33</v>
      </c>
      <c r="D1130" t="s">
        <v>34</v>
      </c>
      <c r="E1130">
        <v>1.53</v>
      </c>
      <c r="F1130">
        <v>4.9000000000000004</v>
      </c>
      <c r="G1130" s="8">
        <f t="shared" si="17"/>
        <v>18.734693877551017</v>
      </c>
    </row>
    <row r="1131" spans="1:7" x14ac:dyDescent="0.25">
      <c r="A1131" s="5">
        <v>45807.729166666664</v>
      </c>
      <c r="B1131">
        <v>28</v>
      </c>
      <c r="C1131" t="s">
        <v>34</v>
      </c>
      <c r="D1131" t="s">
        <v>35</v>
      </c>
      <c r="E1131">
        <v>1.51</v>
      </c>
      <c r="F1131">
        <v>4.47</v>
      </c>
      <c r="G1131" s="8">
        <f t="shared" si="17"/>
        <v>20.268456375838927</v>
      </c>
    </row>
    <row r="1132" spans="1:7" x14ac:dyDescent="0.25">
      <c r="A1132" s="5">
        <v>45807.729166666664</v>
      </c>
      <c r="B1132">
        <v>29</v>
      </c>
      <c r="C1132" t="s">
        <v>36</v>
      </c>
      <c r="D1132" t="s">
        <v>37</v>
      </c>
      <c r="E1132">
        <v>1.57</v>
      </c>
      <c r="F1132">
        <v>4.4000000000000004</v>
      </c>
      <c r="G1132" s="8">
        <f t="shared" si="17"/>
        <v>21.409090909090907</v>
      </c>
    </row>
    <row r="1133" spans="1:7" x14ac:dyDescent="0.25">
      <c r="A1133" s="5">
        <v>45807.729166666664</v>
      </c>
      <c r="B1133">
        <v>30</v>
      </c>
      <c r="C1133" t="s">
        <v>37</v>
      </c>
      <c r="D1133" t="s">
        <v>38</v>
      </c>
      <c r="E1133">
        <v>1.57</v>
      </c>
      <c r="F1133">
        <v>4.12</v>
      </c>
      <c r="G1133" s="8">
        <f t="shared" si="17"/>
        <v>22.864077669902912</v>
      </c>
    </row>
    <row r="1134" spans="1:7" x14ac:dyDescent="0.25">
      <c r="A1134" s="5">
        <v>45807.729166666664</v>
      </c>
      <c r="B1134">
        <v>31</v>
      </c>
      <c r="C1134" t="s">
        <v>38</v>
      </c>
      <c r="D1134" t="s">
        <v>39</v>
      </c>
      <c r="E1134">
        <v>1.52</v>
      </c>
      <c r="F1134">
        <v>3.03</v>
      </c>
      <c r="G1134" s="8">
        <f t="shared" si="17"/>
        <v>30.099009900990101</v>
      </c>
    </row>
    <row r="1135" spans="1:7" x14ac:dyDescent="0.25">
      <c r="A1135" s="5">
        <v>45807.729166666664</v>
      </c>
      <c r="B1135">
        <v>32</v>
      </c>
      <c r="C1135" t="s">
        <v>39</v>
      </c>
      <c r="D1135" t="s">
        <v>40</v>
      </c>
      <c r="E1135">
        <v>1.5</v>
      </c>
      <c r="F1135">
        <v>1.92</v>
      </c>
      <c r="G1135" s="8">
        <f t="shared" si="17"/>
        <v>46.875</v>
      </c>
    </row>
    <row r="1136" spans="1:7" x14ac:dyDescent="0.25">
      <c r="A1136" s="5">
        <v>45807.729166666664</v>
      </c>
      <c r="B1136">
        <v>33</v>
      </c>
      <c r="C1136" t="s">
        <v>40</v>
      </c>
      <c r="D1136" t="s">
        <v>41</v>
      </c>
      <c r="E1136">
        <v>1.51</v>
      </c>
      <c r="F1136">
        <v>2.17</v>
      </c>
      <c r="G1136" s="8">
        <f t="shared" si="17"/>
        <v>41.751152073732719</v>
      </c>
    </row>
    <row r="1137" spans="1:7" x14ac:dyDescent="0.25">
      <c r="A1137" s="5">
        <v>45807.729166666664</v>
      </c>
      <c r="B1137">
        <v>34</v>
      </c>
      <c r="C1137" t="s">
        <v>41</v>
      </c>
      <c r="D1137" t="s">
        <v>42</v>
      </c>
      <c r="E1137">
        <v>1.5</v>
      </c>
      <c r="F1137">
        <v>2.2799999999999998</v>
      </c>
      <c r="G1137" s="8">
        <f t="shared" si="17"/>
        <v>39.473684210526322</v>
      </c>
    </row>
    <row r="1138" spans="1:7" x14ac:dyDescent="0.25">
      <c r="A1138" s="5">
        <v>45807.729166666664</v>
      </c>
      <c r="B1138">
        <v>35</v>
      </c>
      <c r="C1138" t="s">
        <v>43</v>
      </c>
      <c r="D1138" t="s">
        <v>44</v>
      </c>
      <c r="E1138">
        <v>1.55</v>
      </c>
      <c r="F1138">
        <v>4.4000000000000004</v>
      </c>
      <c r="G1138" s="8">
        <f t="shared" si="17"/>
        <v>21.136363636363633</v>
      </c>
    </row>
    <row r="1139" spans="1:7" x14ac:dyDescent="0.25">
      <c r="A1139" s="5">
        <v>45807.729166666664</v>
      </c>
      <c r="B1139">
        <v>36</v>
      </c>
      <c r="C1139" t="s">
        <v>44</v>
      </c>
      <c r="D1139" t="s">
        <v>45</v>
      </c>
      <c r="E1139">
        <v>1.5</v>
      </c>
      <c r="F1139">
        <v>3.47</v>
      </c>
      <c r="G1139" s="8">
        <f t="shared" si="17"/>
        <v>25.936599423631122</v>
      </c>
    </row>
    <row r="1140" spans="1:7" x14ac:dyDescent="0.25">
      <c r="A1140" s="5">
        <v>45807.729166666664</v>
      </c>
      <c r="B1140">
        <v>37</v>
      </c>
      <c r="C1140" t="s">
        <v>45</v>
      </c>
      <c r="D1140" t="s">
        <v>46</v>
      </c>
      <c r="E1140">
        <v>1.38</v>
      </c>
      <c r="F1140">
        <v>4.9000000000000004</v>
      </c>
      <c r="G1140" s="8">
        <f t="shared" si="17"/>
        <v>16.897959183673468</v>
      </c>
    </row>
    <row r="1141" spans="1:7" x14ac:dyDescent="0.25">
      <c r="A1141" s="5">
        <v>45807.729166666664</v>
      </c>
      <c r="B1141">
        <v>38</v>
      </c>
      <c r="C1141" t="s">
        <v>46</v>
      </c>
      <c r="D1141" t="s">
        <v>47</v>
      </c>
      <c r="E1141">
        <v>1.61</v>
      </c>
      <c r="F1141">
        <v>4.53</v>
      </c>
      <c r="G1141" s="8">
        <f t="shared" si="17"/>
        <v>21.32450331125828</v>
      </c>
    </row>
    <row r="1142" spans="1:7" x14ac:dyDescent="0.25">
      <c r="A1142" s="5">
        <v>45807.729166666664</v>
      </c>
      <c r="B1142">
        <v>39</v>
      </c>
      <c r="C1142" t="s">
        <v>47</v>
      </c>
      <c r="D1142" t="s">
        <v>48</v>
      </c>
      <c r="E1142">
        <v>1.55</v>
      </c>
      <c r="F1142">
        <v>3.63</v>
      </c>
      <c r="G1142" s="8">
        <f t="shared" si="17"/>
        <v>25.619834710743802</v>
      </c>
    </row>
    <row r="1143" spans="1:7" x14ac:dyDescent="0.25">
      <c r="A1143" s="5">
        <v>45807.729166666664</v>
      </c>
      <c r="B1143">
        <v>40</v>
      </c>
      <c r="C1143" t="s">
        <v>48</v>
      </c>
      <c r="D1143" t="s">
        <v>49</v>
      </c>
      <c r="E1143">
        <v>1.39</v>
      </c>
      <c r="F1143">
        <v>3.28</v>
      </c>
      <c r="G1143" s="8">
        <f t="shared" si="17"/>
        <v>25.426829268292682</v>
      </c>
    </row>
    <row r="1144" spans="1:7" x14ac:dyDescent="0.25">
      <c r="A1144" s="5">
        <v>45807.729166666664</v>
      </c>
      <c r="B1144">
        <v>41</v>
      </c>
      <c r="C1144" t="s">
        <v>50</v>
      </c>
      <c r="D1144" t="s">
        <v>51</v>
      </c>
      <c r="E1144">
        <v>1.56</v>
      </c>
      <c r="F1144">
        <v>5.27</v>
      </c>
      <c r="G1144" s="8">
        <f t="shared" si="17"/>
        <v>17.760910815939283</v>
      </c>
    </row>
    <row r="1145" spans="1:7" x14ac:dyDescent="0.25">
      <c r="A1145" s="5">
        <v>45807.729166666664</v>
      </c>
      <c r="B1145">
        <v>42</v>
      </c>
      <c r="C1145" t="s">
        <v>51</v>
      </c>
      <c r="D1145" t="s">
        <v>52</v>
      </c>
      <c r="E1145">
        <v>1.56</v>
      </c>
      <c r="F1145">
        <v>4.3499999999999996</v>
      </c>
      <c r="G1145" s="8">
        <f t="shared" si="17"/>
        <v>21.517241379310349</v>
      </c>
    </row>
    <row r="1146" spans="1:7" x14ac:dyDescent="0.25">
      <c r="A1146" s="5">
        <v>45807.729166666664</v>
      </c>
      <c r="B1146">
        <v>43</v>
      </c>
      <c r="C1146" t="s">
        <v>52</v>
      </c>
      <c r="D1146" t="s">
        <v>53</v>
      </c>
      <c r="E1146">
        <v>1.51</v>
      </c>
      <c r="F1146">
        <v>4.3</v>
      </c>
      <c r="G1146" s="8">
        <f t="shared" si="17"/>
        <v>21.069767441860463</v>
      </c>
    </row>
    <row r="1147" spans="1:7" x14ac:dyDescent="0.25">
      <c r="A1147" s="5">
        <v>45807.729166666664</v>
      </c>
      <c r="B1147">
        <v>44</v>
      </c>
      <c r="C1147" t="s">
        <v>54</v>
      </c>
      <c r="D1147" t="s">
        <v>55</v>
      </c>
      <c r="E1147">
        <v>1.51</v>
      </c>
      <c r="F1147">
        <v>4.8499999999999996</v>
      </c>
      <c r="G1147" s="8">
        <f t="shared" si="17"/>
        <v>18.680412371134022</v>
      </c>
    </row>
    <row r="1148" spans="1:7" x14ac:dyDescent="0.25">
      <c r="A1148" s="5">
        <v>45807.729166666664</v>
      </c>
      <c r="B1148">
        <v>45</v>
      </c>
      <c r="C1148" t="s">
        <v>55</v>
      </c>
      <c r="D1148" t="s">
        <v>56</v>
      </c>
      <c r="E1148">
        <v>1.49</v>
      </c>
      <c r="F1148">
        <v>4.2699999999999996</v>
      </c>
      <c r="G1148" s="8">
        <f t="shared" si="17"/>
        <v>20.936768149882909</v>
      </c>
    </row>
    <row r="1149" spans="1:7" x14ac:dyDescent="0.25">
      <c r="A1149" s="5">
        <v>45807.729166666664</v>
      </c>
      <c r="B1149">
        <v>46</v>
      </c>
      <c r="C1149" t="s">
        <v>56</v>
      </c>
      <c r="D1149" t="s">
        <v>57</v>
      </c>
      <c r="E1149">
        <v>1.52</v>
      </c>
      <c r="F1149">
        <v>3.9</v>
      </c>
      <c r="G1149" s="8">
        <f t="shared" si="17"/>
        <v>23.384615384615387</v>
      </c>
    </row>
    <row r="1150" spans="1:7" x14ac:dyDescent="0.25">
      <c r="A1150" s="5">
        <v>45807.729166666664</v>
      </c>
      <c r="B1150">
        <v>47</v>
      </c>
      <c r="C1150" t="s">
        <v>58</v>
      </c>
      <c r="D1150" t="s">
        <v>59</v>
      </c>
      <c r="E1150">
        <v>1.52</v>
      </c>
      <c r="F1150">
        <v>6.73</v>
      </c>
      <c r="G1150" s="8">
        <f t="shared" si="17"/>
        <v>13.551263001485884</v>
      </c>
    </row>
    <row r="1151" spans="1:7" x14ac:dyDescent="0.25">
      <c r="A1151" s="5">
        <v>45807.729166666664</v>
      </c>
      <c r="B1151">
        <v>48</v>
      </c>
      <c r="C1151" t="s">
        <v>59</v>
      </c>
      <c r="D1151" t="s">
        <v>60</v>
      </c>
      <c r="E1151">
        <v>1.5</v>
      </c>
      <c r="F1151">
        <v>4.05</v>
      </c>
      <c r="G1151" s="8">
        <f t="shared" si="17"/>
        <v>22.222222222222221</v>
      </c>
    </row>
    <row r="1152" spans="1:7" x14ac:dyDescent="0.25">
      <c r="A1152" s="5">
        <v>45807.729166666664</v>
      </c>
      <c r="B1152">
        <v>49</v>
      </c>
      <c r="C1152" t="s">
        <v>60</v>
      </c>
      <c r="D1152" t="s">
        <v>61</v>
      </c>
      <c r="E1152">
        <v>1.54</v>
      </c>
      <c r="F1152">
        <v>4.68</v>
      </c>
      <c r="G1152" s="8">
        <f t="shared" si="17"/>
        <v>19.743589743589745</v>
      </c>
    </row>
    <row r="1153" spans="1:7" x14ac:dyDescent="0.25">
      <c r="A1153" s="5">
        <v>45807.729166666664</v>
      </c>
      <c r="B1153">
        <v>50</v>
      </c>
      <c r="C1153" t="s">
        <v>62</v>
      </c>
      <c r="D1153" t="s">
        <v>63</v>
      </c>
      <c r="E1153">
        <v>1.38</v>
      </c>
      <c r="F1153">
        <v>3.55</v>
      </c>
      <c r="G1153" s="8">
        <f t="shared" si="17"/>
        <v>23.323943661971832</v>
      </c>
    </row>
    <row r="1154" spans="1:7" x14ac:dyDescent="0.25">
      <c r="A1154" s="5">
        <v>45807.729166666664</v>
      </c>
      <c r="B1154">
        <v>51</v>
      </c>
      <c r="C1154" t="s">
        <v>63</v>
      </c>
      <c r="D1154" t="s">
        <v>64</v>
      </c>
      <c r="E1154">
        <v>2.79</v>
      </c>
      <c r="F1154">
        <v>6.02</v>
      </c>
      <c r="G1154" s="8">
        <f t="shared" si="17"/>
        <v>27.807308970099669</v>
      </c>
    </row>
    <row r="1155" spans="1:7" x14ac:dyDescent="0.25">
      <c r="A1155" s="5">
        <v>45807.729166666664</v>
      </c>
      <c r="B1155">
        <v>52</v>
      </c>
      <c r="C1155" t="s">
        <v>64</v>
      </c>
      <c r="D1155" t="s">
        <v>65</v>
      </c>
      <c r="E1155">
        <v>1.5</v>
      </c>
      <c r="F1155">
        <v>2.87</v>
      </c>
      <c r="G1155" s="8">
        <f t="shared" ref="G1155:G1218" si="18">E1155*60/F1155</f>
        <v>31.358885017421603</v>
      </c>
    </row>
    <row r="1156" spans="1:7" x14ac:dyDescent="0.25">
      <c r="A1156" s="5">
        <v>45807.729166666664</v>
      </c>
      <c r="B1156">
        <v>53</v>
      </c>
      <c r="C1156" t="s">
        <v>65</v>
      </c>
      <c r="D1156" t="s">
        <v>66</v>
      </c>
      <c r="E1156">
        <v>1.46</v>
      </c>
      <c r="F1156">
        <v>3.75</v>
      </c>
      <c r="G1156" s="8">
        <f t="shared" si="18"/>
        <v>23.36</v>
      </c>
    </row>
    <row r="1157" spans="1:7" x14ac:dyDescent="0.25">
      <c r="A1157" s="5">
        <v>45807.729166666664</v>
      </c>
      <c r="B1157">
        <v>54</v>
      </c>
      <c r="C1157" t="s">
        <v>67</v>
      </c>
      <c r="D1157" t="s">
        <v>68</v>
      </c>
      <c r="E1157">
        <v>1.46</v>
      </c>
      <c r="F1157">
        <v>3.1</v>
      </c>
      <c r="G1157" s="8">
        <f t="shared" si="18"/>
        <v>28.258064516129028</v>
      </c>
    </row>
    <row r="1158" spans="1:7" x14ac:dyDescent="0.25">
      <c r="A1158" s="5">
        <v>45807.729166666664</v>
      </c>
      <c r="B1158">
        <v>55</v>
      </c>
      <c r="C1158" t="s">
        <v>68</v>
      </c>
      <c r="D1158" t="s">
        <v>69</v>
      </c>
      <c r="E1158">
        <v>1.5</v>
      </c>
      <c r="F1158">
        <v>2.35</v>
      </c>
      <c r="G1158" s="8">
        <f t="shared" si="18"/>
        <v>38.297872340425528</v>
      </c>
    </row>
    <row r="1159" spans="1:7" x14ac:dyDescent="0.25">
      <c r="A1159" s="5">
        <v>45807.729166666664</v>
      </c>
      <c r="B1159">
        <v>56</v>
      </c>
      <c r="C1159" t="s">
        <v>70</v>
      </c>
      <c r="D1159" t="s">
        <v>71</v>
      </c>
      <c r="E1159">
        <v>1.51</v>
      </c>
      <c r="F1159">
        <v>4.87</v>
      </c>
      <c r="G1159" s="8">
        <f t="shared" si="18"/>
        <v>18.603696098562626</v>
      </c>
    </row>
    <row r="1160" spans="1:7" x14ac:dyDescent="0.25">
      <c r="A1160" s="5">
        <v>45807.729166666664</v>
      </c>
      <c r="B1160">
        <v>57</v>
      </c>
      <c r="C1160" t="s">
        <v>71</v>
      </c>
      <c r="D1160" t="s">
        <v>72</v>
      </c>
      <c r="E1160">
        <v>1.52</v>
      </c>
      <c r="F1160">
        <v>4.4800000000000004</v>
      </c>
      <c r="G1160" s="8">
        <f t="shared" si="18"/>
        <v>20.357142857142854</v>
      </c>
    </row>
    <row r="1161" spans="1:7" x14ac:dyDescent="0.25">
      <c r="A1161" s="5">
        <v>45807.729166666664</v>
      </c>
      <c r="B1161">
        <v>58</v>
      </c>
      <c r="C1161" t="s">
        <v>72</v>
      </c>
      <c r="D1161" t="s">
        <v>73</v>
      </c>
      <c r="E1161">
        <v>1.5</v>
      </c>
      <c r="F1161">
        <v>4.58</v>
      </c>
      <c r="G1161" s="8">
        <f t="shared" si="18"/>
        <v>19.650655021834062</v>
      </c>
    </row>
    <row r="1162" spans="1:7" x14ac:dyDescent="0.25">
      <c r="A1162" s="5">
        <v>45807.739583333336</v>
      </c>
      <c r="B1162">
        <v>1</v>
      </c>
      <c r="C1162" t="s">
        <v>6</v>
      </c>
      <c r="D1162" t="s">
        <v>7</v>
      </c>
      <c r="E1162">
        <v>1.53</v>
      </c>
      <c r="F1162">
        <v>3.47</v>
      </c>
      <c r="G1162" s="8">
        <f t="shared" si="18"/>
        <v>26.455331412103742</v>
      </c>
    </row>
    <row r="1163" spans="1:7" x14ac:dyDescent="0.25">
      <c r="A1163" s="5">
        <v>45807.739583333336</v>
      </c>
      <c r="B1163">
        <v>2</v>
      </c>
      <c r="C1163" t="s">
        <v>7</v>
      </c>
      <c r="D1163" t="s">
        <v>8</v>
      </c>
      <c r="E1163">
        <v>1.57</v>
      </c>
      <c r="F1163">
        <v>5.88</v>
      </c>
      <c r="G1163" s="8">
        <f t="shared" si="18"/>
        <v>16.020408163265309</v>
      </c>
    </row>
    <row r="1164" spans="1:7" x14ac:dyDescent="0.25">
      <c r="A1164" s="5">
        <v>45807.739583333336</v>
      </c>
      <c r="B1164">
        <v>3</v>
      </c>
      <c r="C1164" t="s">
        <v>8</v>
      </c>
      <c r="D1164" t="s">
        <v>9</v>
      </c>
      <c r="E1164">
        <v>1.5</v>
      </c>
      <c r="F1164">
        <v>3.55</v>
      </c>
      <c r="G1164" s="8">
        <f t="shared" si="18"/>
        <v>25.35211267605634</v>
      </c>
    </row>
    <row r="1165" spans="1:7" x14ac:dyDescent="0.25">
      <c r="A1165" s="5">
        <v>45807.739583333336</v>
      </c>
      <c r="B1165">
        <v>4</v>
      </c>
      <c r="C1165" t="s">
        <v>9</v>
      </c>
      <c r="D1165" t="s">
        <v>10</v>
      </c>
      <c r="E1165">
        <v>1.5</v>
      </c>
      <c r="F1165">
        <v>3</v>
      </c>
      <c r="G1165" s="8">
        <f t="shared" si="18"/>
        <v>30</v>
      </c>
    </row>
    <row r="1166" spans="1:7" x14ac:dyDescent="0.25">
      <c r="A1166" s="5">
        <v>45807.739583333336</v>
      </c>
      <c r="B1166">
        <v>5</v>
      </c>
      <c r="C1166" t="s">
        <v>10</v>
      </c>
      <c r="D1166" t="s">
        <v>11</v>
      </c>
      <c r="E1166">
        <v>1.52</v>
      </c>
      <c r="F1166">
        <v>3.77</v>
      </c>
      <c r="G1166" s="8">
        <f t="shared" si="18"/>
        <v>24.190981432360743</v>
      </c>
    </row>
    <row r="1167" spans="1:7" x14ac:dyDescent="0.25">
      <c r="A1167" s="5">
        <v>45807.739583333336</v>
      </c>
      <c r="B1167">
        <v>6</v>
      </c>
      <c r="C1167" t="s">
        <v>11</v>
      </c>
      <c r="D1167" t="s">
        <v>12</v>
      </c>
      <c r="E1167">
        <v>1.5</v>
      </c>
      <c r="F1167">
        <v>2.77</v>
      </c>
      <c r="G1167" s="8">
        <f t="shared" si="18"/>
        <v>32.490974729241877</v>
      </c>
    </row>
    <row r="1168" spans="1:7" x14ac:dyDescent="0.25">
      <c r="A1168" s="5">
        <v>45807.739583333336</v>
      </c>
      <c r="B1168">
        <v>7</v>
      </c>
      <c r="C1168" t="s">
        <v>12</v>
      </c>
      <c r="D1168" t="s">
        <v>13</v>
      </c>
      <c r="E1168">
        <v>1.54</v>
      </c>
      <c r="F1168">
        <v>2.8</v>
      </c>
      <c r="G1168" s="8">
        <f t="shared" si="18"/>
        <v>33.000000000000007</v>
      </c>
    </row>
    <row r="1169" spans="1:7" x14ac:dyDescent="0.25">
      <c r="A1169" s="5">
        <v>45807.739583333336</v>
      </c>
      <c r="B1169">
        <v>8</v>
      </c>
      <c r="C1169" t="s">
        <v>13</v>
      </c>
      <c r="D1169" t="s">
        <v>14</v>
      </c>
      <c r="E1169">
        <v>1.54</v>
      </c>
      <c r="F1169">
        <v>3.27</v>
      </c>
      <c r="G1169" s="8">
        <f t="shared" si="18"/>
        <v>28.256880733944957</v>
      </c>
    </row>
    <row r="1170" spans="1:7" x14ac:dyDescent="0.25">
      <c r="A1170" s="5">
        <v>45807.739583333336</v>
      </c>
      <c r="B1170">
        <v>9</v>
      </c>
      <c r="C1170" t="s">
        <v>14</v>
      </c>
      <c r="D1170" t="s">
        <v>15</v>
      </c>
      <c r="E1170">
        <v>1.52</v>
      </c>
      <c r="F1170">
        <v>3.47</v>
      </c>
      <c r="G1170" s="8">
        <f t="shared" si="18"/>
        <v>26.282420749279538</v>
      </c>
    </row>
    <row r="1171" spans="1:7" x14ac:dyDescent="0.25">
      <c r="A1171" s="5">
        <v>45807.739583333336</v>
      </c>
      <c r="B1171">
        <v>10</v>
      </c>
      <c r="C1171" t="s">
        <v>15</v>
      </c>
      <c r="D1171" t="s">
        <v>16</v>
      </c>
      <c r="E1171">
        <v>1.5</v>
      </c>
      <c r="F1171">
        <v>4.0199999999999996</v>
      </c>
      <c r="G1171" s="8">
        <f t="shared" si="18"/>
        <v>22.388059701492541</v>
      </c>
    </row>
    <row r="1172" spans="1:7" x14ac:dyDescent="0.25">
      <c r="A1172" s="5">
        <v>45807.739583333336</v>
      </c>
      <c r="B1172">
        <v>11</v>
      </c>
      <c r="C1172" t="s">
        <v>16</v>
      </c>
      <c r="D1172" t="s">
        <v>17</v>
      </c>
      <c r="E1172">
        <v>1.48</v>
      </c>
      <c r="F1172">
        <v>3.83</v>
      </c>
      <c r="G1172" s="8">
        <f t="shared" si="18"/>
        <v>23.185378590078329</v>
      </c>
    </row>
    <row r="1173" spans="1:7" x14ac:dyDescent="0.25">
      <c r="A1173" s="5">
        <v>45807.739583333336</v>
      </c>
      <c r="B1173">
        <v>12</v>
      </c>
      <c r="C1173" t="s">
        <v>17</v>
      </c>
      <c r="D1173" t="s">
        <v>18</v>
      </c>
      <c r="E1173">
        <v>1.46</v>
      </c>
      <c r="F1173">
        <v>5.67</v>
      </c>
      <c r="G1173" s="8">
        <f t="shared" si="18"/>
        <v>15.449735449735449</v>
      </c>
    </row>
    <row r="1174" spans="1:7" x14ac:dyDescent="0.25">
      <c r="A1174" s="5">
        <v>45807.739583333336</v>
      </c>
      <c r="B1174">
        <v>13</v>
      </c>
      <c r="C1174" t="s">
        <v>18</v>
      </c>
      <c r="D1174" t="s">
        <v>19</v>
      </c>
      <c r="E1174">
        <v>1.52</v>
      </c>
      <c r="F1174">
        <v>5.52</v>
      </c>
      <c r="G1174" s="8">
        <f t="shared" si="18"/>
        <v>16.521739130434785</v>
      </c>
    </row>
    <row r="1175" spans="1:7" x14ac:dyDescent="0.25">
      <c r="A1175" s="5">
        <v>45807.739583333336</v>
      </c>
      <c r="B1175">
        <v>14</v>
      </c>
      <c r="C1175" t="s">
        <v>19</v>
      </c>
      <c r="D1175" t="s">
        <v>20</v>
      </c>
      <c r="E1175">
        <v>1.51</v>
      </c>
      <c r="F1175">
        <v>4.67</v>
      </c>
      <c r="G1175" s="8">
        <f t="shared" si="18"/>
        <v>19.400428265524624</v>
      </c>
    </row>
    <row r="1176" spans="1:7" x14ac:dyDescent="0.25">
      <c r="A1176" s="5">
        <v>45807.739583333336</v>
      </c>
      <c r="B1176">
        <v>15</v>
      </c>
      <c r="C1176" t="s">
        <v>20</v>
      </c>
      <c r="D1176" t="s">
        <v>21</v>
      </c>
      <c r="E1176">
        <v>1.47</v>
      </c>
      <c r="F1176">
        <v>3.5</v>
      </c>
      <c r="G1176" s="8">
        <f t="shared" si="18"/>
        <v>25.2</v>
      </c>
    </row>
    <row r="1177" spans="1:7" x14ac:dyDescent="0.25">
      <c r="A1177" s="5">
        <v>45807.739583333336</v>
      </c>
      <c r="B1177">
        <v>16</v>
      </c>
      <c r="C1177" t="s">
        <v>21</v>
      </c>
      <c r="D1177" t="s">
        <v>22</v>
      </c>
      <c r="E1177">
        <v>1.5</v>
      </c>
      <c r="F1177">
        <v>2.52</v>
      </c>
      <c r="G1177" s="8">
        <f t="shared" si="18"/>
        <v>35.714285714285715</v>
      </c>
    </row>
    <row r="1178" spans="1:7" x14ac:dyDescent="0.25">
      <c r="A1178" s="5">
        <v>45807.739583333336</v>
      </c>
      <c r="B1178">
        <v>17</v>
      </c>
      <c r="C1178" t="s">
        <v>22</v>
      </c>
      <c r="D1178" t="s">
        <v>23</v>
      </c>
      <c r="E1178">
        <v>1.51</v>
      </c>
      <c r="F1178">
        <v>3.8</v>
      </c>
      <c r="G1178" s="8">
        <f t="shared" si="18"/>
        <v>23.842105263157894</v>
      </c>
    </row>
    <row r="1179" spans="1:7" x14ac:dyDescent="0.25">
      <c r="A1179" s="5">
        <v>45807.739583333336</v>
      </c>
      <c r="B1179">
        <v>18</v>
      </c>
      <c r="C1179" t="s">
        <v>23</v>
      </c>
      <c r="D1179" t="s">
        <v>24</v>
      </c>
      <c r="E1179">
        <v>1.51</v>
      </c>
      <c r="F1179">
        <v>3.75</v>
      </c>
      <c r="G1179" s="8">
        <f t="shared" si="18"/>
        <v>24.16</v>
      </c>
    </row>
    <row r="1180" spans="1:7" x14ac:dyDescent="0.25">
      <c r="A1180" s="5">
        <v>45807.739583333336</v>
      </c>
      <c r="B1180">
        <v>19</v>
      </c>
      <c r="C1180" t="s">
        <v>25</v>
      </c>
      <c r="D1180" t="s">
        <v>26</v>
      </c>
      <c r="E1180">
        <v>1.5</v>
      </c>
      <c r="F1180">
        <v>3.65</v>
      </c>
      <c r="G1180" s="8">
        <f t="shared" si="18"/>
        <v>24.657534246575342</v>
      </c>
    </row>
    <row r="1181" spans="1:7" x14ac:dyDescent="0.25">
      <c r="A1181" s="5">
        <v>45807.739583333336</v>
      </c>
      <c r="B1181">
        <v>20</v>
      </c>
      <c r="C1181" t="s">
        <v>26</v>
      </c>
      <c r="D1181" t="s">
        <v>27</v>
      </c>
      <c r="E1181">
        <v>1.48</v>
      </c>
      <c r="F1181">
        <v>3.73</v>
      </c>
      <c r="G1181" s="8">
        <f t="shared" si="18"/>
        <v>23.806970509383376</v>
      </c>
    </row>
    <row r="1182" spans="1:7" x14ac:dyDescent="0.25">
      <c r="A1182" s="5">
        <v>45807.739583333336</v>
      </c>
      <c r="B1182">
        <v>21</v>
      </c>
      <c r="C1182" t="s">
        <v>27</v>
      </c>
      <c r="D1182" t="s">
        <v>28</v>
      </c>
      <c r="E1182">
        <v>1.51</v>
      </c>
      <c r="F1182">
        <v>4.2300000000000004</v>
      </c>
      <c r="G1182" s="8">
        <f t="shared" si="18"/>
        <v>21.418439716312054</v>
      </c>
    </row>
    <row r="1183" spans="1:7" x14ac:dyDescent="0.25">
      <c r="A1183" s="5">
        <v>45807.739583333336</v>
      </c>
      <c r="B1183">
        <v>22</v>
      </c>
      <c r="C1183" t="s">
        <v>28</v>
      </c>
      <c r="D1183" t="s">
        <v>29</v>
      </c>
      <c r="E1183">
        <v>1.57</v>
      </c>
      <c r="F1183">
        <v>4</v>
      </c>
      <c r="G1183" s="8">
        <f t="shared" si="18"/>
        <v>23.55</v>
      </c>
    </row>
    <row r="1184" spans="1:7" x14ac:dyDescent="0.25">
      <c r="A1184" s="5">
        <v>45807.739583333336</v>
      </c>
      <c r="B1184">
        <v>23</v>
      </c>
      <c r="C1184" t="s">
        <v>29</v>
      </c>
      <c r="D1184" t="s">
        <v>30</v>
      </c>
      <c r="E1184">
        <v>1.43</v>
      </c>
      <c r="F1184">
        <v>5.93</v>
      </c>
      <c r="G1184" s="8">
        <f t="shared" si="18"/>
        <v>14.468802698145026</v>
      </c>
    </row>
    <row r="1185" spans="1:7" x14ac:dyDescent="0.25">
      <c r="A1185" s="5">
        <v>45807.739583333336</v>
      </c>
      <c r="B1185">
        <v>24</v>
      </c>
      <c r="C1185" t="s">
        <v>30</v>
      </c>
      <c r="D1185" t="s">
        <v>31</v>
      </c>
      <c r="E1185">
        <v>1.52</v>
      </c>
      <c r="F1185">
        <v>4.6500000000000004</v>
      </c>
      <c r="G1185" s="8">
        <f t="shared" si="18"/>
        <v>19.612903225806452</v>
      </c>
    </row>
    <row r="1186" spans="1:7" x14ac:dyDescent="0.25">
      <c r="A1186" s="5">
        <v>45807.739583333336</v>
      </c>
      <c r="B1186">
        <v>25</v>
      </c>
      <c r="C1186" t="s">
        <v>31</v>
      </c>
      <c r="D1186" t="s">
        <v>32</v>
      </c>
      <c r="E1186">
        <v>1.52</v>
      </c>
      <c r="F1186">
        <v>4.3499999999999996</v>
      </c>
      <c r="G1186" s="8">
        <f t="shared" si="18"/>
        <v>20.965517241379313</v>
      </c>
    </row>
    <row r="1187" spans="1:7" x14ac:dyDescent="0.25">
      <c r="A1187" s="5">
        <v>45807.739583333336</v>
      </c>
      <c r="B1187">
        <v>26</v>
      </c>
      <c r="C1187" t="s">
        <v>32</v>
      </c>
      <c r="D1187" t="s">
        <v>33</v>
      </c>
      <c r="E1187">
        <v>1.49</v>
      </c>
      <c r="F1187">
        <v>7.1</v>
      </c>
      <c r="G1187" s="8">
        <f t="shared" si="18"/>
        <v>12.59154929577465</v>
      </c>
    </row>
    <row r="1188" spans="1:7" x14ac:dyDescent="0.25">
      <c r="A1188" s="5">
        <v>45807.739583333336</v>
      </c>
      <c r="B1188">
        <v>27</v>
      </c>
      <c r="C1188" t="s">
        <v>33</v>
      </c>
      <c r="D1188" t="s">
        <v>34</v>
      </c>
      <c r="E1188">
        <v>1.53</v>
      </c>
      <c r="F1188">
        <v>4.5199999999999996</v>
      </c>
      <c r="G1188" s="8">
        <f t="shared" si="18"/>
        <v>20.309734513274339</v>
      </c>
    </row>
    <row r="1189" spans="1:7" x14ac:dyDescent="0.25">
      <c r="A1189" s="5">
        <v>45807.739583333336</v>
      </c>
      <c r="B1189">
        <v>28</v>
      </c>
      <c r="C1189" t="s">
        <v>34</v>
      </c>
      <c r="D1189" t="s">
        <v>35</v>
      </c>
      <c r="E1189">
        <v>1.51</v>
      </c>
      <c r="F1189">
        <v>4.42</v>
      </c>
      <c r="G1189" s="8">
        <f t="shared" si="18"/>
        <v>20.497737556561084</v>
      </c>
    </row>
    <row r="1190" spans="1:7" x14ac:dyDescent="0.25">
      <c r="A1190" s="5">
        <v>45807.739583333336</v>
      </c>
      <c r="B1190">
        <v>29</v>
      </c>
      <c r="C1190" t="s">
        <v>36</v>
      </c>
      <c r="D1190" t="s">
        <v>37</v>
      </c>
      <c r="E1190">
        <v>1.57</v>
      </c>
      <c r="F1190">
        <v>4.5</v>
      </c>
      <c r="G1190" s="8">
        <f t="shared" si="18"/>
        <v>20.933333333333334</v>
      </c>
    </row>
    <row r="1191" spans="1:7" x14ac:dyDescent="0.25">
      <c r="A1191" s="5">
        <v>45807.739583333336</v>
      </c>
      <c r="B1191">
        <v>30</v>
      </c>
      <c r="C1191" t="s">
        <v>37</v>
      </c>
      <c r="D1191" t="s">
        <v>38</v>
      </c>
      <c r="E1191">
        <v>1.57</v>
      </c>
      <c r="F1191">
        <v>4.25</v>
      </c>
      <c r="G1191" s="8">
        <f t="shared" si="18"/>
        <v>22.164705882352941</v>
      </c>
    </row>
    <row r="1192" spans="1:7" x14ac:dyDescent="0.25">
      <c r="A1192" s="5">
        <v>45807.739583333336</v>
      </c>
      <c r="B1192">
        <v>31</v>
      </c>
      <c r="C1192" t="s">
        <v>38</v>
      </c>
      <c r="D1192" t="s">
        <v>39</v>
      </c>
      <c r="E1192">
        <v>1.52</v>
      </c>
      <c r="F1192">
        <v>3.3</v>
      </c>
      <c r="G1192" s="8">
        <f t="shared" si="18"/>
        <v>27.63636363636364</v>
      </c>
    </row>
    <row r="1193" spans="1:7" x14ac:dyDescent="0.25">
      <c r="A1193" s="5">
        <v>45807.739583333336</v>
      </c>
      <c r="B1193">
        <v>32</v>
      </c>
      <c r="C1193" t="s">
        <v>39</v>
      </c>
      <c r="D1193" t="s">
        <v>40</v>
      </c>
      <c r="E1193">
        <v>1.5</v>
      </c>
      <c r="F1193">
        <v>2.23</v>
      </c>
      <c r="G1193" s="8">
        <f t="shared" si="18"/>
        <v>40.358744394618832</v>
      </c>
    </row>
    <row r="1194" spans="1:7" x14ac:dyDescent="0.25">
      <c r="A1194" s="5">
        <v>45807.739583333336</v>
      </c>
      <c r="B1194">
        <v>33</v>
      </c>
      <c r="C1194" t="s">
        <v>40</v>
      </c>
      <c r="D1194" t="s">
        <v>41</v>
      </c>
      <c r="E1194">
        <v>1.51</v>
      </c>
      <c r="F1194">
        <v>2.4300000000000002</v>
      </c>
      <c r="G1194" s="8">
        <f t="shared" si="18"/>
        <v>37.283950617283949</v>
      </c>
    </row>
    <row r="1195" spans="1:7" x14ac:dyDescent="0.25">
      <c r="A1195" s="5">
        <v>45807.739583333336</v>
      </c>
      <c r="B1195">
        <v>34</v>
      </c>
      <c r="C1195" t="s">
        <v>41</v>
      </c>
      <c r="D1195" t="s">
        <v>42</v>
      </c>
      <c r="E1195">
        <v>1.5</v>
      </c>
      <c r="F1195">
        <v>2.35</v>
      </c>
      <c r="G1195" s="8">
        <f t="shared" si="18"/>
        <v>38.297872340425528</v>
      </c>
    </row>
    <row r="1196" spans="1:7" x14ac:dyDescent="0.25">
      <c r="A1196" s="5">
        <v>45807.739583333336</v>
      </c>
      <c r="B1196">
        <v>35</v>
      </c>
      <c r="C1196" t="s">
        <v>43</v>
      </c>
      <c r="D1196" t="s">
        <v>44</v>
      </c>
      <c r="E1196">
        <v>1.55</v>
      </c>
      <c r="F1196">
        <v>4.9000000000000004</v>
      </c>
      <c r="G1196" s="8">
        <f t="shared" si="18"/>
        <v>18.979591836734691</v>
      </c>
    </row>
    <row r="1197" spans="1:7" x14ac:dyDescent="0.25">
      <c r="A1197" s="5">
        <v>45807.739583333336</v>
      </c>
      <c r="B1197">
        <v>36</v>
      </c>
      <c r="C1197" t="s">
        <v>44</v>
      </c>
      <c r="D1197" t="s">
        <v>45</v>
      </c>
      <c r="E1197">
        <v>1.5</v>
      </c>
      <c r="F1197">
        <v>3.8</v>
      </c>
      <c r="G1197" s="8">
        <f t="shared" si="18"/>
        <v>23.684210526315791</v>
      </c>
    </row>
    <row r="1198" spans="1:7" x14ac:dyDescent="0.25">
      <c r="A1198" s="5">
        <v>45807.739583333336</v>
      </c>
      <c r="B1198">
        <v>37</v>
      </c>
      <c r="C1198" t="s">
        <v>45</v>
      </c>
      <c r="D1198" t="s">
        <v>46</v>
      </c>
      <c r="E1198">
        <v>1.38</v>
      </c>
      <c r="F1198">
        <v>5.83</v>
      </c>
      <c r="G1198" s="8">
        <f t="shared" si="18"/>
        <v>14.202401372212693</v>
      </c>
    </row>
    <row r="1199" spans="1:7" x14ac:dyDescent="0.25">
      <c r="A1199" s="5">
        <v>45807.739583333336</v>
      </c>
      <c r="B1199">
        <v>38</v>
      </c>
      <c r="C1199" t="s">
        <v>46</v>
      </c>
      <c r="D1199" t="s">
        <v>47</v>
      </c>
      <c r="E1199">
        <v>1.61</v>
      </c>
      <c r="F1199">
        <v>4.67</v>
      </c>
      <c r="G1199" s="8">
        <f t="shared" si="18"/>
        <v>20.68522483940043</v>
      </c>
    </row>
    <row r="1200" spans="1:7" x14ac:dyDescent="0.25">
      <c r="A1200" s="5">
        <v>45807.739583333336</v>
      </c>
      <c r="B1200">
        <v>39</v>
      </c>
      <c r="C1200" t="s">
        <v>47</v>
      </c>
      <c r="D1200" t="s">
        <v>48</v>
      </c>
      <c r="E1200">
        <v>1.55</v>
      </c>
      <c r="F1200">
        <v>3.67</v>
      </c>
      <c r="G1200" s="8">
        <f t="shared" si="18"/>
        <v>25.340599455040874</v>
      </c>
    </row>
    <row r="1201" spans="1:7" x14ac:dyDescent="0.25">
      <c r="A1201" s="5">
        <v>45807.739583333336</v>
      </c>
      <c r="B1201">
        <v>40</v>
      </c>
      <c r="C1201" t="s">
        <v>48</v>
      </c>
      <c r="D1201" t="s">
        <v>49</v>
      </c>
      <c r="E1201">
        <v>1.39</v>
      </c>
      <c r="F1201">
        <v>3.22</v>
      </c>
      <c r="G1201" s="8">
        <f t="shared" si="18"/>
        <v>25.900621118012417</v>
      </c>
    </row>
    <row r="1202" spans="1:7" x14ac:dyDescent="0.25">
      <c r="A1202" s="5">
        <v>45807.739583333336</v>
      </c>
      <c r="B1202">
        <v>41</v>
      </c>
      <c r="C1202" t="s">
        <v>50</v>
      </c>
      <c r="D1202" t="s">
        <v>51</v>
      </c>
      <c r="E1202">
        <v>1.56</v>
      </c>
      <c r="F1202">
        <v>4.55</v>
      </c>
      <c r="G1202" s="8">
        <f t="shared" si="18"/>
        <v>20.571428571428573</v>
      </c>
    </row>
    <row r="1203" spans="1:7" x14ac:dyDescent="0.25">
      <c r="A1203" s="5">
        <v>45807.739583333336</v>
      </c>
      <c r="B1203">
        <v>42</v>
      </c>
      <c r="C1203" t="s">
        <v>51</v>
      </c>
      <c r="D1203" t="s">
        <v>52</v>
      </c>
      <c r="E1203">
        <v>1.56</v>
      </c>
      <c r="F1203">
        <v>4.68</v>
      </c>
      <c r="G1203" s="8">
        <f t="shared" si="18"/>
        <v>20.000000000000004</v>
      </c>
    </row>
    <row r="1204" spans="1:7" x14ac:dyDescent="0.25">
      <c r="A1204" s="5">
        <v>45807.739583333336</v>
      </c>
      <c r="B1204">
        <v>43</v>
      </c>
      <c r="C1204" t="s">
        <v>52</v>
      </c>
      <c r="D1204" t="s">
        <v>53</v>
      </c>
      <c r="E1204">
        <v>1.51</v>
      </c>
      <c r="F1204">
        <v>4.42</v>
      </c>
      <c r="G1204" s="8">
        <f t="shared" si="18"/>
        <v>20.497737556561084</v>
      </c>
    </row>
    <row r="1205" spans="1:7" x14ac:dyDescent="0.25">
      <c r="A1205" s="5">
        <v>45807.739583333336</v>
      </c>
      <c r="B1205">
        <v>44</v>
      </c>
      <c r="C1205" t="s">
        <v>54</v>
      </c>
      <c r="D1205" t="s">
        <v>55</v>
      </c>
      <c r="E1205">
        <v>1.51</v>
      </c>
      <c r="F1205">
        <v>4.7</v>
      </c>
      <c r="G1205" s="8">
        <f t="shared" si="18"/>
        <v>19.276595744680851</v>
      </c>
    </row>
    <row r="1206" spans="1:7" x14ac:dyDescent="0.25">
      <c r="A1206" s="5">
        <v>45807.739583333336</v>
      </c>
      <c r="B1206">
        <v>45</v>
      </c>
      <c r="C1206" t="s">
        <v>55</v>
      </c>
      <c r="D1206" t="s">
        <v>56</v>
      </c>
      <c r="E1206">
        <v>1.49</v>
      </c>
      <c r="F1206">
        <v>4.43</v>
      </c>
      <c r="G1206" s="8">
        <f t="shared" si="18"/>
        <v>20.180586907449211</v>
      </c>
    </row>
    <row r="1207" spans="1:7" x14ac:dyDescent="0.25">
      <c r="A1207" s="5">
        <v>45807.739583333336</v>
      </c>
      <c r="B1207">
        <v>46</v>
      </c>
      <c r="C1207" t="s">
        <v>56</v>
      </c>
      <c r="D1207" t="s">
        <v>57</v>
      </c>
      <c r="E1207">
        <v>1.52</v>
      </c>
      <c r="F1207">
        <v>4.87</v>
      </c>
      <c r="G1207" s="8">
        <f t="shared" si="18"/>
        <v>18.726899383983572</v>
      </c>
    </row>
    <row r="1208" spans="1:7" x14ac:dyDescent="0.25">
      <c r="A1208" s="5">
        <v>45807.739583333336</v>
      </c>
      <c r="B1208">
        <v>47</v>
      </c>
      <c r="C1208" t="s">
        <v>58</v>
      </c>
      <c r="D1208" t="s">
        <v>59</v>
      </c>
      <c r="E1208">
        <v>1.52</v>
      </c>
      <c r="F1208">
        <v>6.37</v>
      </c>
      <c r="G1208" s="8">
        <f t="shared" si="18"/>
        <v>14.317111459968602</v>
      </c>
    </row>
    <row r="1209" spans="1:7" x14ac:dyDescent="0.25">
      <c r="A1209" s="5">
        <v>45807.739583333336</v>
      </c>
      <c r="B1209">
        <v>48</v>
      </c>
      <c r="C1209" t="s">
        <v>59</v>
      </c>
      <c r="D1209" t="s">
        <v>60</v>
      </c>
      <c r="E1209">
        <v>1.5</v>
      </c>
      <c r="F1209">
        <v>4.62</v>
      </c>
      <c r="G1209" s="8">
        <f t="shared" si="18"/>
        <v>19.480519480519479</v>
      </c>
    </row>
    <row r="1210" spans="1:7" x14ac:dyDescent="0.25">
      <c r="A1210" s="5">
        <v>45807.739583333336</v>
      </c>
      <c r="B1210">
        <v>49</v>
      </c>
      <c r="C1210" t="s">
        <v>60</v>
      </c>
      <c r="D1210" t="s">
        <v>61</v>
      </c>
      <c r="E1210">
        <v>1.54</v>
      </c>
      <c r="F1210">
        <v>5.17</v>
      </c>
      <c r="G1210" s="8">
        <f t="shared" si="18"/>
        <v>17.872340425531917</v>
      </c>
    </row>
    <row r="1211" spans="1:7" x14ac:dyDescent="0.25">
      <c r="A1211" s="5">
        <v>45807.739583333336</v>
      </c>
      <c r="B1211">
        <v>50</v>
      </c>
      <c r="C1211" t="s">
        <v>62</v>
      </c>
      <c r="D1211" t="s">
        <v>63</v>
      </c>
      <c r="E1211">
        <v>1.38</v>
      </c>
      <c r="F1211">
        <v>3.62</v>
      </c>
      <c r="G1211" s="8">
        <f t="shared" si="18"/>
        <v>22.872928176795579</v>
      </c>
    </row>
    <row r="1212" spans="1:7" x14ac:dyDescent="0.25">
      <c r="A1212" s="5">
        <v>45807.739583333336</v>
      </c>
      <c r="B1212">
        <v>51</v>
      </c>
      <c r="C1212" t="s">
        <v>63</v>
      </c>
      <c r="D1212" t="s">
        <v>64</v>
      </c>
      <c r="E1212">
        <v>2.79</v>
      </c>
      <c r="F1212">
        <v>6.02</v>
      </c>
      <c r="G1212" s="8">
        <f t="shared" si="18"/>
        <v>27.807308970099669</v>
      </c>
    </row>
    <row r="1213" spans="1:7" x14ac:dyDescent="0.25">
      <c r="A1213" s="5">
        <v>45807.739583333336</v>
      </c>
      <c r="B1213">
        <v>52</v>
      </c>
      <c r="C1213" t="s">
        <v>64</v>
      </c>
      <c r="D1213" t="s">
        <v>65</v>
      </c>
      <c r="E1213">
        <v>1.5</v>
      </c>
      <c r="F1213">
        <v>2.92</v>
      </c>
      <c r="G1213" s="8">
        <f t="shared" si="18"/>
        <v>30.82191780821918</v>
      </c>
    </row>
    <row r="1214" spans="1:7" x14ac:dyDescent="0.25">
      <c r="A1214" s="5">
        <v>45807.739583333336</v>
      </c>
      <c r="B1214">
        <v>53</v>
      </c>
      <c r="C1214" t="s">
        <v>65</v>
      </c>
      <c r="D1214" t="s">
        <v>66</v>
      </c>
      <c r="E1214">
        <v>1.46</v>
      </c>
      <c r="F1214">
        <v>3.87</v>
      </c>
      <c r="G1214" s="8">
        <f t="shared" si="18"/>
        <v>22.63565891472868</v>
      </c>
    </row>
    <row r="1215" spans="1:7" x14ac:dyDescent="0.25">
      <c r="A1215" s="5">
        <v>45807.739583333336</v>
      </c>
      <c r="B1215">
        <v>54</v>
      </c>
      <c r="C1215" t="s">
        <v>67</v>
      </c>
      <c r="D1215" t="s">
        <v>68</v>
      </c>
      <c r="E1215">
        <v>1.46</v>
      </c>
      <c r="F1215">
        <v>3.48</v>
      </c>
      <c r="G1215" s="8">
        <f t="shared" si="18"/>
        <v>25.172413793103448</v>
      </c>
    </row>
    <row r="1216" spans="1:7" x14ac:dyDescent="0.25">
      <c r="A1216" s="5">
        <v>45807.739583333336</v>
      </c>
      <c r="B1216">
        <v>55</v>
      </c>
      <c r="C1216" t="s">
        <v>68</v>
      </c>
      <c r="D1216" t="s">
        <v>69</v>
      </c>
      <c r="E1216">
        <v>1.5</v>
      </c>
      <c r="F1216">
        <v>2.2200000000000002</v>
      </c>
      <c r="G1216" s="8">
        <f t="shared" si="18"/>
        <v>40.54054054054054</v>
      </c>
    </row>
    <row r="1217" spans="1:7" x14ac:dyDescent="0.25">
      <c r="A1217" s="5">
        <v>45807.739583333336</v>
      </c>
      <c r="B1217">
        <v>56</v>
      </c>
      <c r="C1217" t="s">
        <v>70</v>
      </c>
      <c r="D1217" t="s">
        <v>71</v>
      </c>
      <c r="E1217">
        <v>1.51</v>
      </c>
      <c r="F1217">
        <v>5.2</v>
      </c>
      <c r="G1217" s="8">
        <f t="shared" si="18"/>
        <v>17.42307692307692</v>
      </c>
    </row>
    <row r="1218" spans="1:7" x14ac:dyDescent="0.25">
      <c r="A1218" s="5">
        <v>45807.739583333336</v>
      </c>
      <c r="B1218">
        <v>57</v>
      </c>
      <c r="C1218" t="s">
        <v>71</v>
      </c>
      <c r="D1218" t="s">
        <v>72</v>
      </c>
      <c r="E1218">
        <v>1.52</v>
      </c>
      <c r="F1218">
        <v>5.75</v>
      </c>
      <c r="G1218" s="8">
        <f t="shared" si="18"/>
        <v>15.860869565217392</v>
      </c>
    </row>
    <row r="1219" spans="1:7" x14ac:dyDescent="0.25">
      <c r="A1219" s="5">
        <v>45807.739583333336</v>
      </c>
      <c r="B1219">
        <v>58</v>
      </c>
      <c r="C1219" t="s">
        <v>72</v>
      </c>
      <c r="D1219" t="s">
        <v>73</v>
      </c>
      <c r="E1219">
        <v>1.5</v>
      </c>
      <c r="F1219">
        <v>5.07</v>
      </c>
      <c r="G1219" s="8">
        <f t="shared" ref="G1219:G1282" si="19">E1219*60/F1219</f>
        <v>17.751479289940828</v>
      </c>
    </row>
    <row r="1220" spans="1:7" x14ac:dyDescent="0.25">
      <c r="A1220" s="5">
        <v>45807.75</v>
      </c>
      <c r="B1220">
        <v>1</v>
      </c>
      <c r="C1220" t="s">
        <v>6</v>
      </c>
      <c r="D1220" t="s">
        <v>7</v>
      </c>
      <c r="E1220">
        <v>1.53</v>
      </c>
      <c r="F1220">
        <v>3.5</v>
      </c>
      <c r="G1220" s="8">
        <f t="shared" si="19"/>
        <v>26.228571428571428</v>
      </c>
    </row>
    <row r="1221" spans="1:7" x14ac:dyDescent="0.25">
      <c r="A1221" s="5">
        <v>45807.75</v>
      </c>
      <c r="B1221">
        <v>2</v>
      </c>
      <c r="C1221" t="s">
        <v>7</v>
      </c>
      <c r="D1221" t="s">
        <v>8</v>
      </c>
      <c r="E1221">
        <v>1.57</v>
      </c>
      <c r="F1221">
        <v>6.68</v>
      </c>
      <c r="G1221" s="8">
        <f t="shared" si="19"/>
        <v>14.101796407185629</v>
      </c>
    </row>
    <row r="1222" spans="1:7" x14ac:dyDescent="0.25">
      <c r="A1222" s="5">
        <v>45807.75</v>
      </c>
      <c r="B1222">
        <v>3</v>
      </c>
      <c r="C1222" t="s">
        <v>8</v>
      </c>
      <c r="D1222" t="s">
        <v>9</v>
      </c>
      <c r="E1222">
        <v>1.5</v>
      </c>
      <c r="F1222">
        <v>3.58</v>
      </c>
      <c r="G1222" s="8">
        <f t="shared" si="19"/>
        <v>25.139664804469273</v>
      </c>
    </row>
    <row r="1223" spans="1:7" x14ac:dyDescent="0.25">
      <c r="A1223" s="5">
        <v>45807.75</v>
      </c>
      <c r="B1223">
        <v>4</v>
      </c>
      <c r="C1223" t="s">
        <v>9</v>
      </c>
      <c r="D1223" t="s">
        <v>10</v>
      </c>
      <c r="E1223">
        <v>1.5</v>
      </c>
      <c r="F1223">
        <v>3.25</v>
      </c>
      <c r="G1223" s="8">
        <f t="shared" si="19"/>
        <v>27.692307692307693</v>
      </c>
    </row>
    <row r="1224" spans="1:7" x14ac:dyDescent="0.25">
      <c r="A1224" s="5">
        <v>45807.75</v>
      </c>
      <c r="B1224">
        <v>5</v>
      </c>
      <c r="C1224" t="s">
        <v>10</v>
      </c>
      <c r="D1224" t="s">
        <v>11</v>
      </c>
      <c r="E1224">
        <v>1.52</v>
      </c>
      <c r="F1224">
        <v>3.97</v>
      </c>
      <c r="G1224" s="8">
        <f t="shared" si="19"/>
        <v>22.972292191435766</v>
      </c>
    </row>
    <row r="1225" spans="1:7" x14ac:dyDescent="0.25">
      <c r="A1225" s="5">
        <v>45807.75</v>
      </c>
      <c r="B1225">
        <v>6</v>
      </c>
      <c r="C1225" t="s">
        <v>11</v>
      </c>
      <c r="D1225" t="s">
        <v>12</v>
      </c>
      <c r="E1225">
        <v>1.5</v>
      </c>
      <c r="F1225">
        <v>2.7</v>
      </c>
      <c r="G1225" s="8">
        <f t="shared" si="19"/>
        <v>33.333333333333329</v>
      </c>
    </row>
    <row r="1226" spans="1:7" x14ac:dyDescent="0.25">
      <c r="A1226" s="5">
        <v>45807.75</v>
      </c>
      <c r="B1226">
        <v>7</v>
      </c>
      <c r="C1226" t="s">
        <v>12</v>
      </c>
      <c r="D1226" t="s">
        <v>13</v>
      </c>
      <c r="E1226">
        <v>1.54</v>
      </c>
      <c r="F1226">
        <v>2.72</v>
      </c>
      <c r="G1226" s="8">
        <f t="shared" si="19"/>
        <v>33.970588235294116</v>
      </c>
    </row>
    <row r="1227" spans="1:7" x14ac:dyDescent="0.25">
      <c r="A1227" s="5">
        <v>45807.75</v>
      </c>
      <c r="B1227">
        <v>8</v>
      </c>
      <c r="C1227" t="s">
        <v>13</v>
      </c>
      <c r="D1227" t="s">
        <v>14</v>
      </c>
      <c r="E1227">
        <v>1.54</v>
      </c>
      <c r="F1227">
        <v>3.33</v>
      </c>
      <c r="G1227" s="8">
        <f t="shared" si="19"/>
        <v>27.747747747747749</v>
      </c>
    </row>
    <row r="1228" spans="1:7" x14ac:dyDescent="0.25">
      <c r="A1228" s="5">
        <v>45807.75</v>
      </c>
      <c r="B1228">
        <v>9</v>
      </c>
      <c r="C1228" t="s">
        <v>14</v>
      </c>
      <c r="D1228" t="s">
        <v>15</v>
      </c>
      <c r="E1228">
        <v>1.52</v>
      </c>
      <c r="F1228">
        <v>3.88</v>
      </c>
      <c r="G1228" s="8">
        <f t="shared" si="19"/>
        <v>23.505154639175259</v>
      </c>
    </row>
    <row r="1229" spans="1:7" x14ac:dyDescent="0.25">
      <c r="A1229" s="5">
        <v>45807.75</v>
      </c>
      <c r="B1229">
        <v>10</v>
      </c>
      <c r="C1229" t="s">
        <v>15</v>
      </c>
      <c r="D1229" t="s">
        <v>16</v>
      </c>
      <c r="E1229">
        <v>1.5</v>
      </c>
      <c r="F1229">
        <v>4.9000000000000004</v>
      </c>
      <c r="G1229" s="8">
        <f t="shared" si="19"/>
        <v>18.367346938775508</v>
      </c>
    </row>
    <row r="1230" spans="1:7" x14ac:dyDescent="0.25">
      <c r="A1230" s="5">
        <v>45807.75</v>
      </c>
      <c r="B1230">
        <v>11</v>
      </c>
      <c r="C1230" t="s">
        <v>16</v>
      </c>
      <c r="D1230" t="s">
        <v>17</v>
      </c>
      <c r="E1230">
        <v>1.48</v>
      </c>
      <c r="F1230">
        <v>4.22</v>
      </c>
      <c r="G1230" s="8">
        <f t="shared" si="19"/>
        <v>21.042654028436019</v>
      </c>
    </row>
    <row r="1231" spans="1:7" x14ac:dyDescent="0.25">
      <c r="A1231" s="5">
        <v>45807.75</v>
      </c>
      <c r="B1231">
        <v>12</v>
      </c>
      <c r="C1231" t="s">
        <v>17</v>
      </c>
      <c r="D1231" t="s">
        <v>18</v>
      </c>
      <c r="E1231">
        <v>1.46</v>
      </c>
      <c r="F1231">
        <v>5.05</v>
      </c>
      <c r="G1231" s="8">
        <f t="shared" si="19"/>
        <v>17.346534653465348</v>
      </c>
    </row>
    <row r="1232" spans="1:7" x14ac:dyDescent="0.25">
      <c r="A1232" s="5">
        <v>45807.75</v>
      </c>
      <c r="B1232">
        <v>13</v>
      </c>
      <c r="C1232" t="s">
        <v>18</v>
      </c>
      <c r="D1232" t="s">
        <v>19</v>
      </c>
      <c r="E1232">
        <v>1.52</v>
      </c>
      <c r="F1232">
        <v>6.2</v>
      </c>
      <c r="G1232" s="8">
        <f t="shared" si="19"/>
        <v>14.709677419354838</v>
      </c>
    </row>
    <row r="1233" spans="1:7" x14ac:dyDescent="0.25">
      <c r="A1233" s="5">
        <v>45807.75</v>
      </c>
      <c r="B1233">
        <v>14</v>
      </c>
      <c r="C1233" t="s">
        <v>19</v>
      </c>
      <c r="D1233" t="s">
        <v>20</v>
      </c>
      <c r="E1233">
        <v>1.51</v>
      </c>
      <c r="F1233">
        <v>4.5199999999999996</v>
      </c>
      <c r="G1233" s="8">
        <f t="shared" si="19"/>
        <v>20.044247787610619</v>
      </c>
    </row>
    <row r="1234" spans="1:7" x14ac:dyDescent="0.25">
      <c r="A1234" s="5">
        <v>45807.75</v>
      </c>
      <c r="B1234">
        <v>15</v>
      </c>
      <c r="C1234" t="s">
        <v>20</v>
      </c>
      <c r="D1234" t="s">
        <v>21</v>
      </c>
      <c r="E1234">
        <v>1.47</v>
      </c>
      <c r="F1234">
        <v>4.3</v>
      </c>
      <c r="G1234" s="8">
        <f t="shared" si="19"/>
        <v>20.511627906976745</v>
      </c>
    </row>
    <row r="1235" spans="1:7" x14ac:dyDescent="0.25">
      <c r="A1235" s="5">
        <v>45807.75</v>
      </c>
      <c r="B1235">
        <v>16</v>
      </c>
      <c r="C1235" t="s">
        <v>21</v>
      </c>
      <c r="D1235" t="s">
        <v>22</v>
      </c>
      <c r="E1235">
        <v>1.5</v>
      </c>
      <c r="F1235">
        <v>2.4500000000000002</v>
      </c>
      <c r="G1235" s="8">
        <f t="shared" si="19"/>
        <v>36.734693877551017</v>
      </c>
    </row>
    <row r="1236" spans="1:7" x14ac:dyDescent="0.25">
      <c r="A1236" s="5">
        <v>45807.75</v>
      </c>
      <c r="B1236">
        <v>17</v>
      </c>
      <c r="C1236" t="s">
        <v>22</v>
      </c>
      <c r="D1236" t="s">
        <v>23</v>
      </c>
      <c r="E1236">
        <v>1.51</v>
      </c>
      <c r="F1236">
        <v>4.18</v>
      </c>
      <c r="G1236" s="8">
        <f t="shared" si="19"/>
        <v>21.67464114832536</v>
      </c>
    </row>
    <row r="1237" spans="1:7" x14ac:dyDescent="0.25">
      <c r="A1237" s="5">
        <v>45807.75</v>
      </c>
      <c r="B1237">
        <v>18</v>
      </c>
      <c r="C1237" t="s">
        <v>23</v>
      </c>
      <c r="D1237" t="s">
        <v>24</v>
      </c>
      <c r="E1237">
        <v>1.51</v>
      </c>
      <c r="F1237">
        <v>4.45</v>
      </c>
      <c r="G1237" s="8">
        <f t="shared" si="19"/>
        <v>20.35955056179775</v>
      </c>
    </row>
    <row r="1238" spans="1:7" x14ac:dyDescent="0.25">
      <c r="A1238" s="5">
        <v>45807.75</v>
      </c>
      <c r="B1238">
        <v>19</v>
      </c>
      <c r="C1238" t="s">
        <v>25</v>
      </c>
      <c r="D1238" t="s">
        <v>26</v>
      </c>
      <c r="E1238">
        <v>1.5</v>
      </c>
      <c r="F1238">
        <v>3.98</v>
      </c>
      <c r="G1238" s="8">
        <f t="shared" si="19"/>
        <v>22.613065326633166</v>
      </c>
    </row>
    <row r="1239" spans="1:7" x14ac:dyDescent="0.25">
      <c r="A1239" s="5">
        <v>45807.75</v>
      </c>
      <c r="B1239">
        <v>20</v>
      </c>
      <c r="C1239" t="s">
        <v>26</v>
      </c>
      <c r="D1239" t="s">
        <v>27</v>
      </c>
      <c r="E1239">
        <v>1.48</v>
      </c>
      <c r="F1239">
        <v>3.72</v>
      </c>
      <c r="G1239" s="8">
        <f t="shared" si="19"/>
        <v>23.87096774193548</v>
      </c>
    </row>
    <row r="1240" spans="1:7" x14ac:dyDescent="0.25">
      <c r="A1240" s="5">
        <v>45807.75</v>
      </c>
      <c r="B1240">
        <v>21</v>
      </c>
      <c r="C1240" t="s">
        <v>27</v>
      </c>
      <c r="D1240" t="s">
        <v>28</v>
      </c>
      <c r="E1240">
        <v>1.51</v>
      </c>
      <c r="F1240">
        <v>4.3499999999999996</v>
      </c>
      <c r="G1240" s="8">
        <f t="shared" si="19"/>
        <v>20.827586206896552</v>
      </c>
    </row>
    <row r="1241" spans="1:7" x14ac:dyDescent="0.25">
      <c r="A1241" s="5">
        <v>45807.75</v>
      </c>
      <c r="B1241">
        <v>22</v>
      </c>
      <c r="C1241" t="s">
        <v>28</v>
      </c>
      <c r="D1241" t="s">
        <v>29</v>
      </c>
      <c r="E1241">
        <v>1.57</v>
      </c>
      <c r="F1241">
        <v>6.75</v>
      </c>
      <c r="G1241" s="8">
        <f t="shared" si="19"/>
        <v>13.955555555555556</v>
      </c>
    </row>
    <row r="1242" spans="1:7" x14ac:dyDescent="0.25">
      <c r="A1242" s="5">
        <v>45807.75</v>
      </c>
      <c r="B1242">
        <v>23</v>
      </c>
      <c r="C1242" t="s">
        <v>29</v>
      </c>
      <c r="D1242" t="s">
        <v>30</v>
      </c>
      <c r="E1242">
        <v>1.43</v>
      </c>
      <c r="F1242">
        <v>7.55</v>
      </c>
      <c r="G1242" s="8">
        <f t="shared" si="19"/>
        <v>11.364238410596027</v>
      </c>
    </row>
    <row r="1243" spans="1:7" x14ac:dyDescent="0.25">
      <c r="A1243" s="5">
        <v>45807.75</v>
      </c>
      <c r="B1243">
        <v>24</v>
      </c>
      <c r="C1243" t="s">
        <v>30</v>
      </c>
      <c r="D1243" t="s">
        <v>31</v>
      </c>
      <c r="E1243">
        <v>1.52</v>
      </c>
      <c r="F1243">
        <v>5.2</v>
      </c>
      <c r="G1243" s="8">
        <f t="shared" si="19"/>
        <v>17.53846153846154</v>
      </c>
    </row>
    <row r="1244" spans="1:7" x14ac:dyDescent="0.25">
      <c r="A1244" s="5">
        <v>45807.75</v>
      </c>
      <c r="B1244">
        <v>25</v>
      </c>
      <c r="C1244" t="s">
        <v>31</v>
      </c>
      <c r="D1244" t="s">
        <v>32</v>
      </c>
      <c r="E1244">
        <v>1.52</v>
      </c>
      <c r="F1244">
        <v>4.68</v>
      </c>
      <c r="G1244" s="8">
        <f t="shared" si="19"/>
        <v>19.487179487179489</v>
      </c>
    </row>
    <row r="1245" spans="1:7" x14ac:dyDescent="0.25">
      <c r="A1245" s="5">
        <v>45807.75</v>
      </c>
      <c r="B1245">
        <v>26</v>
      </c>
      <c r="C1245" t="s">
        <v>32</v>
      </c>
      <c r="D1245" t="s">
        <v>33</v>
      </c>
      <c r="E1245">
        <v>1.49</v>
      </c>
      <c r="F1245">
        <v>9.3000000000000007</v>
      </c>
      <c r="G1245" s="8">
        <f t="shared" si="19"/>
        <v>9.612903225806452</v>
      </c>
    </row>
    <row r="1246" spans="1:7" x14ac:dyDescent="0.25">
      <c r="A1246" s="5">
        <v>45807.75</v>
      </c>
      <c r="B1246">
        <v>27</v>
      </c>
      <c r="C1246" t="s">
        <v>33</v>
      </c>
      <c r="D1246" t="s">
        <v>34</v>
      </c>
      <c r="E1246">
        <v>1.53</v>
      </c>
      <c r="F1246">
        <v>5.15</v>
      </c>
      <c r="G1246" s="8">
        <f t="shared" si="19"/>
        <v>17.825242718446599</v>
      </c>
    </row>
    <row r="1247" spans="1:7" x14ac:dyDescent="0.25">
      <c r="A1247" s="5">
        <v>45807.75</v>
      </c>
      <c r="B1247">
        <v>28</v>
      </c>
      <c r="C1247" t="s">
        <v>34</v>
      </c>
      <c r="D1247" t="s">
        <v>35</v>
      </c>
      <c r="E1247">
        <v>1.51</v>
      </c>
      <c r="F1247">
        <v>4.78</v>
      </c>
      <c r="G1247" s="8">
        <f t="shared" si="19"/>
        <v>18.953974895397486</v>
      </c>
    </row>
    <row r="1248" spans="1:7" x14ac:dyDescent="0.25">
      <c r="A1248" s="5">
        <v>45807.75</v>
      </c>
      <c r="B1248">
        <v>29</v>
      </c>
      <c r="C1248" t="s">
        <v>36</v>
      </c>
      <c r="D1248" t="s">
        <v>37</v>
      </c>
      <c r="E1248">
        <v>1.57</v>
      </c>
      <c r="F1248">
        <v>4.42</v>
      </c>
      <c r="G1248" s="8">
        <f t="shared" si="19"/>
        <v>21.312217194570138</v>
      </c>
    </row>
    <row r="1249" spans="1:7" x14ac:dyDescent="0.25">
      <c r="A1249" s="5">
        <v>45807.75</v>
      </c>
      <c r="B1249">
        <v>30</v>
      </c>
      <c r="C1249" t="s">
        <v>37</v>
      </c>
      <c r="D1249" t="s">
        <v>38</v>
      </c>
      <c r="E1249">
        <v>1.57</v>
      </c>
      <c r="F1249">
        <v>4.13</v>
      </c>
      <c r="G1249" s="8">
        <f t="shared" si="19"/>
        <v>22.808716707021794</v>
      </c>
    </row>
    <row r="1250" spans="1:7" x14ac:dyDescent="0.25">
      <c r="A1250" s="5">
        <v>45807.75</v>
      </c>
      <c r="B1250">
        <v>31</v>
      </c>
      <c r="C1250" t="s">
        <v>38</v>
      </c>
      <c r="D1250" t="s">
        <v>39</v>
      </c>
      <c r="E1250">
        <v>1.52</v>
      </c>
      <c r="F1250">
        <v>4.07</v>
      </c>
      <c r="G1250" s="8">
        <f t="shared" si="19"/>
        <v>22.407862407862407</v>
      </c>
    </row>
    <row r="1251" spans="1:7" x14ac:dyDescent="0.25">
      <c r="A1251" s="5">
        <v>45807.75</v>
      </c>
      <c r="B1251">
        <v>32</v>
      </c>
      <c r="C1251" t="s">
        <v>39</v>
      </c>
      <c r="D1251" t="s">
        <v>40</v>
      </c>
      <c r="E1251">
        <v>1.5</v>
      </c>
      <c r="F1251">
        <v>2.25</v>
      </c>
      <c r="G1251" s="8">
        <f t="shared" si="19"/>
        <v>40</v>
      </c>
    </row>
    <row r="1252" spans="1:7" x14ac:dyDescent="0.25">
      <c r="A1252" s="5">
        <v>45807.75</v>
      </c>
      <c r="B1252">
        <v>33</v>
      </c>
      <c r="C1252" t="s">
        <v>40</v>
      </c>
      <c r="D1252" t="s">
        <v>41</v>
      </c>
      <c r="E1252">
        <v>1.51</v>
      </c>
      <c r="F1252">
        <v>2.58</v>
      </c>
      <c r="G1252" s="8">
        <f t="shared" si="19"/>
        <v>35.116279069767437</v>
      </c>
    </row>
    <row r="1253" spans="1:7" x14ac:dyDescent="0.25">
      <c r="A1253" s="5">
        <v>45807.75</v>
      </c>
      <c r="B1253">
        <v>34</v>
      </c>
      <c r="C1253" t="s">
        <v>41</v>
      </c>
      <c r="D1253" t="s">
        <v>42</v>
      </c>
      <c r="E1253">
        <v>1.5</v>
      </c>
      <c r="F1253">
        <v>2.13</v>
      </c>
      <c r="G1253" s="8">
        <f t="shared" si="19"/>
        <v>42.253521126760567</v>
      </c>
    </row>
    <row r="1254" spans="1:7" x14ac:dyDescent="0.25">
      <c r="A1254" s="5">
        <v>45807.75</v>
      </c>
      <c r="B1254">
        <v>35</v>
      </c>
      <c r="C1254" t="s">
        <v>43</v>
      </c>
      <c r="D1254" t="s">
        <v>44</v>
      </c>
      <c r="E1254">
        <v>1.55</v>
      </c>
      <c r="F1254">
        <v>5.38</v>
      </c>
      <c r="G1254" s="8">
        <f t="shared" si="19"/>
        <v>17.286245353159853</v>
      </c>
    </row>
    <row r="1255" spans="1:7" x14ac:dyDescent="0.25">
      <c r="A1255" s="5">
        <v>45807.75</v>
      </c>
      <c r="B1255">
        <v>36</v>
      </c>
      <c r="C1255" t="s">
        <v>44</v>
      </c>
      <c r="D1255" t="s">
        <v>45</v>
      </c>
      <c r="E1255">
        <v>1.5</v>
      </c>
      <c r="F1255">
        <v>4.08</v>
      </c>
      <c r="G1255" s="8">
        <f t="shared" si="19"/>
        <v>22.058823529411764</v>
      </c>
    </row>
    <row r="1256" spans="1:7" x14ac:dyDescent="0.25">
      <c r="A1256" s="5">
        <v>45807.75</v>
      </c>
      <c r="B1256">
        <v>37</v>
      </c>
      <c r="C1256" t="s">
        <v>45</v>
      </c>
      <c r="D1256" t="s">
        <v>46</v>
      </c>
      <c r="E1256">
        <v>1.38</v>
      </c>
      <c r="F1256">
        <v>4.88</v>
      </c>
      <c r="G1256" s="8">
        <f t="shared" si="19"/>
        <v>16.967213114754099</v>
      </c>
    </row>
    <row r="1257" spans="1:7" x14ac:dyDescent="0.25">
      <c r="A1257" s="5">
        <v>45807.75</v>
      </c>
      <c r="B1257">
        <v>38</v>
      </c>
      <c r="C1257" t="s">
        <v>46</v>
      </c>
      <c r="D1257" t="s">
        <v>47</v>
      </c>
      <c r="E1257">
        <v>1.61</v>
      </c>
      <c r="F1257">
        <v>4.97</v>
      </c>
      <c r="G1257" s="8">
        <f t="shared" si="19"/>
        <v>19.436619718309863</v>
      </c>
    </row>
    <row r="1258" spans="1:7" x14ac:dyDescent="0.25">
      <c r="A1258" s="5">
        <v>45807.75</v>
      </c>
      <c r="B1258">
        <v>39</v>
      </c>
      <c r="C1258" t="s">
        <v>47</v>
      </c>
      <c r="D1258" t="s">
        <v>48</v>
      </c>
      <c r="E1258">
        <v>1.55</v>
      </c>
      <c r="F1258">
        <v>3.78</v>
      </c>
      <c r="G1258" s="8">
        <f t="shared" si="19"/>
        <v>24.603174603174605</v>
      </c>
    </row>
    <row r="1259" spans="1:7" x14ac:dyDescent="0.25">
      <c r="A1259" s="5">
        <v>45807.75</v>
      </c>
      <c r="B1259">
        <v>40</v>
      </c>
      <c r="C1259" t="s">
        <v>48</v>
      </c>
      <c r="D1259" t="s">
        <v>49</v>
      </c>
      <c r="E1259">
        <v>1.39</v>
      </c>
      <c r="F1259">
        <v>3.28</v>
      </c>
      <c r="G1259" s="8">
        <f t="shared" si="19"/>
        <v>25.426829268292682</v>
      </c>
    </row>
    <row r="1260" spans="1:7" x14ac:dyDescent="0.25">
      <c r="A1260" s="5">
        <v>45807.75</v>
      </c>
      <c r="B1260">
        <v>41</v>
      </c>
      <c r="C1260" t="s">
        <v>50</v>
      </c>
      <c r="D1260" t="s">
        <v>51</v>
      </c>
      <c r="E1260">
        <v>1.56</v>
      </c>
      <c r="F1260">
        <v>5.67</v>
      </c>
      <c r="G1260" s="8">
        <f t="shared" si="19"/>
        <v>16.50793650793651</v>
      </c>
    </row>
    <row r="1261" spans="1:7" x14ac:dyDescent="0.25">
      <c r="A1261" s="5">
        <v>45807.75</v>
      </c>
      <c r="B1261">
        <v>42</v>
      </c>
      <c r="C1261" t="s">
        <v>51</v>
      </c>
      <c r="D1261" t="s">
        <v>52</v>
      </c>
      <c r="E1261">
        <v>1.56</v>
      </c>
      <c r="F1261">
        <v>5.57</v>
      </c>
      <c r="G1261" s="8">
        <f t="shared" si="19"/>
        <v>16.804308797127469</v>
      </c>
    </row>
    <row r="1262" spans="1:7" x14ac:dyDescent="0.25">
      <c r="A1262" s="5">
        <v>45807.75</v>
      </c>
      <c r="B1262">
        <v>43</v>
      </c>
      <c r="C1262" t="s">
        <v>52</v>
      </c>
      <c r="D1262" t="s">
        <v>53</v>
      </c>
      <c r="E1262">
        <v>1.9</v>
      </c>
      <c r="F1262">
        <v>5.37</v>
      </c>
      <c r="G1262" s="8">
        <f t="shared" si="19"/>
        <v>21.229050279329609</v>
      </c>
    </row>
    <row r="1263" spans="1:7" x14ac:dyDescent="0.25">
      <c r="A1263" s="5">
        <v>45807.75</v>
      </c>
      <c r="B1263">
        <v>44</v>
      </c>
      <c r="C1263" t="s">
        <v>54</v>
      </c>
      <c r="D1263" t="s">
        <v>55</v>
      </c>
      <c r="E1263">
        <v>1.51</v>
      </c>
      <c r="F1263">
        <v>5.2</v>
      </c>
      <c r="G1263" s="8">
        <f t="shared" si="19"/>
        <v>17.42307692307692</v>
      </c>
    </row>
    <row r="1264" spans="1:7" x14ac:dyDescent="0.25">
      <c r="A1264" s="5">
        <v>45807.75</v>
      </c>
      <c r="B1264">
        <v>45</v>
      </c>
      <c r="C1264" t="s">
        <v>55</v>
      </c>
      <c r="D1264" t="s">
        <v>56</v>
      </c>
      <c r="E1264">
        <v>1.49</v>
      </c>
      <c r="F1264">
        <v>6.85</v>
      </c>
      <c r="G1264" s="8">
        <f t="shared" si="19"/>
        <v>13.051094890510951</v>
      </c>
    </row>
    <row r="1265" spans="1:7" x14ac:dyDescent="0.25">
      <c r="A1265" s="5">
        <v>45807.75</v>
      </c>
      <c r="B1265">
        <v>46</v>
      </c>
      <c r="C1265" t="s">
        <v>56</v>
      </c>
      <c r="D1265" t="s">
        <v>57</v>
      </c>
      <c r="E1265">
        <v>1.52</v>
      </c>
      <c r="F1265">
        <v>5.27</v>
      </c>
      <c r="G1265" s="8">
        <f t="shared" si="19"/>
        <v>17.305502846299813</v>
      </c>
    </row>
    <row r="1266" spans="1:7" x14ac:dyDescent="0.25">
      <c r="A1266" s="5">
        <v>45807.75</v>
      </c>
      <c r="B1266">
        <v>47</v>
      </c>
      <c r="C1266" t="s">
        <v>58</v>
      </c>
      <c r="D1266" t="s">
        <v>59</v>
      </c>
      <c r="E1266">
        <v>1.52</v>
      </c>
      <c r="F1266">
        <v>8.98</v>
      </c>
      <c r="G1266" s="8">
        <f t="shared" si="19"/>
        <v>10.155902004454342</v>
      </c>
    </row>
    <row r="1267" spans="1:7" x14ac:dyDescent="0.25">
      <c r="A1267" s="5">
        <v>45807.75</v>
      </c>
      <c r="B1267">
        <v>48</v>
      </c>
      <c r="C1267" t="s">
        <v>59</v>
      </c>
      <c r="D1267" t="s">
        <v>60</v>
      </c>
      <c r="E1267">
        <v>1.5</v>
      </c>
      <c r="F1267">
        <v>5.37</v>
      </c>
      <c r="G1267" s="8">
        <f t="shared" si="19"/>
        <v>16.759776536312849</v>
      </c>
    </row>
    <row r="1268" spans="1:7" x14ac:dyDescent="0.25">
      <c r="A1268" s="5">
        <v>45807.75</v>
      </c>
      <c r="B1268">
        <v>49</v>
      </c>
      <c r="C1268" t="s">
        <v>60</v>
      </c>
      <c r="D1268" t="s">
        <v>61</v>
      </c>
      <c r="E1268">
        <v>1.54</v>
      </c>
      <c r="F1268">
        <v>7.65</v>
      </c>
      <c r="G1268" s="8">
        <f t="shared" si="19"/>
        <v>12.078431372549019</v>
      </c>
    </row>
    <row r="1269" spans="1:7" x14ac:dyDescent="0.25">
      <c r="A1269" s="5">
        <v>45807.75</v>
      </c>
      <c r="B1269">
        <v>50</v>
      </c>
      <c r="C1269" t="s">
        <v>62</v>
      </c>
      <c r="D1269" t="s">
        <v>63</v>
      </c>
      <c r="E1269">
        <v>1.38</v>
      </c>
      <c r="F1269">
        <v>3.5</v>
      </c>
      <c r="G1269" s="8">
        <f t="shared" si="19"/>
        <v>23.657142857142855</v>
      </c>
    </row>
    <row r="1270" spans="1:7" x14ac:dyDescent="0.25">
      <c r="A1270" s="5">
        <v>45807.75</v>
      </c>
      <c r="B1270">
        <v>51</v>
      </c>
      <c r="C1270" t="s">
        <v>63</v>
      </c>
      <c r="D1270" t="s">
        <v>64</v>
      </c>
      <c r="E1270">
        <v>2.79</v>
      </c>
      <c r="F1270">
        <v>5.92</v>
      </c>
      <c r="G1270" s="8">
        <f t="shared" si="19"/>
        <v>28.277027027027028</v>
      </c>
    </row>
    <row r="1271" spans="1:7" x14ac:dyDescent="0.25">
      <c r="A1271" s="5">
        <v>45807.75</v>
      </c>
      <c r="B1271">
        <v>52</v>
      </c>
      <c r="C1271" t="s">
        <v>64</v>
      </c>
      <c r="D1271" t="s">
        <v>65</v>
      </c>
      <c r="E1271">
        <v>1.5</v>
      </c>
      <c r="F1271">
        <v>2.97</v>
      </c>
      <c r="G1271" s="8">
        <f t="shared" si="19"/>
        <v>30.303030303030301</v>
      </c>
    </row>
    <row r="1272" spans="1:7" x14ac:dyDescent="0.25">
      <c r="A1272" s="5">
        <v>45807.75</v>
      </c>
      <c r="B1272">
        <v>53</v>
      </c>
      <c r="C1272" t="s">
        <v>65</v>
      </c>
      <c r="D1272" t="s">
        <v>66</v>
      </c>
      <c r="E1272">
        <v>1.46</v>
      </c>
      <c r="F1272">
        <v>3.8</v>
      </c>
      <c r="G1272" s="8">
        <f t="shared" si="19"/>
        <v>23.052631578947366</v>
      </c>
    </row>
    <row r="1273" spans="1:7" x14ac:dyDescent="0.25">
      <c r="A1273" s="5">
        <v>45807.75</v>
      </c>
      <c r="B1273">
        <v>54</v>
      </c>
      <c r="C1273" t="s">
        <v>67</v>
      </c>
      <c r="D1273" t="s">
        <v>68</v>
      </c>
      <c r="E1273">
        <v>1.46</v>
      </c>
      <c r="F1273">
        <v>4.82</v>
      </c>
      <c r="G1273" s="8">
        <f t="shared" si="19"/>
        <v>18.174273858921161</v>
      </c>
    </row>
    <row r="1274" spans="1:7" x14ac:dyDescent="0.25">
      <c r="A1274" s="5">
        <v>45807.75</v>
      </c>
      <c r="B1274">
        <v>55</v>
      </c>
      <c r="C1274" t="s">
        <v>68</v>
      </c>
      <c r="D1274" t="s">
        <v>69</v>
      </c>
      <c r="E1274">
        <v>1.5</v>
      </c>
      <c r="F1274">
        <v>2.4</v>
      </c>
      <c r="G1274" s="8">
        <f t="shared" si="19"/>
        <v>37.5</v>
      </c>
    </row>
    <row r="1275" spans="1:7" x14ac:dyDescent="0.25">
      <c r="A1275" s="5">
        <v>45807.75</v>
      </c>
      <c r="B1275">
        <v>56</v>
      </c>
      <c r="C1275" t="s">
        <v>70</v>
      </c>
      <c r="D1275" t="s">
        <v>71</v>
      </c>
      <c r="E1275">
        <v>1.51</v>
      </c>
      <c r="F1275">
        <v>6.38</v>
      </c>
      <c r="G1275" s="8">
        <f t="shared" si="19"/>
        <v>14.200626959247648</v>
      </c>
    </row>
    <row r="1276" spans="1:7" x14ac:dyDescent="0.25">
      <c r="A1276" s="5">
        <v>45807.75</v>
      </c>
      <c r="B1276">
        <v>57</v>
      </c>
      <c r="C1276" t="s">
        <v>71</v>
      </c>
      <c r="D1276" t="s">
        <v>72</v>
      </c>
      <c r="E1276">
        <v>1.52</v>
      </c>
      <c r="F1276">
        <v>5.93</v>
      </c>
      <c r="G1276" s="8">
        <f t="shared" si="19"/>
        <v>15.379426644182127</v>
      </c>
    </row>
    <row r="1277" spans="1:7" x14ac:dyDescent="0.25">
      <c r="A1277" s="5">
        <v>45807.75</v>
      </c>
      <c r="B1277">
        <v>58</v>
      </c>
      <c r="C1277" t="s">
        <v>72</v>
      </c>
      <c r="D1277" t="s">
        <v>73</v>
      </c>
      <c r="E1277">
        <v>1.5</v>
      </c>
      <c r="F1277">
        <v>6.37</v>
      </c>
      <c r="G1277" s="8">
        <f t="shared" si="19"/>
        <v>14.128728414442699</v>
      </c>
    </row>
    <row r="1278" spans="1:7" x14ac:dyDescent="0.25">
      <c r="A1278" s="5">
        <v>45807.760416666664</v>
      </c>
      <c r="B1278">
        <v>1</v>
      </c>
      <c r="C1278" t="s">
        <v>6</v>
      </c>
      <c r="D1278" t="s">
        <v>7</v>
      </c>
      <c r="E1278">
        <v>1.53</v>
      </c>
      <c r="F1278">
        <v>3.38</v>
      </c>
      <c r="G1278" s="8">
        <f t="shared" si="19"/>
        <v>27.159763313609467</v>
      </c>
    </row>
    <row r="1279" spans="1:7" x14ac:dyDescent="0.25">
      <c r="A1279" s="5">
        <v>45807.760416666664</v>
      </c>
      <c r="B1279">
        <v>2</v>
      </c>
      <c r="C1279" t="s">
        <v>7</v>
      </c>
      <c r="D1279" t="s">
        <v>8</v>
      </c>
      <c r="E1279">
        <v>1.57</v>
      </c>
      <c r="F1279">
        <v>6.57</v>
      </c>
      <c r="G1279" s="8">
        <f t="shared" si="19"/>
        <v>14.337899543378995</v>
      </c>
    </row>
    <row r="1280" spans="1:7" x14ac:dyDescent="0.25">
      <c r="A1280" s="5">
        <v>45807.760416666664</v>
      </c>
      <c r="B1280">
        <v>3</v>
      </c>
      <c r="C1280" t="s">
        <v>8</v>
      </c>
      <c r="D1280" t="s">
        <v>9</v>
      </c>
      <c r="E1280">
        <v>1.5</v>
      </c>
      <c r="F1280">
        <v>4</v>
      </c>
      <c r="G1280" s="8">
        <f t="shared" si="19"/>
        <v>22.5</v>
      </c>
    </row>
    <row r="1281" spans="1:7" x14ac:dyDescent="0.25">
      <c r="A1281" s="5">
        <v>45807.760416666664</v>
      </c>
      <c r="B1281">
        <v>4</v>
      </c>
      <c r="C1281" t="s">
        <v>9</v>
      </c>
      <c r="D1281" t="s">
        <v>10</v>
      </c>
      <c r="E1281">
        <v>1.5</v>
      </c>
      <c r="F1281">
        <v>3</v>
      </c>
      <c r="G1281" s="8">
        <f t="shared" si="19"/>
        <v>30</v>
      </c>
    </row>
    <row r="1282" spans="1:7" x14ac:dyDescent="0.25">
      <c r="A1282" s="5">
        <v>45807.760416666664</v>
      </c>
      <c r="B1282">
        <v>5</v>
      </c>
      <c r="C1282" t="s">
        <v>10</v>
      </c>
      <c r="D1282" t="s">
        <v>11</v>
      </c>
      <c r="E1282">
        <v>1.52</v>
      </c>
      <c r="F1282">
        <v>4.37</v>
      </c>
      <c r="G1282" s="8">
        <f t="shared" si="19"/>
        <v>20.869565217391305</v>
      </c>
    </row>
    <row r="1283" spans="1:7" x14ac:dyDescent="0.25">
      <c r="A1283" s="5">
        <v>45807.760416666664</v>
      </c>
      <c r="B1283">
        <v>6</v>
      </c>
      <c r="C1283" t="s">
        <v>11</v>
      </c>
      <c r="D1283" t="s">
        <v>12</v>
      </c>
      <c r="E1283">
        <v>1.5</v>
      </c>
      <c r="F1283">
        <v>2.75</v>
      </c>
      <c r="G1283" s="8">
        <f t="shared" ref="G1283:G1346" si="20">E1283*60/F1283</f>
        <v>32.727272727272727</v>
      </c>
    </row>
    <row r="1284" spans="1:7" x14ac:dyDescent="0.25">
      <c r="A1284" s="5">
        <v>45807.760416666664</v>
      </c>
      <c r="B1284">
        <v>7</v>
      </c>
      <c r="C1284" t="s">
        <v>12</v>
      </c>
      <c r="D1284" t="s">
        <v>13</v>
      </c>
      <c r="E1284">
        <v>1.54</v>
      </c>
      <c r="F1284">
        <v>2.65</v>
      </c>
      <c r="G1284" s="8">
        <f t="shared" si="20"/>
        <v>34.867924528301891</v>
      </c>
    </row>
    <row r="1285" spans="1:7" x14ac:dyDescent="0.25">
      <c r="A1285" s="5">
        <v>45807.760416666664</v>
      </c>
      <c r="B1285">
        <v>8</v>
      </c>
      <c r="C1285" t="s">
        <v>13</v>
      </c>
      <c r="D1285" t="s">
        <v>14</v>
      </c>
      <c r="E1285">
        <v>1.54</v>
      </c>
      <c r="F1285">
        <v>3.43</v>
      </c>
      <c r="G1285" s="8">
        <f t="shared" si="20"/>
        <v>26.938775510204081</v>
      </c>
    </row>
    <row r="1286" spans="1:7" x14ac:dyDescent="0.25">
      <c r="A1286" s="5">
        <v>45807.760416666664</v>
      </c>
      <c r="B1286">
        <v>9</v>
      </c>
      <c r="C1286" t="s">
        <v>14</v>
      </c>
      <c r="D1286" t="s">
        <v>15</v>
      </c>
      <c r="E1286">
        <v>1.52</v>
      </c>
      <c r="F1286">
        <v>3.83</v>
      </c>
      <c r="G1286" s="8">
        <f t="shared" si="20"/>
        <v>23.812010443864231</v>
      </c>
    </row>
    <row r="1287" spans="1:7" x14ac:dyDescent="0.25">
      <c r="A1287" s="5">
        <v>45807.760416666664</v>
      </c>
      <c r="B1287">
        <v>10</v>
      </c>
      <c r="C1287" t="s">
        <v>15</v>
      </c>
      <c r="D1287" t="s">
        <v>16</v>
      </c>
      <c r="E1287">
        <v>1.5</v>
      </c>
      <c r="F1287">
        <v>4.72</v>
      </c>
      <c r="G1287" s="8">
        <f t="shared" si="20"/>
        <v>19.067796610169491</v>
      </c>
    </row>
    <row r="1288" spans="1:7" x14ac:dyDescent="0.25">
      <c r="A1288" s="5">
        <v>45807.760416666664</v>
      </c>
      <c r="B1288">
        <v>11</v>
      </c>
      <c r="C1288" t="s">
        <v>16</v>
      </c>
      <c r="D1288" t="s">
        <v>17</v>
      </c>
      <c r="E1288">
        <v>1.48</v>
      </c>
      <c r="F1288">
        <v>4.9000000000000004</v>
      </c>
      <c r="G1288" s="8">
        <f t="shared" si="20"/>
        <v>18.122448979591834</v>
      </c>
    </row>
    <row r="1289" spans="1:7" x14ac:dyDescent="0.25">
      <c r="A1289" s="5">
        <v>45807.760416666664</v>
      </c>
      <c r="B1289">
        <v>12</v>
      </c>
      <c r="C1289" t="s">
        <v>17</v>
      </c>
      <c r="D1289" t="s">
        <v>18</v>
      </c>
      <c r="E1289">
        <v>1.46</v>
      </c>
      <c r="F1289">
        <v>4.82</v>
      </c>
      <c r="G1289" s="8">
        <f t="shared" si="20"/>
        <v>18.174273858921161</v>
      </c>
    </row>
    <row r="1290" spans="1:7" x14ac:dyDescent="0.25">
      <c r="A1290" s="5">
        <v>45807.760416666664</v>
      </c>
      <c r="B1290">
        <v>13</v>
      </c>
      <c r="C1290" t="s">
        <v>18</v>
      </c>
      <c r="D1290" t="s">
        <v>19</v>
      </c>
      <c r="E1290">
        <v>1.52</v>
      </c>
      <c r="F1290">
        <v>6.88</v>
      </c>
      <c r="G1290" s="8">
        <f t="shared" si="20"/>
        <v>13.255813953488373</v>
      </c>
    </row>
    <row r="1291" spans="1:7" x14ac:dyDescent="0.25">
      <c r="A1291" s="5">
        <v>45807.760416666664</v>
      </c>
      <c r="B1291">
        <v>14</v>
      </c>
      <c r="C1291" t="s">
        <v>19</v>
      </c>
      <c r="D1291" t="s">
        <v>20</v>
      </c>
      <c r="E1291">
        <v>1.51</v>
      </c>
      <c r="F1291">
        <v>5.2</v>
      </c>
      <c r="G1291" s="8">
        <f t="shared" si="20"/>
        <v>17.42307692307692</v>
      </c>
    </row>
    <row r="1292" spans="1:7" x14ac:dyDescent="0.25">
      <c r="A1292" s="5">
        <v>45807.760416666664</v>
      </c>
      <c r="B1292">
        <v>15</v>
      </c>
      <c r="C1292" t="s">
        <v>20</v>
      </c>
      <c r="D1292" t="s">
        <v>21</v>
      </c>
      <c r="E1292">
        <v>1.47</v>
      </c>
      <c r="F1292">
        <v>4.5999999999999996</v>
      </c>
      <c r="G1292" s="8">
        <f t="shared" si="20"/>
        <v>19.173913043478262</v>
      </c>
    </row>
    <row r="1293" spans="1:7" x14ac:dyDescent="0.25">
      <c r="A1293" s="5">
        <v>45807.760416666664</v>
      </c>
      <c r="B1293">
        <v>16</v>
      </c>
      <c r="C1293" t="s">
        <v>21</v>
      </c>
      <c r="D1293" t="s">
        <v>22</v>
      </c>
      <c r="E1293">
        <v>1.5</v>
      </c>
      <c r="F1293">
        <v>5.87</v>
      </c>
      <c r="G1293" s="8">
        <f t="shared" si="20"/>
        <v>15.332197614991482</v>
      </c>
    </row>
    <row r="1294" spans="1:7" x14ac:dyDescent="0.25">
      <c r="A1294" s="5">
        <v>45807.760416666664</v>
      </c>
      <c r="B1294">
        <v>17</v>
      </c>
      <c r="C1294" t="s">
        <v>22</v>
      </c>
      <c r="D1294" t="s">
        <v>23</v>
      </c>
      <c r="E1294">
        <v>1.51</v>
      </c>
      <c r="F1294">
        <v>4.25</v>
      </c>
      <c r="G1294" s="8">
        <f t="shared" si="20"/>
        <v>21.317647058823528</v>
      </c>
    </row>
    <row r="1295" spans="1:7" x14ac:dyDescent="0.25">
      <c r="A1295" s="5">
        <v>45807.760416666664</v>
      </c>
      <c r="B1295">
        <v>18</v>
      </c>
      <c r="C1295" t="s">
        <v>23</v>
      </c>
      <c r="D1295" t="s">
        <v>24</v>
      </c>
      <c r="E1295">
        <v>1.51</v>
      </c>
      <c r="F1295">
        <v>3.87</v>
      </c>
      <c r="G1295" s="8">
        <f t="shared" si="20"/>
        <v>23.410852713178294</v>
      </c>
    </row>
    <row r="1296" spans="1:7" x14ac:dyDescent="0.25">
      <c r="A1296" s="5">
        <v>45807.760416666664</v>
      </c>
      <c r="B1296">
        <v>19</v>
      </c>
      <c r="C1296" t="s">
        <v>25</v>
      </c>
      <c r="D1296" t="s">
        <v>26</v>
      </c>
      <c r="E1296">
        <v>1.5</v>
      </c>
      <c r="F1296">
        <v>3.57</v>
      </c>
      <c r="G1296" s="8">
        <f t="shared" si="20"/>
        <v>25.210084033613448</v>
      </c>
    </row>
    <row r="1297" spans="1:7" x14ac:dyDescent="0.25">
      <c r="A1297" s="5">
        <v>45807.760416666664</v>
      </c>
      <c r="B1297">
        <v>20</v>
      </c>
      <c r="C1297" t="s">
        <v>26</v>
      </c>
      <c r="D1297" t="s">
        <v>27</v>
      </c>
      <c r="E1297">
        <v>1.48</v>
      </c>
      <c r="F1297">
        <v>4.33</v>
      </c>
      <c r="G1297" s="8">
        <f t="shared" si="20"/>
        <v>20.508083140877599</v>
      </c>
    </row>
    <row r="1298" spans="1:7" x14ac:dyDescent="0.25">
      <c r="A1298" s="5">
        <v>45807.760416666664</v>
      </c>
      <c r="B1298">
        <v>21</v>
      </c>
      <c r="C1298" t="s">
        <v>27</v>
      </c>
      <c r="D1298" t="s">
        <v>28</v>
      </c>
      <c r="E1298">
        <v>1.51</v>
      </c>
      <c r="F1298">
        <v>4.25</v>
      </c>
      <c r="G1298" s="8">
        <f t="shared" si="20"/>
        <v>21.317647058823528</v>
      </c>
    </row>
    <row r="1299" spans="1:7" x14ac:dyDescent="0.25">
      <c r="A1299" s="5">
        <v>45807.760416666664</v>
      </c>
      <c r="B1299">
        <v>22</v>
      </c>
      <c r="C1299" t="s">
        <v>28</v>
      </c>
      <c r="D1299" t="s">
        <v>29</v>
      </c>
      <c r="E1299">
        <v>1.57</v>
      </c>
      <c r="F1299">
        <v>6.17</v>
      </c>
      <c r="G1299" s="8">
        <f t="shared" si="20"/>
        <v>15.267423014586711</v>
      </c>
    </row>
    <row r="1300" spans="1:7" x14ac:dyDescent="0.25">
      <c r="A1300" s="5">
        <v>45807.760416666664</v>
      </c>
      <c r="B1300">
        <v>23</v>
      </c>
      <c r="C1300" t="s">
        <v>29</v>
      </c>
      <c r="D1300" t="s">
        <v>30</v>
      </c>
      <c r="E1300">
        <v>1.43</v>
      </c>
      <c r="F1300">
        <v>7.4</v>
      </c>
      <c r="G1300" s="8">
        <f t="shared" si="20"/>
        <v>11.594594594594593</v>
      </c>
    </row>
    <row r="1301" spans="1:7" x14ac:dyDescent="0.25">
      <c r="A1301" s="5">
        <v>45807.760416666664</v>
      </c>
      <c r="B1301">
        <v>24</v>
      </c>
      <c r="C1301" t="s">
        <v>30</v>
      </c>
      <c r="D1301" t="s">
        <v>31</v>
      </c>
      <c r="E1301">
        <v>1.52</v>
      </c>
      <c r="F1301">
        <v>5.47</v>
      </c>
      <c r="G1301" s="8">
        <f t="shared" si="20"/>
        <v>16.672760511882998</v>
      </c>
    </row>
    <row r="1302" spans="1:7" x14ac:dyDescent="0.25">
      <c r="A1302" s="5">
        <v>45807.760416666664</v>
      </c>
      <c r="B1302">
        <v>25</v>
      </c>
      <c r="C1302" t="s">
        <v>31</v>
      </c>
      <c r="D1302" t="s">
        <v>32</v>
      </c>
      <c r="E1302">
        <v>1.52</v>
      </c>
      <c r="F1302">
        <v>5.03</v>
      </c>
      <c r="G1302" s="8">
        <f t="shared" si="20"/>
        <v>18.131212723658052</v>
      </c>
    </row>
    <row r="1303" spans="1:7" x14ac:dyDescent="0.25">
      <c r="A1303" s="5">
        <v>45807.760416666664</v>
      </c>
      <c r="B1303">
        <v>26</v>
      </c>
      <c r="C1303" t="s">
        <v>32</v>
      </c>
      <c r="D1303" t="s">
        <v>33</v>
      </c>
      <c r="E1303">
        <v>1.49</v>
      </c>
      <c r="F1303">
        <v>8.02</v>
      </c>
      <c r="G1303" s="8">
        <f t="shared" si="20"/>
        <v>11.147132169576061</v>
      </c>
    </row>
    <row r="1304" spans="1:7" x14ac:dyDescent="0.25">
      <c r="A1304" s="5">
        <v>45807.760416666664</v>
      </c>
      <c r="B1304">
        <v>27</v>
      </c>
      <c r="C1304" t="s">
        <v>33</v>
      </c>
      <c r="D1304" t="s">
        <v>34</v>
      </c>
      <c r="E1304">
        <v>1.53</v>
      </c>
      <c r="F1304">
        <v>5.93</v>
      </c>
      <c r="G1304" s="8">
        <f t="shared" si="20"/>
        <v>15.480607082630693</v>
      </c>
    </row>
    <row r="1305" spans="1:7" x14ac:dyDescent="0.25">
      <c r="A1305" s="5">
        <v>45807.760416666664</v>
      </c>
      <c r="B1305">
        <v>28</v>
      </c>
      <c r="C1305" t="s">
        <v>34</v>
      </c>
      <c r="D1305" t="s">
        <v>35</v>
      </c>
      <c r="E1305">
        <v>1.51</v>
      </c>
      <c r="F1305">
        <v>4.92</v>
      </c>
      <c r="G1305" s="8">
        <f t="shared" si="20"/>
        <v>18.414634146341463</v>
      </c>
    </row>
    <row r="1306" spans="1:7" x14ac:dyDescent="0.25">
      <c r="A1306" s="5">
        <v>45807.760416666664</v>
      </c>
      <c r="B1306">
        <v>29</v>
      </c>
      <c r="C1306" t="s">
        <v>36</v>
      </c>
      <c r="D1306" t="s">
        <v>37</v>
      </c>
      <c r="E1306">
        <v>1.57</v>
      </c>
      <c r="F1306">
        <v>3.98</v>
      </c>
      <c r="G1306" s="8">
        <f t="shared" si="20"/>
        <v>23.668341708542716</v>
      </c>
    </row>
    <row r="1307" spans="1:7" x14ac:dyDescent="0.25">
      <c r="A1307" s="5">
        <v>45807.760416666664</v>
      </c>
      <c r="B1307">
        <v>30</v>
      </c>
      <c r="C1307" t="s">
        <v>37</v>
      </c>
      <c r="D1307" t="s">
        <v>38</v>
      </c>
      <c r="E1307">
        <v>1.57</v>
      </c>
      <c r="F1307">
        <v>4.07</v>
      </c>
      <c r="G1307" s="8">
        <f t="shared" si="20"/>
        <v>23.144963144963143</v>
      </c>
    </row>
    <row r="1308" spans="1:7" x14ac:dyDescent="0.25">
      <c r="A1308" s="5">
        <v>45807.760416666664</v>
      </c>
      <c r="B1308">
        <v>31</v>
      </c>
      <c r="C1308" t="s">
        <v>38</v>
      </c>
      <c r="D1308" t="s">
        <v>39</v>
      </c>
      <c r="E1308">
        <v>1.52</v>
      </c>
      <c r="F1308">
        <v>5.32</v>
      </c>
      <c r="G1308" s="8">
        <f t="shared" si="20"/>
        <v>17.142857142857142</v>
      </c>
    </row>
    <row r="1309" spans="1:7" x14ac:dyDescent="0.25">
      <c r="A1309" s="5">
        <v>45807.760416666664</v>
      </c>
      <c r="B1309">
        <v>32</v>
      </c>
      <c r="C1309" t="s">
        <v>39</v>
      </c>
      <c r="D1309" t="s">
        <v>40</v>
      </c>
      <c r="E1309">
        <v>1.5</v>
      </c>
      <c r="F1309">
        <v>2.8</v>
      </c>
      <c r="G1309" s="8">
        <f t="shared" si="20"/>
        <v>32.142857142857146</v>
      </c>
    </row>
    <row r="1310" spans="1:7" x14ac:dyDescent="0.25">
      <c r="A1310" s="5">
        <v>45807.760416666664</v>
      </c>
      <c r="B1310">
        <v>33</v>
      </c>
      <c r="C1310" t="s">
        <v>40</v>
      </c>
      <c r="D1310" t="s">
        <v>41</v>
      </c>
      <c r="E1310">
        <v>1.51</v>
      </c>
      <c r="F1310">
        <v>2.73</v>
      </c>
      <c r="G1310" s="8">
        <f t="shared" si="20"/>
        <v>33.186813186813183</v>
      </c>
    </row>
    <row r="1311" spans="1:7" x14ac:dyDescent="0.25">
      <c r="A1311" s="5">
        <v>45807.760416666664</v>
      </c>
      <c r="B1311">
        <v>34</v>
      </c>
      <c r="C1311" t="s">
        <v>41</v>
      </c>
      <c r="D1311" t="s">
        <v>42</v>
      </c>
      <c r="E1311">
        <v>1.5</v>
      </c>
      <c r="F1311">
        <v>2.12</v>
      </c>
      <c r="G1311" s="8">
        <f t="shared" si="20"/>
        <v>42.452830188679243</v>
      </c>
    </row>
    <row r="1312" spans="1:7" x14ac:dyDescent="0.25">
      <c r="A1312" s="5">
        <v>45807.760416666664</v>
      </c>
      <c r="B1312">
        <v>35</v>
      </c>
      <c r="C1312" t="s">
        <v>43</v>
      </c>
      <c r="D1312" t="s">
        <v>44</v>
      </c>
      <c r="E1312">
        <v>1.55</v>
      </c>
      <c r="F1312">
        <v>5.07</v>
      </c>
      <c r="G1312" s="8">
        <f t="shared" si="20"/>
        <v>18.34319526627219</v>
      </c>
    </row>
    <row r="1313" spans="1:7" x14ac:dyDescent="0.25">
      <c r="A1313" s="5">
        <v>45807.760416666664</v>
      </c>
      <c r="B1313">
        <v>36</v>
      </c>
      <c r="C1313" t="s">
        <v>44</v>
      </c>
      <c r="D1313" t="s">
        <v>45</v>
      </c>
      <c r="E1313">
        <v>1.5</v>
      </c>
      <c r="F1313">
        <v>4.13</v>
      </c>
      <c r="G1313" s="8">
        <f t="shared" si="20"/>
        <v>21.791767554479421</v>
      </c>
    </row>
    <row r="1314" spans="1:7" x14ac:dyDescent="0.25">
      <c r="A1314" s="5">
        <v>45807.760416666664</v>
      </c>
      <c r="B1314">
        <v>37</v>
      </c>
      <c r="C1314" t="s">
        <v>45</v>
      </c>
      <c r="D1314" t="s">
        <v>46</v>
      </c>
      <c r="E1314">
        <v>1.38</v>
      </c>
      <c r="F1314">
        <v>5.67</v>
      </c>
      <c r="G1314" s="8">
        <f t="shared" si="20"/>
        <v>14.603174603174603</v>
      </c>
    </row>
    <row r="1315" spans="1:7" x14ac:dyDescent="0.25">
      <c r="A1315" s="5">
        <v>45807.760416666664</v>
      </c>
      <c r="B1315">
        <v>38</v>
      </c>
      <c r="C1315" t="s">
        <v>46</v>
      </c>
      <c r="D1315" t="s">
        <v>47</v>
      </c>
      <c r="E1315">
        <v>1.61</v>
      </c>
      <c r="F1315">
        <v>5.28</v>
      </c>
      <c r="G1315" s="8">
        <f t="shared" si="20"/>
        <v>18.295454545454547</v>
      </c>
    </row>
    <row r="1316" spans="1:7" x14ac:dyDescent="0.25">
      <c r="A1316" s="5">
        <v>45807.760416666664</v>
      </c>
      <c r="B1316">
        <v>39</v>
      </c>
      <c r="C1316" t="s">
        <v>47</v>
      </c>
      <c r="D1316" t="s">
        <v>48</v>
      </c>
      <c r="E1316">
        <v>1.55</v>
      </c>
      <c r="F1316">
        <v>3.78</v>
      </c>
      <c r="G1316" s="8">
        <f t="shared" si="20"/>
        <v>24.603174603174605</v>
      </c>
    </row>
    <row r="1317" spans="1:7" x14ac:dyDescent="0.25">
      <c r="A1317" s="5">
        <v>45807.760416666664</v>
      </c>
      <c r="B1317">
        <v>40</v>
      </c>
      <c r="C1317" t="s">
        <v>48</v>
      </c>
      <c r="D1317" t="s">
        <v>49</v>
      </c>
      <c r="E1317">
        <v>1.39</v>
      </c>
      <c r="F1317">
        <v>3.22</v>
      </c>
      <c r="G1317" s="8">
        <f t="shared" si="20"/>
        <v>25.900621118012417</v>
      </c>
    </row>
    <row r="1318" spans="1:7" x14ac:dyDescent="0.25">
      <c r="A1318" s="5">
        <v>45807.760416666664</v>
      </c>
      <c r="B1318">
        <v>41</v>
      </c>
      <c r="C1318" t="s">
        <v>50</v>
      </c>
      <c r="D1318" t="s">
        <v>51</v>
      </c>
      <c r="E1318">
        <v>1.56</v>
      </c>
      <c r="F1318">
        <v>6.35</v>
      </c>
      <c r="G1318" s="8">
        <f t="shared" si="20"/>
        <v>14.740157480314963</v>
      </c>
    </row>
    <row r="1319" spans="1:7" x14ac:dyDescent="0.25">
      <c r="A1319" s="5">
        <v>45807.760416666664</v>
      </c>
      <c r="B1319">
        <v>42</v>
      </c>
      <c r="C1319" t="s">
        <v>51</v>
      </c>
      <c r="D1319" t="s">
        <v>52</v>
      </c>
      <c r="E1319">
        <v>1.56</v>
      </c>
      <c r="F1319">
        <v>5.75</v>
      </c>
      <c r="G1319" s="8">
        <f t="shared" si="20"/>
        <v>16.278260869565219</v>
      </c>
    </row>
    <row r="1320" spans="1:7" x14ac:dyDescent="0.25">
      <c r="A1320" s="5">
        <v>45807.760416666664</v>
      </c>
      <c r="B1320">
        <v>43</v>
      </c>
      <c r="C1320" t="s">
        <v>52</v>
      </c>
      <c r="D1320" t="s">
        <v>53</v>
      </c>
      <c r="E1320">
        <v>1.51</v>
      </c>
      <c r="F1320">
        <v>5.87</v>
      </c>
      <c r="G1320" s="8">
        <f t="shared" si="20"/>
        <v>15.434412265758091</v>
      </c>
    </row>
    <row r="1321" spans="1:7" x14ac:dyDescent="0.25">
      <c r="A1321" s="5">
        <v>45807.760416666664</v>
      </c>
      <c r="B1321">
        <v>44</v>
      </c>
      <c r="C1321" t="s">
        <v>54</v>
      </c>
      <c r="D1321" t="s">
        <v>55</v>
      </c>
      <c r="E1321">
        <v>1.51</v>
      </c>
      <c r="F1321">
        <v>5.4</v>
      </c>
      <c r="G1321" s="8">
        <f t="shared" si="20"/>
        <v>16.777777777777775</v>
      </c>
    </row>
    <row r="1322" spans="1:7" x14ac:dyDescent="0.25">
      <c r="A1322" s="5">
        <v>45807.760416666664</v>
      </c>
      <c r="B1322">
        <v>45</v>
      </c>
      <c r="C1322" t="s">
        <v>55</v>
      </c>
      <c r="D1322" t="s">
        <v>56</v>
      </c>
      <c r="E1322">
        <v>1.49</v>
      </c>
      <c r="F1322">
        <v>6.77</v>
      </c>
      <c r="G1322" s="8">
        <f t="shared" si="20"/>
        <v>13.205317577548007</v>
      </c>
    </row>
    <row r="1323" spans="1:7" x14ac:dyDescent="0.25">
      <c r="A1323" s="5">
        <v>45807.760416666664</v>
      </c>
      <c r="B1323">
        <v>46</v>
      </c>
      <c r="C1323" t="s">
        <v>56</v>
      </c>
      <c r="D1323" t="s">
        <v>57</v>
      </c>
      <c r="E1323">
        <v>1.52</v>
      </c>
      <c r="F1323">
        <v>5.38</v>
      </c>
      <c r="G1323" s="8">
        <f t="shared" si="20"/>
        <v>16.951672862453531</v>
      </c>
    </row>
    <row r="1324" spans="1:7" x14ac:dyDescent="0.25">
      <c r="A1324" s="5">
        <v>45807.760416666664</v>
      </c>
      <c r="B1324">
        <v>47</v>
      </c>
      <c r="C1324" t="s">
        <v>58</v>
      </c>
      <c r="D1324" t="s">
        <v>59</v>
      </c>
      <c r="E1324">
        <v>1.52</v>
      </c>
      <c r="F1324">
        <v>8.02</v>
      </c>
      <c r="G1324" s="8">
        <f t="shared" si="20"/>
        <v>11.371571072319203</v>
      </c>
    </row>
    <row r="1325" spans="1:7" x14ac:dyDescent="0.25">
      <c r="A1325" s="5">
        <v>45807.760416666664</v>
      </c>
      <c r="B1325">
        <v>48</v>
      </c>
      <c r="C1325" t="s">
        <v>59</v>
      </c>
      <c r="D1325" t="s">
        <v>60</v>
      </c>
      <c r="E1325">
        <v>1.5</v>
      </c>
      <c r="F1325">
        <v>4.37</v>
      </c>
      <c r="G1325" s="8">
        <f t="shared" si="20"/>
        <v>20.594965675057207</v>
      </c>
    </row>
    <row r="1326" spans="1:7" x14ac:dyDescent="0.25">
      <c r="A1326" s="5">
        <v>45807.760416666664</v>
      </c>
      <c r="B1326">
        <v>49</v>
      </c>
      <c r="C1326" t="s">
        <v>60</v>
      </c>
      <c r="D1326" t="s">
        <v>61</v>
      </c>
      <c r="E1326">
        <v>1.54</v>
      </c>
      <c r="F1326">
        <v>8.85</v>
      </c>
      <c r="G1326" s="8">
        <f t="shared" si="20"/>
        <v>10.440677966101696</v>
      </c>
    </row>
    <row r="1327" spans="1:7" x14ac:dyDescent="0.25">
      <c r="A1327" s="5">
        <v>45807.760416666664</v>
      </c>
      <c r="B1327">
        <v>50</v>
      </c>
      <c r="C1327" t="s">
        <v>62</v>
      </c>
      <c r="D1327" t="s">
        <v>63</v>
      </c>
      <c r="E1327">
        <v>1.38</v>
      </c>
      <c r="F1327">
        <v>3.38</v>
      </c>
      <c r="G1327" s="8">
        <f t="shared" si="20"/>
        <v>24.497041420118343</v>
      </c>
    </row>
    <row r="1328" spans="1:7" x14ac:dyDescent="0.25">
      <c r="A1328" s="5">
        <v>45807.760416666664</v>
      </c>
      <c r="B1328">
        <v>51</v>
      </c>
      <c r="C1328" t="s">
        <v>63</v>
      </c>
      <c r="D1328" t="s">
        <v>64</v>
      </c>
      <c r="E1328">
        <v>2.79</v>
      </c>
      <c r="F1328">
        <v>5.83</v>
      </c>
      <c r="G1328" s="8">
        <f t="shared" si="20"/>
        <v>28.713550600343055</v>
      </c>
    </row>
    <row r="1329" spans="1:7" x14ac:dyDescent="0.25">
      <c r="A1329" s="5">
        <v>45807.760416666664</v>
      </c>
      <c r="B1329">
        <v>52</v>
      </c>
      <c r="C1329" t="s">
        <v>64</v>
      </c>
      <c r="D1329" t="s">
        <v>65</v>
      </c>
      <c r="E1329">
        <v>1.5</v>
      </c>
      <c r="F1329">
        <v>2.83</v>
      </c>
      <c r="G1329" s="8">
        <f t="shared" si="20"/>
        <v>31.802120141342755</v>
      </c>
    </row>
    <row r="1330" spans="1:7" x14ac:dyDescent="0.25">
      <c r="A1330" s="5">
        <v>45807.760416666664</v>
      </c>
      <c r="B1330">
        <v>53</v>
      </c>
      <c r="C1330" t="s">
        <v>65</v>
      </c>
      <c r="D1330" t="s">
        <v>66</v>
      </c>
      <c r="E1330">
        <v>1.46</v>
      </c>
      <c r="F1330">
        <v>3.7</v>
      </c>
      <c r="G1330" s="8">
        <f t="shared" si="20"/>
        <v>23.675675675675674</v>
      </c>
    </row>
    <row r="1331" spans="1:7" x14ac:dyDescent="0.25">
      <c r="A1331" s="5">
        <v>45807.760416666664</v>
      </c>
      <c r="B1331">
        <v>54</v>
      </c>
      <c r="C1331" t="s">
        <v>67</v>
      </c>
      <c r="D1331" t="s">
        <v>68</v>
      </c>
      <c r="E1331">
        <v>1.46</v>
      </c>
      <c r="F1331">
        <v>4.55</v>
      </c>
      <c r="G1331" s="8">
        <f t="shared" si="20"/>
        <v>19.252747252747252</v>
      </c>
    </row>
    <row r="1332" spans="1:7" x14ac:dyDescent="0.25">
      <c r="A1332" s="5">
        <v>45807.760416666664</v>
      </c>
      <c r="B1332">
        <v>55</v>
      </c>
      <c r="C1332" t="s">
        <v>68</v>
      </c>
      <c r="D1332" t="s">
        <v>69</v>
      </c>
      <c r="E1332">
        <v>1.5</v>
      </c>
      <c r="F1332">
        <v>2.27</v>
      </c>
      <c r="G1332" s="8">
        <f t="shared" si="20"/>
        <v>39.647577092511014</v>
      </c>
    </row>
    <row r="1333" spans="1:7" x14ac:dyDescent="0.25">
      <c r="A1333" s="5">
        <v>45807.760416666664</v>
      </c>
      <c r="B1333">
        <v>56</v>
      </c>
      <c r="C1333" t="s">
        <v>70</v>
      </c>
      <c r="D1333" t="s">
        <v>71</v>
      </c>
      <c r="E1333">
        <v>1.51</v>
      </c>
      <c r="F1333">
        <v>7.18</v>
      </c>
      <c r="G1333" s="8">
        <f t="shared" si="20"/>
        <v>12.618384401114206</v>
      </c>
    </row>
    <row r="1334" spans="1:7" x14ac:dyDescent="0.25">
      <c r="A1334" s="5">
        <v>45807.760416666664</v>
      </c>
      <c r="B1334">
        <v>57</v>
      </c>
      <c r="C1334" t="s">
        <v>71</v>
      </c>
      <c r="D1334" t="s">
        <v>72</v>
      </c>
      <c r="E1334">
        <v>1.94</v>
      </c>
      <c r="F1334">
        <v>6.57</v>
      </c>
      <c r="G1334" s="8">
        <f t="shared" si="20"/>
        <v>17.716894977168948</v>
      </c>
    </row>
    <row r="1335" spans="1:7" x14ac:dyDescent="0.25">
      <c r="A1335" s="5">
        <v>45807.760416666664</v>
      </c>
      <c r="B1335">
        <v>58</v>
      </c>
      <c r="C1335" t="s">
        <v>72</v>
      </c>
      <c r="D1335" t="s">
        <v>73</v>
      </c>
      <c r="E1335">
        <v>1.5</v>
      </c>
      <c r="F1335">
        <v>5.58</v>
      </c>
      <c r="G1335" s="8">
        <f t="shared" si="20"/>
        <v>16.129032258064516</v>
      </c>
    </row>
    <row r="1336" spans="1:7" x14ac:dyDescent="0.25">
      <c r="A1336" s="5">
        <v>45807.770833333336</v>
      </c>
      <c r="B1336">
        <v>1</v>
      </c>
      <c r="C1336" t="s">
        <v>6</v>
      </c>
      <c r="D1336" t="s">
        <v>7</v>
      </c>
      <c r="E1336">
        <v>1.53</v>
      </c>
      <c r="F1336">
        <v>3.55</v>
      </c>
      <c r="G1336" s="8">
        <f t="shared" si="20"/>
        <v>25.859154929577464</v>
      </c>
    </row>
    <row r="1337" spans="1:7" x14ac:dyDescent="0.25">
      <c r="A1337" s="5">
        <v>45807.770833333336</v>
      </c>
      <c r="B1337">
        <v>2</v>
      </c>
      <c r="C1337" t="s">
        <v>7</v>
      </c>
      <c r="D1337" t="s">
        <v>8</v>
      </c>
      <c r="E1337">
        <v>1.57</v>
      </c>
      <c r="F1337">
        <v>8.67</v>
      </c>
      <c r="G1337" s="8">
        <f t="shared" si="20"/>
        <v>10.865051903114187</v>
      </c>
    </row>
    <row r="1338" spans="1:7" x14ac:dyDescent="0.25">
      <c r="A1338" s="5">
        <v>45807.770833333336</v>
      </c>
      <c r="B1338">
        <v>3</v>
      </c>
      <c r="C1338" t="s">
        <v>8</v>
      </c>
      <c r="D1338" t="s">
        <v>9</v>
      </c>
      <c r="E1338">
        <v>1.5</v>
      </c>
      <c r="F1338">
        <v>4.12</v>
      </c>
      <c r="G1338" s="8">
        <f t="shared" si="20"/>
        <v>21.844660194174757</v>
      </c>
    </row>
    <row r="1339" spans="1:7" x14ac:dyDescent="0.25">
      <c r="A1339" s="5">
        <v>45807.770833333336</v>
      </c>
      <c r="B1339">
        <v>4</v>
      </c>
      <c r="C1339" t="s">
        <v>9</v>
      </c>
      <c r="D1339" t="s">
        <v>10</v>
      </c>
      <c r="E1339">
        <v>1.5</v>
      </c>
      <c r="F1339">
        <v>3.28</v>
      </c>
      <c r="G1339" s="8">
        <f t="shared" si="20"/>
        <v>27.439024390243905</v>
      </c>
    </row>
    <row r="1340" spans="1:7" x14ac:dyDescent="0.25">
      <c r="A1340" s="5">
        <v>45807.770833333336</v>
      </c>
      <c r="B1340">
        <v>5</v>
      </c>
      <c r="C1340" t="s">
        <v>10</v>
      </c>
      <c r="D1340" t="s">
        <v>11</v>
      </c>
      <c r="E1340">
        <v>1.52</v>
      </c>
      <c r="F1340">
        <v>3.95</v>
      </c>
      <c r="G1340" s="8">
        <f t="shared" si="20"/>
        <v>23.088607594936708</v>
      </c>
    </row>
    <row r="1341" spans="1:7" x14ac:dyDescent="0.25">
      <c r="A1341" s="5">
        <v>45807.770833333336</v>
      </c>
      <c r="B1341">
        <v>6</v>
      </c>
      <c r="C1341" t="s">
        <v>11</v>
      </c>
      <c r="D1341" t="s">
        <v>12</v>
      </c>
      <c r="E1341">
        <v>1.5</v>
      </c>
      <c r="F1341">
        <v>2.77</v>
      </c>
      <c r="G1341" s="8">
        <f t="shared" si="20"/>
        <v>32.490974729241877</v>
      </c>
    </row>
    <row r="1342" spans="1:7" x14ac:dyDescent="0.25">
      <c r="A1342" s="5">
        <v>45807.770833333336</v>
      </c>
      <c r="B1342">
        <v>7</v>
      </c>
      <c r="C1342" t="s">
        <v>12</v>
      </c>
      <c r="D1342" t="s">
        <v>13</v>
      </c>
      <c r="E1342">
        <v>1.54</v>
      </c>
      <c r="F1342">
        <v>2.83</v>
      </c>
      <c r="G1342" s="8">
        <f t="shared" si="20"/>
        <v>32.650176678445234</v>
      </c>
    </row>
    <row r="1343" spans="1:7" x14ac:dyDescent="0.25">
      <c r="A1343" s="5">
        <v>45807.770833333336</v>
      </c>
      <c r="B1343">
        <v>8</v>
      </c>
      <c r="C1343" t="s">
        <v>13</v>
      </c>
      <c r="D1343" t="s">
        <v>14</v>
      </c>
      <c r="E1343">
        <v>1.54</v>
      </c>
      <c r="F1343">
        <v>3.13</v>
      </c>
      <c r="G1343" s="8">
        <f t="shared" si="20"/>
        <v>29.520766773162944</v>
      </c>
    </row>
    <row r="1344" spans="1:7" x14ac:dyDescent="0.25">
      <c r="A1344" s="5">
        <v>45807.770833333336</v>
      </c>
      <c r="B1344">
        <v>9</v>
      </c>
      <c r="C1344" t="s">
        <v>14</v>
      </c>
      <c r="D1344" t="s">
        <v>15</v>
      </c>
      <c r="E1344">
        <v>1.52</v>
      </c>
      <c r="F1344">
        <v>3.52</v>
      </c>
      <c r="G1344" s="8">
        <f t="shared" si="20"/>
        <v>25.90909090909091</v>
      </c>
    </row>
    <row r="1345" spans="1:7" x14ac:dyDescent="0.25">
      <c r="A1345" s="5">
        <v>45807.770833333336</v>
      </c>
      <c r="B1345">
        <v>10</v>
      </c>
      <c r="C1345" t="s">
        <v>15</v>
      </c>
      <c r="D1345" t="s">
        <v>16</v>
      </c>
      <c r="E1345">
        <v>1.5</v>
      </c>
      <c r="F1345">
        <v>4.53</v>
      </c>
      <c r="G1345" s="8">
        <f t="shared" si="20"/>
        <v>19.867549668874172</v>
      </c>
    </row>
    <row r="1346" spans="1:7" x14ac:dyDescent="0.25">
      <c r="A1346" s="5">
        <v>45807.770833333336</v>
      </c>
      <c r="B1346">
        <v>11</v>
      </c>
      <c r="C1346" t="s">
        <v>16</v>
      </c>
      <c r="D1346" t="s">
        <v>17</v>
      </c>
      <c r="E1346">
        <v>1.48</v>
      </c>
      <c r="F1346">
        <v>4.63</v>
      </c>
      <c r="G1346" s="8">
        <f t="shared" si="20"/>
        <v>19.179265658747301</v>
      </c>
    </row>
    <row r="1347" spans="1:7" x14ac:dyDescent="0.25">
      <c r="A1347" s="5">
        <v>45807.770833333336</v>
      </c>
      <c r="B1347">
        <v>12</v>
      </c>
      <c r="C1347" t="s">
        <v>17</v>
      </c>
      <c r="D1347" t="s">
        <v>18</v>
      </c>
      <c r="E1347">
        <v>1.46</v>
      </c>
      <c r="F1347">
        <v>4.3</v>
      </c>
      <c r="G1347" s="8">
        <f t="shared" ref="G1347:G1410" si="21">E1347*60/F1347</f>
        <v>20.372093023255815</v>
      </c>
    </row>
    <row r="1348" spans="1:7" x14ac:dyDescent="0.25">
      <c r="A1348" s="5">
        <v>45807.770833333336</v>
      </c>
      <c r="B1348">
        <v>13</v>
      </c>
      <c r="C1348" t="s">
        <v>18</v>
      </c>
      <c r="D1348" t="s">
        <v>19</v>
      </c>
      <c r="E1348">
        <v>1.52</v>
      </c>
      <c r="F1348">
        <v>7.12</v>
      </c>
      <c r="G1348" s="8">
        <f t="shared" si="21"/>
        <v>12.808988764044944</v>
      </c>
    </row>
    <row r="1349" spans="1:7" x14ac:dyDescent="0.25">
      <c r="A1349" s="5">
        <v>45807.770833333336</v>
      </c>
      <c r="B1349">
        <v>14</v>
      </c>
      <c r="C1349" t="s">
        <v>19</v>
      </c>
      <c r="D1349" t="s">
        <v>20</v>
      </c>
      <c r="E1349">
        <v>1.51</v>
      </c>
      <c r="F1349">
        <v>5.17</v>
      </c>
      <c r="G1349" s="8">
        <f t="shared" si="21"/>
        <v>17.524177949709863</v>
      </c>
    </row>
    <row r="1350" spans="1:7" x14ac:dyDescent="0.25">
      <c r="A1350" s="5">
        <v>45807.770833333336</v>
      </c>
      <c r="B1350">
        <v>15</v>
      </c>
      <c r="C1350" t="s">
        <v>20</v>
      </c>
      <c r="D1350" t="s">
        <v>21</v>
      </c>
      <c r="E1350">
        <v>1.47</v>
      </c>
      <c r="F1350">
        <v>2.75</v>
      </c>
      <c r="G1350" s="8">
        <f t="shared" si="21"/>
        <v>32.072727272727271</v>
      </c>
    </row>
    <row r="1351" spans="1:7" x14ac:dyDescent="0.25">
      <c r="A1351" s="5">
        <v>45807.770833333336</v>
      </c>
      <c r="B1351">
        <v>16</v>
      </c>
      <c r="C1351" t="s">
        <v>21</v>
      </c>
      <c r="D1351" t="s">
        <v>22</v>
      </c>
      <c r="E1351">
        <v>1.5</v>
      </c>
      <c r="F1351">
        <v>6.18</v>
      </c>
      <c r="G1351" s="8">
        <f t="shared" si="21"/>
        <v>14.563106796116505</v>
      </c>
    </row>
    <row r="1352" spans="1:7" x14ac:dyDescent="0.25">
      <c r="A1352" s="5">
        <v>45807.770833333336</v>
      </c>
      <c r="B1352">
        <v>17</v>
      </c>
      <c r="C1352" t="s">
        <v>22</v>
      </c>
      <c r="D1352" t="s">
        <v>23</v>
      </c>
      <c r="E1352">
        <v>1.51</v>
      </c>
      <c r="F1352">
        <v>4.12</v>
      </c>
      <c r="G1352" s="8">
        <f t="shared" si="21"/>
        <v>21.990291262135919</v>
      </c>
    </row>
    <row r="1353" spans="1:7" x14ac:dyDescent="0.25">
      <c r="A1353" s="5">
        <v>45807.770833333336</v>
      </c>
      <c r="B1353">
        <v>18</v>
      </c>
      <c r="C1353" t="s">
        <v>23</v>
      </c>
      <c r="D1353" t="s">
        <v>24</v>
      </c>
      <c r="E1353">
        <v>1.51</v>
      </c>
      <c r="F1353">
        <v>4.12</v>
      </c>
      <c r="G1353" s="8">
        <f t="shared" si="21"/>
        <v>21.990291262135919</v>
      </c>
    </row>
    <row r="1354" spans="1:7" x14ac:dyDescent="0.25">
      <c r="A1354" s="5">
        <v>45807.770833333336</v>
      </c>
      <c r="B1354">
        <v>19</v>
      </c>
      <c r="C1354" t="s">
        <v>25</v>
      </c>
      <c r="D1354" t="s">
        <v>26</v>
      </c>
      <c r="E1354">
        <v>1.5</v>
      </c>
      <c r="F1354">
        <v>3.68</v>
      </c>
      <c r="G1354" s="8">
        <f t="shared" si="21"/>
        <v>24.456521739130434</v>
      </c>
    </row>
    <row r="1355" spans="1:7" x14ac:dyDescent="0.25">
      <c r="A1355" s="5">
        <v>45807.770833333336</v>
      </c>
      <c r="B1355">
        <v>20</v>
      </c>
      <c r="C1355" t="s">
        <v>26</v>
      </c>
      <c r="D1355" t="s">
        <v>27</v>
      </c>
      <c r="E1355">
        <v>1.48</v>
      </c>
      <c r="F1355">
        <v>3.42</v>
      </c>
      <c r="G1355" s="8">
        <f t="shared" si="21"/>
        <v>25.964912280701753</v>
      </c>
    </row>
    <row r="1356" spans="1:7" x14ac:dyDescent="0.25">
      <c r="A1356" s="5">
        <v>45807.770833333336</v>
      </c>
      <c r="B1356">
        <v>21</v>
      </c>
      <c r="C1356" t="s">
        <v>27</v>
      </c>
      <c r="D1356" t="s">
        <v>28</v>
      </c>
      <c r="E1356">
        <v>1.51</v>
      </c>
      <c r="F1356">
        <v>4.32</v>
      </c>
      <c r="G1356" s="8">
        <f t="shared" si="21"/>
        <v>20.972222222222218</v>
      </c>
    </row>
    <row r="1357" spans="1:7" x14ac:dyDescent="0.25">
      <c r="A1357" s="5">
        <v>45807.770833333336</v>
      </c>
      <c r="B1357">
        <v>22</v>
      </c>
      <c r="C1357" t="s">
        <v>28</v>
      </c>
      <c r="D1357" t="s">
        <v>29</v>
      </c>
      <c r="E1357">
        <v>1.57</v>
      </c>
      <c r="F1357">
        <v>7.05</v>
      </c>
      <c r="G1357" s="8">
        <f t="shared" si="21"/>
        <v>13.361702127659575</v>
      </c>
    </row>
    <row r="1358" spans="1:7" x14ac:dyDescent="0.25">
      <c r="A1358" s="5">
        <v>45807.770833333336</v>
      </c>
      <c r="B1358">
        <v>23</v>
      </c>
      <c r="C1358" t="s">
        <v>29</v>
      </c>
      <c r="D1358" t="s">
        <v>30</v>
      </c>
      <c r="E1358">
        <v>1.43</v>
      </c>
      <c r="F1358">
        <v>7.37</v>
      </c>
      <c r="G1358" s="8">
        <f t="shared" si="21"/>
        <v>11.641791044776118</v>
      </c>
    </row>
    <row r="1359" spans="1:7" x14ac:dyDescent="0.25">
      <c r="A1359" s="5">
        <v>45807.770833333336</v>
      </c>
      <c r="B1359">
        <v>24</v>
      </c>
      <c r="C1359" t="s">
        <v>30</v>
      </c>
      <c r="D1359" t="s">
        <v>31</v>
      </c>
      <c r="E1359">
        <v>1.52</v>
      </c>
      <c r="F1359">
        <v>4.87</v>
      </c>
      <c r="G1359" s="8">
        <f t="shared" si="21"/>
        <v>18.726899383983572</v>
      </c>
    </row>
    <row r="1360" spans="1:7" x14ac:dyDescent="0.25">
      <c r="A1360" s="5">
        <v>45807.770833333336</v>
      </c>
      <c r="B1360">
        <v>25</v>
      </c>
      <c r="C1360" t="s">
        <v>31</v>
      </c>
      <c r="D1360" t="s">
        <v>32</v>
      </c>
      <c r="E1360">
        <v>1.52</v>
      </c>
      <c r="F1360">
        <v>4.42</v>
      </c>
      <c r="G1360" s="8">
        <f t="shared" si="21"/>
        <v>20.633484162895929</v>
      </c>
    </row>
    <row r="1361" spans="1:7" x14ac:dyDescent="0.25">
      <c r="A1361" s="5">
        <v>45807.770833333336</v>
      </c>
      <c r="B1361">
        <v>26</v>
      </c>
      <c r="C1361" t="s">
        <v>32</v>
      </c>
      <c r="D1361" t="s">
        <v>33</v>
      </c>
      <c r="E1361">
        <v>1.49</v>
      </c>
      <c r="F1361">
        <v>8.57</v>
      </c>
      <c r="G1361" s="8">
        <f t="shared" si="21"/>
        <v>10.43173862310385</v>
      </c>
    </row>
    <row r="1362" spans="1:7" x14ac:dyDescent="0.25">
      <c r="A1362" s="5">
        <v>45807.770833333336</v>
      </c>
      <c r="B1362">
        <v>27</v>
      </c>
      <c r="C1362" t="s">
        <v>33</v>
      </c>
      <c r="D1362" t="s">
        <v>34</v>
      </c>
      <c r="E1362">
        <v>1.53</v>
      </c>
      <c r="F1362">
        <v>4.28</v>
      </c>
      <c r="G1362" s="8">
        <f t="shared" si="21"/>
        <v>21.44859813084112</v>
      </c>
    </row>
    <row r="1363" spans="1:7" x14ac:dyDescent="0.25">
      <c r="A1363" s="5">
        <v>45807.770833333336</v>
      </c>
      <c r="B1363">
        <v>28</v>
      </c>
      <c r="C1363" t="s">
        <v>34</v>
      </c>
      <c r="D1363" t="s">
        <v>35</v>
      </c>
      <c r="E1363">
        <v>1.51</v>
      </c>
      <c r="F1363">
        <v>4.45</v>
      </c>
      <c r="G1363" s="8">
        <f t="shared" si="21"/>
        <v>20.35955056179775</v>
      </c>
    </row>
    <row r="1364" spans="1:7" x14ac:dyDescent="0.25">
      <c r="A1364" s="5">
        <v>45807.770833333336</v>
      </c>
      <c r="B1364">
        <v>29</v>
      </c>
      <c r="C1364" t="s">
        <v>36</v>
      </c>
      <c r="D1364" t="s">
        <v>37</v>
      </c>
      <c r="E1364">
        <v>1.57</v>
      </c>
      <c r="F1364">
        <v>4.07</v>
      </c>
      <c r="G1364" s="8">
        <f t="shared" si="21"/>
        <v>23.144963144963143</v>
      </c>
    </row>
    <row r="1365" spans="1:7" x14ac:dyDescent="0.25">
      <c r="A1365" s="5">
        <v>45807.770833333336</v>
      </c>
      <c r="B1365">
        <v>30</v>
      </c>
      <c r="C1365" t="s">
        <v>37</v>
      </c>
      <c r="D1365" t="s">
        <v>38</v>
      </c>
      <c r="E1365">
        <v>1.57</v>
      </c>
      <c r="F1365">
        <v>3.7</v>
      </c>
      <c r="G1365" s="8">
        <f t="shared" si="21"/>
        <v>25.45945945945946</v>
      </c>
    </row>
    <row r="1366" spans="1:7" x14ac:dyDescent="0.25">
      <c r="A1366" s="5">
        <v>45807.770833333336</v>
      </c>
      <c r="B1366">
        <v>31</v>
      </c>
      <c r="C1366" t="s">
        <v>38</v>
      </c>
      <c r="D1366" t="s">
        <v>39</v>
      </c>
      <c r="E1366">
        <v>1.52</v>
      </c>
      <c r="F1366">
        <v>3.23</v>
      </c>
      <c r="G1366" s="8">
        <f t="shared" si="21"/>
        <v>28.235294117647062</v>
      </c>
    </row>
    <row r="1367" spans="1:7" x14ac:dyDescent="0.25">
      <c r="A1367" s="5">
        <v>45807.770833333336</v>
      </c>
      <c r="B1367">
        <v>32</v>
      </c>
      <c r="C1367" t="s">
        <v>39</v>
      </c>
      <c r="D1367" t="s">
        <v>40</v>
      </c>
      <c r="E1367">
        <v>1.5</v>
      </c>
      <c r="F1367">
        <v>2.4700000000000002</v>
      </c>
      <c r="G1367" s="8">
        <f t="shared" si="21"/>
        <v>36.43724696356275</v>
      </c>
    </row>
    <row r="1368" spans="1:7" x14ac:dyDescent="0.25">
      <c r="A1368" s="5">
        <v>45807.770833333336</v>
      </c>
      <c r="B1368">
        <v>33</v>
      </c>
      <c r="C1368" t="s">
        <v>40</v>
      </c>
      <c r="D1368" t="s">
        <v>41</v>
      </c>
      <c r="E1368">
        <v>1.51</v>
      </c>
      <c r="F1368">
        <v>2.6</v>
      </c>
      <c r="G1368" s="8">
        <f t="shared" si="21"/>
        <v>34.84615384615384</v>
      </c>
    </row>
    <row r="1369" spans="1:7" x14ac:dyDescent="0.25">
      <c r="A1369" s="5">
        <v>45807.770833333336</v>
      </c>
      <c r="B1369">
        <v>34</v>
      </c>
      <c r="C1369" t="s">
        <v>41</v>
      </c>
      <c r="D1369" t="s">
        <v>42</v>
      </c>
      <c r="E1369">
        <v>1.5</v>
      </c>
      <c r="F1369">
        <v>2.2200000000000002</v>
      </c>
      <c r="G1369" s="8">
        <f t="shared" si="21"/>
        <v>40.54054054054054</v>
      </c>
    </row>
    <row r="1370" spans="1:7" x14ac:dyDescent="0.25">
      <c r="A1370" s="5">
        <v>45807.770833333336</v>
      </c>
      <c r="B1370">
        <v>35</v>
      </c>
      <c r="C1370" t="s">
        <v>43</v>
      </c>
      <c r="D1370" t="s">
        <v>44</v>
      </c>
      <c r="E1370">
        <v>1.55</v>
      </c>
      <c r="F1370">
        <v>5.25</v>
      </c>
      <c r="G1370" s="8">
        <f t="shared" si="21"/>
        <v>17.714285714285715</v>
      </c>
    </row>
    <row r="1371" spans="1:7" x14ac:dyDescent="0.25">
      <c r="A1371" s="5">
        <v>45807.770833333336</v>
      </c>
      <c r="B1371">
        <v>36</v>
      </c>
      <c r="C1371" t="s">
        <v>44</v>
      </c>
      <c r="D1371" t="s">
        <v>45</v>
      </c>
      <c r="E1371">
        <v>1.5</v>
      </c>
      <c r="F1371">
        <v>4.3499999999999996</v>
      </c>
      <c r="G1371" s="8">
        <f t="shared" si="21"/>
        <v>20.689655172413794</v>
      </c>
    </row>
    <row r="1372" spans="1:7" x14ac:dyDescent="0.25">
      <c r="A1372" s="5">
        <v>45807.770833333336</v>
      </c>
      <c r="B1372">
        <v>37</v>
      </c>
      <c r="C1372" t="s">
        <v>45</v>
      </c>
      <c r="D1372" t="s">
        <v>46</v>
      </c>
      <c r="E1372">
        <v>1.38</v>
      </c>
      <c r="F1372">
        <v>7.77</v>
      </c>
      <c r="G1372" s="8">
        <f t="shared" si="21"/>
        <v>10.656370656370656</v>
      </c>
    </row>
    <row r="1373" spans="1:7" x14ac:dyDescent="0.25">
      <c r="A1373" s="5">
        <v>45807.770833333336</v>
      </c>
      <c r="B1373">
        <v>38</v>
      </c>
      <c r="C1373" t="s">
        <v>46</v>
      </c>
      <c r="D1373" t="s">
        <v>47</v>
      </c>
      <c r="E1373">
        <v>1.61</v>
      </c>
      <c r="F1373">
        <v>5.27</v>
      </c>
      <c r="G1373" s="8">
        <f t="shared" si="21"/>
        <v>18.330170777988616</v>
      </c>
    </row>
    <row r="1374" spans="1:7" x14ac:dyDescent="0.25">
      <c r="A1374" s="5">
        <v>45807.770833333336</v>
      </c>
      <c r="B1374">
        <v>39</v>
      </c>
      <c r="C1374" t="s">
        <v>47</v>
      </c>
      <c r="D1374" t="s">
        <v>48</v>
      </c>
      <c r="E1374">
        <v>1.55</v>
      </c>
      <c r="F1374">
        <v>3.88</v>
      </c>
      <c r="G1374" s="8">
        <f t="shared" si="21"/>
        <v>23.969072164948454</v>
      </c>
    </row>
    <row r="1375" spans="1:7" x14ac:dyDescent="0.25">
      <c r="A1375" s="5">
        <v>45807.770833333336</v>
      </c>
      <c r="B1375">
        <v>40</v>
      </c>
      <c r="C1375" t="s">
        <v>48</v>
      </c>
      <c r="D1375" t="s">
        <v>49</v>
      </c>
      <c r="E1375">
        <v>1.39</v>
      </c>
      <c r="F1375">
        <v>3.22</v>
      </c>
      <c r="G1375" s="8">
        <f t="shared" si="21"/>
        <v>25.900621118012417</v>
      </c>
    </row>
    <row r="1376" spans="1:7" x14ac:dyDescent="0.25">
      <c r="A1376" s="5">
        <v>45807.770833333336</v>
      </c>
      <c r="B1376">
        <v>41</v>
      </c>
      <c r="C1376" t="s">
        <v>50</v>
      </c>
      <c r="D1376" t="s">
        <v>51</v>
      </c>
      <c r="E1376">
        <v>1.56</v>
      </c>
      <c r="F1376">
        <v>7.95</v>
      </c>
      <c r="G1376" s="8">
        <f t="shared" si="21"/>
        <v>11.773584905660378</v>
      </c>
    </row>
    <row r="1377" spans="1:7" x14ac:dyDescent="0.25">
      <c r="A1377" s="5">
        <v>45807.770833333336</v>
      </c>
      <c r="B1377">
        <v>42</v>
      </c>
      <c r="C1377" t="s">
        <v>51</v>
      </c>
      <c r="D1377" t="s">
        <v>52</v>
      </c>
      <c r="E1377">
        <v>1.56</v>
      </c>
      <c r="F1377">
        <v>5.7</v>
      </c>
      <c r="G1377" s="8">
        <f t="shared" si="21"/>
        <v>16.421052631578949</v>
      </c>
    </row>
    <row r="1378" spans="1:7" x14ac:dyDescent="0.25">
      <c r="A1378" s="5">
        <v>45807.770833333336</v>
      </c>
      <c r="B1378">
        <v>43</v>
      </c>
      <c r="C1378" t="s">
        <v>52</v>
      </c>
      <c r="D1378" t="s">
        <v>53</v>
      </c>
      <c r="E1378">
        <v>1.51</v>
      </c>
      <c r="F1378">
        <v>4.87</v>
      </c>
      <c r="G1378" s="8">
        <f t="shared" si="21"/>
        <v>18.603696098562626</v>
      </c>
    </row>
    <row r="1379" spans="1:7" x14ac:dyDescent="0.25">
      <c r="A1379" s="5">
        <v>45807.770833333336</v>
      </c>
      <c r="B1379">
        <v>44</v>
      </c>
      <c r="C1379" t="s">
        <v>54</v>
      </c>
      <c r="D1379" t="s">
        <v>55</v>
      </c>
      <c r="E1379">
        <v>1.51</v>
      </c>
      <c r="F1379">
        <v>4.82</v>
      </c>
      <c r="G1379" s="8">
        <f t="shared" si="21"/>
        <v>18.796680497925308</v>
      </c>
    </row>
    <row r="1380" spans="1:7" x14ac:dyDescent="0.25">
      <c r="A1380" s="5">
        <v>45807.770833333336</v>
      </c>
      <c r="B1380">
        <v>45</v>
      </c>
      <c r="C1380" t="s">
        <v>55</v>
      </c>
      <c r="D1380" t="s">
        <v>56</v>
      </c>
      <c r="E1380">
        <v>1.49</v>
      </c>
      <c r="F1380">
        <v>5.7</v>
      </c>
      <c r="G1380" s="8">
        <f t="shared" si="21"/>
        <v>15.684210526315789</v>
      </c>
    </row>
    <row r="1381" spans="1:7" x14ac:dyDescent="0.25">
      <c r="A1381" s="5">
        <v>45807.770833333336</v>
      </c>
      <c r="B1381">
        <v>46</v>
      </c>
      <c r="C1381" t="s">
        <v>56</v>
      </c>
      <c r="D1381" t="s">
        <v>57</v>
      </c>
      <c r="E1381">
        <v>1.52</v>
      </c>
      <c r="F1381">
        <v>4.75</v>
      </c>
      <c r="G1381" s="8">
        <f t="shared" si="21"/>
        <v>19.2</v>
      </c>
    </row>
    <row r="1382" spans="1:7" x14ac:dyDescent="0.25">
      <c r="A1382" s="5">
        <v>45807.770833333336</v>
      </c>
      <c r="B1382">
        <v>47</v>
      </c>
      <c r="C1382" t="s">
        <v>58</v>
      </c>
      <c r="D1382" t="s">
        <v>59</v>
      </c>
      <c r="E1382">
        <v>1.52</v>
      </c>
      <c r="F1382">
        <v>7.83</v>
      </c>
      <c r="G1382" s="8">
        <f t="shared" si="21"/>
        <v>11.647509578544062</v>
      </c>
    </row>
    <row r="1383" spans="1:7" x14ac:dyDescent="0.25">
      <c r="A1383" s="5">
        <v>45807.770833333336</v>
      </c>
      <c r="B1383">
        <v>48</v>
      </c>
      <c r="C1383" t="s">
        <v>59</v>
      </c>
      <c r="D1383" t="s">
        <v>60</v>
      </c>
      <c r="E1383">
        <v>1.5</v>
      </c>
      <c r="F1383">
        <v>4.2699999999999996</v>
      </c>
      <c r="G1383" s="8">
        <f t="shared" si="21"/>
        <v>21.077283372365343</v>
      </c>
    </row>
    <row r="1384" spans="1:7" x14ac:dyDescent="0.25">
      <c r="A1384" s="5">
        <v>45807.770833333336</v>
      </c>
      <c r="B1384">
        <v>49</v>
      </c>
      <c r="C1384" t="s">
        <v>60</v>
      </c>
      <c r="D1384" t="s">
        <v>61</v>
      </c>
      <c r="E1384">
        <v>1.54</v>
      </c>
      <c r="F1384">
        <v>5.42</v>
      </c>
      <c r="G1384" s="8">
        <f t="shared" si="21"/>
        <v>17.047970479704798</v>
      </c>
    </row>
    <row r="1385" spans="1:7" x14ac:dyDescent="0.25">
      <c r="A1385" s="5">
        <v>45807.770833333336</v>
      </c>
      <c r="B1385">
        <v>50</v>
      </c>
      <c r="C1385" t="s">
        <v>62</v>
      </c>
      <c r="D1385" t="s">
        <v>63</v>
      </c>
      <c r="E1385">
        <v>1.38</v>
      </c>
      <c r="F1385">
        <v>3.45</v>
      </c>
      <c r="G1385" s="8">
        <f t="shared" si="21"/>
        <v>23.999999999999996</v>
      </c>
    </row>
    <row r="1386" spans="1:7" x14ac:dyDescent="0.25">
      <c r="A1386" s="5">
        <v>45807.770833333336</v>
      </c>
      <c r="B1386">
        <v>51</v>
      </c>
      <c r="C1386" t="s">
        <v>63</v>
      </c>
      <c r="D1386" t="s">
        <v>64</v>
      </c>
      <c r="E1386">
        <v>2.79</v>
      </c>
      <c r="F1386">
        <v>5.72</v>
      </c>
      <c r="G1386" s="8">
        <f t="shared" si="21"/>
        <v>29.265734265734267</v>
      </c>
    </row>
    <row r="1387" spans="1:7" x14ac:dyDescent="0.25">
      <c r="A1387" s="5">
        <v>45807.770833333336</v>
      </c>
      <c r="B1387">
        <v>52</v>
      </c>
      <c r="C1387" t="s">
        <v>64</v>
      </c>
      <c r="D1387" t="s">
        <v>65</v>
      </c>
      <c r="E1387">
        <v>1.5</v>
      </c>
      <c r="F1387">
        <v>2.87</v>
      </c>
      <c r="G1387" s="8">
        <f t="shared" si="21"/>
        <v>31.358885017421603</v>
      </c>
    </row>
    <row r="1388" spans="1:7" x14ac:dyDescent="0.25">
      <c r="A1388" s="5">
        <v>45807.770833333336</v>
      </c>
      <c r="B1388">
        <v>53</v>
      </c>
      <c r="C1388" t="s">
        <v>65</v>
      </c>
      <c r="D1388" t="s">
        <v>66</v>
      </c>
      <c r="E1388">
        <v>1.46</v>
      </c>
      <c r="F1388">
        <v>4.05</v>
      </c>
      <c r="G1388" s="8">
        <f t="shared" si="21"/>
        <v>21.62962962962963</v>
      </c>
    </row>
    <row r="1389" spans="1:7" x14ac:dyDescent="0.25">
      <c r="A1389" s="5">
        <v>45807.770833333336</v>
      </c>
      <c r="B1389">
        <v>54</v>
      </c>
      <c r="C1389" t="s">
        <v>67</v>
      </c>
      <c r="D1389" t="s">
        <v>68</v>
      </c>
      <c r="E1389">
        <v>1.46</v>
      </c>
      <c r="F1389">
        <v>4.4800000000000004</v>
      </c>
      <c r="G1389" s="8">
        <f t="shared" si="21"/>
        <v>19.553571428571427</v>
      </c>
    </row>
    <row r="1390" spans="1:7" x14ac:dyDescent="0.25">
      <c r="A1390" s="5">
        <v>45807.770833333336</v>
      </c>
      <c r="B1390">
        <v>55</v>
      </c>
      <c r="C1390" t="s">
        <v>68</v>
      </c>
      <c r="D1390" t="s">
        <v>69</v>
      </c>
      <c r="E1390">
        <v>1.5</v>
      </c>
      <c r="F1390">
        <v>2.37</v>
      </c>
      <c r="G1390" s="8">
        <f t="shared" si="21"/>
        <v>37.974683544303794</v>
      </c>
    </row>
    <row r="1391" spans="1:7" x14ac:dyDescent="0.25">
      <c r="A1391" s="5">
        <v>45807.770833333336</v>
      </c>
      <c r="B1391">
        <v>56</v>
      </c>
      <c r="C1391" t="s">
        <v>70</v>
      </c>
      <c r="D1391" t="s">
        <v>71</v>
      </c>
      <c r="E1391">
        <v>1.51</v>
      </c>
      <c r="F1391">
        <v>8.27</v>
      </c>
      <c r="G1391" s="8">
        <f t="shared" si="21"/>
        <v>10.955259975816203</v>
      </c>
    </row>
    <row r="1392" spans="1:7" x14ac:dyDescent="0.25">
      <c r="A1392" s="5">
        <v>45807.770833333336</v>
      </c>
      <c r="B1392">
        <v>57</v>
      </c>
      <c r="C1392" t="s">
        <v>71</v>
      </c>
      <c r="D1392" t="s">
        <v>72</v>
      </c>
      <c r="E1392">
        <v>1.94</v>
      </c>
      <c r="F1392">
        <v>6.6</v>
      </c>
      <c r="G1392" s="8">
        <f t="shared" si="21"/>
        <v>17.636363636363637</v>
      </c>
    </row>
    <row r="1393" spans="1:7" x14ac:dyDescent="0.25">
      <c r="A1393" s="5">
        <v>45807.770833333336</v>
      </c>
      <c r="B1393">
        <v>58</v>
      </c>
      <c r="C1393" t="s">
        <v>72</v>
      </c>
      <c r="D1393" t="s">
        <v>73</v>
      </c>
      <c r="E1393">
        <v>1.5</v>
      </c>
      <c r="F1393">
        <v>4.7300000000000004</v>
      </c>
      <c r="G1393" s="8">
        <f t="shared" si="21"/>
        <v>19.027484143763211</v>
      </c>
    </row>
    <row r="1394" spans="1:7" x14ac:dyDescent="0.25">
      <c r="A1394" s="5">
        <v>45807.78125</v>
      </c>
      <c r="B1394">
        <v>1</v>
      </c>
      <c r="C1394" t="s">
        <v>6</v>
      </c>
      <c r="D1394" t="s">
        <v>7</v>
      </c>
      <c r="E1394">
        <v>1.53</v>
      </c>
      <c r="F1394">
        <v>3.4</v>
      </c>
      <c r="G1394" s="8">
        <f t="shared" si="21"/>
        <v>27</v>
      </c>
    </row>
    <row r="1395" spans="1:7" x14ac:dyDescent="0.25">
      <c r="A1395" s="5">
        <v>45807.78125</v>
      </c>
      <c r="B1395">
        <v>2</v>
      </c>
      <c r="C1395" t="s">
        <v>7</v>
      </c>
      <c r="D1395" t="s">
        <v>8</v>
      </c>
      <c r="E1395">
        <v>1.57</v>
      </c>
      <c r="F1395">
        <v>7.08</v>
      </c>
      <c r="G1395" s="8">
        <f t="shared" si="21"/>
        <v>13.305084745762713</v>
      </c>
    </row>
    <row r="1396" spans="1:7" x14ac:dyDescent="0.25">
      <c r="A1396" s="5">
        <v>45807.78125</v>
      </c>
      <c r="B1396">
        <v>3</v>
      </c>
      <c r="C1396" t="s">
        <v>8</v>
      </c>
      <c r="D1396" t="s">
        <v>9</v>
      </c>
      <c r="E1396">
        <v>1.5</v>
      </c>
      <c r="F1396">
        <v>4.12</v>
      </c>
      <c r="G1396" s="8">
        <f t="shared" si="21"/>
        <v>21.844660194174757</v>
      </c>
    </row>
    <row r="1397" spans="1:7" x14ac:dyDescent="0.25">
      <c r="A1397" s="5">
        <v>45807.78125</v>
      </c>
      <c r="B1397">
        <v>4</v>
      </c>
      <c r="C1397" t="s">
        <v>9</v>
      </c>
      <c r="D1397" t="s">
        <v>10</v>
      </c>
      <c r="E1397">
        <v>1.5</v>
      </c>
      <c r="F1397">
        <v>3.27</v>
      </c>
      <c r="G1397" s="8">
        <f t="shared" si="21"/>
        <v>27.522935779816514</v>
      </c>
    </row>
    <row r="1398" spans="1:7" x14ac:dyDescent="0.25">
      <c r="A1398" s="5">
        <v>45807.78125</v>
      </c>
      <c r="B1398">
        <v>5</v>
      </c>
      <c r="C1398" t="s">
        <v>10</v>
      </c>
      <c r="D1398" t="s">
        <v>11</v>
      </c>
      <c r="E1398">
        <v>1.52</v>
      </c>
      <c r="F1398">
        <v>4.53</v>
      </c>
      <c r="G1398" s="8">
        <f t="shared" si="21"/>
        <v>20.132450331125828</v>
      </c>
    </row>
    <row r="1399" spans="1:7" x14ac:dyDescent="0.25">
      <c r="A1399" s="5">
        <v>45807.78125</v>
      </c>
      <c r="B1399">
        <v>6</v>
      </c>
      <c r="C1399" t="s">
        <v>11</v>
      </c>
      <c r="D1399" t="s">
        <v>12</v>
      </c>
      <c r="E1399">
        <v>1.5</v>
      </c>
      <c r="F1399">
        <v>2.68</v>
      </c>
      <c r="G1399" s="8">
        <f t="shared" si="21"/>
        <v>33.582089552238806</v>
      </c>
    </row>
    <row r="1400" spans="1:7" x14ac:dyDescent="0.25">
      <c r="A1400" s="5">
        <v>45807.78125</v>
      </c>
      <c r="B1400">
        <v>7</v>
      </c>
      <c r="C1400" t="s">
        <v>12</v>
      </c>
      <c r="D1400" t="s">
        <v>13</v>
      </c>
      <c r="E1400">
        <v>1.54</v>
      </c>
      <c r="F1400">
        <v>2.68</v>
      </c>
      <c r="G1400" s="8">
        <f t="shared" si="21"/>
        <v>34.477611940298509</v>
      </c>
    </row>
    <row r="1401" spans="1:7" x14ac:dyDescent="0.25">
      <c r="A1401" s="5">
        <v>45807.78125</v>
      </c>
      <c r="B1401">
        <v>8</v>
      </c>
      <c r="C1401" t="s">
        <v>13</v>
      </c>
      <c r="D1401" t="s">
        <v>14</v>
      </c>
      <c r="E1401">
        <v>1.54</v>
      </c>
      <c r="F1401">
        <v>3.23</v>
      </c>
      <c r="G1401" s="8">
        <f t="shared" si="21"/>
        <v>28.606811145510839</v>
      </c>
    </row>
    <row r="1402" spans="1:7" x14ac:dyDescent="0.25">
      <c r="A1402" s="5">
        <v>45807.78125</v>
      </c>
      <c r="B1402">
        <v>9</v>
      </c>
      <c r="C1402" t="s">
        <v>14</v>
      </c>
      <c r="D1402" t="s">
        <v>15</v>
      </c>
      <c r="E1402">
        <v>1.52</v>
      </c>
      <c r="F1402">
        <v>3.25</v>
      </c>
      <c r="G1402" s="8">
        <f t="shared" si="21"/>
        <v>28.061538461538461</v>
      </c>
    </row>
    <row r="1403" spans="1:7" x14ac:dyDescent="0.25">
      <c r="A1403" s="5">
        <v>45807.78125</v>
      </c>
      <c r="B1403">
        <v>10</v>
      </c>
      <c r="C1403" t="s">
        <v>15</v>
      </c>
      <c r="D1403" t="s">
        <v>16</v>
      </c>
      <c r="E1403">
        <v>1.5</v>
      </c>
      <c r="F1403">
        <v>4.1500000000000004</v>
      </c>
      <c r="G1403" s="8">
        <f t="shared" si="21"/>
        <v>21.686746987951807</v>
      </c>
    </row>
    <row r="1404" spans="1:7" x14ac:dyDescent="0.25">
      <c r="A1404" s="5">
        <v>45807.78125</v>
      </c>
      <c r="B1404">
        <v>11</v>
      </c>
      <c r="C1404" t="s">
        <v>16</v>
      </c>
      <c r="D1404" t="s">
        <v>17</v>
      </c>
      <c r="E1404">
        <v>1.48</v>
      </c>
      <c r="F1404">
        <v>5.0999999999999996</v>
      </c>
      <c r="G1404" s="8">
        <f t="shared" si="21"/>
        <v>17.411764705882355</v>
      </c>
    </row>
    <row r="1405" spans="1:7" x14ac:dyDescent="0.25">
      <c r="A1405" s="5">
        <v>45807.78125</v>
      </c>
      <c r="B1405">
        <v>12</v>
      </c>
      <c r="C1405" t="s">
        <v>17</v>
      </c>
      <c r="D1405" t="s">
        <v>18</v>
      </c>
      <c r="E1405">
        <v>1.46</v>
      </c>
      <c r="F1405">
        <v>4.38</v>
      </c>
      <c r="G1405" s="8">
        <f t="shared" si="21"/>
        <v>20</v>
      </c>
    </row>
    <row r="1406" spans="1:7" x14ac:dyDescent="0.25">
      <c r="A1406" s="5">
        <v>45807.78125</v>
      </c>
      <c r="B1406">
        <v>13</v>
      </c>
      <c r="C1406" t="s">
        <v>18</v>
      </c>
      <c r="D1406" t="s">
        <v>19</v>
      </c>
      <c r="E1406">
        <v>1.52</v>
      </c>
      <c r="F1406">
        <v>6.53</v>
      </c>
      <c r="G1406" s="8">
        <f t="shared" si="21"/>
        <v>13.966309341500766</v>
      </c>
    </row>
    <row r="1407" spans="1:7" x14ac:dyDescent="0.25">
      <c r="A1407" s="5">
        <v>45807.78125</v>
      </c>
      <c r="B1407">
        <v>14</v>
      </c>
      <c r="C1407" t="s">
        <v>19</v>
      </c>
      <c r="D1407" t="s">
        <v>20</v>
      </c>
      <c r="E1407">
        <v>1.51</v>
      </c>
      <c r="F1407">
        <v>4.07</v>
      </c>
      <c r="G1407" s="8">
        <f t="shared" si="21"/>
        <v>22.260442260442257</v>
      </c>
    </row>
    <row r="1408" spans="1:7" x14ac:dyDescent="0.25">
      <c r="A1408" s="5">
        <v>45807.78125</v>
      </c>
      <c r="B1408">
        <v>15</v>
      </c>
      <c r="C1408" t="s">
        <v>20</v>
      </c>
      <c r="D1408" t="s">
        <v>21</v>
      </c>
      <c r="E1408">
        <v>1.47</v>
      </c>
      <c r="F1408">
        <v>2.98</v>
      </c>
      <c r="G1408" s="8">
        <f t="shared" si="21"/>
        <v>29.597315436241612</v>
      </c>
    </row>
    <row r="1409" spans="1:7" x14ac:dyDescent="0.25">
      <c r="A1409" s="5">
        <v>45807.78125</v>
      </c>
      <c r="B1409">
        <v>16</v>
      </c>
      <c r="C1409" t="s">
        <v>21</v>
      </c>
      <c r="D1409" t="s">
        <v>22</v>
      </c>
      <c r="E1409">
        <v>1.5</v>
      </c>
      <c r="F1409">
        <v>3.02</v>
      </c>
      <c r="G1409" s="8">
        <f t="shared" si="21"/>
        <v>29.801324503311257</v>
      </c>
    </row>
    <row r="1410" spans="1:7" x14ac:dyDescent="0.25">
      <c r="A1410" s="5">
        <v>45807.78125</v>
      </c>
      <c r="B1410">
        <v>17</v>
      </c>
      <c r="C1410" t="s">
        <v>22</v>
      </c>
      <c r="D1410" t="s">
        <v>23</v>
      </c>
      <c r="E1410">
        <v>1.51</v>
      </c>
      <c r="F1410">
        <v>3.85</v>
      </c>
      <c r="G1410" s="8">
        <f t="shared" si="21"/>
        <v>23.532467532467532</v>
      </c>
    </row>
    <row r="1411" spans="1:7" x14ac:dyDescent="0.25">
      <c r="A1411" s="5">
        <v>45807.78125</v>
      </c>
      <c r="B1411">
        <v>18</v>
      </c>
      <c r="C1411" t="s">
        <v>23</v>
      </c>
      <c r="D1411" t="s">
        <v>24</v>
      </c>
      <c r="E1411">
        <v>1.51</v>
      </c>
      <c r="F1411">
        <v>4.28</v>
      </c>
      <c r="G1411" s="8">
        <f t="shared" ref="G1411:G1474" si="22">E1411*60/F1411</f>
        <v>21.168224299065418</v>
      </c>
    </row>
    <row r="1412" spans="1:7" x14ac:dyDescent="0.25">
      <c r="A1412" s="5">
        <v>45807.78125</v>
      </c>
      <c r="B1412">
        <v>19</v>
      </c>
      <c r="C1412" t="s">
        <v>25</v>
      </c>
      <c r="D1412" t="s">
        <v>26</v>
      </c>
      <c r="E1412">
        <v>1.5</v>
      </c>
      <c r="F1412">
        <v>3.33</v>
      </c>
      <c r="G1412" s="8">
        <f t="shared" si="22"/>
        <v>27.027027027027028</v>
      </c>
    </row>
    <row r="1413" spans="1:7" x14ac:dyDescent="0.25">
      <c r="A1413" s="5">
        <v>45807.78125</v>
      </c>
      <c r="B1413">
        <v>20</v>
      </c>
      <c r="C1413" t="s">
        <v>26</v>
      </c>
      <c r="D1413" t="s">
        <v>27</v>
      </c>
      <c r="E1413">
        <v>1.48</v>
      </c>
      <c r="F1413">
        <v>3.43</v>
      </c>
      <c r="G1413" s="8">
        <f t="shared" si="22"/>
        <v>25.889212827988334</v>
      </c>
    </row>
    <row r="1414" spans="1:7" x14ac:dyDescent="0.25">
      <c r="A1414" s="5">
        <v>45807.78125</v>
      </c>
      <c r="B1414">
        <v>21</v>
      </c>
      <c r="C1414" t="s">
        <v>27</v>
      </c>
      <c r="D1414" t="s">
        <v>28</v>
      </c>
      <c r="E1414">
        <v>1.51</v>
      </c>
      <c r="F1414">
        <v>3.62</v>
      </c>
      <c r="G1414" s="8">
        <f t="shared" si="22"/>
        <v>25.027624309392262</v>
      </c>
    </row>
    <row r="1415" spans="1:7" x14ac:dyDescent="0.25">
      <c r="A1415" s="5">
        <v>45807.78125</v>
      </c>
      <c r="B1415">
        <v>22</v>
      </c>
      <c r="C1415" t="s">
        <v>28</v>
      </c>
      <c r="D1415" t="s">
        <v>29</v>
      </c>
      <c r="E1415">
        <v>1.57</v>
      </c>
      <c r="F1415">
        <v>8.75</v>
      </c>
      <c r="G1415" s="8">
        <f t="shared" si="22"/>
        <v>10.765714285714287</v>
      </c>
    </row>
    <row r="1416" spans="1:7" x14ac:dyDescent="0.25">
      <c r="A1416" s="5">
        <v>45807.78125</v>
      </c>
      <c r="B1416">
        <v>23</v>
      </c>
      <c r="C1416" t="s">
        <v>29</v>
      </c>
      <c r="D1416" t="s">
        <v>30</v>
      </c>
      <c r="E1416">
        <v>1.43</v>
      </c>
      <c r="F1416">
        <v>4.17</v>
      </c>
      <c r="G1416" s="8">
        <f t="shared" si="22"/>
        <v>20.575539568345324</v>
      </c>
    </row>
    <row r="1417" spans="1:7" x14ac:dyDescent="0.25">
      <c r="A1417" s="5">
        <v>45807.78125</v>
      </c>
      <c r="B1417">
        <v>24</v>
      </c>
      <c r="C1417" t="s">
        <v>30</v>
      </c>
      <c r="D1417" t="s">
        <v>31</v>
      </c>
      <c r="E1417">
        <v>1.52</v>
      </c>
      <c r="F1417">
        <v>4.03</v>
      </c>
      <c r="G1417" s="8">
        <f t="shared" si="22"/>
        <v>22.630272952853598</v>
      </c>
    </row>
    <row r="1418" spans="1:7" x14ac:dyDescent="0.25">
      <c r="A1418" s="5">
        <v>45807.78125</v>
      </c>
      <c r="B1418">
        <v>25</v>
      </c>
      <c r="C1418" t="s">
        <v>31</v>
      </c>
      <c r="D1418" t="s">
        <v>32</v>
      </c>
      <c r="E1418">
        <v>1.52</v>
      </c>
      <c r="F1418">
        <v>4.4000000000000004</v>
      </c>
      <c r="G1418" s="8">
        <f t="shared" si="22"/>
        <v>20.727272727272727</v>
      </c>
    </row>
    <row r="1419" spans="1:7" x14ac:dyDescent="0.25">
      <c r="A1419" s="5">
        <v>45807.78125</v>
      </c>
      <c r="B1419">
        <v>26</v>
      </c>
      <c r="C1419" t="s">
        <v>32</v>
      </c>
      <c r="D1419" t="s">
        <v>33</v>
      </c>
      <c r="E1419">
        <v>1.49</v>
      </c>
      <c r="F1419">
        <v>8.1</v>
      </c>
      <c r="G1419" s="8">
        <f t="shared" si="22"/>
        <v>11.037037037037038</v>
      </c>
    </row>
    <row r="1420" spans="1:7" x14ac:dyDescent="0.25">
      <c r="A1420" s="5">
        <v>45807.78125</v>
      </c>
      <c r="B1420">
        <v>27</v>
      </c>
      <c r="C1420" t="s">
        <v>33</v>
      </c>
      <c r="D1420" t="s">
        <v>34</v>
      </c>
      <c r="E1420">
        <v>1.53</v>
      </c>
      <c r="F1420">
        <v>4.17</v>
      </c>
      <c r="G1420" s="8">
        <f t="shared" si="22"/>
        <v>22.014388489208631</v>
      </c>
    </row>
    <row r="1421" spans="1:7" x14ac:dyDescent="0.25">
      <c r="A1421" s="5">
        <v>45807.78125</v>
      </c>
      <c r="B1421">
        <v>28</v>
      </c>
      <c r="C1421" t="s">
        <v>34</v>
      </c>
      <c r="D1421" t="s">
        <v>35</v>
      </c>
      <c r="E1421">
        <v>1.51</v>
      </c>
      <c r="F1421">
        <v>4.4000000000000004</v>
      </c>
      <c r="G1421" s="8">
        <f t="shared" si="22"/>
        <v>20.590909090909086</v>
      </c>
    </row>
    <row r="1422" spans="1:7" x14ac:dyDescent="0.25">
      <c r="A1422" s="5">
        <v>45807.78125</v>
      </c>
      <c r="B1422">
        <v>29</v>
      </c>
      <c r="C1422" t="s">
        <v>36</v>
      </c>
      <c r="D1422" t="s">
        <v>37</v>
      </c>
      <c r="E1422">
        <v>1.57</v>
      </c>
      <c r="F1422">
        <v>3.83</v>
      </c>
      <c r="G1422" s="8">
        <f t="shared" si="22"/>
        <v>24.595300261096607</v>
      </c>
    </row>
    <row r="1423" spans="1:7" x14ac:dyDescent="0.25">
      <c r="A1423" s="5">
        <v>45807.78125</v>
      </c>
      <c r="B1423">
        <v>30</v>
      </c>
      <c r="C1423" t="s">
        <v>37</v>
      </c>
      <c r="D1423" t="s">
        <v>38</v>
      </c>
      <c r="E1423">
        <v>1.57</v>
      </c>
      <c r="F1423">
        <v>3.43</v>
      </c>
      <c r="G1423" s="8">
        <f t="shared" si="22"/>
        <v>27.463556851311953</v>
      </c>
    </row>
    <row r="1424" spans="1:7" x14ac:dyDescent="0.25">
      <c r="A1424" s="5">
        <v>45807.78125</v>
      </c>
      <c r="B1424">
        <v>31</v>
      </c>
      <c r="C1424" t="s">
        <v>38</v>
      </c>
      <c r="D1424" t="s">
        <v>39</v>
      </c>
      <c r="E1424">
        <v>1.52</v>
      </c>
      <c r="F1424">
        <v>3</v>
      </c>
      <c r="G1424" s="8">
        <f t="shared" si="22"/>
        <v>30.400000000000002</v>
      </c>
    </row>
    <row r="1425" spans="1:7" x14ac:dyDescent="0.25">
      <c r="A1425" s="5">
        <v>45807.78125</v>
      </c>
      <c r="B1425">
        <v>32</v>
      </c>
      <c r="C1425" t="s">
        <v>39</v>
      </c>
      <c r="D1425" t="s">
        <v>40</v>
      </c>
      <c r="E1425">
        <v>1.5</v>
      </c>
      <c r="F1425">
        <v>2.2000000000000002</v>
      </c>
      <c r="G1425" s="8">
        <f t="shared" si="22"/>
        <v>40.909090909090907</v>
      </c>
    </row>
    <row r="1426" spans="1:7" x14ac:dyDescent="0.25">
      <c r="A1426" s="5">
        <v>45807.78125</v>
      </c>
      <c r="B1426">
        <v>33</v>
      </c>
      <c r="C1426" t="s">
        <v>40</v>
      </c>
      <c r="D1426" t="s">
        <v>41</v>
      </c>
      <c r="E1426">
        <v>1.51</v>
      </c>
      <c r="F1426">
        <v>2.4</v>
      </c>
      <c r="G1426" s="8">
        <f t="shared" si="22"/>
        <v>37.75</v>
      </c>
    </row>
    <row r="1427" spans="1:7" x14ac:dyDescent="0.25">
      <c r="A1427" s="5">
        <v>45807.78125</v>
      </c>
      <c r="B1427">
        <v>34</v>
      </c>
      <c r="C1427" t="s">
        <v>41</v>
      </c>
      <c r="D1427" t="s">
        <v>42</v>
      </c>
      <c r="E1427">
        <v>1.5</v>
      </c>
      <c r="F1427">
        <v>2.12</v>
      </c>
      <c r="G1427" s="8">
        <f t="shared" si="22"/>
        <v>42.452830188679243</v>
      </c>
    </row>
    <row r="1428" spans="1:7" x14ac:dyDescent="0.25">
      <c r="A1428" s="5">
        <v>45807.78125</v>
      </c>
      <c r="B1428">
        <v>35</v>
      </c>
      <c r="C1428" t="s">
        <v>43</v>
      </c>
      <c r="D1428" t="s">
        <v>44</v>
      </c>
      <c r="E1428">
        <v>1.55</v>
      </c>
      <c r="F1428">
        <v>4.45</v>
      </c>
      <c r="G1428" s="8">
        <f t="shared" si="22"/>
        <v>20.898876404494381</v>
      </c>
    </row>
    <row r="1429" spans="1:7" x14ac:dyDescent="0.25">
      <c r="A1429" s="5">
        <v>45807.78125</v>
      </c>
      <c r="B1429">
        <v>36</v>
      </c>
      <c r="C1429" t="s">
        <v>44</v>
      </c>
      <c r="D1429" t="s">
        <v>45</v>
      </c>
      <c r="E1429">
        <v>1.5</v>
      </c>
      <c r="F1429">
        <v>4.3499999999999996</v>
      </c>
      <c r="G1429" s="8">
        <f t="shared" si="22"/>
        <v>20.689655172413794</v>
      </c>
    </row>
    <row r="1430" spans="1:7" x14ac:dyDescent="0.25">
      <c r="A1430" s="5">
        <v>45807.78125</v>
      </c>
      <c r="B1430">
        <v>37</v>
      </c>
      <c r="C1430" t="s">
        <v>45</v>
      </c>
      <c r="D1430" t="s">
        <v>46</v>
      </c>
      <c r="E1430">
        <v>1.38</v>
      </c>
      <c r="F1430">
        <v>8.52</v>
      </c>
      <c r="G1430" s="8">
        <f t="shared" si="22"/>
        <v>9.71830985915493</v>
      </c>
    </row>
    <row r="1431" spans="1:7" x14ac:dyDescent="0.25">
      <c r="A1431" s="5">
        <v>45807.78125</v>
      </c>
      <c r="B1431">
        <v>38</v>
      </c>
      <c r="C1431" t="s">
        <v>46</v>
      </c>
      <c r="D1431" t="s">
        <v>47</v>
      </c>
      <c r="E1431">
        <v>1.61</v>
      </c>
      <c r="F1431">
        <v>5.38</v>
      </c>
      <c r="G1431" s="8">
        <f t="shared" si="22"/>
        <v>17.955390334572492</v>
      </c>
    </row>
    <row r="1432" spans="1:7" x14ac:dyDescent="0.25">
      <c r="A1432" s="5">
        <v>45807.78125</v>
      </c>
      <c r="B1432">
        <v>39</v>
      </c>
      <c r="C1432" t="s">
        <v>47</v>
      </c>
      <c r="D1432" t="s">
        <v>48</v>
      </c>
      <c r="E1432">
        <v>1.55</v>
      </c>
      <c r="F1432">
        <v>3.88</v>
      </c>
      <c r="G1432" s="8">
        <f t="shared" si="22"/>
        <v>23.969072164948454</v>
      </c>
    </row>
    <row r="1433" spans="1:7" x14ac:dyDescent="0.25">
      <c r="A1433" s="5">
        <v>45807.78125</v>
      </c>
      <c r="B1433">
        <v>40</v>
      </c>
      <c r="C1433" t="s">
        <v>48</v>
      </c>
      <c r="D1433" t="s">
        <v>49</v>
      </c>
      <c r="E1433">
        <v>1.39</v>
      </c>
      <c r="F1433">
        <v>3.28</v>
      </c>
      <c r="G1433" s="8">
        <f t="shared" si="22"/>
        <v>25.426829268292682</v>
      </c>
    </row>
    <row r="1434" spans="1:7" x14ac:dyDescent="0.25">
      <c r="A1434" s="5">
        <v>45807.78125</v>
      </c>
      <c r="B1434">
        <v>41</v>
      </c>
      <c r="C1434" t="s">
        <v>50</v>
      </c>
      <c r="D1434" t="s">
        <v>51</v>
      </c>
      <c r="E1434">
        <v>1.56</v>
      </c>
      <c r="F1434">
        <v>5.83</v>
      </c>
      <c r="G1434" s="8">
        <f t="shared" si="22"/>
        <v>16.054888507718697</v>
      </c>
    </row>
    <row r="1435" spans="1:7" x14ac:dyDescent="0.25">
      <c r="A1435" s="5">
        <v>45807.78125</v>
      </c>
      <c r="B1435">
        <v>42</v>
      </c>
      <c r="C1435" t="s">
        <v>51</v>
      </c>
      <c r="D1435" t="s">
        <v>52</v>
      </c>
      <c r="E1435">
        <v>1.56</v>
      </c>
      <c r="F1435">
        <v>4.7</v>
      </c>
      <c r="G1435" s="8">
        <f t="shared" si="22"/>
        <v>19.914893617021278</v>
      </c>
    </row>
    <row r="1436" spans="1:7" x14ac:dyDescent="0.25">
      <c r="A1436" s="5">
        <v>45807.78125</v>
      </c>
      <c r="B1436">
        <v>43</v>
      </c>
      <c r="C1436" t="s">
        <v>52</v>
      </c>
      <c r="D1436" t="s">
        <v>53</v>
      </c>
      <c r="E1436">
        <v>1.51</v>
      </c>
      <c r="F1436">
        <v>4.12</v>
      </c>
      <c r="G1436" s="8">
        <f t="shared" si="22"/>
        <v>21.990291262135919</v>
      </c>
    </row>
    <row r="1437" spans="1:7" x14ac:dyDescent="0.25">
      <c r="A1437" s="5">
        <v>45807.78125</v>
      </c>
      <c r="B1437">
        <v>44</v>
      </c>
      <c r="C1437" t="s">
        <v>54</v>
      </c>
      <c r="D1437" t="s">
        <v>55</v>
      </c>
      <c r="E1437">
        <v>1.51</v>
      </c>
      <c r="F1437">
        <v>5.22</v>
      </c>
      <c r="G1437" s="8">
        <f t="shared" si="22"/>
        <v>17.356321839080458</v>
      </c>
    </row>
    <row r="1438" spans="1:7" x14ac:dyDescent="0.25">
      <c r="A1438" s="5">
        <v>45807.78125</v>
      </c>
      <c r="B1438">
        <v>45</v>
      </c>
      <c r="C1438" t="s">
        <v>55</v>
      </c>
      <c r="D1438" t="s">
        <v>56</v>
      </c>
      <c r="E1438">
        <v>1.49</v>
      </c>
      <c r="F1438">
        <v>4.0999999999999996</v>
      </c>
      <c r="G1438" s="8">
        <f t="shared" si="22"/>
        <v>21.804878048780491</v>
      </c>
    </row>
    <row r="1439" spans="1:7" x14ac:dyDescent="0.25">
      <c r="A1439" s="5">
        <v>45807.78125</v>
      </c>
      <c r="B1439">
        <v>46</v>
      </c>
      <c r="C1439" t="s">
        <v>56</v>
      </c>
      <c r="D1439" t="s">
        <v>57</v>
      </c>
      <c r="E1439">
        <v>1.52</v>
      </c>
      <c r="F1439">
        <v>5.77</v>
      </c>
      <c r="G1439" s="8">
        <f t="shared" si="22"/>
        <v>15.805892547660314</v>
      </c>
    </row>
    <row r="1440" spans="1:7" x14ac:dyDescent="0.25">
      <c r="A1440" s="5">
        <v>45807.78125</v>
      </c>
      <c r="B1440">
        <v>47</v>
      </c>
      <c r="C1440" t="s">
        <v>58</v>
      </c>
      <c r="D1440" t="s">
        <v>59</v>
      </c>
      <c r="E1440">
        <v>1.52</v>
      </c>
      <c r="F1440">
        <v>6.4</v>
      </c>
      <c r="G1440" s="8">
        <f t="shared" si="22"/>
        <v>14.25</v>
      </c>
    </row>
    <row r="1441" spans="1:7" x14ac:dyDescent="0.25">
      <c r="A1441" s="5">
        <v>45807.78125</v>
      </c>
      <c r="B1441">
        <v>48</v>
      </c>
      <c r="C1441" t="s">
        <v>59</v>
      </c>
      <c r="D1441" t="s">
        <v>60</v>
      </c>
      <c r="E1441">
        <v>1.5</v>
      </c>
      <c r="F1441">
        <v>4.45</v>
      </c>
      <c r="G1441" s="8">
        <f t="shared" si="22"/>
        <v>20.224719101123593</v>
      </c>
    </row>
    <row r="1442" spans="1:7" x14ac:dyDescent="0.25">
      <c r="A1442" s="5">
        <v>45807.78125</v>
      </c>
      <c r="B1442">
        <v>49</v>
      </c>
      <c r="C1442" t="s">
        <v>60</v>
      </c>
      <c r="D1442" t="s">
        <v>61</v>
      </c>
      <c r="E1442">
        <v>1.54</v>
      </c>
      <c r="F1442">
        <v>5.07</v>
      </c>
      <c r="G1442" s="8">
        <f t="shared" si="22"/>
        <v>18.224852071005916</v>
      </c>
    </row>
    <row r="1443" spans="1:7" x14ac:dyDescent="0.25">
      <c r="A1443" s="5">
        <v>45807.78125</v>
      </c>
      <c r="B1443">
        <v>50</v>
      </c>
      <c r="C1443" t="s">
        <v>62</v>
      </c>
      <c r="D1443" t="s">
        <v>63</v>
      </c>
      <c r="E1443">
        <v>1.38</v>
      </c>
      <c r="F1443">
        <v>3.3</v>
      </c>
      <c r="G1443" s="8">
        <f t="shared" si="22"/>
        <v>25.09090909090909</v>
      </c>
    </row>
    <row r="1444" spans="1:7" x14ac:dyDescent="0.25">
      <c r="A1444" s="5">
        <v>45807.78125</v>
      </c>
      <c r="B1444">
        <v>51</v>
      </c>
      <c r="C1444" t="s">
        <v>63</v>
      </c>
      <c r="D1444" t="s">
        <v>64</v>
      </c>
      <c r="E1444">
        <v>2.79</v>
      </c>
      <c r="F1444">
        <v>5.68</v>
      </c>
      <c r="G1444" s="8">
        <f t="shared" si="22"/>
        <v>29.471830985915496</v>
      </c>
    </row>
    <row r="1445" spans="1:7" x14ac:dyDescent="0.25">
      <c r="A1445" s="5">
        <v>45807.78125</v>
      </c>
      <c r="B1445">
        <v>52</v>
      </c>
      <c r="C1445" t="s">
        <v>64</v>
      </c>
      <c r="D1445" t="s">
        <v>65</v>
      </c>
      <c r="E1445">
        <v>1.5</v>
      </c>
      <c r="F1445">
        <v>2.9</v>
      </c>
      <c r="G1445" s="8">
        <f t="shared" si="22"/>
        <v>31.03448275862069</v>
      </c>
    </row>
    <row r="1446" spans="1:7" x14ac:dyDescent="0.25">
      <c r="A1446" s="5">
        <v>45807.78125</v>
      </c>
      <c r="B1446">
        <v>53</v>
      </c>
      <c r="C1446" t="s">
        <v>65</v>
      </c>
      <c r="D1446" t="s">
        <v>66</v>
      </c>
      <c r="E1446">
        <v>1.46</v>
      </c>
      <c r="F1446">
        <v>3.95</v>
      </c>
      <c r="G1446" s="8">
        <f t="shared" si="22"/>
        <v>22.177215189873415</v>
      </c>
    </row>
    <row r="1447" spans="1:7" x14ac:dyDescent="0.25">
      <c r="A1447" s="5">
        <v>45807.78125</v>
      </c>
      <c r="B1447">
        <v>54</v>
      </c>
      <c r="C1447" t="s">
        <v>67</v>
      </c>
      <c r="D1447" t="s">
        <v>68</v>
      </c>
      <c r="E1447">
        <v>1.46</v>
      </c>
      <c r="F1447">
        <v>3.13</v>
      </c>
      <c r="G1447" s="8">
        <f t="shared" si="22"/>
        <v>27.987220447284344</v>
      </c>
    </row>
    <row r="1448" spans="1:7" x14ac:dyDescent="0.25">
      <c r="A1448" s="5">
        <v>45807.78125</v>
      </c>
      <c r="B1448">
        <v>55</v>
      </c>
      <c r="C1448" t="s">
        <v>68</v>
      </c>
      <c r="D1448" t="s">
        <v>69</v>
      </c>
      <c r="E1448">
        <v>1.5</v>
      </c>
      <c r="F1448">
        <v>2.2799999999999998</v>
      </c>
      <c r="G1448" s="8">
        <f t="shared" si="22"/>
        <v>39.473684210526322</v>
      </c>
    </row>
    <row r="1449" spans="1:7" x14ac:dyDescent="0.25">
      <c r="A1449" s="5">
        <v>45807.78125</v>
      </c>
      <c r="B1449">
        <v>56</v>
      </c>
      <c r="C1449" t="s">
        <v>70</v>
      </c>
      <c r="D1449" t="s">
        <v>71</v>
      </c>
      <c r="E1449">
        <v>1.51</v>
      </c>
      <c r="F1449">
        <v>7.25</v>
      </c>
      <c r="G1449" s="8">
        <f t="shared" si="22"/>
        <v>12.49655172413793</v>
      </c>
    </row>
    <row r="1450" spans="1:7" x14ac:dyDescent="0.25">
      <c r="A1450" s="5">
        <v>45807.78125</v>
      </c>
      <c r="B1450">
        <v>57</v>
      </c>
      <c r="C1450" t="s">
        <v>71</v>
      </c>
      <c r="D1450" t="s">
        <v>72</v>
      </c>
      <c r="E1450">
        <v>1.52</v>
      </c>
      <c r="F1450">
        <v>5.43</v>
      </c>
      <c r="G1450" s="8">
        <f t="shared" si="22"/>
        <v>16.795580110497237</v>
      </c>
    </row>
    <row r="1451" spans="1:7" x14ac:dyDescent="0.25">
      <c r="A1451" s="5">
        <v>45807.78125</v>
      </c>
      <c r="B1451">
        <v>58</v>
      </c>
      <c r="C1451" t="s">
        <v>72</v>
      </c>
      <c r="D1451" t="s">
        <v>73</v>
      </c>
      <c r="E1451">
        <v>1.5</v>
      </c>
      <c r="F1451">
        <v>4.68</v>
      </c>
      <c r="G1451" s="8">
        <f t="shared" si="22"/>
        <v>19.230769230769234</v>
      </c>
    </row>
    <row r="1452" spans="1:7" x14ac:dyDescent="0.25">
      <c r="A1452" s="5">
        <v>45807.791666666664</v>
      </c>
      <c r="B1452">
        <v>1</v>
      </c>
      <c r="C1452" t="s">
        <v>6</v>
      </c>
      <c r="D1452" t="s">
        <v>7</v>
      </c>
      <c r="E1452">
        <v>1.53</v>
      </c>
      <c r="F1452">
        <v>3.28</v>
      </c>
      <c r="G1452" s="8">
        <f t="shared" si="22"/>
        <v>27.987804878048781</v>
      </c>
    </row>
    <row r="1453" spans="1:7" x14ac:dyDescent="0.25">
      <c r="A1453" s="5">
        <v>45807.791666666664</v>
      </c>
      <c r="B1453">
        <v>2</v>
      </c>
      <c r="C1453" t="s">
        <v>7</v>
      </c>
      <c r="D1453" t="s">
        <v>8</v>
      </c>
      <c r="E1453">
        <v>1.57</v>
      </c>
      <c r="F1453">
        <v>6.18</v>
      </c>
      <c r="G1453" s="8">
        <f t="shared" si="22"/>
        <v>15.242718446601943</v>
      </c>
    </row>
    <row r="1454" spans="1:7" x14ac:dyDescent="0.25">
      <c r="A1454" s="5">
        <v>45807.791666666664</v>
      </c>
      <c r="B1454">
        <v>3</v>
      </c>
      <c r="C1454" t="s">
        <v>8</v>
      </c>
      <c r="D1454" t="s">
        <v>9</v>
      </c>
      <c r="E1454">
        <v>1.5</v>
      </c>
      <c r="F1454">
        <v>3.82</v>
      </c>
      <c r="G1454" s="8">
        <f t="shared" si="22"/>
        <v>23.560209424083769</v>
      </c>
    </row>
    <row r="1455" spans="1:7" x14ac:dyDescent="0.25">
      <c r="A1455" s="5">
        <v>45807.791666666664</v>
      </c>
      <c r="B1455">
        <v>4</v>
      </c>
      <c r="C1455" t="s">
        <v>9</v>
      </c>
      <c r="D1455" t="s">
        <v>10</v>
      </c>
      <c r="E1455">
        <v>1.5</v>
      </c>
      <c r="F1455">
        <v>3.35</v>
      </c>
      <c r="G1455" s="8">
        <f t="shared" si="22"/>
        <v>26.865671641791042</v>
      </c>
    </row>
    <row r="1456" spans="1:7" x14ac:dyDescent="0.25">
      <c r="A1456" s="5">
        <v>45807.791666666664</v>
      </c>
      <c r="B1456">
        <v>5</v>
      </c>
      <c r="C1456" t="s">
        <v>10</v>
      </c>
      <c r="D1456" t="s">
        <v>11</v>
      </c>
      <c r="E1456">
        <v>1.52</v>
      </c>
      <c r="F1456">
        <v>5.55</v>
      </c>
      <c r="G1456" s="8">
        <f t="shared" si="22"/>
        <v>16.432432432432435</v>
      </c>
    </row>
    <row r="1457" spans="1:7" x14ac:dyDescent="0.25">
      <c r="A1457" s="5">
        <v>45807.791666666664</v>
      </c>
      <c r="B1457">
        <v>6</v>
      </c>
      <c r="C1457" t="s">
        <v>11</v>
      </c>
      <c r="D1457" t="s">
        <v>12</v>
      </c>
      <c r="E1457">
        <v>1.5</v>
      </c>
      <c r="F1457">
        <v>2.72</v>
      </c>
      <c r="G1457" s="8">
        <f t="shared" si="22"/>
        <v>33.088235294117645</v>
      </c>
    </row>
    <row r="1458" spans="1:7" x14ac:dyDescent="0.25">
      <c r="A1458" s="5">
        <v>45807.791666666664</v>
      </c>
      <c r="B1458">
        <v>7</v>
      </c>
      <c r="C1458" t="s">
        <v>12</v>
      </c>
      <c r="D1458" t="s">
        <v>13</v>
      </c>
      <c r="E1458">
        <v>1.54</v>
      </c>
      <c r="F1458">
        <v>2.7</v>
      </c>
      <c r="G1458" s="8">
        <f t="shared" si="22"/>
        <v>34.222222222222221</v>
      </c>
    </row>
    <row r="1459" spans="1:7" x14ac:dyDescent="0.25">
      <c r="A1459" s="5">
        <v>45807.791666666664</v>
      </c>
      <c r="B1459">
        <v>8</v>
      </c>
      <c r="C1459" t="s">
        <v>13</v>
      </c>
      <c r="D1459" t="s">
        <v>14</v>
      </c>
      <c r="E1459">
        <v>1.54</v>
      </c>
      <c r="F1459">
        <v>3.23</v>
      </c>
      <c r="G1459" s="8">
        <f t="shared" si="22"/>
        <v>28.606811145510839</v>
      </c>
    </row>
    <row r="1460" spans="1:7" x14ac:dyDescent="0.25">
      <c r="A1460" s="5">
        <v>45807.791666666664</v>
      </c>
      <c r="B1460">
        <v>9</v>
      </c>
      <c r="C1460" t="s">
        <v>14</v>
      </c>
      <c r="D1460" t="s">
        <v>15</v>
      </c>
      <c r="E1460">
        <v>1.52</v>
      </c>
      <c r="F1460">
        <v>3.25</v>
      </c>
      <c r="G1460" s="8">
        <f t="shared" si="22"/>
        <v>28.061538461538461</v>
      </c>
    </row>
    <row r="1461" spans="1:7" x14ac:dyDescent="0.25">
      <c r="A1461" s="5">
        <v>45807.791666666664</v>
      </c>
      <c r="B1461">
        <v>10</v>
      </c>
      <c r="C1461" t="s">
        <v>15</v>
      </c>
      <c r="D1461" t="s">
        <v>16</v>
      </c>
      <c r="E1461">
        <v>1.5</v>
      </c>
      <c r="F1461">
        <v>3.65</v>
      </c>
      <c r="G1461" s="8">
        <f t="shared" si="22"/>
        <v>24.657534246575342</v>
      </c>
    </row>
    <row r="1462" spans="1:7" x14ac:dyDescent="0.25">
      <c r="A1462" s="5">
        <v>45807.791666666664</v>
      </c>
      <c r="B1462">
        <v>11</v>
      </c>
      <c r="C1462" t="s">
        <v>16</v>
      </c>
      <c r="D1462" t="s">
        <v>17</v>
      </c>
      <c r="E1462">
        <v>1.48</v>
      </c>
      <c r="F1462">
        <v>5.23</v>
      </c>
      <c r="G1462" s="8">
        <f t="shared" si="22"/>
        <v>16.978967495219884</v>
      </c>
    </row>
    <row r="1463" spans="1:7" x14ac:dyDescent="0.25">
      <c r="A1463" s="5">
        <v>45807.791666666664</v>
      </c>
      <c r="B1463">
        <v>12</v>
      </c>
      <c r="C1463" t="s">
        <v>17</v>
      </c>
      <c r="D1463" t="s">
        <v>18</v>
      </c>
      <c r="E1463">
        <v>1.46</v>
      </c>
      <c r="F1463">
        <v>4.18</v>
      </c>
      <c r="G1463" s="8">
        <f t="shared" si="22"/>
        <v>20.956937799043061</v>
      </c>
    </row>
    <row r="1464" spans="1:7" x14ac:dyDescent="0.25">
      <c r="A1464" s="5">
        <v>45807.791666666664</v>
      </c>
      <c r="B1464">
        <v>13</v>
      </c>
      <c r="C1464" t="s">
        <v>18</v>
      </c>
      <c r="D1464" t="s">
        <v>19</v>
      </c>
      <c r="E1464">
        <v>1.52</v>
      </c>
      <c r="F1464">
        <v>5.22</v>
      </c>
      <c r="G1464" s="8">
        <f t="shared" si="22"/>
        <v>17.471264367816094</v>
      </c>
    </row>
    <row r="1465" spans="1:7" x14ac:dyDescent="0.25">
      <c r="A1465" s="5">
        <v>45807.791666666664</v>
      </c>
      <c r="B1465">
        <v>14</v>
      </c>
      <c r="C1465" t="s">
        <v>19</v>
      </c>
      <c r="D1465" t="s">
        <v>20</v>
      </c>
      <c r="E1465">
        <v>1.51</v>
      </c>
      <c r="F1465">
        <v>4.08</v>
      </c>
      <c r="G1465" s="8">
        <f t="shared" si="22"/>
        <v>22.205882352941174</v>
      </c>
    </row>
    <row r="1466" spans="1:7" x14ac:dyDescent="0.25">
      <c r="A1466" s="5">
        <v>45807.791666666664</v>
      </c>
      <c r="B1466">
        <v>15</v>
      </c>
      <c r="C1466" t="s">
        <v>20</v>
      </c>
      <c r="D1466" t="s">
        <v>21</v>
      </c>
      <c r="E1466">
        <v>1.47</v>
      </c>
      <c r="F1466">
        <v>3.27</v>
      </c>
      <c r="G1466" s="8">
        <f t="shared" si="22"/>
        <v>26.972477064220183</v>
      </c>
    </row>
    <row r="1467" spans="1:7" x14ac:dyDescent="0.25">
      <c r="A1467" s="5">
        <v>45807.791666666664</v>
      </c>
      <c r="B1467">
        <v>16</v>
      </c>
      <c r="C1467" t="s">
        <v>21</v>
      </c>
      <c r="D1467" t="s">
        <v>22</v>
      </c>
      <c r="E1467">
        <v>1.5</v>
      </c>
      <c r="F1467">
        <v>1.97</v>
      </c>
      <c r="G1467" s="8">
        <f t="shared" si="22"/>
        <v>45.685279187817258</v>
      </c>
    </row>
    <row r="1468" spans="1:7" x14ac:dyDescent="0.25">
      <c r="A1468" s="5">
        <v>45807.791666666664</v>
      </c>
      <c r="B1468">
        <v>17</v>
      </c>
      <c r="C1468" t="s">
        <v>22</v>
      </c>
      <c r="D1468" t="s">
        <v>23</v>
      </c>
      <c r="E1468">
        <v>1.51</v>
      </c>
      <c r="F1468">
        <v>3.63</v>
      </c>
      <c r="G1468" s="8">
        <f t="shared" si="22"/>
        <v>24.958677685950413</v>
      </c>
    </row>
    <row r="1469" spans="1:7" x14ac:dyDescent="0.25">
      <c r="A1469" s="5">
        <v>45807.791666666664</v>
      </c>
      <c r="B1469">
        <v>18</v>
      </c>
      <c r="C1469" t="s">
        <v>23</v>
      </c>
      <c r="D1469" t="s">
        <v>24</v>
      </c>
      <c r="E1469">
        <v>1.51</v>
      </c>
      <c r="F1469">
        <v>4.3</v>
      </c>
      <c r="G1469" s="8">
        <f t="shared" si="22"/>
        <v>21.069767441860463</v>
      </c>
    </row>
    <row r="1470" spans="1:7" x14ac:dyDescent="0.25">
      <c r="A1470" s="5">
        <v>45807.791666666664</v>
      </c>
      <c r="B1470">
        <v>19</v>
      </c>
      <c r="C1470" t="s">
        <v>25</v>
      </c>
      <c r="D1470" t="s">
        <v>26</v>
      </c>
      <c r="E1470">
        <v>1.5</v>
      </c>
      <c r="F1470">
        <v>3.47</v>
      </c>
      <c r="G1470" s="8">
        <f t="shared" si="22"/>
        <v>25.936599423631122</v>
      </c>
    </row>
    <row r="1471" spans="1:7" x14ac:dyDescent="0.25">
      <c r="A1471" s="5">
        <v>45807.791666666664</v>
      </c>
      <c r="B1471">
        <v>20</v>
      </c>
      <c r="C1471" t="s">
        <v>26</v>
      </c>
      <c r="D1471" t="s">
        <v>27</v>
      </c>
      <c r="E1471">
        <v>1.48</v>
      </c>
      <c r="F1471">
        <v>3.57</v>
      </c>
      <c r="G1471" s="8">
        <f t="shared" si="22"/>
        <v>24.873949579831933</v>
      </c>
    </row>
    <row r="1472" spans="1:7" x14ac:dyDescent="0.25">
      <c r="A1472" s="5">
        <v>45807.791666666664</v>
      </c>
      <c r="B1472">
        <v>21</v>
      </c>
      <c r="C1472" t="s">
        <v>27</v>
      </c>
      <c r="D1472" t="s">
        <v>28</v>
      </c>
      <c r="E1472">
        <v>1.51</v>
      </c>
      <c r="F1472">
        <v>3.05</v>
      </c>
      <c r="G1472" s="8">
        <f t="shared" si="22"/>
        <v>29.704918032786885</v>
      </c>
    </row>
    <row r="1473" spans="1:7" x14ac:dyDescent="0.25">
      <c r="A1473" s="5">
        <v>45807.791666666664</v>
      </c>
      <c r="B1473">
        <v>22</v>
      </c>
      <c r="C1473" t="s">
        <v>28</v>
      </c>
      <c r="D1473" t="s">
        <v>29</v>
      </c>
      <c r="E1473">
        <v>1.57</v>
      </c>
      <c r="F1473">
        <v>4.63</v>
      </c>
      <c r="G1473" s="8">
        <f t="shared" si="22"/>
        <v>20.345572354211665</v>
      </c>
    </row>
    <row r="1474" spans="1:7" x14ac:dyDescent="0.25">
      <c r="A1474" s="5">
        <v>45807.791666666664</v>
      </c>
      <c r="B1474">
        <v>23</v>
      </c>
      <c r="C1474" t="s">
        <v>29</v>
      </c>
      <c r="D1474" t="s">
        <v>30</v>
      </c>
      <c r="E1474">
        <v>1.43</v>
      </c>
      <c r="F1474">
        <v>4.7</v>
      </c>
      <c r="G1474" s="8">
        <f t="shared" si="22"/>
        <v>18.25531914893617</v>
      </c>
    </row>
    <row r="1475" spans="1:7" x14ac:dyDescent="0.25">
      <c r="A1475" s="5">
        <v>45807.791666666664</v>
      </c>
      <c r="B1475">
        <v>24</v>
      </c>
      <c r="C1475" t="s">
        <v>30</v>
      </c>
      <c r="D1475" t="s">
        <v>31</v>
      </c>
      <c r="E1475">
        <v>1.52</v>
      </c>
      <c r="F1475">
        <v>3.65</v>
      </c>
      <c r="G1475" s="8">
        <f t="shared" ref="G1475:G1509" si="23">E1475*60/F1475</f>
        <v>24.986301369863014</v>
      </c>
    </row>
    <row r="1476" spans="1:7" x14ac:dyDescent="0.25">
      <c r="A1476" s="5">
        <v>45807.791666666664</v>
      </c>
      <c r="B1476">
        <v>25</v>
      </c>
      <c r="C1476" t="s">
        <v>31</v>
      </c>
      <c r="D1476" t="s">
        <v>32</v>
      </c>
      <c r="E1476">
        <v>1.52</v>
      </c>
      <c r="F1476">
        <v>3.97</v>
      </c>
      <c r="G1476" s="8">
        <f t="shared" si="23"/>
        <v>22.972292191435766</v>
      </c>
    </row>
    <row r="1477" spans="1:7" x14ac:dyDescent="0.25">
      <c r="A1477" s="5">
        <v>45807.791666666664</v>
      </c>
      <c r="B1477">
        <v>26</v>
      </c>
      <c r="C1477" t="s">
        <v>32</v>
      </c>
      <c r="D1477" t="s">
        <v>33</v>
      </c>
      <c r="E1477">
        <v>1.49</v>
      </c>
      <c r="F1477">
        <v>7.97</v>
      </c>
      <c r="G1477" s="8">
        <f t="shared" si="23"/>
        <v>11.217063989962361</v>
      </c>
    </row>
    <row r="1478" spans="1:7" x14ac:dyDescent="0.25">
      <c r="A1478" s="5">
        <v>45807.791666666664</v>
      </c>
      <c r="B1478">
        <v>27</v>
      </c>
      <c r="C1478" t="s">
        <v>33</v>
      </c>
      <c r="D1478" t="s">
        <v>34</v>
      </c>
      <c r="E1478">
        <v>1.53</v>
      </c>
      <c r="F1478">
        <v>3.78</v>
      </c>
      <c r="G1478" s="8">
        <f t="shared" si="23"/>
        <v>24.285714285714285</v>
      </c>
    </row>
    <row r="1479" spans="1:7" x14ac:dyDescent="0.25">
      <c r="A1479" s="5">
        <v>45807.791666666664</v>
      </c>
      <c r="B1479">
        <v>28</v>
      </c>
      <c r="C1479" t="s">
        <v>34</v>
      </c>
      <c r="D1479" t="s">
        <v>35</v>
      </c>
      <c r="E1479">
        <v>1.51</v>
      </c>
      <c r="F1479">
        <v>4.4000000000000004</v>
      </c>
      <c r="G1479" s="8">
        <f t="shared" si="23"/>
        <v>20.590909090909086</v>
      </c>
    </row>
    <row r="1480" spans="1:7" x14ac:dyDescent="0.25">
      <c r="A1480" s="5">
        <v>45807.791666666664</v>
      </c>
      <c r="B1480">
        <v>29</v>
      </c>
      <c r="C1480" t="s">
        <v>36</v>
      </c>
      <c r="D1480" t="s">
        <v>37</v>
      </c>
      <c r="E1480">
        <v>1.57</v>
      </c>
      <c r="F1480">
        <v>3.85</v>
      </c>
      <c r="G1480" s="8">
        <f t="shared" si="23"/>
        <v>24.467532467532468</v>
      </c>
    </row>
    <row r="1481" spans="1:7" x14ac:dyDescent="0.25">
      <c r="A1481" s="5">
        <v>45807.791666666664</v>
      </c>
      <c r="B1481">
        <v>30</v>
      </c>
      <c r="C1481" t="s">
        <v>37</v>
      </c>
      <c r="D1481" t="s">
        <v>38</v>
      </c>
      <c r="E1481">
        <v>1.57</v>
      </c>
      <c r="F1481">
        <v>3.45</v>
      </c>
      <c r="G1481" s="8">
        <f t="shared" si="23"/>
        <v>27.304347826086957</v>
      </c>
    </row>
    <row r="1482" spans="1:7" x14ac:dyDescent="0.25">
      <c r="A1482" s="5">
        <v>45807.791666666664</v>
      </c>
      <c r="B1482">
        <v>31</v>
      </c>
      <c r="C1482" t="s">
        <v>38</v>
      </c>
      <c r="D1482" t="s">
        <v>39</v>
      </c>
      <c r="E1482">
        <v>1.52</v>
      </c>
      <c r="F1482">
        <v>2.98</v>
      </c>
      <c r="G1482" s="8">
        <f t="shared" si="23"/>
        <v>30.604026845637584</v>
      </c>
    </row>
    <row r="1483" spans="1:7" x14ac:dyDescent="0.25">
      <c r="A1483" s="5">
        <v>45807.791666666664</v>
      </c>
      <c r="B1483">
        <v>32</v>
      </c>
      <c r="C1483" t="s">
        <v>39</v>
      </c>
      <c r="D1483" t="s">
        <v>40</v>
      </c>
      <c r="E1483">
        <v>1.5</v>
      </c>
      <c r="F1483">
        <v>2.4300000000000002</v>
      </c>
      <c r="G1483" s="8">
        <f t="shared" si="23"/>
        <v>37.037037037037038</v>
      </c>
    </row>
    <row r="1484" spans="1:7" x14ac:dyDescent="0.25">
      <c r="A1484" s="5">
        <v>45807.791666666664</v>
      </c>
      <c r="B1484">
        <v>33</v>
      </c>
      <c r="C1484" t="s">
        <v>40</v>
      </c>
      <c r="D1484" t="s">
        <v>41</v>
      </c>
      <c r="E1484">
        <v>1.51</v>
      </c>
      <c r="F1484">
        <v>2.27</v>
      </c>
      <c r="G1484" s="8">
        <f t="shared" si="23"/>
        <v>39.91189427312775</v>
      </c>
    </row>
    <row r="1485" spans="1:7" x14ac:dyDescent="0.25">
      <c r="A1485" s="5">
        <v>45807.791666666664</v>
      </c>
      <c r="B1485">
        <v>34</v>
      </c>
      <c r="C1485" t="s">
        <v>41</v>
      </c>
      <c r="D1485" t="s">
        <v>42</v>
      </c>
      <c r="E1485">
        <v>1.5</v>
      </c>
      <c r="F1485">
        <v>1.98</v>
      </c>
      <c r="G1485" s="8">
        <f t="shared" si="23"/>
        <v>45.454545454545453</v>
      </c>
    </row>
    <row r="1486" spans="1:7" x14ac:dyDescent="0.25">
      <c r="A1486" s="5">
        <v>45807.791666666664</v>
      </c>
      <c r="B1486">
        <v>35</v>
      </c>
      <c r="C1486" t="s">
        <v>43</v>
      </c>
      <c r="D1486" t="s">
        <v>44</v>
      </c>
      <c r="E1486">
        <v>1.55</v>
      </c>
      <c r="F1486">
        <v>5.55</v>
      </c>
      <c r="G1486" s="8">
        <f t="shared" si="23"/>
        <v>16.756756756756758</v>
      </c>
    </row>
    <row r="1487" spans="1:7" x14ac:dyDescent="0.25">
      <c r="A1487" s="5">
        <v>45807.791666666664</v>
      </c>
      <c r="B1487">
        <v>36</v>
      </c>
      <c r="C1487" t="s">
        <v>44</v>
      </c>
      <c r="D1487" t="s">
        <v>45</v>
      </c>
      <c r="E1487">
        <v>1.5</v>
      </c>
      <c r="F1487">
        <v>3.87</v>
      </c>
      <c r="G1487" s="8">
        <f t="shared" si="23"/>
        <v>23.255813953488371</v>
      </c>
    </row>
    <row r="1488" spans="1:7" x14ac:dyDescent="0.25">
      <c r="A1488" s="5">
        <v>45807.791666666664</v>
      </c>
      <c r="B1488">
        <v>37</v>
      </c>
      <c r="C1488" t="s">
        <v>45</v>
      </c>
      <c r="D1488" t="s">
        <v>46</v>
      </c>
      <c r="E1488">
        <v>1.38</v>
      </c>
      <c r="F1488">
        <v>5.82</v>
      </c>
      <c r="G1488" s="8">
        <f t="shared" si="23"/>
        <v>14.226804123711339</v>
      </c>
    </row>
    <row r="1489" spans="1:7" x14ac:dyDescent="0.25">
      <c r="A1489" s="5">
        <v>45807.791666666664</v>
      </c>
      <c r="B1489">
        <v>38</v>
      </c>
      <c r="C1489" t="s">
        <v>46</v>
      </c>
      <c r="D1489" t="s">
        <v>47</v>
      </c>
      <c r="E1489">
        <v>1.61</v>
      </c>
      <c r="F1489">
        <v>5.37</v>
      </c>
      <c r="G1489" s="8">
        <f t="shared" si="23"/>
        <v>17.988826815642458</v>
      </c>
    </row>
    <row r="1490" spans="1:7" x14ac:dyDescent="0.25">
      <c r="A1490" s="5">
        <v>45807.791666666664</v>
      </c>
      <c r="B1490">
        <v>39</v>
      </c>
      <c r="C1490" t="s">
        <v>47</v>
      </c>
      <c r="D1490" t="s">
        <v>48</v>
      </c>
      <c r="E1490">
        <v>1.55</v>
      </c>
      <c r="F1490">
        <v>3.92</v>
      </c>
      <c r="G1490" s="8">
        <f t="shared" si="23"/>
        <v>23.724489795918366</v>
      </c>
    </row>
    <row r="1491" spans="1:7" x14ac:dyDescent="0.25">
      <c r="A1491" s="5">
        <v>45807.791666666664</v>
      </c>
      <c r="B1491">
        <v>40</v>
      </c>
      <c r="C1491" t="s">
        <v>48</v>
      </c>
      <c r="D1491" t="s">
        <v>49</v>
      </c>
      <c r="E1491">
        <v>1.39</v>
      </c>
      <c r="F1491">
        <v>3.23</v>
      </c>
      <c r="G1491" s="8">
        <f t="shared" si="23"/>
        <v>25.820433436532504</v>
      </c>
    </row>
    <row r="1492" spans="1:7" x14ac:dyDescent="0.25">
      <c r="A1492" s="5">
        <v>45807.791666666664</v>
      </c>
      <c r="B1492">
        <v>41</v>
      </c>
      <c r="C1492" t="s">
        <v>50</v>
      </c>
      <c r="D1492" t="s">
        <v>51</v>
      </c>
      <c r="E1492">
        <v>1.56</v>
      </c>
      <c r="F1492">
        <v>5.55</v>
      </c>
      <c r="G1492" s="8">
        <f t="shared" si="23"/>
        <v>16.864864864864867</v>
      </c>
    </row>
    <row r="1493" spans="1:7" x14ac:dyDescent="0.25">
      <c r="A1493" s="5">
        <v>45807.791666666664</v>
      </c>
      <c r="B1493">
        <v>42</v>
      </c>
      <c r="C1493" t="s">
        <v>51</v>
      </c>
      <c r="D1493" t="s">
        <v>52</v>
      </c>
      <c r="E1493">
        <v>1.56</v>
      </c>
      <c r="F1493">
        <v>4.55</v>
      </c>
      <c r="G1493" s="8">
        <f t="shared" si="23"/>
        <v>20.571428571428573</v>
      </c>
    </row>
    <row r="1494" spans="1:7" x14ac:dyDescent="0.25">
      <c r="A1494" s="5">
        <v>45807.791666666664</v>
      </c>
      <c r="B1494">
        <v>43</v>
      </c>
      <c r="C1494" t="s">
        <v>52</v>
      </c>
      <c r="D1494" t="s">
        <v>53</v>
      </c>
      <c r="E1494">
        <v>1.51</v>
      </c>
      <c r="F1494">
        <v>4.17</v>
      </c>
      <c r="G1494" s="8">
        <f t="shared" si="23"/>
        <v>21.726618705035971</v>
      </c>
    </row>
    <row r="1495" spans="1:7" x14ac:dyDescent="0.25">
      <c r="A1495" s="5">
        <v>45807.791666666664</v>
      </c>
      <c r="B1495">
        <v>44</v>
      </c>
      <c r="C1495" t="s">
        <v>54</v>
      </c>
      <c r="D1495" t="s">
        <v>55</v>
      </c>
      <c r="E1495">
        <v>1.51</v>
      </c>
      <c r="F1495">
        <v>4.88</v>
      </c>
      <c r="G1495" s="8">
        <f t="shared" si="23"/>
        <v>18.565573770491802</v>
      </c>
    </row>
    <row r="1496" spans="1:7" x14ac:dyDescent="0.25">
      <c r="A1496" s="5">
        <v>45807.791666666664</v>
      </c>
      <c r="B1496">
        <v>45</v>
      </c>
      <c r="C1496" t="s">
        <v>55</v>
      </c>
      <c r="D1496" t="s">
        <v>56</v>
      </c>
      <c r="E1496">
        <v>1.49</v>
      </c>
      <c r="F1496">
        <v>3.87</v>
      </c>
      <c r="G1496" s="8">
        <f t="shared" si="23"/>
        <v>23.100775193798452</v>
      </c>
    </row>
    <row r="1497" spans="1:7" x14ac:dyDescent="0.25">
      <c r="A1497" s="5">
        <v>45807.791666666664</v>
      </c>
      <c r="B1497">
        <v>46</v>
      </c>
      <c r="C1497" t="s">
        <v>56</v>
      </c>
      <c r="D1497" t="s">
        <v>57</v>
      </c>
      <c r="E1497">
        <v>1.52</v>
      </c>
      <c r="F1497">
        <v>5</v>
      </c>
      <c r="G1497" s="8">
        <f t="shared" si="23"/>
        <v>18.240000000000002</v>
      </c>
    </row>
    <row r="1498" spans="1:7" x14ac:dyDescent="0.25">
      <c r="A1498" s="5">
        <v>45807.791666666664</v>
      </c>
      <c r="B1498">
        <v>47</v>
      </c>
      <c r="C1498" t="s">
        <v>58</v>
      </c>
      <c r="D1498" t="s">
        <v>59</v>
      </c>
      <c r="E1498">
        <v>1.52</v>
      </c>
      <c r="F1498">
        <v>5.6</v>
      </c>
      <c r="G1498" s="8">
        <f t="shared" si="23"/>
        <v>16.285714285714288</v>
      </c>
    </row>
    <row r="1499" spans="1:7" x14ac:dyDescent="0.25">
      <c r="A1499" s="5">
        <v>45807.791666666664</v>
      </c>
      <c r="B1499">
        <v>48</v>
      </c>
      <c r="C1499" t="s">
        <v>59</v>
      </c>
      <c r="D1499" t="s">
        <v>60</v>
      </c>
      <c r="E1499">
        <v>1.5</v>
      </c>
      <c r="F1499">
        <v>4.25</v>
      </c>
      <c r="G1499" s="8">
        <f t="shared" si="23"/>
        <v>21.176470588235293</v>
      </c>
    </row>
    <row r="1500" spans="1:7" x14ac:dyDescent="0.25">
      <c r="A1500" s="5">
        <v>45807.791666666664</v>
      </c>
      <c r="B1500">
        <v>49</v>
      </c>
      <c r="C1500" t="s">
        <v>60</v>
      </c>
      <c r="D1500" t="s">
        <v>61</v>
      </c>
      <c r="E1500">
        <v>1.54</v>
      </c>
      <c r="F1500">
        <v>5.32</v>
      </c>
      <c r="G1500" s="8">
        <f t="shared" si="23"/>
        <v>17.368421052631579</v>
      </c>
    </row>
    <row r="1501" spans="1:7" x14ac:dyDescent="0.25">
      <c r="A1501" s="5">
        <v>45807.791666666664</v>
      </c>
      <c r="B1501">
        <v>50</v>
      </c>
      <c r="C1501" t="s">
        <v>62</v>
      </c>
      <c r="D1501" t="s">
        <v>63</v>
      </c>
      <c r="E1501">
        <v>1.38</v>
      </c>
      <c r="F1501">
        <v>3.22</v>
      </c>
      <c r="G1501" s="8">
        <f t="shared" si="23"/>
        <v>25.714285714285712</v>
      </c>
    </row>
    <row r="1502" spans="1:7" x14ac:dyDescent="0.25">
      <c r="A1502" s="5">
        <v>45807.791666666664</v>
      </c>
      <c r="B1502">
        <v>51</v>
      </c>
      <c r="C1502" t="s">
        <v>63</v>
      </c>
      <c r="D1502" t="s">
        <v>64</v>
      </c>
      <c r="E1502">
        <v>2.79</v>
      </c>
      <c r="F1502">
        <v>5.78</v>
      </c>
      <c r="G1502" s="8">
        <f t="shared" si="23"/>
        <v>28.961937716262977</v>
      </c>
    </row>
    <row r="1503" spans="1:7" x14ac:dyDescent="0.25">
      <c r="A1503" s="5">
        <v>45807.791666666664</v>
      </c>
      <c r="B1503">
        <v>52</v>
      </c>
      <c r="C1503" t="s">
        <v>64</v>
      </c>
      <c r="D1503" t="s">
        <v>65</v>
      </c>
      <c r="E1503">
        <v>1.5</v>
      </c>
      <c r="F1503">
        <v>2.87</v>
      </c>
      <c r="G1503" s="8">
        <f t="shared" si="23"/>
        <v>31.358885017421603</v>
      </c>
    </row>
    <row r="1504" spans="1:7" x14ac:dyDescent="0.25">
      <c r="A1504" s="5">
        <v>45807.791666666664</v>
      </c>
      <c r="B1504">
        <v>53</v>
      </c>
      <c r="C1504" t="s">
        <v>65</v>
      </c>
      <c r="D1504" t="s">
        <v>66</v>
      </c>
      <c r="E1504">
        <v>1.46</v>
      </c>
      <c r="F1504">
        <v>3.82</v>
      </c>
      <c r="G1504" s="8">
        <f t="shared" si="23"/>
        <v>22.93193717277487</v>
      </c>
    </row>
    <row r="1505" spans="1:7" x14ac:dyDescent="0.25">
      <c r="A1505" s="5">
        <v>45807.791666666664</v>
      </c>
      <c r="B1505">
        <v>54</v>
      </c>
      <c r="C1505" t="s">
        <v>67</v>
      </c>
      <c r="D1505" t="s">
        <v>68</v>
      </c>
      <c r="E1505">
        <v>1.46</v>
      </c>
      <c r="F1505">
        <v>3.25</v>
      </c>
      <c r="G1505" s="8">
        <f t="shared" si="23"/>
        <v>26.95384615384615</v>
      </c>
    </row>
    <row r="1506" spans="1:7" x14ac:dyDescent="0.25">
      <c r="A1506" s="5">
        <v>45807.791666666664</v>
      </c>
      <c r="B1506">
        <v>55</v>
      </c>
      <c r="C1506" t="s">
        <v>68</v>
      </c>
      <c r="D1506" t="s">
        <v>69</v>
      </c>
      <c r="E1506">
        <v>1.5</v>
      </c>
      <c r="F1506">
        <v>2.38</v>
      </c>
      <c r="G1506" s="8">
        <f t="shared" si="23"/>
        <v>37.815126050420169</v>
      </c>
    </row>
    <row r="1507" spans="1:7" x14ac:dyDescent="0.25">
      <c r="A1507" s="5">
        <v>45807.791666666664</v>
      </c>
      <c r="B1507">
        <v>56</v>
      </c>
      <c r="C1507" t="s">
        <v>70</v>
      </c>
      <c r="D1507" t="s">
        <v>71</v>
      </c>
      <c r="E1507">
        <v>1.51</v>
      </c>
      <c r="F1507">
        <v>6.5</v>
      </c>
      <c r="G1507" s="8">
        <f t="shared" si="23"/>
        <v>13.938461538461537</v>
      </c>
    </row>
    <row r="1508" spans="1:7" x14ac:dyDescent="0.25">
      <c r="A1508" s="5">
        <v>45807.791666666664</v>
      </c>
      <c r="B1508">
        <v>57</v>
      </c>
      <c r="C1508" t="s">
        <v>71</v>
      </c>
      <c r="D1508" t="s">
        <v>72</v>
      </c>
      <c r="E1508">
        <v>1.52</v>
      </c>
      <c r="F1508">
        <v>5.95</v>
      </c>
      <c r="G1508" s="8">
        <f t="shared" si="23"/>
        <v>15.327731092436975</v>
      </c>
    </row>
    <row r="1509" spans="1:7" x14ac:dyDescent="0.25">
      <c r="A1509" s="5">
        <v>45807.791666666664</v>
      </c>
      <c r="B1509">
        <v>58</v>
      </c>
      <c r="C1509" t="s">
        <v>72</v>
      </c>
      <c r="D1509" t="s">
        <v>73</v>
      </c>
      <c r="E1509">
        <v>1.5</v>
      </c>
      <c r="F1509">
        <v>4.5</v>
      </c>
      <c r="G1509" s="8">
        <f t="shared" si="23"/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9"/>
  <sheetViews>
    <sheetView workbookViewId="0">
      <selection activeCell="I1" sqref="I1:I1048576"/>
    </sheetView>
  </sheetViews>
  <sheetFormatPr defaultRowHeight="15" x14ac:dyDescent="0.25"/>
  <cols>
    <col min="1" max="1" width="11" style="5" customWidth="1"/>
    <col min="3" max="3" width="36.28515625" customWidth="1"/>
    <col min="4" max="4" width="37.140625" customWidth="1"/>
    <col min="5" max="5" width="12.28515625" customWidth="1"/>
    <col min="6" max="6" width="22.28515625" customWidth="1"/>
    <col min="7" max="7" width="11.7109375" customWidth="1"/>
  </cols>
  <sheetData>
    <row r="1" spans="1:8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74</v>
      </c>
      <c r="H1" s="15"/>
    </row>
    <row r="2" spans="1:8" x14ac:dyDescent="0.25">
      <c r="A2" s="5">
        <v>45808.291666666664</v>
      </c>
      <c r="B2">
        <v>1</v>
      </c>
      <c r="C2" t="s">
        <v>6</v>
      </c>
      <c r="D2" t="s">
        <v>7</v>
      </c>
      <c r="E2">
        <v>1.53</v>
      </c>
      <c r="F2">
        <v>2.75</v>
      </c>
      <c r="G2" s="8">
        <f>E2*60/F2</f>
        <v>33.381818181818183</v>
      </c>
    </row>
    <row r="3" spans="1:8" x14ac:dyDescent="0.25">
      <c r="A3" s="5">
        <v>45808.291666666664</v>
      </c>
      <c r="B3">
        <v>2</v>
      </c>
      <c r="C3" t="s">
        <v>7</v>
      </c>
      <c r="D3" t="s">
        <v>8</v>
      </c>
      <c r="E3">
        <v>1.57</v>
      </c>
      <c r="F3">
        <v>3.78</v>
      </c>
      <c r="G3" s="8">
        <f>E3*60/F3</f>
        <v>24.920634920634921</v>
      </c>
    </row>
    <row r="4" spans="1:8" x14ac:dyDescent="0.25">
      <c r="A4" s="5">
        <v>45808.291666666664</v>
      </c>
      <c r="B4">
        <v>3</v>
      </c>
      <c r="C4" t="s">
        <v>8</v>
      </c>
      <c r="D4" t="s">
        <v>9</v>
      </c>
      <c r="E4">
        <v>1.5</v>
      </c>
      <c r="F4">
        <v>2.6</v>
      </c>
      <c r="G4" s="8">
        <f>E4*60/F4</f>
        <v>34.615384615384613</v>
      </c>
    </row>
    <row r="5" spans="1:8" x14ac:dyDescent="0.25">
      <c r="A5" s="5">
        <v>45808.291666666664</v>
      </c>
      <c r="B5">
        <v>4</v>
      </c>
      <c r="C5" t="s">
        <v>9</v>
      </c>
      <c r="D5" t="s">
        <v>10</v>
      </c>
      <c r="E5">
        <v>1.5</v>
      </c>
      <c r="F5">
        <v>2.2799999999999998</v>
      </c>
      <c r="G5" s="8">
        <f>E5*60/F5</f>
        <v>39.473684210526322</v>
      </c>
    </row>
    <row r="6" spans="1:8" x14ac:dyDescent="0.25">
      <c r="A6" s="5">
        <v>45808.291666666664</v>
      </c>
      <c r="B6">
        <v>5</v>
      </c>
      <c r="C6" t="s">
        <v>10</v>
      </c>
      <c r="D6" t="s">
        <v>11</v>
      </c>
      <c r="E6">
        <v>1.52</v>
      </c>
      <c r="F6">
        <v>2.67</v>
      </c>
      <c r="G6" s="8">
        <f>E6*60/F6</f>
        <v>34.157303370786522</v>
      </c>
    </row>
    <row r="7" spans="1:8" x14ac:dyDescent="0.25">
      <c r="A7" s="5">
        <v>45808.291666666664</v>
      </c>
      <c r="B7">
        <v>6</v>
      </c>
      <c r="C7" t="s">
        <v>11</v>
      </c>
      <c r="D7" t="s">
        <v>12</v>
      </c>
      <c r="E7">
        <v>1.5</v>
      </c>
      <c r="F7">
        <v>2.42</v>
      </c>
      <c r="G7" s="8">
        <f>E7*60/F7</f>
        <v>37.190082644628099</v>
      </c>
    </row>
    <row r="8" spans="1:8" x14ac:dyDescent="0.25">
      <c r="A8" s="5">
        <v>45808.291666666664</v>
      </c>
      <c r="B8">
        <v>7</v>
      </c>
      <c r="C8" t="s">
        <v>12</v>
      </c>
      <c r="D8" t="s">
        <v>13</v>
      </c>
      <c r="E8">
        <v>1.54</v>
      </c>
      <c r="F8">
        <v>2.58</v>
      </c>
      <c r="G8" s="8">
        <f>E8*60/F8</f>
        <v>35.813953488372093</v>
      </c>
    </row>
    <row r="9" spans="1:8" x14ac:dyDescent="0.25">
      <c r="A9" s="5">
        <v>45808.291666666664</v>
      </c>
      <c r="B9">
        <v>8</v>
      </c>
      <c r="C9" t="s">
        <v>13</v>
      </c>
      <c r="D9" t="s">
        <v>14</v>
      </c>
      <c r="E9">
        <v>1.54</v>
      </c>
      <c r="F9">
        <v>2.72</v>
      </c>
      <c r="G9" s="8">
        <f>E9*60/F9</f>
        <v>33.970588235294116</v>
      </c>
    </row>
    <row r="10" spans="1:8" x14ac:dyDescent="0.25">
      <c r="A10" s="5">
        <v>45808.291666666664</v>
      </c>
      <c r="B10">
        <v>9</v>
      </c>
      <c r="C10" t="s">
        <v>14</v>
      </c>
      <c r="D10" t="s">
        <v>15</v>
      </c>
      <c r="E10">
        <v>1.52</v>
      </c>
      <c r="F10">
        <v>2.63</v>
      </c>
      <c r="G10" s="8">
        <f>E10*60/F10</f>
        <v>34.676806083650192</v>
      </c>
    </row>
    <row r="11" spans="1:8" x14ac:dyDescent="0.25">
      <c r="A11" s="5">
        <v>45808.291666666664</v>
      </c>
      <c r="B11">
        <v>10</v>
      </c>
      <c r="C11" t="s">
        <v>15</v>
      </c>
      <c r="D11" t="s">
        <v>16</v>
      </c>
      <c r="E11">
        <v>1.5</v>
      </c>
      <c r="F11">
        <v>2.72</v>
      </c>
      <c r="G11" s="8">
        <f>E11*60/F11</f>
        <v>33.088235294117645</v>
      </c>
    </row>
    <row r="12" spans="1:8" x14ac:dyDescent="0.25">
      <c r="A12" s="5">
        <v>45808.291666666664</v>
      </c>
      <c r="B12">
        <v>11</v>
      </c>
      <c r="C12" t="s">
        <v>16</v>
      </c>
      <c r="D12" t="s">
        <v>17</v>
      </c>
      <c r="E12">
        <v>1.48</v>
      </c>
      <c r="F12">
        <v>1.98</v>
      </c>
      <c r="G12" s="8">
        <f>E12*60/F12</f>
        <v>44.848484848484844</v>
      </c>
    </row>
    <row r="13" spans="1:8" x14ac:dyDescent="0.25">
      <c r="A13" s="5">
        <v>45808.291666666664</v>
      </c>
      <c r="B13">
        <v>12</v>
      </c>
      <c r="C13" t="s">
        <v>17</v>
      </c>
      <c r="D13" t="s">
        <v>18</v>
      </c>
      <c r="E13">
        <v>1.46</v>
      </c>
      <c r="F13">
        <v>2.48</v>
      </c>
      <c r="G13" s="8">
        <f>E13*60/F13</f>
        <v>35.322580645161288</v>
      </c>
    </row>
    <row r="14" spans="1:8" x14ac:dyDescent="0.25">
      <c r="A14" s="5">
        <v>45808.291666666664</v>
      </c>
      <c r="B14">
        <v>13</v>
      </c>
      <c r="C14" t="s">
        <v>18</v>
      </c>
      <c r="D14" t="s">
        <v>19</v>
      </c>
      <c r="E14">
        <v>1.52</v>
      </c>
      <c r="F14">
        <v>2.67</v>
      </c>
      <c r="G14" s="8">
        <f>E14*60/F14</f>
        <v>34.157303370786522</v>
      </c>
    </row>
    <row r="15" spans="1:8" x14ac:dyDescent="0.25">
      <c r="A15" s="5">
        <v>45808.291666666664</v>
      </c>
      <c r="B15">
        <v>14</v>
      </c>
      <c r="C15" t="s">
        <v>19</v>
      </c>
      <c r="D15" t="s">
        <v>20</v>
      </c>
      <c r="E15">
        <v>1.51</v>
      </c>
      <c r="F15">
        <v>2.73</v>
      </c>
      <c r="G15" s="8">
        <f>E15*60/F15</f>
        <v>33.186813186813183</v>
      </c>
    </row>
    <row r="16" spans="1:8" x14ac:dyDescent="0.25">
      <c r="A16" s="5">
        <v>45808.291666666664</v>
      </c>
      <c r="B16">
        <v>15</v>
      </c>
      <c r="C16" t="s">
        <v>20</v>
      </c>
      <c r="D16" t="s">
        <v>21</v>
      </c>
      <c r="E16">
        <v>1.47</v>
      </c>
      <c r="F16">
        <v>1.97</v>
      </c>
      <c r="G16" s="8">
        <f>E16*60/F16</f>
        <v>44.771573604060919</v>
      </c>
    </row>
    <row r="17" spans="1:7" x14ac:dyDescent="0.25">
      <c r="A17" s="5">
        <v>45808.291666666664</v>
      </c>
      <c r="B17">
        <v>16</v>
      </c>
      <c r="C17" t="s">
        <v>21</v>
      </c>
      <c r="D17" t="s">
        <v>22</v>
      </c>
      <c r="E17">
        <v>1.5</v>
      </c>
      <c r="F17">
        <v>1.67</v>
      </c>
      <c r="G17" s="8">
        <f>E17*60/F17</f>
        <v>53.892215568862277</v>
      </c>
    </row>
    <row r="18" spans="1:7" x14ac:dyDescent="0.25">
      <c r="A18" s="5">
        <v>45808.291666666664</v>
      </c>
      <c r="B18">
        <v>17</v>
      </c>
      <c r="C18" t="s">
        <v>22</v>
      </c>
      <c r="D18" t="s">
        <v>23</v>
      </c>
      <c r="E18">
        <v>1.51</v>
      </c>
      <c r="F18">
        <v>2.37</v>
      </c>
      <c r="G18" s="8">
        <f>E18*60/F18</f>
        <v>38.22784810126582</v>
      </c>
    </row>
    <row r="19" spans="1:7" x14ac:dyDescent="0.25">
      <c r="A19" s="5">
        <v>45808.291666666664</v>
      </c>
      <c r="B19">
        <v>18</v>
      </c>
      <c r="C19" t="s">
        <v>23</v>
      </c>
      <c r="D19" t="s">
        <v>24</v>
      </c>
      <c r="E19">
        <v>1.51</v>
      </c>
      <c r="F19">
        <v>2.58</v>
      </c>
      <c r="G19" s="8">
        <f>E19*60/F19</f>
        <v>35.116279069767437</v>
      </c>
    </row>
    <row r="20" spans="1:7" x14ac:dyDescent="0.25">
      <c r="A20" s="5">
        <v>45808.291666666664</v>
      </c>
      <c r="B20">
        <v>19</v>
      </c>
      <c r="C20" t="s">
        <v>25</v>
      </c>
      <c r="D20" t="s">
        <v>26</v>
      </c>
      <c r="E20">
        <v>1.5</v>
      </c>
      <c r="F20">
        <v>2.98</v>
      </c>
      <c r="G20" s="8">
        <f>E20*60/F20</f>
        <v>30.201342281879196</v>
      </c>
    </row>
    <row r="21" spans="1:7" x14ac:dyDescent="0.25">
      <c r="A21" s="5">
        <v>45808.291666666664</v>
      </c>
      <c r="B21">
        <v>20</v>
      </c>
      <c r="C21" t="s">
        <v>26</v>
      </c>
      <c r="D21" t="s">
        <v>27</v>
      </c>
      <c r="E21">
        <v>1.48</v>
      </c>
      <c r="F21">
        <v>3.03</v>
      </c>
      <c r="G21" s="8">
        <f>E21*60/F21</f>
        <v>29.306930693069308</v>
      </c>
    </row>
    <row r="22" spans="1:7" x14ac:dyDescent="0.25">
      <c r="A22" s="5">
        <v>45808.291666666664</v>
      </c>
      <c r="B22">
        <v>21</v>
      </c>
      <c r="C22" t="s">
        <v>27</v>
      </c>
      <c r="D22" t="s">
        <v>28</v>
      </c>
      <c r="E22">
        <v>1.51</v>
      </c>
      <c r="F22">
        <v>2.6</v>
      </c>
      <c r="G22" s="8">
        <f>E22*60/F22</f>
        <v>34.84615384615384</v>
      </c>
    </row>
    <row r="23" spans="1:7" x14ac:dyDescent="0.25">
      <c r="A23" s="5">
        <v>45808.291666666664</v>
      </c>
      <c r="B23">
        <v>22</v>
      </c>
      <c r="C23" t="s">
        <v>28</v>
      </c>
      <c r="D23" t="s">
        <v>29</v>
      </c>
      <c r="E23">
        <v>1.57</v>
      </c>
      <c r="F23">
        <v>2.8</v>
      </c>
      <c r="G23" s="8">
        <f>E23*60/F23</f>
        <v>33.642857142857146</v>
      </c>
    </row>
    <row r="24" spans="1:7" x14ac:dyDescent="0.25">
      <c r="A24" s="5">
        <v>45808.291666666664</v>
      </c>
      <c r="B24">
        <v>23</v>
      </c>
      <c r="C24" t="s">
        <v>29</v>
      </c>
      <c r="D24" t="s">
        <v>30</v>
      </c>
      <c r="E24">
        <v>1.43</v>
      </c>
      <c r="F24">
        <v>2.93</v>
      </c>
      <c r="G24" s="8">
        <f>E24*60/F24</f>
        <v>29.283276450511941</v>
      </c>
    </row>
    <row r="25" spans="1:7" x14ac:dyDescent="0.25">
      <c r="A25" s="5">
        <v>45808.291666666664</v>
      </c>
      <c r="B25">
        <v>24</v>
      </c>
      <c r="C25" t="s">
        <v>30</v>
      </c>
      <c r="D25" t="s">
        <v>31</v>
      </c>
      <c r="E25">
        <v>1.52</v>
      </c>
      <c r="F25">
        <v>2.87</v>
      </c>
      <c r="G25" s="8">
        <f>E25*60/F25</f>
        <v>31.777003484320556</v>
      </c>
    </row>
    <row r="26" spans="1:7" x14ac:dyDescent="0.25">
      <c r="A26" s="5">
        <v>45808.291666666664</v>
      </c>
      <c r="B26">
        <v>25</v>
      </c>
      <c r="C26" t="s">
        <v>31</v>
      </c>
      <c r="D26" t="s">
        <v>32</v>
      </c>
      <c r="E26">
        <v>1.52</v>
      </c>
      <c r="F26">
        <v>2.95</v>
      </c>
      <c r="G26" s="8">
        <f>E26*60/F26</f>
        <v>30.915254237288135</v>
      </c>
    </row>
    <row r="27" spans="1:7" x14ac:dyDescent="0.25">
      <c r="A27" s="5">
        <v>45808.291666666664</v>
      </c>
      <c r="B27">
        <v>26</v>
      </c>
      <c r="C27" t="s">
        <v>32</v>
      </c>
      <c r="D27" t="s">
        <v>33</v>
      </c>
      <c r="E27">
        <v>1.49</v>
      </c>
      <c r="F27">
        <v>2.88</v>
      </c>
      <c r="G27" s="8">
        <f>E27*60/F27</f>
        <v>31.041666666666671</v>
      </c>
    </row>
    <row r="28" spans="1:7" x14ac:dyDescent="0.25">
      <c r="A28" s="5">
        <v>45808.291666666664</v>
      </c>
      <c r="B28">
        <v>27</v>
      </c>
      <c r="C28" t="s">
        <v>33</v>
      </c>
      <c r="D28" t="s">
        <v>34</v>
      </c>
      <c r="E28">
        <v>1.53</v>
      </c>
      <c r="F28">
        <v>2.82</v>
      </c>
      <c r="G28" s="8">
        <f>E28*60/F28</f>
        <v>32.553191489361701</v>
      </c>
    </row>
    <row r="29" spans="1:7" x14ac:dyDescent="0.25">
      <c r="A29" s="5">
        <v>45808.291666666664</v>
      </c>
      <c r="B29">
        <v>28</v>
      </c>
      <c r="C29" t="s">
        <v>34</v>
      </c>
      <c r="D29" t="s">
        <v>35</v>
      </c>
      <c r="E29">
        <v>1.51</v>
      </c>
      <c r="F29">
        <v>3.33</v>
      </c>
      <c r="G29" s="8">
        <f>E29*60/F29</f>
        <v>27.207207207207205</v>
      </c>
    </row>
    <row r="30" spans="1:7" x14ac:dyDescent="0.25">
      <c r="A30" s="5">
        <v>45808.291666666664</v>
      </c>
      <c r="B30">
        <v>29</v>
      </c>
      <c r="C30" t="s">
        <v>36</v>
      </c>
      <c r="D30" t="s">
        <v>37</v>
      </c>
      <c r="E30">
        <v>1.57</v>
      </c>
      <c r="F30">
        <v>2.77</v>
      </c>
      <c r="G30" s="8">
        <f>E30*60/F30</f>
        <v>34.007220216606498</v>
      </c>
    </row>
    <row r="31" spans="1:7" x14ac:dyDescent="0.25">
      <c r="A31" s="5">
        <v>45808.291666666664</v>
      </c>
      <c r="B31">
        <v>30</v>
      </c>
      <c r="C31" t="s">
        <v>37</v>
      </c>
      <c r="D31" t="s">
        <v>38</v>
      </c>
      <c r="E31">
        <v>1.57</v>
      </c>
      <c r="F31">
        <v>3.32</v>
      </c>
      <c r="G31" s="8">
        <f>E31*60/F31</f>
        <v>28.373493975903617</v>
      </c>
    </row>
    <row r="32" spans="1:7" x14ac:dyDescent="0.25">
      <c r="A32" s="5">
        <v>45808.291666666664</v>
      </c>
      <c r="B32">
        <v>31</v>
      </c>
      <c r="C32" t="s">
        <v>38</v>
      </c>
      <c r="D32" t="s">
        <v>39</v>
      </c>
      <c r="E32">
        <v>1.52</v>
      </c>
      <c r="F32">
        <v>2.33</v>
      </c>
      <c r="G32" s="8">
        <f>E32*60/F32</f>
        <v>39.141630901287556</v>
      </c>
    </row>
    <row r="33" spans="1:7" x14ac:dyDescent="0.25">
      <c r="A33" s="5">
        <v>45808.291666666664</v>
      </c>
      <c r="B33">
        <v>32</v>
      </c>
      <c r="C33" t="s">
        <v>39</v>
      </c>
      <c r="D33" t="s">
        <v>40</v>
      </c>
      <c r="E33">
        <v>1.5</v>
      </c>
      <c r="F33">
        <v>1.63</v>
      </c>
      <c r="G33" s="8">
        <f>E33*60/F33</f>
        <v>55.214723926380373</v>
      </c>
    </row>
    <row r="34" spans="1:7" x14ac:dyDescent="0.25">
      <c r="A34" s="5">
        <v>45808.291666666664</v>
      </c>
      <c r="B34">
        <v>33</v>
      </c>
      <c r="C34" t="s">
        <v>40</v>
      </c>
      <c r="D34" t="s">
        <v>41</v>
      </c>
      <c r="E34">
        <v>1.51</v>
      </c>
      <c r="F34">
        <v>1.62</v>
      </c>
      <c r="G34" s="8">
        <f>E34*60/F34</f>
        <v>55.925925925925917</v>
      </c>
    </row>
    <row r="35" spans="1:7" x14ac:dyDescent="0.25">
      <c r="A35" s="5">
        <v>45808.291666666664</v>
      </c>
      <c r="B35">
        <v>34</v>
      </c>
      <c r="C35" t="s">
        <v>41</v>
      </c>
      <c r="D35" t="s">
        <v>42</v>
      </c>
      <c r="E35">
        <v>1.5</v>
      </c>
      <c r="F35">
        <v>1.62</v>
      </c>
      <c r="G35" s="8">
        <f>E35*60/F35</f>
        <v>55.55555555555555</v>
      </c>
    </row>
    <row r="36" spans="1:7" x14ac:dyDescent="0.25">
      <c r="A36" s="5">
        <v>45808.291666666664</v>
      </c>
      <c r="B36">
        <v>35</v>
      </c>
      <c r="C36" t="s">
        <v>43</v>
      </c>
      <c r="D36" t="s">
        <v>44</v>
      </c>
      <c r="E36">
        <v>1.55</v>
      </c>
      <c r="F36">
        <v>3</v>
      </c>
      <c r="G36" s="8">
        <f>E36*60/F36</f>
        <v>31</v>
      </c>
    </row>
    <row r="37" spans="1:7" x14ac:dyDescent="0.25">
      <c r="A37" s="5">
        <v>45808.291666666664</v>
      </c>
      <c r="B37">
        <v>36</v>
      </c>
      <c r="C37" t="s">
        <v>44</v>
      </c>
      <c r="D37" t="s">
        <v>45</v>
      </c>
      <c r="E37">
        <v>1.5</v>
      </c>
      <c r="F37">
        <v>2.63</v>
      </c>
      <c r="G37" s="8">
        <f>E37*60/F37</f>
        <v>34.220532319391637</v>
      </c>
    </row>
    <row r="38" spans="1:7" x14ac:dyDescent="0.25">
      <c r="A38" s="5">
        <v>45808.291666666664</v>
      </c>
      <c r="B38">
        <v>37</v>
      </c>
      <c r="C38" t="s">
        <v>45</v>
      </c>
      <c r="D38" t="s">
        <v>46</v>
      </c>
      <c r="E38">
        <v>1.38</v>
      </c>
      <c r="F38">
        <v>3.13</v>
      </c>
      <c r="G38" s="8">
        <f>E38*60/F38</f>
        <v>26.453674121405751</v>
      </c>
    </row>
    <row r="39" spans="1:7" x14ac:dyDescent="0.25">
      <c r="A39" s="5">
        <v>45808.291666666664</v>
      </c>
      <c r="B39">
        <v>38</v>
      </c>
      <c r="C39" t="s">
        <v>46</v>
      </c>
      <c r="D39" t="s">
        <v>47</v>
      </c>
      <c r="E39">
        <v>1.61</v>
      </c>
      <c r="F39">
        <v>3.43</v>
      </c>
      <c r="G39" s="8">
        <f>E39*60/F39</f>
        <v>28.163265306122451</v>
      </c>
    </row>
    <row r="40" spans="1:7" x14ac:dyDescent="0.25">
      <c r="A40" s="5">
        <v>45808.291666666664</v>
      </c>
      <c r="B40">
        <v>39</v>
      </c>
      <c r="C40" t="s">
        <v>47</v>
      </c>
      <c r="D40" t="s">
        <v>48</v>
      </c>
      <c r="E40">
        <v>1.55</v>
      </c>
      <c r="F40">
        <v>3.1</v>
      </c>
      <c r="G40" s="8">
        <f>E40*60/F40</f>
        <v>30</v>
      </c>
    </row>
    <row r="41" spans="1:7" x14ac:dyDescent="0.25">
      <c r="A41" s="5">
        <v>45808.291666666664</v>
      </c>
      <c r="B41">
        <v>40</v>
      </c>
      <c r="C41" t="s">
        <v>48</v>
      </c>
      <c r="D41" t="s">
        <v>49</v>
      </c>
      <c r="E41">
        <v>1.39</v>
      </c>
      <c r="F41">
        <v>2.57</v>
      </c>
      <c r="G41" s="8">
        <f>E41*60/F41</f>
        <v>32.451361867704279</v>
      </c>
    </row>
    <row r="42" spans="1:7" x14ac:dyDescent="0.25">
      <c r="A42" s="5">
        <v>45808.291666666664</v>
      </c>
      <c r="B42">
        <v>41</v>
      </c>
      <c r="C42" t="s">
        <v>50</v>
      </c>
      <c r="D42" t="s">
        <v>51</v>
      </c>
      <c r="E42">
        <v>1.56</v>
      </c>
      <c r="F42">
        <v>3.1</v>
      </c>
      <c r="G42" s="8">
        <f>E42*60/F42</f>
        <v>30.193548387096776</v>
      </c>
    </row>
    <row r="43" spans="1:7" x14ac:dyDescent="0.25">
      <c r="A43" s="5">
        <v>45808.291666666664</v>
      </c>
      <c r="B43">
        <v>42</v>
      </c>
      <c r="C43" t="s">
        <v>51</v>
      </c>
      <c r="D43" t="s">
        <v>52</v>
      </c>
      <c r="E43">
        <v>1.56</v>
      </c>
      <c r="F43">
        <v>3.07</v>
      </c>
      <c r="G43" s="8">
        <f>E43*60/F43</f>
        <v>30.488599348534205</v>
      </c>
    </row>
    <row r="44" spans="1:7" x14ac:dyDescent="0.25">
      <c r="A44" s="5">
        <v>45808.291666666664</v>
      </c>
      <c r="B44">
        <v>43</v>
      </c>
      <c r="C44" t="s">
        <v>52</v>
      </c>
      <c r="D44" t="s">
        <v>53</v>
      </c>
      <c r="E44">
        <v>1.51</v>
      </c>
      <c r="F44">
        <v>2.82</v>
      </c>
      <c r="G44" s="8">
        <f>E44*60/F44</f>
        <v>32.127659574468083</v>
      </c>
    </row>
    <row r="45" spans="1:7" x14ac:dyDescent="0.25">
      <c r="A45" s="5">
        <v>45808.291666666664</v>
      </c>
      <c r="B45">
        <v>44</v>
      </c>
      <c r="C45" t="s">
        <v>54</v>
      </c>
      <c r="D45" t="s">
        <v>55</v>
      </c>
      <c r="E45">
        <v>1.51</v>
      </c>
      <c r="F45">
        <v>3.58</v>
      </c>
      <c r="G45" s="8">
        <f>E45*60/F45</f>
        <v>25.3072625698324</v>
      </c>
    </row>
    <row r="46" spans="1:7" x14ac:dyDescent="0.25">
      <c r="A46" s="5">
        <v>45808.291666666664</v>
      </c>
      <c r="B46">
        <v>45</v>
      </c>
      <c r="C46" t="s">
        <v>55</v>
      </c>
      <c r="D46" t="s">
        <v>56</v>
      </c>
      <c r="E46">
        <v>1.49</v>
      </c>
      <c r="F46">
        <v>2.87</v>
      </c>
      <c r="G46" s="8">
        <f>E46*60/F46</f>
        <v>31.149825783972126</v>
      </c>
    </row>
    <row r="47" spans="1:7" x14ac:dyDescent="0.25">
      <c r="A47" s="5">
        <v>45808.291666666664</v>
      </c>
      <c r="B47">
        <v>46</v>
      </c>
      <c r="C47" t="s">
        <v>56</v>
      </c>
      <c r="D47" t="s">
        <v>57</v>
      </c>
      <c r="E47">
        <v>1.52</v>
      </c>
      <c r="F47">
        <v>3.22</v>
      </c>
      <c r="G47" s="8">
        <f>E47*60/F47</f>
        <v>28.322981366459626</v>
      </c>
    </row>
    <row r="48" spans="1:7" x14ac:dyDescent="0.25">
      <c r="A48" s="5">
        <v>45808.291666666664</v>
      </c>
      <c r="B48">
        <v>47</v>
      </c>
      <c r="C48" t="s">
        <v>58</v>
      </c>
      <c r="D48" t="s">
        <v>59</v>
      </c>
      <c r="E48">
        <v>1.52</v>
      </c>
      <c r="F48">
        <v>3.02</v>
      </c>
      <c r="G48" s="8">
        <f>E48*60/F48</f>
        <v>30.198675496688743</v>
      </c>
    </row>
    <row r="49" spans="1:7" x14ac:dyDescent="0.25">
      <c r="A49" s="5">
        <v>45808.291666666664</v>
      </c>
      <c r="B49">
        <v>48</v>
      </c>
      <c r="C49" t="s">
        <v>59</v>
      </c>
      <c r="D49" t="s">
        <v>60</v>
      </c>
      <c r="E49">
        <v>1.5</v>
      </c>
      <c r="F49">
        <v>2.9</v>
      </c>
      <c r="G49" s="8">
        <f>E49*60/F49</f>
        <v>31.03448275862069</v>
      </c>
    </row>
    <row r="50" spans="1:7" x14ac:dyDescent="0.25">
      <c r="A50" s="5">
        <v>45808.291666666664</v>
      </c>
      <c r="B50">
        <v>49</v>
      </c>
      <c r="C50" t="s">
        <v>60</v>
      </c>
      <c r="D50" t="s">
        <v>61</v>
      </c>
      <c r="E50">
        <v>1.54</v>
      </c>
      <c r="F50">
        <v>3.28</v>
      </c>
      <c r="G50" s="8">
        <f>E50*60/F50</f>
        <v>28.170731707317078</v>
      </c>
    </row>
    <row r="51" spans="1:7" x14ac:dyDescent="0.25">
      <c r="A51" s="5">
        <v>45808.291666666664</v>
      </c>
      <c r="B51">
        <v>50</v>
      </c>
      <c r="C51" t="s">
        <v>62</v>
      </c>
      <c r="D51" t="s">
        <v>63</v>
      </c>
      <c r="E51">
        <v>1.38</v>
      </c>
      <c r="F51">
        <v>2.77</v>
      </c>
      <c r="G51" s="8">
        <f>E51*60/F51</f>
        <v>29.891696750902526</v>
      </c>
    </row>
    <row r="52" spans="1:7" x14ac:dyDescent="0.25">
      <c r="A52" s="5">
        <v>45808.291666666664</v>
      </c>
      <c r="B52">
        <v>51</v>
      </c>
      <c r="C52" t="s">
        <v>63</v>
      </c>
      <c r="D52" t="s">
        <v>64</v>
      </c>
      <c r="E52">
        <v>2.79</v>
      </c>
      <c r="F52">
        <v>4.7300000000000004</v>
      </c>
      <c r="G52" s="8">
        <f>E52*60/F52</f>
        <v>35.391120507399577</v>
      </c>
    </row>
    <row r="53" spans="1:7" x14ac:dyDescent="0.25">
      <c r="A53" s="5">
        <v>45808.291666666664</v>
      </c>
      <c r="B53">
        <v>52</v>
      </c>
      <c r="C53" t="s">
        <v>64</v>
      </c>
      <c r="D53" t="s">
        <v>65</v>
      </c>
      <c r="E53">
        <v>1.5</v>
      </c>
      <c r="F53">
        <v>2.58</v>
      </c>
      <c r="G53" s="8">
        <f>E53*60/F53</f>
        <v>34.883720930232556</v>
      </c>
    </row>
    <row r="54" spans="1:7" x14ac:dyDescent="0.25">
      <c r="A54" s="5">
        <v>45808.291666666664</v>
      </c>
      <c r="B54">
        <v>53</v>
      </c>
      <c r="C54" t="s">
        <v>65</v>
      </c>
      <c r="D54" t="s">
        <v>66</v>
      </c>
      <c r="E54">
        <v>1.46</v>
      </c>
      <c r="F54">
        <v>3.28</v>
      </c>
      <c r="G54" s="8">
        <f>E54*60/F54</f>
        <v>26.707317073170731</v>
      </c>
    </row>
    <row r="55" spans="1:7" x14ac:dyDescent="0.25">
      <c r="A55" s="5">
        <v>45808.291666666664</v>
      </c>
      <c r="B55">
        <v>54</v>
      </c>
      <c r="C55" t="s">
        <v>67</v>
      </c>
      <c r="D55" t="s">
        <v>68</v>
      </c>
      <c r="E55">
        <v>1.46</v>
      </c>
      <c r="F55">
        <v>2.2000000000000002</v>
      </c>
      <c r="G55" s="8">
        <f>E55*60/F55</f>
        <v>39.818181818181813</v>
      </c>
    </row>
    <row r="56" spans="1:7" x14ac:dyDescent="0.25">
      <c r="A56" s="5">
        <v>45808.291666666664</v>
      </c>
      <c r="B56">
        <v>55</v>
      </c>
      <c r="C56" t="s">
        <v>68</v>
      </c>
      <c r="D56" t="s">
        <v>69</v>
      </c>
      <c r="E56">
        <v>1.5</v>
      </c>
      <c r="F56">
        <v>1.82</v>
      </c>
      <c r="G56" s="8">
        <f>E56*60/F56</f>
        <v>49.450549450549445</v>
      </c>
    </row>
    <row r="57" spans="1:7" x14ac:dyDescent="0.25">
      <c r="A57" s="5">
        <v>45808.291666666664</v>
      </c>
      <c r="B57">
        <v>56</v>
      </c>
      <c r="C57" t="s">
        <v>70</v>
      </c>
      <c r="D57" t="s">
        <v>71</v>
      </c>
      <c r="E57">
        <v>1.51</v>
      </c>
      <c r="F57">
        <v>3.27</v>
      </c>
      <c r="G57" s="8">
        <f>E57*60/F57</f>
        <v>27.706422018348622</v>
      </c>
    </row>
    <row r="58" spans="1:7" x14ac:dyDescent="0.25">
      <c r="A58" s="5">
        <v>45808.291666666664</v>
      </c>
      <c r="B58">
        <v>57</v>
      </c>
      <c r="C58" t="s">
        <v>71</v>
      </c>
      <c r="D58" t="s">
        <v>72</v>
      </c>
      <c r="E58">
        <v>1.52</v>
      </c>
      <c r="F58">
        <v>3.08</v>
      </c>
      <c r="G58" s="8">
        <f>E58*60/F58</f>
        <v>29.61038961038961</v>
      </c>
    </row>
    <row r="59" spans="1:7" x14ac:dyDescent="0.25">
      <c r="A59" s="5">
        <v>45808.291666666664</v>
      </c>
      <c r="B59">
        <v>58</v>
      </c>
      <c r="C59" t="s">
        <v>72</v>
      </c>
      <c r="D59" t="s">
        <v>73</v>
      </c>
      <c r="E59">
        <v>1.5</v>
      </c>
      <c r="F59">
        <v>3.03</v>
      </c>
      <c r="G59" s="8">
        <f>E59*60/F59</f>
        <v>29.702970297029704</v>
      </c>
    </row>
    <row r="60" spans="1:7" x14ac:dyDescent="0.25">
      <c r="A60" s="5">
        <v>45808.302083333336</v>
      </c>
      <c r="B60">
        <v>1</v>
      </c>
      <c r="C60" t="s">
        <v>6</v>
      </c>
      <c r="D60" t="s">
        <v>7</v>
      </c>
      <c r="E60">
        <v>1.53</v>
      </c>
      <c r="F60">
        <v>2.8</v>
      </c>
      <c r="G60" s="8">
        <f>E60*60/F60</f>
        <v>32.785714285714285</v>
      </c>
    </row>
    <row r="61" spans="1:7" x14ac:dyDescent="0.25">
      <c r="A61" s="5">
        <v>45808.302083333336</v>
      </c>
      <c r="B61">
        <v>2</v>
      </c>
      <c r="C61" t="s">
        <v>7</v>
      </c>
      <c r="D61" t="s">
        <v>8</v>
      </c>
      <c r="E61">
        <v>1.57</v>
      </c>
      <c r="F61">
        <v>4.05</v>
      </c>
      <c r="G61" s="8">
        <f>E61*60/F61</f>
        <v>23.25925925925926</v>
      </c>
    </row>
    <row r="62" spans="1:7" x14ac:dyDescent="0.25">
      <c r="A62" s="5">
        <v>45808.302083333336</v>
      </c>
      <c r="B62">
        <v>3</v>
      </c>
      <c r="C62" t="s">
        <v>8</v>
      </c>
      <c r="D62" t="s">
        <v>9</v>
      </c>
      <c r="E62">
        <v>1.5</v>
      </c>
      <c r="F62">
        <v>2.7</v>
      </c>
      <c r="G62" s="8">
        <f>E62*60/F62</f>
        <v>33.333333333333329</v>
      </c>
    </row>
    <row r="63" spans="1:7" x14ac:dyDescent="0.25">
      <c r="A63" s="5">
        <v>45808.302083333336</v>
      </c>
      <c r="B63">
        <v>4</v>
      </c>
      <c r="C63" t="s">
        <v>9</v>
      </c>
      <c r="D63" t="s">
        <v>10</v>
      </c>
      <c r="E63">
        <v>1.5</v>
      </c>
      <c r="F63">
        <v>2.48</v>
      </c>
      <c r="G63" s="8">
        <f>E63*60/F63</f>
        <v>36.29032258064516</v>
      </c>
    </row>
    <row r="64" spans="1:7" x14ac:dyDescent="0.25">
      <c r="A64" s="5">
        <v>45808.302083333336</v>
      </c>
      <c r="B64">
        <v>5</v>
      </c>
      <c r="C64" t="s">
        <v>10</v>
      </c>
      <c r="D64" t="s">
        <v>11</v>
      </c>
      <c r="E64">
        <v>1.52</v>
      </c>
      <c r="F64">
        <v>2.72</v>
      </c>
      <c r="G64" s="8">
        <f>E64*60/F64</f>
        <v>33.529411764705884</v>
      </c>
    </row>
    <row r="65" spans="1:7" x14ac:dyDescent="0.25">
      <c r="A65" s="5">
        <v>45808.302083333336</v>
      </c>
      <c r="B65">
        <v>6</v>
      </c>
      <c r="C65" t="s">
        <v>11</v>
      </c>
      <c r="D65" t="s">
        <v>12</v>
      </c>
      <c r="E65">
        <v>1.5</v>
      </c>
      <c r="F65">
        <v>2.33</v>
      </c>
      <c r="G65" s="8">
        <f>E65*60/F65</f>
        <v>38.626609442060087</v>
      </c>
    </row>
    <row r="66" spans="1:7" x14ac:dyDescent="0.25">
      <c r="A66" s="5">
        <v>45808.302083333336</v>
      </c>
      <c r="B66">
        <v>7</v>
      </c>
      <c r="C66" t="s">
        <v>12</v>
      </c>
      <c r="D66" t="s">
        <v>13</v>
      </c>
      <c r="E66">
        <v>1.54</v>
      </c>
      <c r="F66">
        <v>2.5</v>
      </c>
      <c r="G66" s="8">
        <f>E66*60/F66</f>
        <v>36.96</v>
      </c>
    </row>
    <row r="67" spans="1:7" x14ac:dyDescent="0.25">
      <c r="A67" s="5">
        <v>45808.302083333336</v>
      </c>
      <c r="B67">
        <v>8</v>
      </c>
      <c r="C67" t="s">
        <v>13</v>
      </c>
      <c r="D67" t="s">
        <v>14</v>
      </c>
      <c r="E67">
        <v>1.54</v>
      </c>
      <c r="F67">
        <v>2.92</v>
      </c>
      <c r="G67" s="8">
        <f>E67*60/F67</f>
        <v>31.643835616438359</v>
      </c>
    </row>
    <row r="68" spans="1:7" x14ac:dyDescent="0.25">
      <c r="A68" s="5">
        <v>45808.302083333336</v>
      </c>
      <c r="B68">
        <v>9</v>
      </c>
      <c r="C68" t="s">
        <v>14</v>
      </c>
      <c r="D68" t="s">
        <v>15</v>
      </c>
      <c r="E68">
        <v>1.52</v>
      </c>
      <c r="F68">
        <v>2.62</v>
      </c>
      <c r="G68" s="8">
        <f>E68*60/F68</f>
        <v>34.809160305343511</v>
      </c>
    </row>
    <row r="69" spans="1:7" x14ac:dyDescent="0.25">
      <c r="A69" s="5">
        <v>45808.302083333336</v>
      </c>
      <c r="B69">
        <v>10</v>
      </c>
      <c r="C69" t="s">
        <v>15</v>
      </c>
      <c r="D69" t="s">
        <v>16</v>
      </c>
      <c r="E69">
        <v>1.5</v>
      </c>
      <c r="F69">
        <v>2.9</v>
      </c>
      <c r="G69" s="8">
        <f>E69*60/F69</f>
        <v>31.03448275862069</v>
      </c>
    </row>
    <row r="70" spans="1:7" x14ac:dyDescent="0.25">
      <c r="A70" s="5">
        <v>45808.302083333336</v>
      </c>
      <c r="B70">
        <v>11</v>
      </c>
      <c r="C70" t="s">
        <v>16</v>
      </c>
      <c r="D70" t="s">
        <v>17</v>
      </c>
      <c r="E70">
        <v>1.48</v>
      </c>
      <c r="F70">
        <v>1.95</v>
      </c>
      <c r="G70" s="8">
        <f>E70*60/F70</f>
        <v>45.53846153846154</v>
      </c>
    </row>
    <row r="71" spans="1:7" x14ac:dyDescent="0.25">
      <c r="A71" s="5">
        <v>45808.302083333336</v>
      </c>
      <c r="B71">
        <v>12</v>
      </c>
      <c r="C71" t="s">
        <v>17</v>
      </c>
      <c r="D71" t="s">
        <v>18</v>
      </c>
      <c r="E71">
        <v>1.46</v>
      </c>
      <c r="F71">
        <v>2.6</v>
      </c>
      <c r="G71" s="8">
        <f>E71*60/F71</f>
        <v>33.692307692307686</v>
      </c>
    </row>
    <row r="72" spans="1:7" x14ac:dyDescent="0.25">
      <c r="A72" s="5">
        <v>45808.302083333336</v>
      </c>
      <c r="B72">
        <v>13</v>
      </c>
      <c r="C72" t="s">
        <v>18</v>
      </c>
      <c r="D72" t="s">
        <v>19</v>
      </c>
      <c r="E72">
        <v>1.52</v>
      </c>
      <c r="F72">
        <v>2.73</v>
      </c>
      <c r="G72" s="8">
        <f>E72*60/F72</f>
        <v>33.406593406593409</v>
      </c>
    </row>
    <row r="73" spans="1:7" x14ac:dyDescent="0.25">
      <c r="A73" s="5">
        <v>45808.302083333336</v>
      </c>
      <c r="B73">
        <v>14</v>
      </c>
      <c r="C73" t="s">
        <v>19</v>
      </c>
      <c r="D73" t="s">
        <v>20</v>
      </c>
      <c r="E73">
        <v>1.51</v>
      </c>
      <c r="F73">
        <v>2.88</v>
      </c>
      <c r="G73" s="8">
        <f>E73*60/F73</f>
        <v>31.458333333333332</v>
      </c>
    </row>
    <row r="74" spans="1:7" x14ac:dyDescent="0.25">
      <c r="A74" s="5">
        <v>45808.302083333336</v>
      </c>
      <c r="B74">
        <v>15</v>
      </c>
      <c r="C74" t="s">
        <v>20</v>
      </c>
      <c r="D74" t="s">
        <v>21</v>
      </c>
      <c r="E74">
        <v>1.47</v>
      </c>
      <c r="F74">
        <v>1.92</v>
      </c>
      <c r="G74" s="8">
        <f>E74*60/F74</f>
        <v>45.9375</v>
      </c>
    </row>
    <row r="75" spans="1:7" x14ac:dyDescent="0.25">
      <c r="A75" s="5">
        <v>45808.302083333336</v>
      </c>
      <c r="B75">
        <v>16</v>
      </c>
      <c r="C75" t="s">
        <v>21</v>
      </c>
      <c r="D75" t="s">
        <v>22</v>
      </c>
      <c r="E75">
        <v>1.5</v>
      </c>
      <c r="F75">
        <v>1.68</v>
      </c>
      <c r="G75" s="8">
        <f>E75*60/F75</f>
        <v>53.571428571428577</v>
      </c>
    </row>
    <row r="76" spans="1:7" x14ac:dyDescent="0.25">
      <c r="A76" s="5">
        <v>45808.302083333336</v>
      </c>
      <c r="B76">
        <v>17</v>
      </c>
      <c r="C76" t="s">
        <v>22</v>
      </c>
      <c r="D76" t="s">
        <v>23</v>
      </c>
      <c r="E76">
        <v>1.51</v>
      </c>
      <c r="F76">
        <v>2.2999999999999998</v>
      </c>
      <c r="G76" s="8">
        <f>E76*60/F76</f>
        <v>39.391304347826086</v>
      </c>
    </row>
    <row r="77" spans="1:7" x14ac:dyDescent="0.25">
      <c r="A77" s="5">
        <v>45808.302083333336</v>
      </c>
      <c r="B77">
        <v>18</v>
      </c>
      <c r="C77" t="s">
        <v>23</v>
      </c>
      <c r="D77" t="s">
        <v>24</v>
      </c>
      <c r="E77">
        <v>1.51</v>
      </c>
      <c r="F77">
        <v>2.5499999999999998</v>
      </c>
      <c r="G77" s="8">
        <f>E77*60/F77</f>
        <v>35.529411764705884</v>
      </c>
    </row>
    <row r="78" spans="1:7" x14ac:dyDescent="0.25">
      <c r="A78" s="5">
        <v>45808.302083333336</v>
      </c>
      <c r="B78">
        <v>19</v>
      </c>
      <c r="C78" t="s">
        <v>25</v>
      </c>
      <c r="D78" t="s">
        <v>26</v>
      </c>
      <c r="E78">
        <v>1.5</v>
      </c>
      <c r="F78">
        <v>2.92</v>
      </c>
      <c r="G78" s="8">
        <f>E78*60/F78</f>
        <v>30.82191780821918</v>
      </c>
    </row>
    <row r="79" spans="1:7" x14ac:dyDescent="0.25">
      <c r="A79" s="5">
        <v>45808.302083333336</v>
      </c>
      <c r="B79">
        <v>20</v>
      </c>
      <c r="C79" t="s">
        <v>26</v>
      </c>
      <c r="D79" t="s">
        <v>27</v>
      </c>
      <c r="E79">
        <v>1.48</v>
      </c>
      <c r="F79">
        <v>3.18</v>
      </c>
      <c r="G79" s="8">
        <f>E79*60/F79</f>
        <v>27.924528301886792</v>
      </c>
    </row>
    <row r="80" spans="1:7" x14ac:dyDescent="0.25">
      <c r="A80" s="5">
        <v>45808.302083333336</v>
      </c>
      <c r="B80">
        <v>21</v>
      </c>
      <c r="C80" t="s">
        <v>27</v>
      </c>
      <c r="D80" t="s">
        <v>28</v>
      </c>
      <c r="E80">
        <v>1.51</v>
      </c>
      <c r="F80">
        <v>2.68</v>
      </c>
      <c r="G80" s="8">
        <f>E80*60/F80</f>
        <v>33.805970149253724</v>
      </c>
    </row>
    <row r="81" spans="1:7" x14ac:dyDescent="0.25">
      <c r="A81" s="5">
        <v>45808.302083333336</v>
      </c>
      <c r="B81">
        <v>22</v>
      </c>
      <c r="C81" t="s">
        <v>28</v>
      </c>
      <c r="D81" t="s">
        <v>29</v>
      </c>
      <c r="E81">
        <v>1.57</v>
      </c>
      <c r="F81">
        <v>2.93</v>
      </c>
      <c r="G81" s="8">
        <f>E81*60/F81</f>
        <v>32.150170648464162</v>
      </c>
    </row>
    <row r="82" spans="1:7" x14ac:dyDescent="0.25">
      <c r="A82" s="5">
        <v>45808.302083333336</v>
      </c>
      <c r="B82">
        <v>23</v>
      </c>
      <c r="C82" t="s">
        <v>29</v>
      </c>
      <c r="D82" t="s">
        <v>30</v>
      </c>
      <c r="E82">
        <v>1.43</v>
      </c>
      <c r="F82">
        <v>2.85</v>
      </c>
      <c r="G82" s="8">
        <f>E82*60/F82</f>
        <v>30.105263157894736</v>
      </c>
    </row>
    <row r="83" spans="1:7" x14ac:dyDescent="0.25">
      <c r="A83" s="5">
        <v>45808.302083333336</v>
      </c>
      <c r="B83">
        <v>24</v>
      </c>
      <c r="C83" t="s">
        <v>30</v>
      </c>
      <c r="D83" t="s">
        <v>31</v>
      </c>
      <c r="E83">
        <v>1.52</v>
      </c>
      <c r="F83">
        <v>2.9</v>
      </c>
      <c r="G83" s="8">
        <f>E83*60/F83</f>
        <v>31.448275862068968</v>
      </c>
    </row>
    <row r="84" spans="1:7" x14ac:dyDescent="0.25">
      <c r="A84" s="5">
        <v>45808.302083333336</v>
      </c>
      <c r="B84">
        <v>25</v>
      </c>
      <c r="C84" t="s">
        <v>31</v>
      </c>
      <c r="D84" t="s">
        <v>32</v>
      </c>
      <c r="E84">
        <v>1.52</v>
      </c>
      <c r="F84">
        <v>3.02</v>
      </c>
      <c r="G84" s="8">
        <f>E84*60/F84</f>
        <v>30.198675496688743</v>
      </c>
    </row>
    <row r="85" spans="1:7" x14ac:dyDescent="0.25">
      <c r="A85" s="5">
        <v>45808.302083333336</v>
      </c>
      <c r="B85">
        <v>26</v>
      </c>
      <c r="C85" t="s">
        <v>32</v>
      </c>
      <c r="D85" t="s">
        <v>33</v>
      </c>
      <c r="E85">
        <v>1.49</v>
      </c>
      <c r="F85">
        <v>3.07</v>
      </c>
      <c r="G85" s="8">
        <f>E85*60/F85</f>
        <v>29.120521172638441</v>
      </c>
    </row>
    <row r="86" spans="1:7" x14ac:dyDescent="0.25">
      <c r="A86" s="5">
        <v>45808.302083333336</v>
      </c>
      <c r="B86">
        <v>27</v>
      </c>
      <c r="C86" t="s">
        <v>33</v>
      </c>
      <c r="D86" t="s">
        <v>34</v>
      </c>
      <c r="E86">
        <v>1.53</v>
      </c>
      <c r="F86">
        <v>2.88</v>
      </c>
      <c r="G86" s="8">
        <f>E86*60/F86</f>
        <v>31.875</v>
      </c>
    </row>
    <row r="87" spans="1:7" x14ac:dyDescent="0.25">
      <c r="A87" s="5">
        <v>45808.302083333336</v>
      </c>
      <c r="B87">
        <v>28</v>
      </c>
      <c r="C87" t="s">
        <v>34</v>
      </c>
      <c r="D87" t="s">
        <v>35</v>
      </c>
      <c r="E87">
        <v>1.51</v>
      </c>
      <c r="F87">
        <v>3.47</v>
      </c>
      <c r="G87" s="8">
        <f>E87*60/F87</f>
        <v>26.109510086455327</v>
      </c>
    </row>
    <row r="88" spans="1:7" x14ac:dyDescent="0.25">
      <c r="A88" s="5">
        <v>45808.302083333336</v>
      </c>
      <c r="B88">
        <v>29</v>
      </c>
      <c r="C88" t="s">
        <v>36</v>
      </c>
      <c r="D88" t="s">
        <v>37</v>
      </c>
      <c r="E88">
        <v>1.57</v>
      </c>
      <c r="F88">
        <v>2.97</v>
      </c>
      <c r="G88" s="8">
        <f>E88*60/F88</f>
        <v>31.717171717171716</v>
      </c>
    </row>
    <row r="89" spans="1:7" x14ac:dyDescent="0.25">
      <c r="A89" s="5">
        <v>45808.302083333336</v>
      </c>
      <c r="B89">
        <v>30</v>
      </c>
      <c r="C89" t="s">
        <v>37</v>
      </c>
      <c r="D89" t="s">
        <v>38</v>
      </c>
      <c r="E89">
        <v>1.57</v>
      </c>
      <c r="F89">
        <v>3.35</v>
      </c>
      <c r="G89" s="8">
        <f>E89*60/F89</f>
        <v>28.119402985074625</v>
      </c>
    </row>
    <row r="90" spans="1:7" x14ac:dyDescent="0.25">
      <c r="A90" s="5">
        <v>45808.302083333336</v>
      </c>
      <c r="B90">
        <v>31</v>
      </c>
      <c r="C90" t="s">
        <v>38</v>
      </c>
      <c r="D90" t="s">
        <v>39</v>
      </c>
      <c r="E90">
        <v>1.52</v>
      </c>
      <c r="F90">
        <v>2.37</v>
      </c>
      <c r="G90" s="8">
        <f>E90*60/F90</f>
        <v>38.481012658227847</v>
      </c>
    </row>
    <row r="91" spans="1:7" x14ac:dyDescent="0.25">
      <c r="A91" s="5">
        <v>45808.302083333336</v>
      </c>
      <c r="B91">
        <v>32</v>
      </c>
      <c r="C91" t="s">
        <v>39</v>
      </c>
      <c r="D91" t="s">
        <v>40</v>
      </c>
      <c r="E91">
        <v>1.5</v>
      </c>
      <c r="F91">
        <v>1.62</v>
      </c>
      <c r="G91" s="8">
        <f>E91*60/F91</f>
        <v>55.55555555555555</v>
      </c>
    </row>
    <row r="92" spans="1:7" x14ac:dyDescent="0.25">
      <c r="A92" s="5">
        <v>45808.302083333336</v>
      </c>
      <c r="B92">
        <v>33</v>
      </c>
      <c r="C92" t="s">
        <v>40</v>
      </c>
      <c r="D92" t="s">
        <v>41</v>
      </c>
      <c r="E92">
        <v>1.51</v>
      </c>
      <c r="F92">
        <v>1.63</v>
      </c>
      <c r="G92" s="8">
        <f>E92*60/F92</f>
        <v>55.582822085889568</v>
      </c>
    </row>
    <row r="93" spans="1:7" x14ac:dyDescent="0.25">
      <c r="A93" s="5">
        <v>45808.302083333336</v>
      </c>
      <c r="B93">
        <v>34</v>
      </c>
      <c r="C93" t="s">
        <v>41</v>
      </c>
      <c r="D93" t="s">
        <v>42</v>
      </c>
      <c r="E93">
        <v>1.5</v>
      </c>
      <c r="F93">
        <v>1.65</v>
      </c>
      <c r="G93" s="8">
        <f>E93*60/F93</f>
        <v>54.545454545454547</v>
      </c>
    </row>
    <row r="94" spans="1:7" x14ac:dyDescent="0.25">
      <c r="A94" s="5">
        <v>45808.302083333336</v>
      </c>
      <c r="B94">
        <v>35</v>
      </c>
      <c r="C94" t="s">
        <v>43</v>
      </c>
      <c r="D94" t="s">
        <v>44</v>
      </c>
      <c r="E94">
        <v>1.55</v>
      </c>
      <c r="F94">
        <v>3.17</v>
      </c>
      <c r="G94" s="8">
        <f>E94*60/F94</f>
        <v>29.337539432176658</v>
      </c>
    </row>
    <row r="95" spans="1:7" x14ac:dyDescent="0.25">
      <c r="A95" s="5">
        <v>45808.302083333336</v>
      </c>
      <c r="B95">
        <v>36</v>
      </c>
      <c r="C95" t="s">
        <v>44</v>
      </c>
      <c r="D95" t="s">
        <v>45</v>
      </c>
      <c r="E95">
        <v>1.5</v>
      </c>
      <c r="F95">
        <v>2.5499999999999998</v>
      </c>
      <c r="G95" s="8">
        <f>E95*60/F95</f>
        <v>35.294117647058826</v>
      </c>
    </row>
    <row r="96" spans="1:7" x14ac:dyDescent="0.25">
      <c r="A96" s="5">
        <v>45808.302083333336</v>
      </c>
      <c r="B96">
        <v>37</v>
      </c>
      <c r="C96" t="s">
        <v>45</v>
      </c>
      <c r="D96" t="s">
        <v>46</v>
      </c>
      <c r="E96">
        <v>1.38</v>
      </c>
      <c r="F96">
        <v>3.18</v>
      </c>
      <c r="G96" s="8">
        <f>E96*60/F96</f>
        <v>26.037735849056602</v>
      </c>
    </row>
    <row r="97" spans="1:7" x14ac:dyDescent="0.25">
      <c r="A97" s="5">
        <v>45808.302083333336</v>
      </c>
      <c r="B97">
        <v>38</v>
      </c>
      <c r="C97" t="s">
        <v>46</v>
      </c>
      <c r="D97" t="s">
        <v>47</v>
      </c>
      <c r="E97">
        <v>1.61</v>
      </c>
      <c r="F97">
        <v>3.28</v>
      </c>
      <c r="G97" s="8">
        <f>E97*60/F97</f>
        <v>29.451219512195127</v>
      </c>
    </row>
    <row r="98" spans="1:7" x14ac:dyDescent="0.25">
      <c r="A98" s="5">
        <v>45808.302083333336</v>
      </c>
      <c r="B98">
        <v>39</v>
      </c>
      <c r="C98" t="s">
        <v>47</v>
      </c>
      <c r="D98" t="s">
        <v>48</v>
      </c>
      <c r="E98">
        <v>1.55</v>
      </c>
      <c r="F98">
        <v>3</v>
      </c>
      <c r="G98" s="8">
        <f>E98*60/F98</f>
        <v>31</v>
      </c>
    </row>
    <row r="99" spans="1:7" x14ac:dyDescent="0.25">
      <c r="A99" s="5">
        <v>45808.302083333336</v>
      </c>
      <c r="B99">
        <v>40</v>
      </c>
      <c r="C99" t="s">
        <v>48</v>
      </c>
      <c r="D99" t="s">
        <v>49</v>
      </c>
      <c r="E99">
        <v>1.39</v>
      </c>
      <c r="F99">
        <v>2.58</v>
      </c>
      <c r="G99" s="8">
        <f>E99*60/F99</f>
        <v>32.325581395348834</v>
      </c>
    </row>
    <row r="100" spans="1:7" x14ac:dyDescent="0.25">
      <c r="A100" s="5">
        <v>45808.302083333336</v>
      </c>
      <c r="B100">
        <v>41</v>
      </c>
      <c r="C100" t="s">
        <v>50</v>
      </c>
      <c r="D100" t="s">
        <v>51</v>
      </c>
      <c r="E100">
        <v>1.56</v>
      </c>
      <c r="F100">
        <v>3.27</v>
      </c>
      <c r="G100" s="8">
        <f>E100*60/F100</f>
        <v>28.623853211009177</v>
      </c>
    </row>
    <row r="101" spans="1:7" x14ac:dyDescent="0.25">
      <c r="A101" s="5">
        <v>45808.302083333336</v>
      </c>
      <c r="B101">
        <v>42</v>
      </c>
      <c r="C101" t="s">
        <v>51</v>
      </c>
      <c r="D101" t="s">
        <v>52</v>
      </c>
      <c r="E101">
        <v>1.56</v>
      </c>
      <c r="F101">
        <v>3.23</v>
      </c>
      <c r="G101" s="8">
        <f>E101*60/F101</f>
        <v>28.978328173374617</v>
      </c>
    </row>
    <row r="102" spans="1:7" x14ac:dyDescent="0.25">
      <c r="A102" s="5">
        <v>45808.302083333336</v>
      </c>
      <c r="B102">
        <v>43</v>
      </c>
      <c r="C102" t="s">
        <v>52</v>
      </c>
      <c r="D102" t="s">
        <v>53</v>
      </c>
      <c r="E102">
        <v>1.51</v>
      </c>
      <c r="F102">
        <v>2.92</v>
      </c>
      <c r="G102" s="8">
        <f>E102*60/F102</f>
        <v>31.027397260273972</v>
      </c>
    </row>
    <row r="103" spans="1:7" x14ac:dyDescent="0.25">
      <c r="A103" s="5">
        <v>45808.302083333336</v>
      </c>
      <c r="B103">
        <v>44</v>
      </c>
      <c r="C103" t="s">
        <v>54</v>
      </c>
      <c r="D103" t="s">
        <v>55</v>
      </c>
      <c r="E103">
        <v>1.51</v>
      </c>
      <c r="F103">
        <v>3.68</v>
      </c>
      <c r="G103" s="8">
        <f>E103*60/F103</f>
        <v>24.619565217391301</v>
      </c>
    </row>
    <row r="104" spans="1:7" x14ac:dyDescent="0.25">
      <c r="A104" s="5">
        <v>45808.302083333336</v>
      </c>
      <c r="B104">
        <v>45</v>
      </c>
      <c r="C104" t="s">
        <v>55</v>
      </c>
      <c r="D104" t="s">
        <v>56</v>
      </c>
      <c r="E104">
        <v>1.49</v>
      </c>
      <c r="F104">
        <v>2.87</v>
      </c>
      <c r="G104" s="8">
        <f>E104*60/F104</f>
        <v>31.149825783972126</v>
      </c>
    </row>
    <row r="105" spans="1:7" x14ac:dyDescent="0.25">
      <c r="A105" s="5">
        <v>45808.302083333336</v>
      </c>
      <c r="B105">
        <v>46</v>
      </c>
      <c r="C105" t="s">
        <v>56</v>
      </c>
      <c r="D105" t="s">
        <v>57</v>
      </c>
      <c r="E105">
        <v>1.52</v>
      </c>
      <c r="F105">
        <v>3.38</v>
      </c>
      <c r="G105" s="8">
        <f>E105*60/F105</f>
        <v>26.982248520710062</v>
      </c>
    </row>
    <row r="106" spans="1:7" x14ac:dyDescent="0.25">
      <c r="A106" s="5">
        <v>45808.302083333336</v>
      </c>
      <c r="B106">
        <v>47</v>
      </c>
      <c r="C106" t="s">
        <v>58</v>
      </c>
      <c r="D106" t="s">
        <v>59</v>
      </c>
      <c r="E106">
        <v>1.52</v>
      </c>
      <c r="F106">
        <v>3.23</v>
      </c>
      <c r="G106" s="8">
        <f>E106*60/F106</f>
        <v>28.235294117647062</v>
      </c>
    </row>
    <row r="107" spans="1:7" x14ac:dyDescent="0.25">
      <c r="A107" s="5">
        <v>45808.302083333336</v>
      </c>
      <c r="B107">
        <v>48</v>
      </c>
      <c r="C107" t="s">
        <v>59</v>
      </c>
      <c r="D107" t="s">
        <v>60</v>
      </c>
      <c r="E107">
        <v>1.5</v>
      </c>
      <c r="F107">
        <v>3.07</v>
      </c>
      <c r="G107" s="8">
        <f>E107*60/F107</f>
        <v>29.31596091205212</v>
      </c>
    </row>
    <row r="108" spans="1:7" x14ac:dyDescent="0.25">
      <c r="A108" s="5">
        <v>45808.302083333336</v>
      </c>
      <c r="B108">
        <v>49</v>
      </c>
      <c r="C108" t="s">
        <v>60</v>
      </c>
      <c r="D108" t="s">
        <v>61</v>
      </c>
      <c r="E108">
        <v>1.54</v>
      </c>
      <c r="F108">
        <v>3.58</v>
      </c>
      <c r="G108" s="8">
        <f>E108*60/F108</f>
        <v>25.81005586592179</v>
      </c>
    </row>
    <row r="109" spans="1:7" x14ac:dyDescent="0.25">
      <c r="A109" s="5">
        <v>45808.302083333336</v>
      </c>
      <c r="B109">
        <v>50</v>
      </c>
      <c r="C109" t="s">
        <v>62</v>
      </c>
      <c r="D109" t="s">
        <v>63</v>
      </c>
      <c r="E109">
        <v>1.38</v>
      </c>
      <c r="F109">
        <v>2.73</v>
      </c>
      <c r="G109" s="8">
        <f>E109*60/F109</f>
        <v>30.329670329670328</v>
      </c>
    </row>
    <row r="110" spans="1:7" x14ac:dyDescent="0.25">
      <c r="A110" s="5">
        <v>45808.302083333336</v>
      </c>
      <c r="B110">
        <v>51</v>
      </c>
      <c r="C110" t="s">
        <v>63</v>
      </c>
      <c r="D110" t="s">
        <v>64</v>
      </c>
      <c r="E110">
        <v>2.79</v>
      </c>
      <c r="F110">
        <v>4.7300000000000004</v>
      </c>
      <c r="G110" s="8">
        <f>E110*60/F110</f>
        <v>35.391120507399577</v>
      </c>
    </row>
    <row r="111" spans="1:7" x14ac:dyDescent="0.25">
      <c r="A111" s="5">
        <v>45808.302083333336</v>
      </c>
      <c r="B111">
        <v>52</v>
      </c>
      <c r="C111" t="s">
        <v>64</v>
      </c>
      <c r="D111" t="s">
        <v>65</v>
      </c>
      <c r="E111">
        <v>1.5</v>
      </c>
      <c r="F111">
        <v>2.65</v>
      </c>
      <c r="G111" s="8">
        <f>E111*60/F111</f>
        <v>33.962264150943398</v>
      </c>
    </row>
    <row r="112" spans="1:7" x14ac:dyDescent="0.25">
      <c r="A112" s="5">
        <v>45808.302083333336</v>
      </c>
      <c r="B112">
        <v>53</v>
      </c>
      <c r="C112" t="s">
        <v>65</v>
      </c>
      <c r="D112" t="s">
        <v>66</v>
      </c>
      <c r="E112">
        <v>1.46</v>
      </c>
      <c r="F112">
        <v>3.27</v>
      </c>
      <c r="G112" s="8">
        <f>E112*60/F112</f>
        <v>26.788990825688071</v>
      </c>
    </row>
    <row r="113" spans="1:7" x14ac:dyDescent="0.25">
      <c r="A113" s="5">
        <v>45808.302083333336</v>
      </c>
      <c r="B113">
        <v>54</v>
      </c>
      <c r="C113" t="s">
        <v>67</v>
      </c>
      <c r="D113" t="s">
        <v>68</v>
      </c>
      <c r="E113">
        <v>1.46</v>
      </c>
      <c r="F113">
        <v>2.25</v>
      </c>
      <c r="G113" s="8">
        <f>E113*60/F113</f>
        <v>38.93333333333333</v>
      </c>
    </row>
    <row r="114" spans="1:7" x14ac:dyDescent="0.25">
      <c r="A114" s="5">
        <v>45808.302083333336</v>
      </c>
      <c r="B114">
        <v>55</v>
      </c>
      <c r="C114" t="s">
        <v>68</v>
      </c>
      <c r="D114" t="s">
        <v>69</v>
      </c>
      <c r="E114">
        <v>1.5</v>
      </c>
      <c r="F114">
        <v>1.8</v>
      </c>
      <c r="G114" s="8">
        <f>E114*60/F114</f>
        <v>50</v>
      </c>
    </row>
    <row r="115" spans="1:7" x14ac:dyDescent="0.25">
      <c r="A115" s="5">
        <v>45808.302083333336</v>
      </c>
      <c r="B115">
        <v>56</v>
      </c>
      <c r="C115" t="s">
        <v>70</v>
      </c>
      <c r="D115" t="s">
        <v>71</v>
      </c>
      <c r="E115">
        <v>1.51</v>
      </c>
      <c r="F115">
        <v>3.3</v>
      </c>
      <c r="G115" s="8">
        <f>E115*60/F115</f>
        <v>27.454545454545453</v>
      </c>
    </row>
    <row r="116" spans="1:7" x14ac:dyDescent="0.25">
      <c r="A116" s="5">
        <v>45808.302083333336</v>
      </c>
      <c r="B116">
        <v>57</v>
      </c>
      <c r="C116" t="s">
        <v>71</v>
      </c>
      <c r="D116" t="s">
        <v>72</v>
      </c>
      <c r="E116">
        <v>1.52</v>
      </c>
      <c r="F116">
        <v>3.17</v>
      </c>
      <c r="G116" s="8">
        <f>E116*60/F116</f>
        <v>28.769716088328078</v>
      </c>
    </row>
    <row r="117" spans="1:7" x14ac:dyDescent="0.25">
      <c r="A117" s="5">
        <v>45808.302083333336</v>
      </c>
      <c r="B117">
        <v>58</v>
      </c>
      <c r="C117" t="s">
        <v>72</v>
      </c>
      <c r="D117" t="s">
        <v>73</v>
      </c>
      <c r="E117">
        <v>1.5</v>
      </c>
      <c r="F117">
        <v>3.15</v>
      </c>
      <c r="G117" s="8">
        <f>E117*60/F117</f>
        <v>28.571428571428573</v>
      </c>
    </row>
    <row r="118" spans="1:7" x14ac:dyDescent="0.25">
      <c r="A118" s="5">
        <v>45808.3125</v>
      </c>
      <c r="B118">
        <v>1</v>
      </c>
      <c r="C118" t="s">
        <v>6</v>
      </c>
      <c r="D118" t="s">
        <v>7</v>
      </c>
      <c r="E118">
        <v>1.53</v>
      </c>
      <c r="F118">
        <v>2.78</v>
      </c>
      <c r="G118" s="8">
        <f>E118*60/F118</f>
        <v>33.021582733812949</v>
      </c>
    </row>
    <row r="119" spans="1:7" x14ac:dyDescent="0.25">
      <c r="A119" s="5">
        <v>45808.3125</v>
      </c>
      <c r="B119">
        <v>2</v>
      </c>
      <c r="C119" t="s">
        <v>7</v>
      </c>
      <c r="D119" t="s">
        <v>8</v>
      </c>
      <c r="E119">
        <v>1.57</v>
      </c>
      <c r="F119">
        <v>3.93</v>
      </c>
      <c r="G119" s="8">
        <f>E119*60/F119</f>
        <v>23.96946564885496</v>
      </c>
    </row>
    <row r="120" spans="1:7" x14ac:dyDescent="0.25">
      <c r="A120" s="5">
        <v>45808.3125</v>
      </c>
      <c r="B120">
        <v>3</v>
      </c>
      <c r="C120" t="s">
        <v>8</v>
      </c>
      <c r="D120" t="s">
        <v>9</v>
      </c>
      <c r="E120">
        <v>1.5</v>
      </c>
      <c r="F120">
        <v>2.7</v>
      </c>
      <c r="G120" s="8">
        <f>E120*60/F120</f>
        <v>33.333333333333329</v>
      </c>
    </row>
    <row r="121" spans="1:7" x14ac:dyDescent="0.25">
      <c r="A121" s="5">
        <v>45808.3125</v>
      </c>
      <c r="B121">
        <v>4</v>
      </c>
      <c r="C121" t="s">
        <v>9</v>
      </c>
      <c r="D121" t="s">
        <v>10</v>
      </c>
      <c r="E121">
        <v>1.5</v>
      </c>
      <c r="F121">
        <v>2.5499999999999998</v>
      </c>
      <c r="G121" s="8">
        <f>E121*60/F121</f>
        <v>35.294117647058826</v>
      </c>
    </row>
    <row r="122" spans="1:7" x14ac:dyDescent="0.25">
      <c r="A122" s="5">
        <v>45808.3125</v>
      </c>
      <c r="B122">
        <v>5</v>
      </c>
      <c r="C122" t="s">
        <v>10</v>
      </c>
      <c r="D122" t="s">
        <v>11</v>
      </c>
      <c r="E122">
        <v>1.52</v>
      </c>
      <c r="F122">
        <v>2.77</v>
      </c>
      <c r="G122" s="8">
        <f>E122*60/F122</f>
        <v>32.924187725631768</v>
      </c>
    </row>
    <row r="123" spans="1:7" x14ac:dyDescent="0.25">
      <c r="A123" s="5">
        <v>45808.3125</v>
      </c>
      <c r="B123">
        <v>6</v>
      </c>
      <c r="C123" t="s">
        <v>11</v>
      </c>
      <c r="D123" t="s">
        <v>12</v>
      </c>
      <c r="E123">
        <v>1.5</v>
      </c>
      <c r="F123">
        <v>2.4300000000000002</v>
      </c>
      <c r="G123" s="8">
        <f>E123*60/F123</f>
        <v>37.037037037037038</v>
      </c>
    </row>
    <row r="124" spans="1:7" x14ac:dyDescent="0.25">
      <c r="A124" s="5">
        <v>45808.3125</v>
      </c>
      <c r="B124">
        <v>7</v>
      </c>
      <c r="C124" t="s">
        <v>12</v>
      </c>
      <c r="D124" t="s">
        <v>13</v>
      </c>
      <c r="E124">
        <v>1.54</v>
      </c>
      <c r="F124">
        <v>2.5299999999999998</v>
      </c>
      <c r="G124" s="8">
        <f>E124*60/F124</f>
        <v>36.521739130434788</v>
      </c>
    </row>
    <row r="125" spans="1:7" x14ac:dyDescent="0.25">
      <c r="A125" s="5">
        <v>45808.3125</v>
      </c>
      <c r="B125">
        <v>8</v>
      </c>
      <c r="C125" t="s">
        <v>13</v>
      </c>
      <c r="D125" t="s">
        <v>14</v>
      </c>
      <c r="E125">
        <v>1.54</v>
      </c>
      <c r="F125">
        <v>2.9</v>
      </c>
      <c r="G125" s="8">
        <f>E125*60/F125</f>
        <v>31.862068965517246</v>
      </c>
    </row>
    <row r="126" spans="1:7" x14ac:dyDescent="0.25">
      <c r="A126" s="5">
        <v>45808.3125</v>
      </c>
      <c r="B126">
        <v>9</v>
      </c>
      <c r="C126" t="s">
        <v>14</v>
      </c>
      <c r="D126" t="s">
        <v>15</v>
      </c>
      <c r="E126">
        <v>1.52</v>
      </c>
      <c r="F126">
        <v>2.72</v>
      </c>
      <c r="G126" s="8">
        <f>E126*60/F126</f>
        <v>33.529411764705884</v>
      </c>
    </row>
    <row r="127" spans="1:7" x14ac:dyDescent="0.25">
      <c r="A127" s="5">
        <v>45808.3125</v>
      </c>
      <c r="B127">
        <v>10</v>
      </c>
      <c r="C127" t="s">
        <v>15</v>
      </c>
      <c r="D127" t="s">
        <v>16</v>
      </c>
      <c r="E127">
        <v>1.5</v>
      </c>
      <c r="F127">
        <v>2.9</v>
      </c>
      <c r="G127" s="8">
        <f>E127*60/F127</f>
        <v>31.03448275862069</v>
      </c>
    </row>
    <row r="128" spans="1:7" x14ac:dyDescent="0.25">
      <c r="A128" s="5">
        <v>45808.3125</v>
      </c>
      <c r="B128">
        <v>11</v>
      </c>
      <c r="C128" t="s">
        <v>16</v>
      </c>
      <c r="D128" t="s">
        <v>17</v>
      </c>
      <c r="E128">
        <v>1.48</v>
      </c>
      <c r="F128">
        <v>2.2200000000000002</v>
      </c>
      <c r="G128" s="8">
        <f>E128*60/F128</f>
        <v>39.999999999999993</v>
      </c>
    </row>
    <row r="129" spans="1:7" x14ac:dyDescent="0.25">
      <c r="A129" s="5">
        <v>45808.3125</v>
      </c>
      <c r="B129">
        <v>12</v>
      </c>
      <c r="C129" t="s">
        <v>17</v>
      </c>
      <c r="D129" t="s">
        <v>18</v>
      </c>
      <c r="E129">
        <v>1.46</v>
      </c>
      <c r="F129">
        <v>2.8</v>
      </c>
      <c r="G129" s="8">
        <f>E129*60/F129</f>
        <v>31.285714285714285</v>
      </c>
    </row>
    <row r="130" spans="1:7" x14ac:dyDescent="0.25">
      <c r="A130" s="5">
        <v>45808.3125</v>
      </c>
      <c r="B130">
        <v>13</v>
      </c>
      <c r="C130" t="s">
        <v>18</v>
      </c>
      <c r="D130" t="s">
        <v>19</v>
      </c>
      <c r="E130">
        <v>1.52</v>
      </c>
      <c r="F130">
        <v>2.95</v>
      </c>
      <c r="G130" s="8">
        <f>E130*60/F130</f>
        <v>30.915254237288135</v>
      </c>
    </row>
    <row r="131" spans="1:7" x14ac:dyDescent="0.25">
      <c r="A131" s="5">
        <v>45808.3125</v>
      </c>
      <c r="B131">
        <v>14</v>
      </c>
      <c r="C131" t="s">
        <v>19</v>
      </c>
      <c r="D131" t="s">
        <v>20</v>
      </c>
      <c r="E131">
        <v>1.51</v>
      </c>
      <c r="F131">
        <v>2.78</v>
      </c>
      <c r="G131" s="8">
        <f>E131*60/F131</f>
        <v>32.589928057553955</v>
      </c>
    </row>
    <row r="132" spans="1:7" x14ac:dyDescent="0.25">
      <c r="A132" s="5">
        <v>45808.3125</v>
      </c>
      <c r="B132">
        <v>15</v>
      </c>
      <c r="C132" t="s">
        <v>20</v>
      </c>
      <c r="D132" t="s">
        <v>21</v>
      </c>
      <c r="E132">
        <v>1.47</v>
      </c>
      <c r="F132">
        <v>1.82</v>
      </c>
      <c r="G132" s="8">
        <f>E132*60/F132</f>
        <v>48.46153846153846</v>
      </c>
    </row>
    <row r="133" spans="1:7" x14ac:dyDescent="0.25">
      <c r="A133" s="5">
        <v>45808.3125</v>
      </c>
      <c r="B133">
        <v>16</v>
      </c>
      <c r="C133" t="s">
        <v>21</v>
      </c>
      <c r="D133" t="s">
        <v>22</v>
      </c>
      <c r="E133">
        <v>1.5</v>
      </c>
      <c r="F133">
        <v>1.7</v>
      </c>
      <c r="G133" s="8">
        <f>E133*60/F133</f>
        <v>52.941176470588239</v>
      </c>
    </row>
    <row r="134" spans="1:7" x14ac:dyDescent="0.25">
      <c r="A134" s="5">
        <v>45808.3125</v>
      </c>
      <c r="B134">
        <v>17</v>
      </c>
      <c r="C134" t="s">
        <v>22</v>
      </c>
      <c r="D134" t="s">
        <v>23</v>
      </c>
      <c r="E134">
        <v>1.51</v>
      </c>
      <c r="F134">
        <v>2.2999999999999998</v>
      </c>
      <c r="G134" s="8">
        <f>E134*60/F134</f>
        <v>39.391304347826086</v>
      </c>
    </row>
    <row r="135" spans="1:7" x14ac:dyDescent="0.25">
      <c r="A135" s="5">
        <v>45808.3125</v>
      </c>
      <c r="B135">
        <v>18</v>
      </c>
      <c r="C135" t="s">
        <v>23</v>
      </c>
      <c r="D135" t="s">
        <v>24</v>
      </c>
      <c r="E135">
        <v>1.51</v>
      </c>
      <c r="F135">
        <v>2.62</v>
      </c>
      <c r="G135" s="8">
        <f>E135*60/F135</f>
        <v>34.580152671755719</v>
      </c>
    </row>
    <row r="136" spans="1:7" x14ac:dyDescent="0.25">
      <c r="A136" s="5">
        <v>45808.3125</v>
      </c>
      <c r="B136">
        <v>19</v>
      </c>
      <c r="C136" t="s">
        <v>25</v>
      </c>
      <c r="D136" t="s">
        <v>26</v>
      </c>
      <c r="E136">
        <v>1.5</v>
      </c>
      <c r="F136">
        <v>3</v>
      </c>
      <c r="G136" s="8">
        <f>E136*60/F136</f>
        <v>30</v>
      </c>
    </row>
    <row r="137" spans="1:7" x14ac:dyDescent="0.25">
      <c r="A137" s="5">
        <v>45808.3125</v>
      </c>
      <c r="B137">
        <v>20</v>
      </c>
      <c r="C137" t="s">
        <v>26</v>
      </c>
      <c r="D137" t="s">
        <v>27</v>
      </c>
      <c r="E137">
        <v>1.48</v>
      </c>
      <c r="F137">
        <v>3.23</v>
      </c>
      <c r="G137" s="8">
        <f>E137*60/F137</f>
        <v>27.492260061919502</v>
      </c>
    </row>
    <row r="138" spans="1:7" x14ac:dyDescent="0.25">
      <c r="A138" s="5">
        <v>45808.3125</v>
      </c>
      <c r="B138">
        <v>21</v>
      </c>
      <c r="C138" t="s">
        <v>27</v>
      </c>
      <c r="D138" t="s">
        <v>28</v>
      </c>
      <c r="E138">
        <v>1.51</v>
      </c>
      <c r="F138">
        <v>2.73</v>
      </c>
      <c r="G138" s="8">
        <f>E138*60/F138</f>
        <v>33.186813186813183</v>
      </c>
    </row>
    <row r="139" spans="1:7" x14ac:dyDescent="0.25">
      <c r="A139" s="5">
        <v>45808.3125</v>
      </c>
      <c r="B139">
        <v>22</v>
      </c>
      <c r="C139" t="s">
        <v>28</v>
      </c>
      <c r="D139" t="s">
        <v>29</v>
      </c>
      <c r="E139">
        <v>1.57</v>
      </c>
      <c r="F139">
        <v>2.98</v>
      </c>
      <c r="G139" s="8">
        <f>E139*60/F139</f>
        <v>31.610738255033556</v>
      </c>
    </row>
    <row r="140" spans="1:7" x14ac:dyDescent="0.25">
      <c r="A140" s="5">
        <v>45808.3125</v>
      </c>
      <c r="B140">
        <v>23</v>
      </c>
      <c r="C140" t="s">
        <v>29</v>
      </c>
      <c r="D140" t="s">
        <v>30</v>
      </c>
      <c r="E140">
        <v>1.43</v>
      </c>
      <c r="F140">
        <v>2.97</v>
      </c>
      <c r="G140" s="8">
        <f>E140*60/F140</f>
        <v>28.888888888888886</v>
      </c>
    </row>
    <row r="141" spans="1:7" x14ac:dyDescent="0.25">
      <c r="A141" s="5">
        <v>45808.3125</v>
      </c>
      <c r="B141">
        <v>24</v>
      </c>
      <c r="C141" t="s">
        <v>30</v>
      </c>
      <c r="D141" t="s">
        <v>31</v>
      </c>
      <c r="E141">
        <v>1.52</v>
      </c>
      <c r="F141">
        <v>2.97</v>
      </c>
      <c r="G141" s="8">
        <f>E141*60/F141</f>
        <v>30.707070707070706</v>
      </c>
    </row>
    <row r="142" spans="1:7" x14ac:dyDescent="0.25">
      <c r="A142" s="5">
        <v>45808.3125</v>
      </c>
      <c r="B142">
        <v>25</v>
      </c>
      <c r="C142" t="s">
        <v>31</v>
      </c>
      <c r="D142" t="s">
        <v>32</v>
      </c>
      <c r="E142">
        <v>1.52</v>
      </c>
      <c r="F142">
        <v>3.05</v>
      </c>
      <c r="G142" s="8">
        <f>E142*60/F142</f>
        <v>29.901639344262296</v>
      </c>
    </row>
    <row r="143" spans="1:7" x14ac:dyDescent="0.25">
      <c r="A143" s="5">
        <v>45808.3125</v>
      </c>
      <c r="B143">
        <v>26</v>
      </c>
      <c r="C143" t="s">
        <v>32</v>
      </c>
      <c r="D143" t="s">
        <v>33</v>
      </c>
      <c r="E143">
        <v>1.49</v>
      </c>
      <c r="F143">
        <v>2.97</v>
      </c>
      <c r="G143" s="8">
        <f>E143*60/F143</f>
        <v>30.1010101010101</v>
      </c>
    </row>
    <row r="144" spans="1:7" x14ac:dyDescent="0.25">
      <c r="A144" s="5">
        <v>45808.3125</v>
      </c>
      <c r="B144">
        <v>27</v>
      </c>
      <c r="C144" t="s">
        <v>33</v>
      </c>
      <c r="D144" t="s">
        <v>34</v>
      </c>
      <c r="E144">
        <v>1.53</v>
      </c>
      <c r="F144">
        <v>2.93</v>
      </c>
      <c r="G144" s="8">
        <f>E144*60/F144</f>
        <v>31.331058020477812</v>
      </c>
    </row>
    <row r="145" spans="1:7" x14ac:dyDescent="0.25">
      <c r="A145" s="5">
        <v>45808.3125</v>
      </c>
      <c r="B145">
        <v>28</v>
      </c>
      <c r="C145" t="s">
        <v>34</v>
      </c>
      <c r="D145" t="s">
        <v>35</v>
      </c>
      <c r="E145">
        <v>1.51</v>
      </c>
      <c r="F145">
        <v>3.53</v>
      </c>
      <c r="G145" s="8">
        <f>E145*60/F145</f>
        <v>25.665722379603398</v>
      </c>
    </row>
    <row r="146" spans="1:7" x14ac:dyDescent="0.25">
      <c r="A146" s="5">
        <v>45808.3125</v>
      </c>
      <c r="B146">
        <v>29</v>
      </c>
      <c r="C146" t="s">
        <v>36</v>
      </c>
      <c r="D146" t="s">
        <v>37</v>
      </c>
      <c r="E146">
        <v>1.57</v>
      </c>
      <c r="F146">
        <v>3.03</v>
      </c>
      <c r="G146" s="8">
        <f>E146*60/F146</f>
        <v>31.089108910891092</v>
      </c>
    </row>
    <row r="147" spans="1:7" x14ac:dyDescent="0.25">
      <c r="A147" s="5">
        <v>45808.3125</v>
      </c>
      <c r="B147">
        <v>30</v>
      </c>
      <c r="C147" t="s">
        <v>37</v>
      </c>
      <c r="D147" t="s">
        <v>38</v>
      </c>
      <c r="E147">
        <v>1.57</v>
      </c>
      <c r="F147">
        <v>3.7</v>
      </c>
      <c r="G147" s="8">
        <f>E147*60/F147</f>
        <v>25.45945945945946</v>
      </c>
    </row>
    <row r="148" spans="1:7" x14ac:dyDescent="0.25">
      <c r="A148" s="5">
        <v>45808.3125</v>
      </c>
      <c r="B148">
        <v>31</v>
      </c>
      <c r="C148" t="s">
        <v>38</v>
      </c>
      <c r="D148" t="s">
        <v>39</v>
      </c>
      <c r="E148">
        <v>1.52</v>
      </c>
      <c r="F148">
        <v>2.4</v>
      </c>
      <c r="G148" s="8">
        <f>E148*60/F148</f>
        <v>38</v>
      </c>
    </row>
    <row r="149" spans="1:7" x14ac:dyDescent="0.25">
      <c r="A149" s="5">
        <v>45808.3125</v>
      </c>
      <c r="B149">
        <v>32</v>
      </c>
      <c r="C149" t="s">
        <v>39</v>
      </c>
      <c r="D149" t="s">
        <v>40</v>
      </c>
      <c r="E149">
        <v>1.5</v>
      </c>
      <c r="F149">
        <v>1.62</v>
      </c>
      <c r="G149" s="8">
        <f>E149*60/F149</f>
        <v>55.55555555555555</v>
      </c>
    </row>
    <row r="150" spans="1:7" x14ac:dyDescent="0.25">
      <c r="A150" s="5">
        <v>45808.3125</v>
      </c>
      <c r="B150">
        <v>33</v>
      </c>
      <c r="C150" t="s">
        <v>40</v>
      </c>
      <c r="D150" t="s">
        <v>41</v>
      </c>
      <c r="E150">
        <v>1.51</v>
      </c>
      <c r="F150">
        <v>1.6</v>
      </c>
      <c r="G150" s="8">
        <f>E150*60/F150</f>
        <v>56.624999999999993</v>
      </c>
    </row>
    <row r="151" spans="1:7" x14ac:dyDescent="0.25">
      <c r="A151" s="5">
        <v>45808.3125</v>
      </c>
      <c r="B151">
        <v>34</v>
      </c>
      <c r="C151" t="s">
        <v>41</v>
      </c>
      <c r="D151" t="s">
        <v>42</v>
      </c>
      <c r="E151">
        <v>1.5</v>
      </c>
      <c r="F151">
        <v>1.72</v>
      </c>
      <c r="G151" s="8">
        <f>E151*60/F151</f>
        <v>52.325581395348841</v>
      </c>
    </row>
    <row r="152" spans="1:7" x14ac:dyDescent="0.25">
      <c r="A152" s="5">
        <v>45808.3125</v>
      </c>
      <c r="B152">
        <v>35</v>
      </c>
      <c r="C152" t="s">
        <v>43</v>
      </c>
      <c r="D152" t="s">
        <v>44</v>
      </c>
      <c r="E152">
        <v>1.55</v>
      </c>
      <c r="F152">
        <v>3.13</v>
      </c>
      <c r="G152" s="8">
        <f>E152*60/F152</f>
        <v>29.712460063897765</v>
      </c>
    </row>
    <row r="153" spans="1:7" x14ac:dyDescent="0.25">
      <c r="A153" s="5">
        <v>45808.3125</v>
      </c>
      <c r="B153">
        <v>36</v>
      </c>
      <c r="C153" t="s">
        <v>44</v>
      </c>
      <c r="D153" t="s">
        <v>45</v>
      </c>
      <c r="E153">
        <v>1.5</v>
      </c>
      <c r="F153">
        <v>2.62</v>
      </c>
      <c r="G153" s="8">
        <f>E153*60/F153</f>
        <v>34.351145038167935</v>
      </c>
    </row>
    <row r="154" spans="1:7" x14ac:dyDescent="0.25">
      <c r="A154" s="5">
        <v>45808.3125</v>
      </c>
      <c r="B154">
        <v>37</v>
      </c>
      <c r="C154" t="s">
        <v>45</v>
      </c>
      <c r="D154" t="s">
        <v>46</v>
      </c>
      <c r="E154">
        <v>1.38</v>
      </c>
      <c r="F154">
        <v>3.17</v>
      </c>
      <c r="G154" s="8">
        <f>E154*60/F154</f>
        <v>26.119873817034701</v>
      </c>
    </row>
    <row r="155" spans="1:7" x14ac:dyDescent="0.25">
      <c r="A155" s="5">
        <v>45808.3125</v>
      </c>
      <c r="B155">
        <v>38</v>
      </c>
      <c r="C155" t="s">
        <v>46</v>
      </c>
      <c r="D155" t="s">
        <v>47</v>
      </c>
      <c r="E155">
        <v>1.61</v>
      </c>
      <c r="F155">
        <v>3.52</v>
      </c>
      <c r="G155" s="8">
        <f>E155*60/F155</f>
        <v>27.44318181818182</v>
      </c>
    </row>
    <row r="156" spans="1:7" x14ac:dyDescent="0.25">
      <c r="A156" s="5">
        <v>45808.3125</v>
      </c>
      <c r="B156">
        <v>39</v>
      </c>
      <c r="C156" t="s">
        <v>47</v>
      </c>
      <c r="D156" t="s">
        <v>48</v>
      </c>
      <c r="E156">
        <v>1.55</v>
      </c>
      <c r="F156">
        <v>3.05</v>
      </c>
      <c r="G156" s="8">
        <f>E156*60/F156</f>
        <v>30.491803278688526</v>
      </c>
    </row>
    <row r="157" spans="1:7" x14ac:dyDescent="0.25">
      <c r="A157" s="5">
        <v>45808.3125</v>
      </c>
      <c r="B157">
        <v>40</v>
      </c>
      <c r="C157" t="s">
        <v>48</v>
      </c>
      <c r="D157" t="s">
        <v>49</v>
      </c>
      <c r="E157">
        <v>1.39</v>
      </c>
      <c r="F157">
        <v>2.63</v>
      </c>
      <c r="G157" s="8">
        <f>E157*60/F157</f>
        <v>31.71102661596958</v>
      </c>
    </row>
    <row r="158" spans="1:7" x14ac:dyDescent="0.25">
      <c r="A158" s="5">
        <v>45808.3125</v>
      </c>
      <c r="B158">
        <v>41</v>
      </c>
      <c r="C158" t="s">
        <v>50</v>
      </c>
      <c r="D158" t="s">
        <v>51</v>
      </c>
      <c r="E158">
        <v>1.56</v>
      </c>
      <c r="F158">
        <v>3.07</v>
      </c>
      <c r="G158" s="8">
        <f>E158*60/F158</f>
        <v>30.488599348534205</v>
      </c>
    </row>
    <row r="159" spans="1:7" x14ac:dyDescent="0.25">
      <c r="A159" s="5">
        <v>45808.3125</v>
      </c>
      <c r="B159">
        <v>42</v>
      </c>
      <c r="C159" t="s">
        <v>51</v>
      </c>
      <c r="D159" t="s">
        <v>52</v>
      </c>
      <c r="E159">
        <v>1.56</v>
      </c>
      <c r="F159">
        <v>3.2</v>
      </c>
      <c r="G159" s="8">
        <f>E159*60/F159</f>
        <v>29.25</v>
      </c>
    </row>
    <row r="160" spans="1:7" x14ac:dyDescent="0.25">
      <c r="A160" s="5">
        <v>45808.3125</v>
      </c>
      <c r="B160">
        <v>43</v>
      </c>
      <c r="C160" t="s">
        <v>52</v>
      </c>
      <c r="D160" t="s">
        <v>53</v>
      </c>
      <c r="E160">
        <v>1.51</v>
      </c>
      <c r="F160">
        <v>2.98</v>
      </c>
      <c r="G160" s="8">
        <f>E160*60/F160</f>
        <v>30.402684563758388</v>
      </c>
    </row>
    <row r="161" spans="1:7" x14ac:dyDescent="0.25">
      <c r="A161" s="5">
        <v>45808.3125</v>
      </c>
      <c r="B161">
        <v>44</v>
      </c>
      <c r="C161" t="s">
        <v>54</v>
      </c>
      <c r="D161" t="s">
        <v>55</v>
      </c>
      <c r="E161">
        <v>1.51</v>
      </c>
      <c r="F161">
        <v>3.83</v>
      </c>
      <c r="G161" s="8">
        <f>E161*60/F161</f>
        <v>23.655352480417754</v>
      </c>
    </row>
    <row r="162" spans="1:7" x14ac:dyDescent="0.25">
      <c r="A162" s="5">
        <v>45808.3125</v>
      </c>
      <c r="B162">
        <v>45</v>
      </c>
      <c r="C162" t="s">
        <v>55</v>
      </c>
      <c r="D162" t="s">
        <v>56</v>
      </c>
      <c r="E162">
        <v>1.49</v>
      </c>
      <c r="F162">
        <v>2.98</v>
      </c>
      <c r="G162" s="8">
        <f>E162*60/F162</f>
        <v>30.000000000000004</v>
      </c>
    </row>
    <row r="163" spans="1:7" x14ac:dyDescent="0.25">
      <c r="A163" s="5">
        <v>45808.3125</v>
      </c>
      <c r="B163">
        <v>46</v>
      </c>
      <c r="C163" t="s">
        <v>56</v>
      </c>
      <c r="D163" t="s">
        <v>57</v>
      </c>
      <c r="E163">
        <v>1.52</v>
      </c>
      <c r="F163">
        <v>3.38</v>
      </c>
      <c r="G163" s="8">
        <f>E163*60/F163</f>
        <v>26.982248520710062</v>
      </c>
    </row>
    <row r="164" spans="1:7" x14ac:dyDescent="0.25">
      <c r="A164" s="5">
        <v>45808.3125</v>
      </c>
      <c r="B164">
        <v>47</v>
      </c>
      <c r="C164" t="s">
        <v>58</v>
      </c>
      <c r="D164" t="s">
        <v>59</v>
      </c>
      <c r="E164">
        <v>1.52</v>
      </c>
      <c r="F164">
        <v>3.15</v>
      </c>
      <c r="G164" s="8">
        <f>E164*60/F164</f>
        <v>28.952380952380953</v>
      </c>
    </row>
    <row r="165" spans="1:7" x14ac:dyDescent="0.25">
      <c r="A165" s="5">
        <v>45808.3125</v>
      </c>
      <c r="B165">
        <v>48</v>
      </c>
      <c r="C165" t="s">
        <v>59</v>
      </c>
      <c r="D165" t="s">
        <v>60</v>
      </c>
      <c r="E165">
        <v>1.5</v>
      </c>
      <c r="F165">
        <v>3.07</v>
      </c>
      <c r="G165" s="8">
        <f>E165*60/F165</f>
        <v>29.31596091205212</v>
      </c>
    </row>
    <row r="166" spans="1:7" x14ac:dyDescent="0.25">
      <c r="A166" s="5">
        <v>45808.3125</v>
      </c>
      <c r="B166">
        <v>49</v>
      </c>
      <c r="C166" t="s">
        <v>60</v>
      </c>
      <c r="D166" t="s">
        <v>61</v>
      </c>
      <c r="E166">
        <v>1.54</v>
      </c>
      <c r="F166">
        <v>3.63</v>
      </c>
      <c r="G166" s="8">
        <f>E166*60/F166</f>
        <v>25.454545454545457</v>
      </c>
    </row>
    <row r="167" spans="1:7" x14ac:dyDescent="0.25">
      <c r="A167" s="5">
        <v>45808.3125</v>
      </c>
      <c r="B167">
        <v>50</v>
      </c>
      <c r="C167" t="s">
        <v>62</v>
      </c>
      <c r="D167" t="s">
        <v>63</v>
      </c>
      <c r="E167">
        <v>1.38</v>
      </c>
      <c r="F167">
        <v>2.83</v>
      </c>
      <c r="G167" s="8">
        <f>E167*60/F167</f>
        <v>29.257950530035334</v>
      </c>
    </row>
    <row r="168" spans="1:7" x14ac:dyDescent="0.25">
      <c r="A168" s="5">
        <v>45808.3125</v>
      </c>
      <c r="B168">
        <v>51</v>
      </c>
      <c r="C168" t="s">
        <v>63</v>
      </c>
      <c r="D168" t="s">
        <v>64</v>
      </c>
      <c r="E168">
        <v>2.79</v>
      </c>
      <c r="F168">
        <v>5.08</v>
      </c>
      <c r="G168" s="8">
        <f>E168*60/F168</f>
        <v>32.952755905511815</v>
      </c>
    </row>
    <row r="169" spans="1:7" x14ac:dyDescent="0.25">
      <c r="A169" s="5">
        <v>45808.3125</v>
      </c>
      <c r="B169">
        <v>52</v>
      </c>
      <c r="C169" t="s">
        <v>64</v>
      </c>
      <c r="D169" t="s">
        <v>65</v>
      </c>
      <c r="E169">
        <v>1.5</v>
      </c>
      <c r="F169">
        <v>2.7</v>
      </c>
      <c r="G169" s="8">
        <f>E169*60/F169</f>
        <v>33.333333333333329</v>
      </c>
    </row>
    <row r="170" spans="1:7" x14ac:dyDescent="0.25">
      <c r="A170" s="5">
        <v>45808.3125</v>
      </c>
      <c r="B170">
        <v>53</v>
      </c>
      <c r="C170" t="s">
        <v>65</v>
      </c>
      <c r="D170" t="s">
        <v>66</v>
      </c>
      <c r="E170">
        <v>1.46</v>
      </c>
      <c r="F170">
        <v>3.33</v>
      </c>
      <c r="G170" s="8">
        <f>E170*60/F170</f>
        <v>26.306306306306304</v>
      </c>
    </row>
    <row r="171" spans="1:7" x14ac:dyDescent="0.25">
      <c r="A171" s="5">
        <v>45808.3125</v>
      </c>
      <c r="B171">
        <v>54</v>
      </c>
      <c r="C171" t="s">
        <v>67</v>
      </c>
      <c r="D171" t="s">
        <v>68</v>
      </c>
      <c r="E171">
        <v>1.46</v>
      </c>
      <c r="F171">
        <v>2.27</v>
      </c>
      <c r="G171" s="8">
        <f>E171*60/F171</f>
        <v>38.590308370044049</v>
      </c>
    </row>
    <row r="172" spans="1:7" x14ac:dyDescent="0.25">
      <c r="A172" s="5">
        <v>45808.3125</v>
      </c>
      <c r="B172">
        <v>55</v>
      </c>
      <c r="C172" t="s">
        <v>68</v>
      </c>
      <c r="D172" t="s">
        <v>69</v>
      </c>
      <c r="E172">
        <v>1.5</v>
      </c>
      <c r="F172">
        <v>1.75</v>
      </c>
      <c r="G172" s="8">
        <f>E172*60/F172</f>
        <v>51.428571428571431</v>
      </c>
    </row>
    <row r="173" spans="1:7" x14ac:dyDescent="0.25">
      <c r="A173" s="5">
        <v>45808.3125</v>
      </c>
      <c r="B173">
        <v>56</v>
      </c>
      <c r="C173" t="s">
        <v>70</v>
      </c>
      <c r="D173" t="s">
        <v>71</v>
      </c>
      <c r="E173">
        <v>1.51</v>
      </c>
      <c r="F173">
        <v>3.15</v>
      </c>
      <c r="G173" s="8">
        <f>E173*60/F173</f>
        <v>28.761904761904759</v>
      </c>
    </row>
    <row r="174" spans="1:7" x14ac:dyDescent="0.25">
      <c r="A174" s="5">
        <v>45808.3125</v>
      </c>
      <c r="B174">
        <v>57</v>
      </c>
      <c r="C174" t="s">
        <v>71</v>
      </c>
      <c r="D174" t="s">
        <v>72</v>
      </c>
      <c r="E174">
        <v>1.52</v>
      </c>
      <c r="F174">
        <v>3.22</v>
      </c>
      <c r="G174" s="8">
        <f>E174*60/F174</f>
        <v>28.322981366459626</v>
      </c>
    </row>
    <row r="175" spans="1:7" x14ac:dyDescent="0.25">
      <c r="A175" s="5">
        <v>45808.3125</v>
      </c>
      <c r="B175">
        <v>58</v>
      </c>
      <c r="C175" t="s">
        <v>72</v>
      </c>
      <c r="D175" t="s">
        <v>73</v>
      </c>
      <c r="E175">
        <v>1.5</v>
      </c>
      <c r="F175">
        <v>3.25</v>
      </c>
      <c r="G175" s="8">
        <f>E175*60/F175</f>
        <v>27.692307692307693</v>
      </c>
    </row>
    <row r="176" spans="1:7" x14ac:dyDescent="0.25">
      <c r="A176" s="5">
        <v>45808.322916666664</v>
      </c>
      <c r="B176">
        <v>1</v>
      </c>
      <c r="C176" t="s">
        <v>6</v>
      </c>
      <c r="D176" t="s">
        <v>7</v>
      </c>
      <c r="E176">
        <v>1.53</v>
      </c>
      <c r="F176">
        <v>2.75</v>
      </c>
      <c r="G176" s="8">
        <f>E176*60/F176</f>
        <v>33.381818181818183</v>
      </c>
    </row>
    <row r="177" spans="1:7" x14ac:dyDescent="0.25">
      <c r="A177" s="5">
        <v>45808.322916666664</v>
      </c>
      <c r="B177">
        <v>2</v>
      </c>
      <c r="C177" t="s">
        <v>7</v>
      </c>
      <c r="D177" t="s">
        <v>8</v>
      </c>
      <c r="E177">
        <v>1.57</v>
      </c>
      <c r="F177">
        <v>4.08</v>
      </c>
      <c r="G177" s="8">
        <f>E177*60/F177</f>
        <v>23.088235294117649</v>
      </c>
    </row>
    <row r="178" spans="1:7" x14ac:dyDescent="0.25">
      <c r="A178" s="5">
        <v>45808.322916666664</v>
      </c>
      <c r="B178">
        <v>3</v>
      </c>
      <c r="C178" t="s">
        <v>8</v>
      </c>
      <c r="D178" t="s">
        <v>9</v>
      </c>
      <c r="E178">
        <v>1.5</v>
      </c>
      <c r="F178">
        <v>2.7</v>
      </c>
      <c r="G178" s="8">
        <f>E178*60/F178</f>
        <v>33.333333333333329</v>
      </c>
    </row>
    <row r="179" spans="1:7" x14ac:dyDescent="0.25">
      <c r="A179" s="5">
        <v>45808.322916666664</v>
      </c>
      <c r="B179">
        <v>4</v>
      </c>
      <c r="C179" t="s">
        <v>9</v>
      </c>
      <c r="D179" t="s">
        <v>10</v>
      </c>
      <c r="E179">
        <v>1.5</v>
      </c>
      <c r="F179">
        <v>2.62</v>
      </c>
      <c r="G179" s="8">
        <f>E179*60/F179</f>
        <v>34.351145038167935</v>
      </c>
    </row>
    <row r="180" spans="1:7" x14ac:dyDescent="0.25">
      <c r="A180" s="5">
        <v>45808.322916666664</v>
      </c>
      <c r="B180">
        <v>5</v>
      </c>
      <c r="C180" t="s">
        <v>10</v>
      </c>
      <c r="D180" t="s">
        <v>11</v>
      </c>
      <c r="E180">
        <v>1.52</v>
      </c>
      <c r="F180">
        <v>2.78</v>
      </c>
      <c r="G180" s="8">
        <f>E180*60/F180</f>
        <v>32.805755395683455</v>
      </c>
    </row>
    <row r="181" spans="1:7" x14ac:dyDescent="0.25">
      <c r="A181" s="5">
        <v>45808.322916666664</v>
      </c>
      <c r="B181">
        <v>6</v>
      </c>
      <c r="C181" t="s">
        <v>11</v>
      </c>
      <c r="D181" t="s">
        <v>12</v>
      </c>
      <c r="E181">
        <v>1.5</v>
      </c>
      <c r="F181">
        <v>2.4500000000000002</v>
      </c>
      <c r="G181" s="8">
        <f>E181*60/F181</f>
        <v>36.734693877551017</v>
      </c>
    </row>
    <row r="182" spans="1:7" x14ac:dyDescent="0.25">
      <c r="A182" s="5">
        <v>45808.322916666664</v>
      </c>
      <c r="B182">
        <v>7</v>
      </c>
      <c r="C182" t="s">
        <v>12</v>
      </c>
      <c r="D182" t="s">
        <v>13</v>
      </c>
      <c r="E182">
        <v>1.54</v>
      </c>
      <c r="F182">
        <v>2.5499999999999998</v>
      </c>
      <c r="G182" s="8">
        <f>E182*60/F182</f>
        <v>36.235294117647065</v>
      </c>
    </row>
    <row r="183" spans="1:7" x14ac:dyDescent="0.25">
      <c r="A183" s="5">
        <v>45808.322916666664</v>
      </c>
      <c r="B183">
        <v>8</v>
      </c>
      <c r="C183" t="s">
        <v>13</v>
      </c>
      <c r="D183" t="s">
        <v>14</v>
      </c>
      <c r="E183">
        <v>1.54</v>
      </c>
      <c r="F183">
        <v>2.8</v>
      </c>
      <c r="G183" s="8">
        <f>E183*60/F183</f>
        <v>33.000000000000007</v>
      </c>
    </row>
    <row r="184" spans="1:7" x14ac:dyDescent="0.25">
      <c r="A184" s="5">
        <v>45808.322916666664</v>
      </c>
      <c r="B184">
        <v>9</v>
      </c>
      <c r="C184" t="s">
        <v>14</v>
      </c>
      <c r="D184" t="s">
        <v>15</v>
      </c>
      <c r="E184">
        <v>1.52</v>
      </c>
      <c r="F184">
        <v>2.7</v>
      </c>
      <c r="G184" s="8">
        <f>E184*60/F184</f>
        <v>33.777777777777779</v>
      </c>
    </row>
    <row r="185" spans="1:7" x14ac:dyDescent="0.25">
      <c r="A185" s="5">
        <v>45808.322916666664</v>
      </c>
      <c r="B185">
        <v>10</v>
      </c>
      <c r="C185" t="s">
        <v>15</v>
      </c>
      <c r="D185" t="s">
        <v>16</v>
      </c>
      <c r="E185">
        <v>1.5</v>
      </c>
      <c r="F185">
        <v>2.98</v>
      </c>
      <c r="G185" s="8">
        <f>E185*60/F185</f>
        <v>30.201342281879196</v>
      </c>
    </row>
    <row r="186" spans="1:7" x14ac:dyDescent="0.25">
      <c r="A186" s="5">
        <v>45808.322916666664</v>
      </c>
      <c r="B186">
        <v>11</v>
      </c>
      <c r="C186" t="s">
        <v>16</v>
      </c>
      <c r="D186" t="s">
        <v>17</v>
      </c>
      <c r="E186">
        <v>1.48</v>
      </c>
      <c r="F186">
        <v>2.2200000000000002</v>
      </c>
      <c r="G186" s="8">
        <f>E186*60/F186</f>
        <v>39.999999999999993</v>
      </c>
    </row>
    <row r="187" spans="1:7" x14ac:dyDescent="0.25">
      <c r="A187" s="5">
        <v>45808.322916666664</v>
      </c>
      <c r="B187">
        <v>12</v>
      </c>
      <c r="C187" t="s">
        <v>17</v>
      </c>
      <c r="D187" t="s">
        <v>18</v>
      </c>
      <c r="E187">
        <v>1.46</v>
      </c>
      <c r="F187">
        <v>2.8</v>
      </c>
      <c r="G187" s="8">
        <f>E187*60/F187</f>
        <v>31.285714285714285</v>
      </c>
    </row>
    <row r="188" spans="1:7" x14ac:dyDescent="0.25">
      <c r="A188" s="5">
        <v>45808.322916666664</v>
      </c>
      <c r="B188">
        <v>13</v>
      </c>
      <c r="C188" t="s">
        <v>18</v>
      </c>
      <c r="D188" t="s">
        <v>19</v>
      </c>
      <c r="E188">
        <v>1.52</v>
      </c>
      <c r="F188">
        <v>2.9</v>
      </c>
      <c r="G188" s="8">
        <f>E188*60/F188</f>
        <v>31.448275862068968</v>
      </c>
    </row>
    <row r="189" spans="1:7" x14ac:dyDescent="0.25">
      <c r="A189" s="5">
        <v>45808.322916666664</v>
      </c>
      <c r="B189">
        <v>14</v>
      </c>
      <c r="C189" t="s">
        <v>19</v>
      </c>
      <c r="D189" t="s">
        <v>20</v>
      </c>
      <c r="E189">
        <v>1.51</v>
      </c>
      <c r="F189">
        <v>2.88</v>
      </c>
      <c r="G189" s="8">
        <f>E189*60/F189</f>
        <v>31.458333333333332</v>
      </c>
    </row>
    <row r="190" spans="1:7" x14ac:dyDescent="0.25">
      <c r="A190" s="5">
        <v>45808.322916666664</v>
      </c>
      <c r="B190">
        <v>15</v>
      </c>
      <c r="C190" t="s">
        <v>20</v>
      </c>
      <c r="D190" t="s">
        <v>21</v>
      </c>
      <c r="E190">
        <v>1.47</v>
      </c>
      <c r="F190">
        <v>1.98</v>
      </c>
      <c r="G190" s="8">
        <f>E190*60/F190</f>
        <v>44.545454545454547</v>
      </c>
    </row>
    <row r="191" spans="1:7" x14ac:dyDescent="0.25">
      <c r="A191" s="5">
        <v>45808.322916666664</v>
      </c>
      <c r="B191">
        <v>16</v>
      </c>
      <c r="C191" t="s">
        <v>21</v>
      </c>
      <c r="D191" t="s">
        <v>22</v>
      </c>
      <c r="E191">
        <v>1.5</v>
      </c>
      <c r="F191">
        <v>1.72</v>
      </c>
      <c r="G191" s="8">
        <f>E191*60/F191</f>
        <v>52.325581395348841</v>
      </c>
    </row>
    <row r="192" spans="1:7" x14ac:dyDescent="0.25">
      <c r="A192" s="5">
        <v>45808.322916666664</v>
      </c>
      <c r="B192">
        <v>17</v>
      </c>
      <c r="C192" t="s">
        <v>22</v>
      </c>
      <c r="D192" t="s">
        <v>23</v>
      </c>
      <c r="E192">
        <v>1.51</v>
      </c>
      <c r="F192">
        <v>2.37</v>
      </c>
      <c r="G192" s="8">
        <f>E192*60/F192</f>
        <v>38.22784810126582</v>
      </c>
    </row>
    <row r="193" spans="1:7" x14ac:dyDescent="0.25">
      <c r="A193" s="5">
        <v>45808.322916666664</v>
      </c>
      <c r="B193">
        <v>18</v>
      </c>
      <c r="C193" t="s">
        <v>23</v>
      </c>
      <c r="D193" t="s">
        <v>24</v>
      </c>
      <c r="E193">
        <v>1.51</v>
      </c>
      <c r="F193">
        <v>2.65</v>
      </c>
      <c r="G193" s="8">
        <f>E193*60/F193</f>
        <v>34.188679245283019</v>
      </c>
    </row>
    <row r="194" spans="1:7" x14ac:dyDescent="0.25">
      <c r="A194" s="5">
        <v>45808.322916666664</v>
      </c>
      <c r="B194">
        <v>19</v>
      </c>
      <c r="C194" t="s">
        <v>25</v>
      </c>
      <c r="D194" t="s">
        <v>26</v>
      </c>
      <c r="E194">
        <v>1.5</v>
      </c>
      <c r="F194">
        <v>2.98</v>
      </c>
      <c r="G194" s="8">
        <f>E194*60/F194</f>
        <v>30.201342281879196</v>
      </c>
    </row>
    <row r="195" spans="1:7" x14ac:dyDescent="0.25">
      <c r="A195" s="5">
        <v>45808.322916666664</v>
      </c>
      <c r="B195">
        <v>20</v>
      </c>
      <c r="C195" t="s">
        <v>26</v>
      </c>
      <c r="D195" t="s">
        <v>27</v>
      </c>
      <c r="E195">
        <v>1.48</v>
      </c>
      <c r="F195">
        <v>3.13</v>
      </c>
      <c r="G195" s="8">
        <f>E195*60/F195</f>
        <v>28.370607028753994</v>
      </c>
    </row>
    <row r="196" spans="1:7" x14ac:dyDescent="0.25">
      <c r="A196" s="5">
        <v>45808.322916666664</v>
      </c>
      <c r="B196">
        <v>21</v>
      </c>
      <c r="C196" t="s">
        <v>27</v>
      </c>
      <c r="D196" t="s">
        <v>28</v>
      </c>
      <c r="E196">
        <v>1.51</v>
      </c>
      <c r="F196">
        <v>2.75</v>
      </c>
      <c r="G196" s="8">
        <f>E196*60/F196</f>
        <v>32.945454545454545</v>
      </c>
    </row>
    <row r="197" spans="1:7" x14ac:dyDescent="0.25">
      <c r="A197" s="5">
        <v>45808.322916666664</v>
      </c>
      <c r="B197">
        <v>22</v>
      </c>
      <c r="C197" t="s">
        <v>28</v>
      </c>
      <c r="D197" t="s">
        <v>29</v>
      </c>
      <c r="E197">
        <v>1.57</v>
      </c>
      <c r="F197">
        <v>3.17</v>
      </c>
      <c r="G197" s="8">
        <f>E197*60/F197</f>
        <v>29.71608832807571</v>
      </c>
    </row>
    <row r="198" spans="1:7" x14ac:dyDescent="0.25">
      <c r="A198" s="5">
        <v>45808.322916666664</v>
      </c>
      <c r="B198">
        <v>23</v>
      </c>
      <c r="C198" t="s">
        <v>29</v>
      </c>
      <c r="D198" t="s">
        <v>30</v>
      </c>
      <c r="E198">
        <v>1.43</v>
      </c>
      <c r="F198">
        <v>2.83</v>
      </c>
      <c r="G198" s="8">
        <f>E198*60/F198</f>
        <v>30.318021201413426</v>
      </c>
    </row>
    <row r="199" spans="1:7" x14ac:dyDescent="0.25">
      <c r="A199" s="5">
        <v>45808.322916666664</v>
      </c>
      <c r="B199">
        <v>24</v>
      </c>
      <c r="C199" t="s">
        <v>30</v>
      </c>
      <c r="D199" t="s">
        <v>31</v>
      </c>
      <c r="E199">
        <v>1.52</v>
      </c>
      <c r="F199">
        <v>2.82</v>
      </c>
      <c r="G199" s="8">
        <f>E199*60/F199</f>
        <v>32.340425531914896</v>
      </c>
    </row>
    <row r="200" spans="1:7" x14ac:dyDescent="0.25">
      <c r="A200" s="5">
        <v>45808.322916666664</v>
      </c>
      <c r="B200">
        <v>25</v>
      </c>
      <c r="C200" t="s">
        <v>31</v>
      </c>
      <c r="D200" t="s">
        <v>32</v>
      </c>
      <c r="E200">
        <v>1.52</v>
      </c>
      <c r="F200">
        <v>3.07</v>
      </c>
      <c r="G200" s="8">
        <f>E200*60/F200</f>
        <v>29.706840390879481</v>
      </c>
    </row>
    <row r="201" spans="1:7" x14ac:dyDescent="0.25">
      <c r="A201" s="5">
        <v>45808.322916666664</v>
      </c>
      <c r="B201">
        <v>26</v>
      </c>
      <c r="C201" t="s">
        <v>32</v>
      </c>
      <c r="D201" t="s">
        <v>33</v>
      </c>
      <c r="E201">
        <v>1.49</v>
      </c>
      <c r="F201">
        <v>2.92</v>
      </c>
      <c r="G201" s="8">
        <f>E201*60/F201</f>
        <v>30.616438356164387</v>
      </c>
    </row>
    <row r="202" spans="1:7" x14ac:dyDescent="0.25">
      <c r="A202" s="5">
        <v>45808.322916666664</v>
      </c>
      <c r="B202">
        <v>27</v>
      </c>
      <c r="C202" t="s">
        <v>33</v>
      </c>
      <c r="D202" t="s">
        <v>34</v>
      </c>
      <c r="E202">
        <v>1.53</v>
      </c>
      <c r="F202">
        <v>2.98</v>
      </c>
      <c r="G202" s="8">
        <f>E202*60/F202</f>
        <v>30.805369127516776</v>
      </c>
    </row>
    <row r="203" spans="1:7" x14ac:dyDescent="0.25">
      <c r="A203" s="5">
        <v>45808.322916666664</v>
      </c>
      <c r="B203">
        <v>28</v>
      </c>
      <c r="C203" t="s">
        <v>34</v>
      </c>
      <c r="D203" t="s">
        <v>35</v>
      </c>
      <c r="E203">
        <v>1.51</v>
      </c>
      <c r="F203">
        <v>3.5</v>
      </c>
      <c r="G203" s="8">
        <f>E203*60/F203</f>
        <v>25.885714285714283</v>
      </c>
    </row>
    <row r="204" spans="1:7" x14ac:dyDescent="0.25">
      <c r="A204" s="5">
        <v>45808.322916666664</v>
      </c>
      <c r="B204">
        <v>29</v>
      </c>
      <c r="C204" t="s">
        <v>36</v>
      </c>
      <c r="D204" t="s">
        <v>37</v>
      </c>
      <c r="E204">
        <v>1.57</v>
      </c>
      <c r="F204">
        <v>3.23</v>
      </c>
      <c r="G204" s="8">
        <f>E204*60/F204</f>
        <v>29.164086687306504</v>
      </c>
    </row>
    <row r="205" spans="1:7" x14ac:dyDescent="0.25">
      <c r="A205" s="5">
        <v>45808.322916666664</v>
      </c>
      <c r="B205">
        <v>30</v>
      </c>
      <c r="C205" t="s">
        <v>37</v>
      </c>
      <c r="D205" t="s">
        <v>38</v>
      </c>
      <c r="E205">
        <v>1.57</v>
      </c>
      <c r="F205">
        <v>3.85</v>
      </c>
      <c r="G205" s="8">
        <f>E205*60/F205</f>
        <v>24.467532467532468</v>
      </c>
    </row>
    <row r="206" spans="1:7" x14ac:dyDescent="0.25">
      <c r="A206" s="5">
        <v>45808.322916666664</v>
      </c>
      <c r="B206">
        <v>31</v>
      </c>
      <c r="C206" t="s">
        <v>38</v>
      </c>
      <c r="D206" t="s">
        <v>39</v>
      </c>
      <c r="E206">
        <v>1.52</v>
      </c>
      <c r="F206">
        <v>2.42</v>
      </c>
      <c r="G206" s="8">
        <f>E206*60/F206</f>
        <v>37.685950413223139</v>
      </c>
    </row>
    <row r="207" spans="1:7" x14ac:dyDescent="0.25">
      <c r="A207" s="5">
        <v>45808.322916666664</v>
      </c>
      <c r="B207">
        <v>32</v>
      </c>
      <c r="C207" t="s">
        <v>39</v>
      </c>
      <c r="D207" t="s">
        <v>40</v>
      </c>
      <c r="E207">
        <v>1.5</v>
      </c>
      <c r="F207">
        <v>1.6</v>
      </c>
      <c r="G207" s="8">
        <f>E207*60/F207</f>
        <v>56.25</v>
      </c>
    </row>
    <row r="208" spans="1:7" x14ac:dyDescent="0.25">
      <c r="A208" s="5">
        <v>45808.322916666664</v>
      </c>
      <c r="B208">
        <v>33</v>
      </c>
      <c r="C208" t="s">
        <v>40</v>
      </c>
      <c r="D208" t="s">
        <v>41</v>
      </c>
      <c r="E208">
        <v>1.51</v>
      </c>
      <c r="F208">
        <v>1.63</v>
      </c>
      <c r="G208" s="8">
        <f>E208*60/F208</f>
        <v>55.582822085889568</v>
      </c>
    </row>
    <row r="209" spans="1:7" x14ac:dyDescent="0.25">
      <c r="A209" s="5">
        <v>45808.322916666664</v>
      </c>
      <c r="B209">
        <v>34</v>
      </c>
      <c r="C209" t="s">
        <v>41</v>
      </c>
      <c r="D209" t="s">
        <v>42</v>
      </c>
      <c r="E209">
        <v>1.5</v>
      </c>
      <c r="F209">
        <v>1.75</v>
      </c>
      <c r="G209" s="8">
        <f>E209*60/F209</f>
        <v>51.428571428571431</v>
      </c>
    </row>
    <row r="210" spans="1:7" x14ac:dyDescent="0.25">
      <c r="A210" s="5">
        <v>45808.322916666664</v>
      </c>
      <c r="B210">
        <v>35</v>
      </c>
      <c r="C210" t="s">
        <v>43</v>
      </c>
      <c r="D210" t="s">
        <v>44</v>
      </c>
      <c r="E210">
        <v>1.55</v>
      </c>
      <c r="F210">
        <v>3.22</v>
      </c>
      <c r="G210" s="8">
        <f>E210*60/F210</f>
        <v>28.881987577639748</v>
      </c>
    </row>
    <row r="211" spans="1:7" x14ac:dyDescent="0.25">
      <c r="A211" s="5">
        <v>45808.322916666664</v>
      </c>
      <c r="B211">
        <v>36</v>
      </c>
      <c r="C211" t="s">
        <v>44</v>
      </c>
      <c r="D211" t="s">
        <v>45</v>
      </c>
      <c r="E211">
        <v>1.5</v>
      </c>
      <c r="F211">
        <v>2.58</v>
      </c>
      <c r="G211" s="8">
        <f>E211*60/F211</f>
        <v>34.883720930232556</v>
      </c>
    </row>
    <row r="212" spans="1:7" x14ac:dyDescent="0.25">
      <c r="A212" s="5">
        <v>45808.322916666664</v>
      </c>
      <c r="B212">
        <v>37</v>
      </c>
      <c r="C212" t="s">
        <v>45</v>
      </c>
      <c r="D212" t="s">
        <v>46</v>
      </c>
      <c r="E212">
        <v>1.38</v>
      </c>
      <c r="F212">
        <v>3.22</v>
      </c>
      <c r="G212" s="8">
        <f>E212*60/F212</f>
        <v>25.714285714285712</v>
      </c>
    </row>
    <row r="213" spans="1:7" x14ac:dyDescent="0.25">
      <c r="A213" s="5">
        <v>45808.322916666664</v>
      </c>
      <c r="B213">
        <v>38</v>
      </c>
      <c r="C213" t="s">
        <v>46</v>
      </c>
      <c r="D213" t="s">
        <v>47</v>
      </c>
      <c r="E213">
        <v>1.61</v>
      </c>
      <c r="F213">
        <v>3.42</v>
      </c>
      <c r="G213" s="8">
        <f>E213*60/F213</f>
        <v>28.245614035087723</v>
      </c>
    </row>
    <row r="214" spans="1:7" x14ac:dyDescent="0.25">
      <c r="A214" s="5">
        <v>45808.322916666664</v>
      </c>
      <c r="B214">
        <v>39</v>
      </c>
      <c r="C214" t="s">
        <v>47</v>
      </c>
      <c r="D214" t="s">
        <v>48</v>
      </c>
      <c r="E214">
        <v>1.55</v>
      </c>
      <c r="F214">
        <v>3.18</v>
      </c>
      <c r="G214" s="8">
        <f>E214*60/F214</f>
        <v>29.245283018867923</v>
      </c>
    </row>
    <row r="215" spans="1:7" x14ac:dyDescent="0.25">
      <c r="A215" s="5">
        <v>45808.322916666664</v>
      </c>
      <c r="B215">
        <v>40</v>
      </c>
      <c r="C215" t="s">
        <v>48</v>
      </c>
      <c r="D215" t="s">
        <v>49</v>
      </c>
      <c r="E215">
        <v>1.39</v>
      </c>
      <c r="F215">
        <v>2.67</v>
      </c>
      <c r="G215" s="8">
        <f>E215*60/F215</f>
        <v>31.235955056179773</v>
      </c>
    </row>
    <row r="216" spans="1:7" x14ac:dyDescent="0.25">
      <c r="A216" s="5">
        <v>45808.322916666664</v>
      </c>
      <c r="B216">
        <v>41</v>
      </c>
      <c r="C216" t="s">
        <v>50</v>
      </c>
      <c r="D216" t="s">
        <v>51</v>
      </c>
      <c r="E216">
        <v>1.56</v>
      </c>
      <c r="F216">
        <v>3.12</v>
      </c>
      <c r="G216" s="8">
        <f>E216*60/F216</f>
        <v>30</v>
      </c>
    </row>
    <row r="217" spans="1:7" x14ac:dyDescent="0.25">
      <c r="A217" s="5">
        <v>45808.322916666664</v>
      </c>
      <c r="B217">
        <v>42</v>
      </c>
      <c r="C217" t="s">
        <v>51</v>
      </c>
      <c r="D217" t="s">
        <v>52</v>
      </c>
      <c r="E217">
        <v>1.56</v>
      </c>
      <c r="F217">
        <v>3.32</v>
      </c>
      <c r="G217" s="8">
        <f>E217*60/F217</f>
        <v>28.192771084337352</v>
      </c>
    </row>
    <row r="218" spans="1:7" x14ac:dyDescent="0.25">
      <c r="A218" s="5">
        <v>45808.322916666664</v>
      </c>
      <c r="B218">
        <v>43</v>
      </c>
      <c r="C218" t="s">
        <v>52</v>
      </c>
      <c r="D218" t="s">
        <v>53</v>
      </c>
      <c r="E218">
        <v>1.51</v>
      </c>
      <c r="F218">
        <v>3.03</v>
      </c>
      <c r="G218" s="8">
        <f>E218*60/F218</f>
        <v>29.900990099009903</v>
      </c>
    </row>
    <row r="219" spans="1:7" x14ac:dyDescent="0.25">
      <c r="A219" s="5">
        <v>45808.322916666664</v>
      </c>
      <c r="B219">
        <v>44</v>
      </c>
      <c r="C219" t="s">
        <v>54</v>
      </c>
      <c r="D219" t="s">
        <v>55</v>
      </c>
      <c r="E219">
        <v>1.51</v>
      </c>
      <c r="F219">
        <v>3.83</v>
      </c>
      <c r="G219" s="8">
        <f>E219*60/F219</f>
        <v>23.655352480417754</v>
      </c>
    </row>
    <row r="220" spans="1:7" x14ac:dyDescent="0.25">
      <c r="A220" s="5">
        <v>45808.322916666664</v>
      </c>
      <c r="B220">
        <v>45</v>
      </c>
      <c r="C220" t="s">
        <v>55</v>
      </c>
      <c r="D220" t="s">
        <v>56</v>
      </c>
      <c r="E220">
        <v>1.49</v>
      </c>
      <c r="F220">
        <v>3.03</v>
      </c>
      <c r="G220" s="8">
        <f>E220*60/F220</f>
        <v>29.50495049504951</v>
      </c>
    </row>
    <row r="221" spans="1:7" x14ac:dyDescent="0.25">
      <c r="A221" s="5">
        <v>45808.322916666664</v>
      </c>
      <c r="B221">
        <v>46</v>
      </c>
      <c r="C221" t="s">
        <v>56</v>
      </c>
      <c r="D221" t="s">
        <v>57</v>
      </c>
      <c r="E221">
        <v>1.52</v>
      </c>
      <c r="F221">
        <v>3.53</v>
      </c>
      <c r="G221" s="8">
        <f>E221*60/F221</f>
        <v>25.835694050991503</v>
      </c>
    </row>
    <row r="222" spans="1:7" x14ac:dyDescent="0.25">
      <c r="A222" s="5">
        <v>45808.322916666664</v>
      </c>
      <c r="B222">
        <v>47</v>
      </c>
      <c r="C222" t="s">
        <v>58</v>
      </c>
      <c r="D222" t="s">
        <v>59</v>
      </c>
      <c r="E222">
        <v>1.52</v>
      </c>
      <c r="F222">
        <v>3.25</v>
      </c>
      <c r="G222" s="8">
        <f>E222*60/F222</f>
        <v>28.061538461538461</v>
      </c>
    </row>
    <row r="223" spans="1:7" x14ac:dyDescent="0.25">
      <c r="A223" s="5">
        <v>45808.322916666664</v>
      </c>
      <c r="B223">
        <v>48</v>
      </c>
      <c r="C223" t="s">
        <v>59</v>
      </c>
      <c r="D223" t="s">
        <v>60</v>
      </c>
      <c r="E223">
        <v>1.5</v>
      </c>
      <c r="F223">
        <v>3.1</v>
      </c>
      <c r="G223" s="8">
        <f>E223*60/F223</f>
        <v>29.032258064516128</v>
      </c>
    </row>
    <row r="224" spans="1:7" x14ac:dyDescent="0.25">
      <c r="A224" s="5">
        <v>45808.322916666664</v>
      </c>
      <c r="B224">
        <v>49</v>
      </c>
      <c r="C224" t="s">
        <v>60</v>
      </c>
      <c r="D224" t="s">
        <v>61</v>
      </c>
      <c r="E224">
        <v>1.54</v>
      </c>
      <c r="F224">
        <v>3.6</v>
      </c>
      <c r="G224" s="8">
        <f>E224*60/F224</f>
        <v>25.666666666666668</v>
      </c>
    </row>
    <row r="225" spans="1:7" x14ac:dyDescent="0.25">
      <c r="A225" s="5">
        <v>45808.322916666664</v>
      </c>
      <c r="B225">
        <v>50</v>
      </c>
      <c r="C225" t="s">
        <v>62</v>
      </c>
      <c r="D225" t="s">
        <v>63</v>
      </c>
      <c r="E225">
        <v>1.38</v>
      </c>
      <c r="F225">
        <v>3.02</v>
      </c>
      <c r="G225" s="8">
        <f>E225*60/F225</f>
        <v>27.417218543046356</v>
      </c>
    </row>
    <row r="226" spans="1:7" x14ac:dyDescent="0.25">
      <c r="A226" s="5">
        <v>45808.322916666664</v>
      </c>
      <c r="B226">
        <v>51</v>
      </c>
      <c r="C226" t="s">
        <v>63</v>
      </c>
      <c r="D226" t="s">
        <v>64</v>
      </c>
      <c r="E226">
        <v>2.79</v>
      </c>
      <c r="F226">
        <v>5.0199999999999996</v>
      </c>
      <c r="G226" s="8">
        <f>E226*60/F226</f>
        <v>33.346613545816737</v>
      </c>
    </row>
    <row r="227" spans="1:7" x14ac:dyDescent="0.25">
      <c r="A227" s="5">
        <v>45808.322916666664</v>
      </c>
      <c r="B227">
        <v>52</v>
      </c>
      <c r="C227" t="s">
        <v>64</v>
      </c>
      <c r="D227" t="s">
        <v>65</v>
      </c>
      <c r="E227">
        <v>1.5</v>
      </c>
      <c r="F227">
        <v>2.7</v>
      </c>
      <c r="G227" s="8">
        <f>E227*60/F227</f>
        <v>33.333333333333329</v>
      </c>
    </row>
    <row r="228" spans="1:7" x14ac:dyDescent="0.25">
      <c r="A228" s="5">
        <v>45808.322916666664</v>
      </c>
      <c r="B228">
        <v>53</v>
      </c>
      <c r="C228" t="s">
        <v>65</v>
      </c>
      <c r="D228" t="s">
        <v>66</v>
      </c>
      <c r="E228">
        <v>1.46</v>
      </c>
      <c r="F228">
        <v>3.35</v>
      </c>
      <c r="G228" s="8">
        <f>E228*60/F228</f>
        <v>26.149253731343283</v>
      </c>
    </row>
    <row r="229" spans="1:7" x14ac:dyDescent="0.25">
      <c r="A229" s="5">
        <v>45808.322916666664</v>
      </c>
      <c r="B229">
        <v>54</v>
      </c>
      <c r="C229" t="s">
        <v>67</v>
      </c>
      <c r="D229" t="s">
        <v>68</v>
      </c>
      <c r="E229">
        <v>1.46</v>
      </c>
      <c r="F229">
        <v>2.23</v>
      </c>
      <c r="G229" s="8">
        <f>E229*60/F229</f>
        <v>39.28251121076233</v>
      </c>
    </row>
    <row r="230" spans="1:7" x14ac:dyDescent="0.25">
      <c r="A230" s="5">
        <v>45808.322916666664</v>
      </c>
      <c r="B230">
        <v>55</v>
      </c>
      <c r="C230" t="s">
        <v>68</v>
      </c>
      <c r="D230" t="s">
        <v>69</v>
      </c>
      <c r="E230">
        <v>1.5</v>
      </c>
      <c r="F230">
        <v>1.75</v>
      </c>
      <c r="G230" s="8">
        <f>E230*60/F230</f>
        <v>51.428571428571431</v>
      </c>
    </row>
    <row r="231" spans="1:7" x14ac:dyDescent="0.25">
      <c r="A231" s="5">
        <v>45808.322916666664</v>
      </c>
      <c r="B231">
        <v>56</v>
      </c>
      <c r="C231" t="s">
        <v>70</v>
      </c>
      <c r="D231" t="s">
        <v>71</v>
      </c>
      <c r="E231">
        <v>1.51</v>
      </c>
      <c r="F231">
        <v>3.47</v>
      </c>
      <c r="G231" s="8">
        <f>E231*60/F231</f>
        <v>26.109510086455327</v>
      </c>
    </row>
    <row r="232" spans="1:7" x14ac:dyDescent="0.25">
      <c r="A232" s="5">
        <v>45808.322916666664</v>
      </c>
      <c r="B232">
        <v>57</v>
      </c>
      <c r="C232" t="s">
        <v>71</v>
      </c>
      <c r="D232" t="s">
        <v>72</v>
      </c>
      <c r="E232">
        <v>1.52</v>
      </c>
      <c r="F232">
        <v>3.28</v>
      </c>
      <c r="G232" s="8">
        <f>E232*60/F232</f>
        <v>27.804878048780491</v>
      </c>
    </row>
    <row r="233" spans="1:7" x14ac:dyDescent="0.25">
      <c r="A233" s="5">
        <v>45808.322916666664</v>
      </c>
      <c r="B233">
        <v>58</v>
      </c>
      <c r="C233" t="s">
        <v>72</v>
      </c>
      <c r="D233" t="s">
        <v>73</v>
      </c>
      <c r="E233">
        <v>1.5</v>
      </c>
      <c r="F233">
        <v>3.27</v>
      </c>
      <c r="G233" s="8">
        <f>E233*60/F233</f>
        <v>27.522935779816514</v>
      </c>
    </row>
    <row r="234" spans="1:7" x14ac:dyDescent="0.25">
      <c r="A234" s="5">
        <v>45808.333333333336</v>
      </c>
      <c r="B234">
        <v>1</v>
      </c>
      <c r="C234" t="s">
        <v>6</v>
      </c>
      <c r="D234" t="s">
        <v>7</v>
      </c>
      <c r="E234">
        <v>1.53</v>
      </c>
      <c r="F234">
        <v>2.82</v>
      </c>
      <c r="G234" s="8">
        <f>E234*60/F234</f>
        <v>32.553191489361701</v>
      </c>
    </row>
    <row r="235" spans="1:7" x14ac:dyDescent="0.25">
      <c r="A235" s="5">
        <v>45808.333333333336</v>
      </c>
      <c r="B235">
        <v>2</v>
      </c>
      <c r="C235" t="s">
        <v>7</v>
      </c>
      <c r="D235" t="s">
        <v>8</v>
      </c>
      <c r="E235">
        <v>1.57</v>
      </c>
      <c r="F235">
        <v>4.37</v>
      </c>
      <c r="G235" s="8">
        <f>E235*60/F235</f>
        <v>21.556064073226544</v>
      </c>
    </row>
    <row r="236" spans="1:7" x14ac:dyDescent="0.25">
      <c r="A236" s="5">
        <v>45808.333333333336</v>
      </c>
      <c r="B236">
        <v>3</v>
      </c>
      <c r="C236" t="s">
        <v>8</v>
      </c>
      <c r="D236" t="s">
        <v>9</v>
      </c>
      <c r="E236">
        <v>1.5</v>
      </c>
      <c r="F236">
        <v>2.77</v>
      </c>
      <c r="G236" s="8">
        <f>E236*60/F236</f>
        <v>32.490974729241877</v>
      </c>
    </row>
    <row r="237" spans="1:7" x14ac:dyDescent="0.25">
      <c r="A237" s="5">
        <v>45808.333333333336</v>
      </c>
      <c r="B237">
        <v>4</v>
      </c>
      <c r="C237" t="s">
        <v>9</v>
      </c>
      <c r="D237" t="s">
        <v>10</v>
      </c>
      <c r="E237">
        <v>1.5</v>
      </c>
      <c r="F237">
        <v>2.62</v>
      </c>
      <c r="G237" s="8">
        <f>E237*60/F237</f>
        <v>34.351145038167935</v>
      </c>
    </row>
    <row r="238" spans="1:7" x14ac:dyDescent="0.25">
      <c r="A238" s="5">
        <v>45808.333333333336</v>
      </c>
      <c r="B238">
        <v>5</v>
      </c>
      <c r="C238" t="s">
        <v>10</v>
      </c>
      <c r="D238" t="s">
        <v>11</v>
      </c>
      <c r="E238">
        <v>1.52</v>
      </c>
      <c r="F238">
        <v>2.87</v>
      </c>
      <c r="G238" s="8">
        <f>E238*60/F238</f>
        <v>31.777003484320556</v>
      </c>
    </row>
    <row r="239" spans="1:7" x14ac:dyDescent="0.25">
      <c r="A239" s="5">
        <v>45808.333333333336</v>
      </c>
      <c r="B239">
        <v>6</v>
      </c>
      <c r="C239" t="s">
        <v>11</v>
      </c>
      <c r="D239" t="s">
        <v>12</v>
      </c>
      <c r="E239">
        <v>1.5</v>
      </c>
      <c r="F239">
        <v>2.42</v>
      </c>
      <c r="G239" s="8">
        <f>E239*60/F239</f>
        <v>37.190082644628099</v>
      </c>
    </row>
    <row r="240" spans="1:7" x14ac:dyDescent="0.25">
      <c r="A240" s="5">
        <v>45808.333333333336</v>
      </c>
      <c r="B240">
        <v>7</v>
      </c>
      <c r="C240" t="s">
        <v>12</v>
      </c>
      <c r="D240" t="s">
        <v>13</v>
      </c>
      <c r="E240">
        <v>1.54</v>
      </c>
      <c r="F240">
        <v>2.58</v>
      </c>
      <c r="G240" s="8">
        <f>E240*60/F240</f>
        <v>35.813953488372093</v>
      </c>
    </row>
    <row r="241" spans="1:7" x14ac:dyDescent="0.25">
      <c r="A241" s="5">
        <v>45808.333333333336</v>
      </c>
      <c r="B241">
        <v>8</v>
      </c>
      <c r="C241" t="s">
        <v>13</v>
      </c>
      <c r="D241" t="s">
        <v>14</v>
      </c>
      <c r="E241">
        <v>1.54</v>
      </c>
      <c r="F241">
        <v>2.85</v>
      </c>
      <c r="G241" s="8">
        <f>E241*60/F241</f>
        <v>32.421052631578945</v>
      </c>
    </row>
    <row r="242" spans="1:7" x14ac:dyDescent="0.25">
      <c r="A242" s="5">
        <v>45808.333333333336</v>
      </c>
      <c r="B242">
        <v>9</v>
      </c>
      <c r="C242" t="s">
        <v>14</v>
      </c>
      <c r="D242" t="s">
        <v>15</v>
      </c>
      <c r="E242">
        <v>1.52</v>
      </c>
      <c r="F242">
        <v>2.8</v>
      </c>
      <c r="G242" s="8">
        <f>E242*60/F242</f>
        <v>32.571428571428577</v>
      </c>
    </row>
    <row r="243" spans="1:7" x14ac:dyDescent="0.25">
      <c r="A243" s="5">
        <v>45808.333333333336</v>
      </c>
      <c r="B243">
        <v>10</v>
      </c>
      <c r="C243" t="s">
        <v>15</v>
      </c>
      <c r="D243" t="s">
        <v>16</v>
      </c>
      <c r="E243">
        <v>1.5</v>
      </c>
      <c r="F243">
        <v>3</v>
      </c>
      <c r="G243" s="8">
        <f>E243*60/F243</f>
        <v>30</v>
      </c>
    </row>
    <row r="244" spans="1:7" x14ac:dyDescent="0.25">
      <c r="A244" s="5">
        <v>45808.333333333336</v>
      </c>
      <c r="B244">
        <v>11</v>
      </c>
      <c r="C244" t="s">
        <v>16</v>
      </c>
      <c r="D244" t="s">
        <v>17</v>
      </c>
      <c r="E244">
        <v>1.48</v>
      </c>
      <c r="F244">
        <v>2.25</v>
      </c>
      <c r="G244" s="8">
        <f>E244*60/F244</f>
        <v>39.466666666666669</v>
      </c>
    </row>
    <row r="245" spans="1:7" x14ac:dyDescent="0.25">
      <c r="A245" s="5">
        <v>45808.333333333336</v>
      </c>
      <c r="B245">
        <v>12</v>
      </c>
      <c r="C245" t="s">
        <v>17</v>
      </c>
      <c r="D245" t="s">
        <v>18</v>
      </c>
      <c r="E245">
        <v>1.46</v>
      </c>
      <c r="F245">
        <v>2.9</v>
      </c>
      <c r="G245" s="8">
        <f>E245*60/F245</f>
        <v>30.206896551724135</v>
      </c>
    </row>
    <row r="246" spans="1:7" x14ac:dyDescent="0.25">
      <c r="A246" s="5">
        <v>45808.333333333336</v>
      </c>
      <c r="B246">
        <v>13</v>
      </c>
      <c r="C246" t="s">
        <v>18</v>
      </c>
      <c r="D246" t="s">
        <v>19</v>
      </c>
      <c r="E246">
        <v>1.52</v>
      </c>
      <c r="F246">
        <v>2.83</v>
      </c>
      <c r="G246" s="8">
        <f>E246*60/F246</f>
        <v>32.226148409893995</v>
      </c>
    </row>
    <row r="247" spans="1:7" x14ac:dyDescent="0.25">
      <c r="A247" s="5">
        <v>45808.333333333336</v>
      </c>
      <c r="B247">
        <v>14</v>
      </c>
      <c r="C247" t="s">
        <v>19</v>
      </c>
      <c r="D247" t="s">
        <v>20</v>
      </c>
      <c r="E247">
        <v>1.51</v>
      </c>
      <c r="F247">
        <v>2.93</v>
      </c>
      <c r="G247" s="8">
        <f>E247*60/F247</f>
        <v>30.921501706484637</v>
      </c>
    </row>
    <row r="248" spans="1:7" x14ac:dyDescent="0.25">
      <c r="A248" s="5">
        <v>45808.333333333336</v>
      </c>
      <c r="B248">
        <v>15</v>
      </c>
      <c r="C248" t="s">
        <v>20</v>
      </c>
      <c r="D248" t="s">
        <v>21</v>
      </c>
      <c r="E248">
        <v>1.47</v>
      </c>
      <c r="F248">
        <v>1.98</v>
      </c>
      <c r="G248" s="8">
        <f>E248*60/F248</f>
        <v>44.545454545454547</v>
      </c>
    </row>
    <row r="249" spans="1:7" x14ac:dyDescent="0.25">
      <c r="A249" s="5">
        <v>45808.333333333336</v>
      </c>
      <c r="B249">
        <v>16</v>
      </c>
      <c r="C249" t="s">
        <v>21</v>
      </c>
      <c r="D249" t="s">
        <v>22</v>
      </c>
      <c r="E249">
        <v>1.5</v>
      </c>
      <c r="F249">
        <v>1.7</v>
      </c>
      <c r="G249" s="8">
        <f>E249*60/F249</f>
        <v>52.941176470588239</v>
      </c>
    </row>
    <row r="250" spans="1:7" x14ac:dyDescent="0.25">
      <c r="A250" s="5">
        <v>45808.333333333336</v>
      </c>
      <c r="B250">
        <v>17</v>
      </c>
      <c r="C250" t="s">
        <v>22</v>
      </c>
      <c r="D250" t="s">
        <v>23</v>
      </c>
      <c r="E250">
        <v>1.51</v>
      </c>
      <c r="F250">
        <v>2.37</v>
      </c>
      <c r="G250" s="8">
        <f>E250*60/F250</f>
        <v>38.22784810126582</v>
      </c>
    </row>
    <row r="251" spans="1:7" x14ac:dyDescent="0.25">
      <c r="A251" s="5">
        <v>45808.333333333336</v>
      </c>
      <c r="B251">
        <v>18</v>
      </c>
      <c r="C251" t="s">
        <v>23</v>
      </c>
      <c r="D251" t="s">
        <v>24</v>
      </c>
      <c r="E251">
        <v>1.51</v>
      </c>
      <c r="F251">
        <v>2.63</v>
      </c>
      <c r="G251" s="8">
        <f>E251*60/F251</f>
        <v>34.448669201520914</v>
      </c>
    </row>
    <row r="252" spans="1:7" x14ac:dyDescent="0.25">
      <c r="A252" s="5">
        <v>45808.333333333336</v>
      </c>
      <c r="B252">
        <v>19</v>
      </c>
      <c r="C252" t="s">
        <v>25</v>
      </c>
      <c r="D252" t="s">
        <v>26</v>
      </c>
      <c r="E252">
        <v>1.5</v>
      </c>
      <c r="F252">
        <v>3.23</v>
      </c>
      <c r="G252" s="8">
        <f>E252*60/F252</f>
        <v>27.86377708978328</v>
      </c>
    </row>
    <row r="253" spans="1:7" x14ac:dyDescent="0.25">
      <c r="A253" s="5">
        <v>45808.333333333299</v>
      </c>
      <c r="B253">
        <v>20</v>
      </c>
      <c r="C253" t="s">
        <v>26</v>
      </c>
      <c r="D253" t="s">
        <v>27</v>
      </c>
      <c r="E253">
        <v>1.48</v>
      </c>
      <c r="F253">
        <v>3.27</v>
      </c>
      <c r="G253" s="8">
        <f>E253*60/F253</f>
        <v>27.155963302752294</v>
      </c>
    </row>
    <row r="254" spans="1:7" x14ac:dyDescent="0.25">
      <c r="A254" s="5">
        <v>45808.333333333299</v>
      </c>
      <c r="B254">
        <v>21</v>
      </c>
      <c r="C254" t="s">
        <v>27</v>
      </c>
      <c r="D254" t="s">
        <v>28</v>
      </c>
      <c r="E254">
        <v>1.51</v>
      </c>
      <c r="F254">
        <v>2.67</v>
      </c>
      <c r="G254" s="8">
        <f>E254*60/F254</f>
        <v>33.932584269662918</v>
      </c>
    </row>
    <row r="255" spans="1:7" x14ac:dyDescent="0.25">
      <c r="A255" s="5">
        <v>45808.333333333299</v>
      </c>
      <c r="B255">
        <v>22</v>
      </c>
      <c r="C255" t="s">
        <v>28</v>
      </c>
      <c r="D255" t="s">
        <v>29</v>
      </c>
      <c r="E255">
        <v>1.57</v>
      </c>
      <c r="F255">
        <v>3.07</v>
      </c>
      <c r="G255" s="8">
        <f>E255*60/F255</f>
        <v>30.684039087947884</v>
      </c>
    </row>
    <row r="256" spans="1:7" x14ac:dyDescent="0.25">
      <c r="A256" s="5">
        <v>45808.333333333299</v>
      </c>
      <c r="B256">
        <v>23</v>
      </c>
      <c r="C256" t="s">
        <v>29</v>
      </c>
      <c r="D256" t="s">
        <v>30</v>
      </c>
      <c r="E256">
        <v>1.43</v>
      </c>
      <c r="F256">
        <v>2.98</v>
      </c>
      <c r="G256" s="8">
        <f>E256*60/F256</f>
        <v>28.791946308724832</v>
      </c>
    </row>
    <row r="257" spans="1:7" x14ac:dyDescent="0.25">
      <c r="A257" s="5">
        <v>45808.333333333299</v>
      </c>
      <c r="B257">
        <v>24</v>
      </c>
      <c r="C257" t="s">
        <v>30</v>
      </c>
      <c r="D257" t="s">
        <v>31</v>
      </c>
      <c r="E257">
        <v>1.52</v>
      </c>
      <c r="F257">
        <v>2.95</v>
      </c>
      <c r="G257" s="8">
        <f>E257*60/F257</f>
        <v>30.915254237288135</v>
      </c>
    </row>
    <row r="258" spans="1:7" x14ac:dyDescent="0.25">
      <c r="A258" s="5">
        <v>45808.333333333299</v>
      </c>
      <c r="B258">
        <v>25</v>
      </c>
      <c r="C258" t="s">
        <v>31</v>
      </c>
      <c r="D258" t="s">
        <v>32</v>
      </c>
      <c r="E258">
        <v>1.52</v>
      </c>
      <c r="F258">
        <v>2.98</v>
      </c>
      <c r="G258" s="8">
        <f>E258*60/F258</f>
        <v>30.604026845637584</v>
      </c>
    </row>
    <row r="259" spans="1:7" x14ac:dyDescent="0.25">
      <c r="A259" s="5">
        <v>45808.333333333299</v>
      </c>
      <c r="B259">
        <v>26</v>
      </c>
      <c r="C259" t="s">
        <v>32</v>
      </c>
      <c r="D259" t="s">
        <v>33</v>
      </c>
      <c r="E259">
        <v>1.49</v>
      </c>
      <c r="F259">
        <v>3.08</v>
      </c>
      <c r="G259" s="8">
        <f>E259*60/F259</f>
        <v>29.025974025974026</v>
      </c>
    </row>
    <row r="260" spans="1:7" x14ac:dyDescent="0.25">
      <c r="A260" s="5">
        <v>45808.333333333299</v>
      </c>
      <c r="B260">
        <v>27</v>
      </c>
      <c r="C260" t="s">
        <v>33</v>
      </c>
      <c r="D260" t="s">
        <v>34</v>
      </c>
      <c r="E260">
        <v>1.53</v>
      </c>
      <c r="F260">
        <v>3.03</v>
      </c>
      <c r="G260" s="8">
        <f>E260*60/F260</f>
        <v>30.297029702970299</v>
      </c>
    </row>
    <row r="261" spans="1:7" x14ac:dyDescent="0.25">
      <c r="A261" s="5">
        <v>45808.333333333299</v>
      </c>
      <c r="B261">
        <v>28</v>
      </c>
      <c r="C261" t="s">
        <v>34</v>
      </c>
      <c r="D261" t="s">
        <v>35</v>
      </c>
      <c r="E261">
        <v>1.51</v>
      </c>
      <c r="F261">
        <v>3.5</v>
      </c>
      <c r="G261" s="8">
        <f>E261*60/F261</f>
        <v>25.885714285714283</v>
      </c>
    </row>
    <row r="262" spans="1:7" x14ac:dyDescent="0.25">
      <c r="A262" s="5">
        <v>45808.333333333299</v>
      </c>
      <c r="B262">
        <v>29</v>
      </c>
      <c r="C262" t="s">
        <v>36</v>
      </c>
      <c r="D262" t="s">
        <v>37</v>
      </c>
      <c r="E262">
        <v>1.57</v>
      </c>
      <c r="F262">
        <v>3.18</v>
      </c>
      <c r="G262" s="8">
        <f>E262*60/F262</f>
        <v>29.622641509433961</v>
      </c>
    </row>
    <row r="263" spans="1:7" x14ac:dyDescent="0.25">
      <c r="A263" s="5">
        <v>45808.333333333299</v>
      </c>
      <c r="B263">
        <v>30</v>
      </c>
      <c r="C263" t="s">
        <v>37</v>
      </c>
      <c r="D263" t="s">
        <v>38</v>
      </c>
      <c r="E263">
        <v>1.57</v>
      </c>
      <c r="F263">
        <v>4.13</v>
      </c>
      <c r="G263" s="8">
        <f>E263*60/F263</f>
        <v>22.808716707021794</v>
      </c>
    </row>
    <row r="264" spans="1:7" x14ac:dyDescent="0.25">
      <c r="A264" s="5">
        <v>45808.333333333299</v>
      </c>
      <c r="B264">
        <v>31</v>
      </c>
      <c r="C264" t="s">
        <v>38</v>
      </c>
      <c r="D264" t="s">
        <v>39</v>
      </c>
      <c r="E264">
        <v>1.52</v>
      </c>
      <c r="F264">
        <v>2.5299999999999998</v>
      </c>
      <c r="G264" s="8">
        <f>E264*60/F264</f>
        <v>36.047430830039531</v>
      </c>
    </row>
    <row r="265" spans="1:7" x14ac:dyDescent="0.25">
      <c r="A265" s="5">
        <v>45808.333333333299</v>
      </c>
      <c r="B265">
        <v>32</v>
      </c>
      <c r="C265" t="s">
        <v>39</v>
      </c>
      <c r="D265" t="s">
        <v>40</v>
      </c>
      <c r="E265">
        <v>1.5</v>
      </c>
      <c r="F265">
        <v>1.67</v>
      </c>
      <c r="G265" s="8">
        <f>E265*60/F265</f>
        <v>53.892215568862277</v>
      </c>
    </row>
    <row r="266" spans="1:7" x14ac:dyDescent="0.25">
      <c r="A266" s="5">
        <v>45808.333333333299</v>
      </c>
      <c r="B266">
        <v>33</v>
      </c>
      <c r="C266" t="s">
        <v>40</v>
      </c>
      <c r="D266" t="s">
        <v>41</v>
      </c>
      <c r="E266">
        <v>1.51</v>
      </c>
      <c r="F266">
        <v>1.72</v>
      </c>
      <c r="G266" s="8">
        <f>E266*60/F266</f>
        <v>52.674418604651159</v>
      </c>
    </row>
    <row r="267" spans="1:7" x14ac:dyDescent="0.25">
      <c r="A267" s="5">
        <v>45808.333333333299</v>
      </c>
      <c r="B267">
        <v>34</v>
      </c>
      <c r="C267" t="s">
        <v>41</v>
      </c>
      <c r="D267" t="s">
        <v>42</v>
      </c>
      <c r="E267">
        <v>1.5</v>
      </c>
      <c r="F267">
        <v>1.73</v>
      </c>
      <c r="G267" s="8">
        <f>E267*60/F267</f>
        <v>52.02312138728324</v>
      </c>
    </row>
    <row r="268" spans="1:7" x14ac:dyDescent="0.25">
      <c r="A268" s="5">
        <v>45808.333333333299</v>
      </c>
      <c r="B268">
        <v>35</v>
      </c>
      <c r="C268" t="s">
        <v>43</v>
      </c>
      <c r="D268" t="s">
        <v>44</v>
      </c>
      <c r="E268">
        <v>1.55</v>
      </c>
      <c r="F268">
        <v>3.17</v>
      </c>
      <c r="G268" s="8">
        <f>E268*60/F268</f>
        <v>29.337539432176658</v>
      </c>
    </row>
    <row r="269" spans="1:7" x14ac:dyDescent="0.25">
      <c r="A269" s="5">
        <v>45808.333333333299</v>
      </c>
      <c r="B269">
        <v>36</v>
      </c>
      <c r="C269" t="s">
        <v>44</v>
      </c>
      <c r="D269" t="s">
        <v>45</v>
      </c>
      <c r="E269">
        <v>1.5</v>
      </c>
      <c r="F269">
        <v>2.58</v>
      </c>
      <c r="G269" s="8">
        <f>E269*60/F269</f>
        <v>34.883720930232556</v>
      </c>
    </row>
    <row r="270" spans="1:7" x14ac:dyDescent="0.25">
      <c r="A270" s="5">
        <v>45808.333333333299</v>
      </c>
      <c r="B270">
        <v>37</v>
      </c>
      <c r="C270" t="s">
        <v>45</v>
      </c>
      <c r="D270" t="s">
        <v>46</v>
      </c>
      <c r="E270">
        <v>1.38</v>
      </c>
      <c r="F270">
        <v>3.33</v>
      </c>
      <c r="G270" s="8">
        <f>E270*60/F270</f>
        <v>24.864864864864863</v>
      </c>
    </row>
    <row r="271" spans="1:7" x14ac:dyDescent="0.25">
      <c r="A271" s="5">
        <v>45808.333333333299</v>
      </c>
      <c r="B271">
        <v>38</v>
      </c>
      <c r="C271" t="s">
        <v>46</v>
      </c>
      <c r="D271" t="s">
        <v>47</v>
      </c>
      <c r="E271">
        <v>1.61</v>
      </c>
      <c r="F271">
        <v>3.62</v>
      </c>
      <c r="G271" s="8">
        <f>E271*60/F271</f>
        <v>26.685082872928177</v>
      </c>
    </row>
    <row r="272" spans="1:7" x14ac:dyDescent="0.25">
      <c r="A272" s="5">
        <v>45808.333333333299</v>
      </c>
      <c r="B272">
        <v>39</v>
      </c>
      <c r="C272" t="s">
        <v>47</v>
      </c>
      <c r="D272" t="s">
        <v>48</v>
      </c>
      <c r="E272">
        <v>1.55</v>
      </c>
      <c r="F272">
        <v>3.2</v>
      </c>
      <c r="G272" s="8">
        <f>E272*60/F272</f>
        <v>29.0625</v>
      </c>
    </row>
    <row r="273" spans="1:7" x14ac:dyDescent="0.25">
      <c r="A273" s="5">
        <v>45808.333333333299</v>
      </c>
      <c r="B273">
        <v>40</v>
      </c>
      <c r="C273" t="s">
        <v>48</v>
      </c>
      <c r="D273" t="s">
        <v>49</v>
      </c>
      <c r="E273">
        <v>1.39</v>
      </c>
      <c r="F273">
        <v>2.7</v>
      </c>
      <c r="G273" s="8">
        <f>E273*60/F273</f>
        <v>30.888888888888882</v>
      </c>
    </row>
    <row r="274" spans="1:7" x14ac:dyDescent="0.25">
      <c r="A274" s="5">
        <v>45808.333333333299</v>
      </c>
      <c r="B274">
        <v>41</v>
      </c>
      <c r="C274" t="s">
        <v>50</v>
      </c>
      <c r="D274" t="s">
        <v>51</v>
      </c>
      <c r="E274">
        <v>1.56</v>
      </c>
      <c r="F274">
        <v>3.17</v>
      </c>
      <c r="G274" s="8">
        <f>E274*60/F274</f>
        <v>29.526813880126188</v>
      </c>
    </row>
    <row r="275" spans="1:7" x14ac:dyDescent="0.25">
      <c r="A275" s="5">
        <v>45808.333333333299</v>
      </c>
      <c r="B275">
        <v>42</v>
      </c>
      <c r="C275" t="s">
        <v>51</v>
      </c>
      <c r="D275" t="s">
        <v>52</v>
      </c>
      <c r="E275">
        <v>1.56</v>
      </c>
      <c r="F275">
        <v>3.42</v>
      </c>
      <c r="G275" s="8">
        <f>E275*60/F275</f>
        <v>27.368421052631582</v>
      </c>
    </row>
    <row r="276" spans="1:7" x14ac:dyDescent="0.25">
      <c r="A276" s="5">
        <v>45808.333333333299</v>
      </c>
      <c r="B276">
        <v>43</v>
      </c>
      <c r="C276" t="s">
        <v>52</v>
      </c>
      <c r="D276" t="s">
        <v>53</v>
      </c>
      <c r="E276">
        <v>1.51</v>
      </c>
      <c r="F276">
        <v>3.05</v>
      </c>
      <c r="G276" s="8">
        <f>E276*60/F276</f>
        <v>29.704918032786885</v>
      </c>
    </row>
    <row r="277" spans="1:7" x14ac:dyDescent="0.25">
      <c r="A277" s="5">
        <v>45808.333333333299</v>
      </c>
      <c r="B277">
        <v>44</v>
      </c>
      <c r="C277" t="s">
        <v>54</v>
      </c>
      <c r="D277" t="s">
        <v>55</v>
      </c>
      <c r="E277">
        <v>1.51</v>
      </c>
      <c r="F277">
        <v>3.9</v>
      </c>
      <c r="G277" s="8">
        <f>E277*60/F277</f>
        <v>23.23076923076923</v>
      </c>
    </row>
    <row r="278" spans="1:7" x14ac:dyDescent="0.25">
      <c r="A278" s="5">
        <v>45808.333333333299</v>
      </c>
      <c r="B278">
        <v>45</v>
      </c>
      <c r="C278" t="s">
        <v>55</v>
      </c>
      <c r="D278" t="s">
        <v>56</v>
      </c>
      <c r="E278">
        <v>1.49</v>
      </c>
      <c r="F278">
        <v>2.95</v>
      </c>
      <c r="G278" s="8">
        <f>E278*60/F278</f>
        <v>30.305084745762713</v>
      </c>
    </row>
    <row r="279" spans="1:7" x14ac:dyDescent="0.25">
      <c r="A279" s="5">
        <v>45808.333333333299</v>
      </c>
      <c r="B279">
        <v>46</v>
      </c>
      <c r="C279" t="s">
        <v>56</v>
      </c>
      <c r="D279" t="s">
        <v>57</v>
      </c>
      <c r="E279">
        <v>1.52</v>
      </c>
      <c r="F279">
        <v>3.43</v>
      </c>
      <c r="G279" s="8">
        <f>E279*60/F279</f>
        <v>26.588921282798832</v>
      </c>
    </row>
    <row r="280" spans="1:7" x14ac:dyDescent="0.25">
      <c r="A280" s="5">
        <v>45808.333333333299</v>
      </c>
      <c r="B280">
        <v>47</v>
      </c>
      <c r="C280" t="s">
        <v>58</v>
      </c>
      <c r="D280" t="s">
        <v>59</v>
      </c>
      <c r="E280">
        <v>1.52</v>
      </c>
      <c r="F280">
        <v>3.4</v>
      </c>
      <c r="G280" s="8">
        <f>E280*60/F280</f>
        <v>26.823529411764707</v>
      </c>
    </row>
    <row r="281" spans="1:7" x14ac:dyDescent="0.25">
      <c r="A281" s="5">
        <v>45808.333333333299</v>
      </c>
      <c r="B281">
        <v>48</v>
      </c>
      <c r="C281" t="s">
        <v>59</v>
      </c>
      <c r="D281" t="s">
        <v>60</v>
      </c>
      <c r="E281">
        <v>1.5</v>
      </c>
      <c r="F281">
        <v>3.27</v>
      </c>
      <c r="G281" s="8">
        <f>E281*60/F281</f>
        <v>27.522935779816514</v>
      </c>
    </row>
    <row r="282" spans="1:7" x14ac:dyDescent="0.25">
      <c r="A282" s="5">
        <v>45808.333333333299</v>
      </c>
      <c r="B282">
        <v>49</v>
      </c>
      <c r="C282" t="s">
        <v>60</v>
      </c>
      <c r="D282" t="s">
        <v>61</v>
      </c>
      <c r="E282">
        <v>1.54</v>
      </c>
      <c r="F282">
        <v>3.65</v>
      </c>
      <c r="G282" s="8">
        <f>E282*60/F282</f>
        <v>25.315068493150687</v>
      </c>
    </row>
    <row r="283" spans="1:7" x14ac:dyDescent="0.25">
      <c r="A283" s="5">
        <v>45808.333333333299</v>
      </c>
      <c r="B283">
        <v>50</v>
      </c>
      <c r="C283" t="s">
        <v>62</v>
      </c>
      <c r="D283" t="s">
        <v>63</v>
      </c>
      <c r="E283">
        <v>1.38</v>
      </c>
      <c r="F283">
        <v>2.95</v>
      </c>
      <c r="G283" s="8">
        <f>E283*60/F283</f>
        <v>28.067796610169488</v>
      </c>
    </row>
    <row r="284" spans="1:7" x14ac:dyDescent="0.25">
      <c r="A284" s="5">
        <v>45808.333333333299</v>
      </c>
      <c r="B284">
        <v>51</v>
      </c>
      <c r="C284" t="s">
        <v>63</v>
      </c>
      <c r="D284" t="s">
        <v>64</v>
      </c>
      <c r="E284">
        <v>2.79</v>
      </c>
      <c r="F284">
        <v>5.17</v>
      </c>
      <c r="G284" s="8">
        <f>E284*60/F284</f>
        <v>32.379110251450676</v>
      </c>
    </row>
    <row r="285" spans="1:7" x14ac:dyDescent="0.25">
      <c r="A285" s="5">
        <v>45808.333333333299</v>
      </c>
      <c r="B285">
        <v>52</v>
      </c>
      <c r="C285" t="s">
        <v>64</v>
      </c>
      <c r="D285" t="s">
        <v>65</v>
      </c>
      <c r="E285">
        <v>1.5</v>
      </c>
      <c r="F285">
        <v>2.7</v>
      </c>
      <c r="G285" s="8">
        <f>E285*60/F285</f>
        <v>33.333333333333329</v>
      </c>
    </row>
    <row r="286" spans="1:7" x14ac:dyDescent="0.25">
      <c r="A286" s="5">
        <v>45808.333333333299</v>
      </c>
      <c r="B286">
        <v>53</v>
      </c>
      <c r="C286" t="s">
        <v>65</v>
      </c>
      <c r="D286" t="s">
        <v>66</v>
      </c>
      <c r="E286">
        <v>1.46</v>
      </c>
      <c r="F286">
        <v>3.35</v>
      </c>
      <c r="G286" s="8">
        <f>E286*60/F286</f>
        <v>26.149253731343283</v>
      </c>
    </row>
    <row r="287" spans="1:7" x14ac:dyDescent="0.25">
      <c r="A287" s="5">
        <v>45808.333333333299</v>
      </c>
      <c r="B287">
        <v>54</v>
      </c>
      <c r="C287" t="s">
        <v>67</v>
      </c>
      <c r="D287" t="s">
        <v>68</v>
      </c>
      <c r="E287">
        <v>1.46</v>
      </c>
      <c r="F287">
        <v>2.4300000000000002</v>
      </c>
      <c r="G287" s="8">
        <f>E287*60/F287</f>
        <v>36.049382716049379</v>
      </c>
    </row>
    <row r="288" spans="1:7" x14ac:dyDescent="0.25">
      <c r="A288" s="5">
        <v>45808.333333333299</v>
      </c>
      <c r="B288">
        <v>55</v>
      </c>
      <c r="C288" t="s">
        <v>68</v>
      </c>
      <c r="D288" t="s">
        <v>69</v>
      </c>
      <c r="E288">
        <v>1.5</v>
      </c>
      <c r="F288">
        <v>1.77</v>
      </c>
      <c r="G288" s="8">
        <f>E288*60/F288</f>
        <v>50.847457627118644</v>
      </c>
    </row>
    <row r="289" spans="1:7" x14ac:dyDescent="0.25">
      <c r="A289" s="5">
        <v>45808.333333333299</v>
      </c>
      <c r="B289">
        <v>56</v>
      </c>
      <c r="C289" t="s">
        <v>70</v>
      </c>
      <c r="D289" t="s">
        <v>71</v>
      </c>
      <c r="E289">
        <v>1.51</v>
      </c>
      <c r="F289">
        <v>3.42</v>
      </c>
      <c r="G289" s="8">
        <f>E289*60/F289</f>
        <v>26.491228070175438</v>
      </c>
    </row>
    <row r="290" spans="1:7" x14ac:dyDescent="0.25">
      <c r="A290" s="5">
        <v>45808.333333333299</v>
      </c>
      <c r="B290">
        <v>57</v>
      </c>
      <c r="C290" t="s">
        <v>71</v>
      </c>
      <c r="D290" t="s">
        <v>72</v>
      </c>
      <c r="E290">
        <v>1.52</v>
      </c>
      <c r="F290">
        <v>3.3</v>
      </c>
      <c r="G290" s="8">
        <f>E290*60/F290</f>
        <v>27.63636363636364</v>
      </c>
    </row>
    <row r="291" spans="1:7" x14ac:dyDescent="0.25">
      <c r="A291" s="5">
        <v>45808.333333333299</v>
      </c>
      <c r="B291">
        <v>58</v>
      </c>
      <c r="C291" t="s">
        <v>72</v>
      </c>
      <c r="D291" t="s">
        <v>73</v>
      </c>
      <c r="E291">
        <v>1.5</v>
      </c>
      <c r="F291">
        <v>3.3</v>
      </c>
      <c r="G291" s="8">
        <f>E291*60/F291</f>
        <v>27.272727272727273</v>
      </c>
    </row>
    <row r="292" spans="1:7" x14ac:dyDescent="0.25">
      <c r="A292" s="5">
        <v>45808.34375</v>
      </c>
      <c r="B292">
        <v>1</v>
      </c>
      <c r="C292" t="s">
        <v>6</v>
      </c>
      <c r="D292" t="s">
        <v>7</v>
      </c>
      <c r="E292">
        <v>1.53</v>
      </c>
      <c r="F292">
        <v>2.87</v>
      </c>
      <c r="G292" s="8">
        <f>E292*60/F292</f>
        <v>31.986062717770032</v>
      </c>
    </row>
    <row r="293" spans="1:7" x14ac:dyDescent="0.25">
      <c r="A293" s="5">
        <v>45808.34375</v>
      </c>
      <c r="B293">
        <v>2</v>
      </c>
      <c r="C293" t="s">
        <v>7</v>
      </c>
      <c r="D293" t="s">
        <v>8</v>
      </c>
      <c r="E293">
        <v>1.57</v>
      </c>
      <c r="F293">
        <v>4.2300000000000004</v>
      </c>
      <c r="G293" s="8">
        <f>E293*60/F293</f>
        <v>22.269503546099291</v>
      </c>
    </row>
    <row r="294" spans="1:7" x14ac:dyDescent="0.25">
      <c r="A294" s="5">
        <v>45808.34375</v>
      </c>
      <c r="B294">
        <v>3</v>
      </c>
      <c r="C294" t="s">
        <v>8</v>
      </c>
      <c r="D294" t="s">
        <v>9</v>
      </c>
      <c r="E294">
        <v>1.5</v>
      </c>
      <c r="F294">
        <v>2.77</v>
      </c>
      <c r="G294" s="8">
        <f>E294*60/F294</f>
        <v>32.490974729241877</v>
      </c>
    </row>
    <row r="295" spans="1:7" x14ac:dyDescent="0.25">
      <c r="A295" s="5">
        <v>45808.34375</v>
      </c>
      <c r="B295">
        <v>4</v>
      </c>
      <c r="C295" t="s">
        <v>9</v>
      </c>
      <c r="D295" t="s">
        <v>10</v>
      </c>
      <c r="E295">
        <v>1.5</v>
      </c>
      <c r="F295">
        <v>2.5299999999999998</v>
      </c>
      <c r="G295" s="8">
        <f>E295*60/F295</f>
        <v>35.573122529644273</v>
      </c>
    </row>
    <row r="296" spans="1:7" x14ac:dyDescent="0.25">
      <c r="A296" s="5">
        <v>45808.34375</v>
      </c>
      <c r="B296">
        <v>5</v>
      </c>
      <c r="C296" t="s">
        <v>10</v>
      </c>
      <c r="D296" t="s">
        <v>11</v>
      </c>
      <c r="E296">
        <v>1.52</v>
      </c>
      <c r="F296">
        <v>2.83</v>
      </c>
      <c r="G296" s="8">
        <f>E296*60/F296</f>
        <v>32.226148409893995</v>
      </c>
    </row>
    <row r="297" spans="1:7" x14ac:dyDescent="0.25">
      <c r="A297" s="5">
        <v>45808.34375</v>
      </c>
      <c r="B297">
        <v>6</v>
      </c>
      <c r="C297" t="s">
        <v>11</v>
      </c>
      <c r="D297" t="s">
        <v>12</v>
      </c>
      <c r="E297">
        <v>1.5</v>
      </c>
      <c r="F297">
        <v>2.4300000000000002</v>
      </c>
      <c r="G297" s="8">
        <f>E297*60/F297</f>
        <v>37.037037037037038</v>
      </c>
    </row>
    <row r="298" spans="1:7" x14ac:dyDescent="0.25">
      <c r="A298" s="5">
        <v>45808.34375</v>
      </c>
      <c r="B298">
        <v>7</v>
      </c>
      <c r="C298" t="s">
        <v>12</v>
      </c>
      <c r="D298" t="s">
        <v>13</v>
      </c>
      <c r="E298">
        <v>1.54</v>
      </c>
      <c r="F298">
        <v>2.52</v>
      </c>
      <c r="G298" s="8">
        <f>E298*60/F298</f>
        <v>36.666666666666671</v>
      </c>
    </row>
    <row r="299" spans="1:7" x14ac:dyDescent="0.25">
      <c r="A299" s="5">
        <v>45808.34375</v>
      </c>
      <c r="B299">
        <v>8</v>
      </c>
      <c r="C299" t="s">
        <v>13</v>
      </c>
      <c r="D299" t="s">
        <v>14</v>
      </c>
      <c r="E299">
        <v>1.54</v>
      </c>
      <c r="F299">
        <v>2.93</v>
      </c>
      <c r="G299" s="8">
        <f>E299*60/F299</f>
        <v>31.535836177474405</v>
      </c>
    </row>
    <row r="300" spans="1:7" x14ac:dyDescent="0.25">
      <c r="A300" s="5">
        <v>45808.34375</v>
      </c>
      <c r="B300">
        <v>9</v>
      </c>
      <c r="C300" t="s">
        <v>14</v>
      </c>
      <c r="D300" t="s">
        <v>15</v>
      </c>
      <c r="E300">
        <v>1.52</v>
      </c>
      <c r="F300">
        <v>2.87</v>
      </c>
      <c r="G300" s="8">
        <f>E300*60/F300</f>
        <v>31.777003484320556</v>
      </c>
    </row>
    <row r="301" spans="1:7" x14ac:dyDescent="0.25">
      <c r="A301" s="5">
        <v>45808.34375</v>
      </c>
      <c r="B301">
        <v>10</v>
      </c>
      <c r="C301" t="s">
        <v>15</v>
      </c>
      <c r="D301" t="s">
        <v>16</v>
      </c>
      <c r="E301">
        <v>1.5</v>
      </c>
      <c r="F301">
        <v>3.13</v>
      </c>
      <c r="G301" s="8">
        <f>E301*60/F301</f>
        <v>28.753993610223642</v>
      </c>
    </row>
    <row r="302" spans="1:7" x14ac:dyDescent="0.25">
      <c r="A302" s="5">
        <v>45808.34375</v>
      </c>
      <c r="B302">
        <v>11</v>
      </c>
      <c r="C302" t="s">
        <v>16</v>
      </c>
      <c r="D302" t="s">
        <v>17</v>
      </c>
      <c r="E302">
        <v>1.48</v>
      </c>
      <c r="F302">
        <v>2.2999999999999998</v>
      </c>
      <c r="G302" s="8">
        <f>E302*60/F302</f>
        <v>38.608695652173914</v>
      </c>
    </row>
    <row r="303" spans="1:7" x14ac:dyDescent="0.25">
      <c r="A303" s="5">
        <v>45808.34375</v>
      </c>
      <c r="B303">
        <v>12</v>
      </c>
      <c r="C303" t="s">
        <v>17</v>
      </c>
      <c r="D303" t="s">
        <v>18</v>
      </c>
      <c r="E303">
        <v>1.46</v>
      </c>
      <c r="F303">
        <v>2.85</v>
      </c>
      <c r="G303" s="8">
        <f>E303*60/F303</f>
        <v>30.736842105263154</v>
      </c>
    </row>
    <row r="304" spans="1:7" x14ac:dyDescent="0.25">
      <c r="A304" s="5">
        <v>45808.34375</v>
      </c>
      <c r="B304">
        <v>13</v>
      </c>
      <c r="C304" t="s">
        <v>18</v>
      </c>
      <c r="D304" t="s">
        <v>19</v>
      </c>
      <c r="E304">
        <v>1.52</v>
      </c>
      <c r="F304">
        <v>2.88</v>
      </c>
      <c r="G304" s="8">
        <f>E304*60/F304</f>
        <v>31.666666666666668</v>
      </c>
    </row>
    <row r="305" spans="1:7" x14ac:dyDescent="0.25">
      <c r="A305" s="5">
        <v>45808.34375</v>
      </c>
      <c r="B305">
        <v>14</v>
      </c>
      <c r="C305" t="s">
        <v>19</v>
      </c>
      <c r="D305" t="s">
        <v>20</v>
      </c>
      <c r="E305">
        <v>1.51</v>
      </c>
      <c r="F305">
        <v>2.87</v>
      </c>
      <c r="G305" s="8">
        <f>E305*60/F305</f>
        <v>31.567944250871076</v>
      </c>
    </row>
    <row r="306" spans="1:7" x14ac:dyDescent="0.25">
      <c r="A306" s="5">
        <v>45808.34375</v>
      </c>
      <c r="B306">
        <v>15</v>
      </c>
      <c r="C306" t="s">
        <v>20</v>
      </c>
      <c r="D306" t="s">
        <v>21</v>
      </c>
      <c r="E306">
        <v>1.47</v>
      </c>
      <c r="F306">
        <v>2.2000000000000002</v>
      </c>
      <c r="G306" s="8">
        <f>E306*60/F306</f>
        <v>40.090909090909086</v>
      </c>
    </row>
    <row r="307" spans="1:7" x14ac:dyDescent="0.25">
      <c r="A307" s="5">
        <v>45808.34375</v>
      </c>
      <c r="B307">
        <v>16</v>
      </c>
      <c r="C307" t="s">
        <v>21</v>
      </c>
      <c r="D307" t="s">
        <v>22</v>
      </c>
      <c r="E307">
        <v>1.5</v>
      </c>
      <c r="F307">
        <v>1.73</v>
      </c>
      <c r="G307" s="8">
        <f>E307*60/F307</f>
        <v>52.02312138728324</v>
      </c>
    </row>
    <row r="308" spans="1:7" x14ac:dyDescent="0.25">
      <c r="A308" s="5">
        <v>45808.34375</v>
      </c>
      <c r="B308">
        <v>17</v>
      </c>
      <c r="C308" t="s">
        <v>22</v>
      </c>
      <c r="D308" t="s">
        <v>23</v>
      </c>
      <c r="E308">
        <v>1.51</v>
      </c>
      <c r="F308">
        <v>2.42</v>
      </c>
      <c r="G308" s="8">
        <f>E308*60/F308</f>
        <v>37.438016528925615</v>
      </c>
    </row>
    <row r="309" spans="1:7" x14ac:dyDescent="0.25">
      <c r="A309" s="5">
        <v>45808.34375</v>
      </c>
      <c r="B309">
        <v>18</v>
      </c>
      <c r="C309" t="s">
        <v>23</v>
      </c>
      <c r="D309" t="s">
        <v>24</v>
      </c>
      <c r="E309">
        <v>1.51</v>
      </c>
      <c r="F309">
        <v>2.62</v>
      </c>
      <c r="G309" s="8">
        <f>E309*60/F309</f>
        <v>34.580152671755719</v>
      </c>
    </row>
    <row r="310" spans="1:7" x14ac:dyDescent="0.25">
      <c r="A310" s="5">
        <v>45808.34375</v>
      </c>
      <c r="B310">
        <v>19</v>
      </c>
      <c r="C310" t="s">
        <v>25</v>
      </c>
      <c r="D310" t="s">
        <v>26</v>
      </c>
      <c r="E310">
        <v>1.5</v>
      </c>
      <c r="F310">
        <v>3.28</v>
      </c>
      <c r="G310" s="8">
        <f>E310*60/F310</f>
        <v>27.439024390243905</v>
      </c>
    </row>
    <row r="311" spans="1:7" x14ac:dyDescent="0.25">
      <c r="A311" s="5">
        <v>45808.34375</v>
      </c>
      <c r="B311">
        <v>20</v>
      </c>
      <c r="C311" t="s">
        <v>26</v>
      </c>
      <c r="D311" t="s">
        <v>27</v>
      </c>
      <c r="E311">
        <v>1.48</v>
      </c>
      <c r="F311">
        <v>3.23</v>
      </c>
      <c r="G311" s="8">
        <f>E311*60/F311</f>
        <v>27.492260061919502</v>
      </c>
    </row>
    <row r="312" spans="1:7" x14ac:dyDescent="0.25">
      <c r="A312" s="5">
        <v>45808.34375</v>
      </c>
      <c r="B312">
        <v>21</v>
      </c>
      <c r="C312" t="s">
        <v>27</v>
      </c>
      <c r="D312" t="s">
        <v>28</v>
      </c>
      <c r="E312">
        <v>1.51</v>
      </c>
      <c r="F312">
        <v>3.03</v>
      </c>
      <c r="G312" s="8">
        <f>E312*60/F312</f>
        <v>29.900990099009903</v>
      </c>
    </row>
    <row r="313" spans="1:7" x14ac:dyDescent="0.25">
      <c r="A313" s="5">
        <v>45808.34375</v>
      </c>
      <c r="B313">
        <v>22</v>
      </c>
      <c r="C313" t="s">
        <v>28</v>
      </c>
      <c r="D313" t="s">
        <v>29</v>
      </c>
      <c r="E313">
        <v>1.57</v>
      </c>
      <c r="F313">
        <v>3.13</v>
      </c>
      <c r="G313" s="8">
        <f>E313*60/F313</f>
        <v>30.095846645367413</v>
      </c>
    </row>
    <row r="314" spans="1:7" x14ac:dyDescent="0.25">
      <c r="A314" s="5">
        <v>45808.34375</v>
      </c>
      <c r="B314">
        <v>23</v>
      </c>
      <c r="C314" t="s">
        <v>29</v>
      </c>
      <c r="D314" t="s">
        <v>30</v>
      </c>
      <c r="E314">
        <v>1.43</v>
      </c>
      <c r="F314">
        <v>3.2</v>
      </c>
      <c r="G314" s="8">
        <f>E314*60/F314</f>
        <v>26.812499999999996</v>
      </c>
    </row>
    <row r="315" spans="1:7" x14ac:dyDescent="0.25">
      <c r="A315" s="5">
        <v>45808.34375</v>
      </c>
      <c r="B315">
        <v>24</v>
      </c>
      <c r="C315" t="s">
        <v>30</v>
      </c>
      <c r="D315" t="s">
        <v>31</v>
      </c>
      <c r="E315">
        <v>1.52</v>
      </c>
      <c r="F315">
        <v>2.95</v>
      </c>
      <c r="G315" s="8">
        <f>E315*60/F315</f>
        <v>30.915254237288135</v>
      </c>
    </row>
    <row r="316" spans="1:7" x14ac:dyDescent="0.25">
      <c r="A316" s="5">
        <v>45808.34375</v>
      </c>
      <c r="B316">
        <v>25</v>
      </c>
      <c r="C316" t="s">
        <v>31</v>
      </c>
      <c r="D316" t="s">
        <v>32</v>
      </c>
      <c r="E316">
        <v>1.52</v>
      </c>
      <c r="F316">
        <v>3.07</v>
      </c>
      <c r="G316" s="8">
        <f>E316*60/F316</f>
        <v>29.706840390879481</v>
      </c>
    </row>
    <row r="317" spans="1:7" x14ac:dyDescent="0.25">
      <c r="A317" s="5">
        <v>45808.34375</v>
      </c>
      <c r="B317">
        <v>26</v>
      </c>
      <c r="C317" t="s">
        <v>32</v>
      </c>
      <c r="D317" t="s">
        <v>33</v>
      </c>
      <c r="E317">
        <v>1.49</v>
      </c>
      <c r="F317">
        <v>3.12</v>
      </c>
      <c r="G317" s="8">
        <f>E317*60/F317</f>
        <v>28.653846153846153</v>
      </c>
    </row>
    <row r="318" spans="1:7" x14ac:dyDescent="0.25">
      <c r="A318" s="5">
        <v>45808.34375</v>
      </c>
      <c r="B318">
        <v>27</v>
      </c>
      <c r="C318" t="s">
        <v>33</v>
      </c>
      <c r="D318" t="s">
        <v>34</v>
      </c>
      <c r="E318">
        <v>1.53</v>
      </c>
      <c r="F318">
        <v>3.02</v>
      </c>
      <c r="G318" s="8">
        <f>E318*60/F318</f>
        <v>30.397350993377483</v>
      </c>
    </row>
    <row r="319" spans="1:7" x14ac:dyDescent="0.25">
      <c r="A319" s="5">
        <v>45808.34375</v>
      </c>
      <c r="B319">
        <v>28</v>
      </c>
      <c r="C319" t="s">
        <v>34</v>
      </c>
      <c r="D319" t="s">
        <v>35</v>
      </c>
      <c r="E319">
        <v>1.51</v>
      </c>
      <c r="F319">
        <v>3.72</v>
      </c>
      <c r="G319" s="8">
        <f>E319*60/F319</f>
        <v>24.354838709677416</v>
      </c>
    </row>
    <row r="320" spans="1:7" x14ac:dyDescent="0.25">
      <c r="A320" s="5">
        <v>45808.34375</v>
      </c>
      <c r="B320">
        <v>29</v>
      </c>
      <c r="C320" t="s">
        <v>36</v>
      </c>
      <c r="D320" t="s">
        <v>37</v>
      </c>
      <c r="E320">
        <v>1.57</v>
      </c>
      <c r="F320">
        <v>3.5</v>
      </c>
      <c r="G320" s="8">
        <f>E320*60/F320</f>
        <v>26.914285714285715</v>
      </c>
    </row>
    <row r="321" spans="1:7" x14ac:dyDescent="0.25">
      <c r="A321" s="5">
        <v>45808.34375</v>
      </c>
      <c r="B321">
        <v>30</v>
      </c>
      <c r="C321" t="s">
        <v>37</v>
      </c>
      <c r="D321" t="s">
        <v>38</v>
      </c>
      <c r="E321">
        <v>1.57</v>
      </c>
      <c r="F321">
        <v>4.57</v>
      </c>
      <c r="G321" s="8">
        <f>E321*60/F321</f>
        <v>20.612691466083149</v>
      </c>
    </row>
    <row r="322" spans="1:7" x14ac:dyDescent="0.25">
      <c r="A322" s="5">
        <v>45808.34375</v>
      </c>
      <c r="B322">
        <v>31</v>
      </c>
      <c r="C322" t="s">
        <v>38</v>
      </c>
      <c r="D322" t="s">
        <v>39</v>
      </c>
      <c r="E322">
        <v>1.52</v>
      </c>
      <c r="F322">
        <v>2.4300000000000002</v>
      </c>
      <c r="G322" s="8">
        <f>E322*60/F322</f>
        <v>37.53086419753086</v>
      </c>
    </row>
    <row r="323" spans="1:7" x14ac:dyDescent="0.25">
      <c r="A323" s="5">
        <v>45808.34375</v>
      </c>
      <c r="B323">
        <v>32</v>
      </c>
      <c r="C323" t="s">
        <v>39</v>
      </c>
      <c r="D323" t="s">
        <v>40</v>
      </c>
      <c r="E323">
        <v>1.5</v>
      </c>
      <c r="F323">
        <v>1.67</v>
      </c>
      <c r="G323" s="8">
        <f>E323*60/F323</f>
        <v>53.892215568862277</v>
      </c>
    </row>
    <row r="324" spans="1:7" x14ac:dyDescent="0.25">
      <c r="A324" s="5">
        <v>45808.34375</v>
      </c>
      <c r="B324">
        <v>33</v>
      </c>
      <c r="C324" t="s">
        <v>40</v>
      </c>
      <c r="D324" t="s">
        <v>41</v>
      </c>
      <c r="E324">
        <v>1.51</v>
      </c>
      <c r="F324">
        <v>1.72</v>
      </c>
      <c r="G324" s="8">
        <f>E324*60/F324</f>
        <v>52.674418604651159</v>
      </c>
    </row>
    <row r="325" spans="1:7" x14ac:dyDescent="0.25">
      <c r="A325" s="5">
        <v>45808.34375</v>
      </c>
      <c r="B325">
        <v>34</v>
      </c>
      <c r="C325" t="s">
        <v>41</v>
      </c>
      <c r="D325" t="s">
        <v>42</v>
      </c>
      <c r="E325">
        <v>1.5</v>
      </c>
      <c r="F325">
        <v>1.73</v>
      </c>
      <c r="G325" s="8">
        <f>E325*60/F325</f>
        <v>52.02312138728324</v>
      </c>
    </row>
    <row r="326" spans="1:7" x14ac:dyDescent="0.25">
      <c r="A326" s="5">
        <v>45808.34375</v>
      </c>
      <c r="B326">
        <v>35</v>
      </c>
      <c r="C326" t="s">
        <v>43</v>
      </c>
      <c r="D326" t="s">
        <v>44</v>
      </c>
      <c r="E326">
        <v>1.55</v>
      </c>
      <c r="F326">
        <v>3.13</v>
      </c>
      <c r="G326" s="8">
        <f>E326*60/F326</f>
        <v>29.712460063897765</v>
      </c>
    </row>
    <row r="327" spans="1:7" x14ac:dyDescent="0.25">
      <c r="A327" s="5">
        <v>45808.34375</v>
      </c>
      <c r="B327">
        <v>36</v>
      </c>
      <c r="C327" t="s">
        <v>44</v>
      </c>
      <c r="D327" t="s">
        <v>45</v>
      </c>
      <c r="E327">
        <v>1.5</v>
      </c>
      <c r="F327">
        <v>2.7</v>
      </c>
      <c r="G327" s="8">
        <f>E327*60/F327</f>
        <v>33.333333333333329</v>
      </c>
    </row>
    <row r="328" spans="1:7" x14ac:dyDescent="0.25">
      <c r="A328" s="5">
        <v>45808.34375</v>
      </c>
      <c r="B328">
        <v>37</v>
      </c>
      <c r="C328" t="s">
        <v>45</v>
      </c>
      <c r="D328" t="s">
        <v>46</v>
      </c>
      <c r="E328">
        <v>1.38</v>
      </c>
      <c r="F328">
        <v>3.22</v>
      </c>
      <c r="G328" s="8">
        <f>E328*60/F328</f>
        <v>25.714285714285712</v>
      </c>
    </row>
    <row r="329" spans="1:7" x14ac:dyDescent="0.25">
      <c r="A329" s="5">
        <v>45808.34375</v>
      </c>
      <c r="B329">
        <v>38</v>
      </c>
      <c r="C329" t="s">
        <v>46</v>
      </c>
      <c r="D329" t="s">
        <v>47</v>
      </c>
      <c r="E329">
        <v>1.61</v>
      </c>
      <c r="F329">
        <v>3.52</v>
      </c>
      <c r="G329" s="8">
        <f>E329*60/F329</f>
        <v>27.44318181818182</v>
      </c>
    </row>
    <row r="330" spans="1:7" x14ac:dyDescent="0.25">
      <c r="A330" s="5">
        <v>45808.34375</v>
      </c>
      <c r="B330">
        <v>39</v>
      </c>
      <c r="C330" t="s">
        <v>47</v>
      </c>
      <c r="D330" t="s">
        <v>48</v>
      </c>
      <c r="E330">
        <v>1.55</v>
      </c>
      <c r="F330">
        <v>3.25</v>
      </c>
      <c r="G330" s="8">
        <f>E330*60/F330</f>
        <v>28.615384615384617</v>
      </c>
    </row>
    <row r="331" spans="1:7" x14ac:dyDescent="0.25">
      <c r="A331" s="5">
        <v>45808.34375</v>
      </c>
      <c r="B331">
        <v>40</v>
      </c>
      <c r="C331" t="s">
        <v>48</v>
      </c>
      <c r="D331" t="s">
        <v>49</v>
      </c>
      <c r="E331">
        <v>1.39</v>
      </c>
      <c r="F331">
        <v>2.77</v>
      </c>
      <c r="G331" s="8">
        <f>E331*60/F331</f>
        <v>30.108303249097471</v>
      </c>
    </row>
    <row r="332" spans="1:7" x14ac:dyDescent="0.25">
      <c r="A332" s="5">
        <v>45808.34375</v>
      </c>
      <c r="B332">
        <v>41</v>
      </c>
      <c r="C332" t="s">
        <v>50</v>
      </c>
      <c r="D332" t="s">
        <v>51</v>
      </c>
      <c r="E332">
        <v>1.56</v>
      </c>
      <c r="F332">
        <v>3.2</v>
      </c>
      <c r="G332" s="8">
        <f>E332*60/F332</f>
        <v>29.25</v>
      </c>
    </row>
    <row r="333" spans="1:7" x14ac:dyDescent="0.25">
      <c r="A333" s="5">
        <v>45808.34375</v>
      </c>
      <c r="B333">
        <v>42</v>
      </c>
      <c r="C333" t="s">
        <v>51</v>
      </c>
      <c r="D333" t="s">
        <v>52</v>
      </c>
      <c r="E333">
        <v>1.56</v>
      </c>
      <c r="F333">
        <v>3.35</v>
      </c>
      <c r="G333" s="8">
        <f>E333*60/F333</f>
        <v>27.940298507462689</v>
      </c>
    </row>
    <row r="334" spans="1:7" x14ac:dyDescent="0.25">
      <c r="A334" s="5">
        <v>45808.34375</v>
      </c>
      <c r="B334">
        <v>43</v>
      </c>
      <c r="C334" t="s">
        <v>52</v>
      </c>
      <c r="D334" t="s">
        <v>53</v>
      </c>
      <c r="E334">
        <v>1.51</v>
      </c>
      <c r="F334">
        <v>3.15</v>
      </c>
      <c r="G334" s="8">
        <f>E334*60/F334</f>
        <v>28.761904761904759</v>
      </c>
    </row>
    <row r="335" spans="1:7" x14ac:dyDescent="0.25">
      <c r="A335" s="5">
        <v>45808.34375</v>
      </c>
      <c r="B335">
        <v>44</v>
      </c>
      <c r="C335" t="s">
        <v>54</v>
      </c>
      <c r="D335" t="s">
        <v>55</v>
      </c>
      <c r="E335">
        <v>1.51</v>
      </c>
      <c r="F335">
        <v>3.82</v>
      </c>
      <c r="G335" s="8">
        <f>E335*60/F335</f>
        <v>23.717277486910994</v>
      </c>
    </row>
    <row r="336" spans="1:7" x14ac:dyDescent="0.25">
      <c r="A336" s="5">
        <v>45808.34375</v>
      </c>
      <c r="B336">
        <v>45</v>
      </c>
      <c r="C336" t="s">
        <v>55</v>
      </c>
      <c r="D336" t="s">
        <v>56</v>
      </c>
      <c r="E336">
        <v>1.49</v>
      </c>
      <c r="F336">
        <v>3.03</v>
      </c>
      <c r="G336" s="8">
        <f>E336*60/F336</f>
        <v>29.50495049504951</v>
      </c>
    </row>
    <row r="337" spans="1:7" x14ac:dyDescent="0.25">
      <c r="A337" s="5">
        <v>45808.34375</v>
      </c>
      <c r="B337">
        <v>46</v>
      </c>
      <c r="C337" t="s">
        <v>56</v>
      </c>
      <c r="D337" t="s">
        <v>57</v>
      </c>
      <c r="E337">
        <v>1.52</v>
      </c>
      <c r="F337">
        <v>3.47</v>
      </c>
      <c r="G337" s="8">
        <f>E337*60/F337</f>
        <v>26.282420749279538</v>
      </c>
    </row>
    <row r="338" spans="1:7" x14ac:dyDescent="0.25">
      <c r="A338" s="5">
        <v>45808.34375</v>
      </c>
      <c r="B338">
        <v>47</v>
      </c>
      <c r="C338" t="s">
        <v>58</v>
      </c>
      <c r="D338" t="s">
        <v>59</v>
      </c>
      <c r="E338">
        <v>1.52</v>
      </c>
      <c r="F338">
        <v>3.43</v>
      </c>
      <c r="G338" s="8">
        <f>E338*60/F338</f>
        <v>26.588921282798832</v>
      </c>
    </row>
    <row r="339" spans="1:7" x14ac:dyDescent="0.25">
      <c r="A339" s="5">
        <v>45808.34375</v>
      </c>
      <c r="B339">
        <v>48</v>
      </c>
      <c r="C339" t="s">
        <v>59</v>
      </c>
      <c r="D339" t="s">
        <v>60</v>
      </c>
      <c r="E339">
        <v>1.5</v>
      </c>
      <c r="F339">
        <v>3.27</v>
      </c>
      <c r="G339" s="8">
        <f>E339*60/F339</f>
        <v>27.522935779816514</v>
      </c>
    </row>
    <row r="340" spans="1:7" x14ac:dyDescent="0.25">
      <c r="A340" s="5">
        <v>45808.34375</v>
      </c>
      <c r="B340">
        <v>49</v>
      </c>
      <c r="C340" t="s">
        <v>60</v>
      </c>
      <c r="D340" t="s">
        <v>61</v>
      </c>
      <c r="E340">
        <v>1.54</v>
      </c>
      <c r="F340">
        <v>3.68</v>
      </c>
      <c r="G340" s="8">
        <f>E340*60/F340</f>
        <v>25.108695652173914</v>
      </c>
    </row>
    <row r="341" spans="1:7" x14ac:dyDescent="0.25">
      <c r="A341" s="5">
        <v>45808.34375</v>
      </c>
      <c r="B341">
        <v>50</v>
      </c>
      <c r="C341" t="s">
        <v>62</v>
      </c>
      <c r="D341" t="s">
        <v>63</v>
      </c>
      <c r="E341">
        <v>1.38</v>
      </c>
      <c r="F341">
        <v>3</v>
      </c>
      <c r="G341" s="8">
        <f>E341*60/F341</f>
        <v>27.599999999999998</v>
      </c>
    </row>
    <row r="342" spans="1:7" x14ac:dyDescent="0.25">
      <c r="A342" s="5">
        <v>45808.34375</v>
      </c>
      <c r="B342">
        <v>51</v>
      </c>
      <c r="C342" t="s">
        <v>63</v>
      </c>
      <c r="D342" t="s">
        <v>64</v>
      </c>
      <c r="E342">
        <v>2.79</v>
      </c>
      <c r="F342">
        <v>5.2</v>
      </c>
      <c r="G342" s="8">
        <f>E342*60/F342</f>
        <v>32.192307692307693</v>
      </c>
    </row>
    <row r="343" spans="1:7" x14ac:dyDescent="0.25">
      <c r="A343" s="5">
        <v>45808.34375</v>
      </c>
      <c r="B343">
        <v>52</v>
      </c>
      <c r="C343" t="s">
        <v>64</v>
      </c>
      <c r="D343" t="s">
        <v>65</v>
      </c>
      <c r="E343">
        <v>1.5</v>
      </c>
      <c r="F343">
        <v>2.75</v>
      </c>
      <c r="G343" s="8">
        <f>E343*60/F343</f>
        <v>32.727272727272727</v>
      </c>
    </row>
    <row r="344" spans="1:7" x14ac:dyDescent="0.25">
      <c r="A344" s="5">
        <v>45808.34375</v>
      </c>
      <c r="B344">
        <v>53</v>
      </c>
      <c r="C344" t="s">
        <v>65</v>
      </c>
      <c r="D344" t="s">
        <v>66</v>
      </c>
      <c r="E344">
        <v>1.46</v>
      </c>
      <c r="F344">
        <v>3.35</v>
      </c>
      <c r="G344" s="8">
        <f>E344*60/F344</f>
        <v>26.149253731343283</v>
      </c>
    </row>
    <row r="345" spans="1:7" x14ac:dyDescent="0.25">
      <c r="A345" s="5">
        <v>45808.34375</v>
      </c>
      <c r="B345">
        <v>54</v>
      </c>
      <c r="C345" t="s">
        <v>67</v>
      </c>
      <c r="D345" t="s">
        <v>68</v>
      </c>
      <c r="E345">
        <v>1.46</v>
      </c>
      <c r="F345">
        <v>2.35</v>
      </c>
      <c r="G345" s="8">
        <f>E345*60/F345</f>
        <v>37.276595744680847</v>
      </c>
    </row>
    <row r="346" spans="1:7" x14ac:dyDescent="0.25">
      <c r="A346" s="5">
        <v>45808.34375</v>
      </c>
      <c r="B346">
        <v>55</v>
      </c>
      <c r="C346" t="s">
        <v>68</v>
      </c>
      <c r="D346" t="s">
        <v>69</v>
      </c>
      <c r="E346">
        <v>1.5</v>
      </c>
      <c r="F346">
        <v>1.95</v>
      </c>
      <c r="G346" s="8">
        <f>E346*60/F346</f>
        <v>46.153846153846153</v>
      </c>
    </row>
    <row r="347" spans="1:7" x14ac:dyDescent="0.25">
      <c r="A347" s="5">
        <v>45808.34375</v>
      </c>
      <c r="B347">
        <v>56</v>
      </c>
      <c r="C347" t="s">
        <v>70</v>
      </c>
      <c r="D347" t="s">
        <v>71</v>
      </c>
      <c r="E347">
        <v>1.51</v>
      </c>
      <c r="F347">
        <v>3.32</v>
      </c>
      <c r="G347" s="8">
        <f>E347*60/F347</f>
        <v>27.289156626506024</v>
      </c>
    </row>
    <row r="348" spans="1:7" x14ac:dyDescent="0.25">
      <c r="A348" s="5">
        <v>45808.34375</v>
      </c>
      <c r="B348">
        <v>57</v>
      </c>
      <c r="C348" t="s">
        <v>71</v>
      </c>
      <c r="D348" t="s">
        <v>72</v>
      </c>
      <c r="E348">
        <v>1.52</v>
      </c>
      <c r="F348">
        <v>3.43</v>
      </c>
      <c r="G348" s="8">
        <f>E348*60/F348</f>
        <v>26.588921282798832</v>
      </c>
    </row>
    <row r="349" spans="1:7" x14ac:dyDescent="0.25">
      <c r="A349" s="5">
        <v>45808.34375</v>
      </c>
      <c r="B349">
        <v>58</v>
      </c>
      <c r="C349" t="s">
        <v>72</v>
      </c>
      <c r="D349" t="s">
        <v>73</v>
      </c>
      <c r="E349">
        <v>1.5</v>
      </c>
      <c r="F349">
        <v>3.28</v>
      </c>
      <c r="G349" s="8">
        <f>E349*60/F349</f>
        <v>27.439024390243905</v>
      </c>
    </row>
    <row r="350" spans="1:7" x14ac:dyDescent="0.25">
      <c r="A350" s="5">
        <v>45808.354166666664</v>
      </c>
      <c r="B350">
        <v>1</v>
      </c>
      <c r="C350" t="s">
        <v>6</v>
      </c>
      <c r="D350" t="s">
        <v>7</v>
      </c>
      <c r="E350">
        <v>1.53</v>
      </c>
      <c r="F350">
        <v>2.9</v>
      </c>
      <c r="G350" s="8">
        <f>E350*60/F350</f>
        <v>31.655172413793103</v>
      </c>
    </row>
    <row r="351" spans="1:7" x14ac:dyDescent="0.25">
      <c r="A351" s="5">
        <v>45808.354166666664</v>
      </c>
      <c r="B351">
        <v>2</v>
      </c>
      <c r="C351" t="s">
        <v>7</v>
      </c>
      <c r="D351" t="s">
        <v>8</v>
      </c>
      <c r="E351">
        <v>1.57</v>
      </c>
      <c r="F351">
        <v>4.13</v>
      </c>
      <c r="G351" s="8">
        <f>E351*60/F351</f>
        <v>22.808716707021794</v>
      </c>
    </row>
    <row r="352" spans="1:7" x14ac:dyDescent="0.25">
      <c r="A352" s="5">
        <v>45808.354166666664</v>
      </c>
      <c r="B352">
        <v>3</v>
      </c>
      <c r="C352" t="s">
        <v>8</v>
      </c>
      <c r="D352" t="s">
        <v>9</v>
      </c>
      <c r="E352">
        <v>1.5</v>
      </c>
      <c r="F352">
        <v>2.77</v>
      </c>
      <c r="G352" s="8">
        <f>E352*60/F352</f>
        <v>32.490974729241877</v>
      </c>
    </row>
    <row r="353" spans="1:7" x14ac:dyDescent="0.25">
      <c r="A353" s="5">
        <v>45808.354166666664</v>
      </c>
      <c r="B353">
        <v>4</v>
      </c>
      <c r="C353" t="s">
        <v>9</v>
      </c>
      <c r="D353" t="s">
        <v>10</v>
      </c>
      <c r="E353">
        <v>1.5</v>
      </c>
      <c r="F353">
        <v>2.57</v>
      </c>
      <c r="G353" s="8">
        <f>E353*60/F353</f>
        <v>35.019455252918291</v>
      </c>
    </row>
    <row r="354" spans="1:7" x14ac:dyDescent="0.25">
      <c r="A354" s="5">
        <v>45808.354166666664</v>
      </c>
      <c r="B354">
        <v>5</v>
      </c>
      <c r="C354" t="s">
        <v>10</v>
      </c>
      <c r="D354" t="s">
        <v>11</v>
      </c>
      <c r="E354">
        <v>1.52</v>
      </c>
      <c r="F354">
        <v>2.9</v>
      </c>
      <c r="G354" s="8">
        <f>E354*60/F354</f>
        <v>31.448275862068968</v>
      </c>
    </row>
    <row r="355" spans="1:7" x14ac:dyDescent="0.25">
      <c r="A355" s="5">
        <v>45808.354166666664</v>
      </c>
      <c r="B355">
        <v>6</v>
      </c>
      <c r="C355" t="s">
        <v>11</v>
      </c>
      <c r="D355" t="s">
        <v>12</v>
      </c>
      <c r="E355">
        <v>1.5</v>
      </c>
      <c r="F355">
        <v>2.48</v>
      </c>
      <c r="G355" s="8">
        <f>E355*60/F355</f>
        <v>36.29032258064516</v>
      </c>
    </row>
    <row r="356" spans="1:7" x14ac:dyDescent="0.25">
      <c r="A356" s="5">
        <v>45808.354166666664</v>
      </c>
      <c r="B356">
        <v>7</v>
      </c>
      <c r="C356" t="s">
        <v>12</v>
      </c>
      <c r="D356" t="s">
        <v>13</v>
      </c>
      <c r="E356">
        <v>1.54</v>
      </c>
      <c r="F356">
        <v>2.63</v>
      </c>
      <c r="G356" s="8">
        <f>E356*60/F356</f>
        <v>35.133079847908746</v>
      </c>
    </row>
    <row r="357" spans="1:7" x14ac:dyDescent="0.25">
      <c r="A357" s="5">
        <v>45808.354166666664</v>
      </c>
      <c r="B357">
        <v>8</v>
      </c>
      <c r="C357" t="s">
        <v>13</v>
      </c>
      <c r="D357" t="s">
        <v>14</v>
      </c>
      <c r="E357">
        <v>1.54</v>
      </c>
      <c r="F357">
        <v>3.05</v>
      </c>
      <c r="G357" s="8">
        <f>E357*60/F357</f>
        <v>30.295081967213118</v>
      </c>
    </row>
    <row r="358" spans="1:7" x14ac:dyDescent="0.25">
      <c r="A358" s="5">
        <v>45808.354166666664</v>
      </c>
      <c r="B358">
        <v>9</v>
      </c>
      <c r="C358" t="s">
        <v>14</v>
      </c>
      <c r="D358" t="s">
        <v>15</v>
      </c>
      <c r="E358">
        <v>1.52</v>
      </c>
      <c r="F358">
        <v>2.98</v>
      </c>
      <c r="G358" s="8">
        <f>E358*60/F358</f>
        <v>30.604026845637584</v>
      </c>
    </row>
    <row r="359" spans="1:7" x14ac:dyDescent="0.25">
      <c r="A359" s="5">
        <v>45808.354166666664</v>
      </c>
      <c r="B359">
        <v>10</v>
      </c>
      <c r="C359" t="s">
        <v>15</v>
      </c>
      <c r="D359" t="s">
        <v>16</v>
      </c>
      <c r="E359">
        <v>1.5</v>
      </c>
      <c r="F359">
        <v>3.08</v>
      </c>
      <c r="G359" s="8">
        <f>E359*60/F359</f>
        <v>29.220779220779221</v>
      </c>
    </row>
    <row r="360" spans="1:7" x14ac:dyDescent="0.25">
      <c r="A360" s="5">
        <v>45808.354166666664</v>
      </c>
      <c r="B360">
        <v>11</v>
      </c>
      <c r="C360" t="s">
        <v>16</v>
      </c>
      <c r="D360" t="s">
        <v>17</v>
      </c>
      <c r="E360">
        <v>1.48</v>
      </c>
      <c r="F360">
        <v>2.42</v>
      </c>
      <c r="G360" s="8">
        <f>E360*60/F360</f>
        <v>36.694214876033058</v>
      </c>
    </row>
    <row r="361" spans="1:7" x14ac:dyDescent="0.25">
      <c r="A361" s="5">
        <v>45808.354166666664</v>
      </c>
      <c r="B361">
        <v>12</v>
      </c>
      <c r="C361" t="s">
        <v>17</v>
      </c>
      <c r="D361" t="s">
        <v>18</v>
      </c>
      <c r="E361">
        <v>1.46</v>
      </c>
      <c r="F361">
        <v>3.03</v>
      </c>
      <c r="G361" s="8">
        <f>E361*60/F361</f>
        <v>28.910891089108912</v>
      </c>
    </row>
    <row r="362" spans="1:7" x14ac:dyDescent="0.25">
      <c r="A362" s="5">
        <v>45808.354166666664</v>
      </c>
      <c r="B362">
        <v>13</v>
      </c>
      <c r="C362" t="s">
        <v>18</v>
      </c>
      <c r="D362" t="s">
        <v>19</v>
      </c>
      <c r="E362">
        <v>1.52</v>
      </c>
      <c r="F362">
        <v>2.95</v>
      </c>
      <c r="G362" s="8">
        <f>E362*60/F362</f>
        <v>30.915254237288135</v>
      </c>
    </row>
    <row r="363" spans="1:7" x14ac:dyDescent="0.25">
      <c r="A363" s="5">
        <v>45808.354166666664</v>
      </c>
      <c r="B363">
        <v>14</v>
      </c>
      <c r="C363" t="s">
        <v>19</v>
      </c>
      <c r="D363" t="s">
        <v>20</v>
      </c>
      <c r="E363">
        <v>1.51</v>
      </c>
      <c r="F363">
        <v>2.93</v>
      </c>
      <c r="G363" s="8">
        <f>E363*60/F363</f>
        <v>30.921501706484637</v>
      </c>
    </row>
    <row r="364" spans="1:7" x14ac:dyDescent="0.25">
      <c r="A364" s="5">
        <v>45808.354166666664</v>
      </c>
      <c r="B364">
        <v>15</v>
      </c>
      <c r="C364" t="s">
        <v>20</v>
      </c>
      <c r="D364" t="s">
        <v>21</v>
      </c>
      <c r="E364">
        <v>1.47</v>
      </c>
      <c r="F364">
        <v>2.27</v>
      </c>
      <c r="G364" s="8">
        <f>E364*60/F364</f>
        <v>38.854625550660792</v>
      </c>
    </row>
    <row r="365" spans="1:7" x14ac:dyDescent="0.25">
      <c r="A365" s="5">
        <v>45808.354166666664</v>
      </c>
      <c r="B365">
        <v>16</v>
      </c>
      <c r="C365" t="s">
        <v>21</v>
      </c>
      <c r="D365" t="s">
        <v>22</v>
      </c>
      <c r="E365">
        <v>1.5</v>
      </c>
      <c r="F365">
        <v>1.7</v>
      </c>
      <c r="G365" s="8">
        <f>E365*60/F365</f>
        <v>52.941176470588239</v>
      </c>
    </row>
    <row r="366" spans="1:7" x14ac:dyDescent="0.25">
      <c r="A366" s="5">
        <v>45808.354166666664</v>
      </c>
      <c r="B366">
        <v>17</v>
      </c>
      <c r="C366" t="s">
        <v>22</v>
      </c>
      <c r="D366" t="s">
        <v>23</v>
      </c>
      <c r="E366">
        <v>1.51</v>
      </c>
      <c r="F366">
        <v>2.4700000000000002</v>
      </c>
      <c r="G366" s="8">
        <f>E366*60/F366</f>
        <v>36.680161943319831</v>
      </c>
    </row>
    <row r="367" spans="1:7" x14ac:dyDescent="0.25">
      <c r="A367" s="5">
        <v>45808.354166666664</v>
      </c>
      <c r="B367">
        <v>18</v>
      </c>
      <c r="C367" t="s">
        <v>23</v>
      </c>
      <c r="D367" t="s">
        <v>24</v>
      </c>
      <c r="E367">
        <v>1.51</v>
      </c>
      <c r="F367">
        <v>2.68</v>
      </c>
      <c r="G367" s="8">
        <f>E367*60/F367</f>
        <v>33.805970149253724</v>
      </c>
    </row>
    <row r="368" spans="1:7" x14ac:dyDescent="0.25">
      <c r="A368" s="5">
        <v>45808.354166666664</v>
      </c>
      <c r="B368">
        <v>19</v>
      </c>
      <c r="C368" t="s">
        <v>25</v>
      </c>
      <c r="D368" t="s">
        <v>26</v>
      </c>
      <c r="E368">
        <v>1.5</v>
      </c>
      <c r="F368">
        <v>3.48</v>
      </c>
      <c r="G368" s="8">
        <f>E368*60/F368</f>
        <v>25.862068965517242</v>
      </c>
    </row>
    <row r="369" spans="1:7" x14ac:dyDescent="0.25">
      <c r="A369" s="5">
        <v>45808.354166666664</v>
      </c>
      <c r="B369">
        <v>20</v>
      </c>
      <c r="C369" t="s">
        <v>26</v>
      </c>
      <c r="D369" t="s">
        <v>27</v>
      </c>
      <c r="E369">
        <v>1.48</v>
      </c>
      <c r="F369">
        <v>3.2</v>
      </c>
      <c r="G369" s="8">
        <f>E369*60/F369</f>
        <v>27.749999999999996</v>
      </c>
    </row>
    <row r="370" spans="1:7" x14ac:dyDescent="0.25">
      <c r="A370" s="5">
        <v>45808.354166666664</v>
      </c>
      <c r="B370">
        <v>21</v>
      </c>
      <c r="C370" t="s">
        <v>27</v>
      </c>
      <c r="D370" t="s">
        <v>28</v>
      </c>
      <c r="E370">
        <v>1.51</v>
      </c>
      <c r="F370">
        <v>2.85</v>
      </c>
      <c r="G370" s="8">
        <f>E370*60/F370</f>
        <v>31.789473684210524</v>
      </c>
    </row>
    <row r="371" spans="1:7" x14ac:dyDescent="0.25">
      <c r="A371" s="5">
        <v>45808.354166666664</v>
      </c>
      <c r="B371">
        <v>22</v>
      </c>
      <c r="C371" t="s">
        <v>28</v>
      </c>
      <c r="D371" t="s">
        <v>29</v>
      </c>
      <c r="E371">
        <v>1.57</v>
      </c>
      <c r="F371">
        <v>3.1</v>
      </c>
      <c r="G371" s="8">
        <f>E371*60/F371</f>
        <v>30.387096774193548</v>
      </c>
    </row>
    <row r="372" spans="1:7" x14ac:dyDescent="0.25">
      <c r="A372" s="5">
        <v>45808.354166666664</v>
      </c>
      <c r="B372">
        <v>23</v>
      </c>
      <c r="C372" t="s">
        <v>29</v>
      </c>
      <c r="D372" t="s">
        <v>30</v>
      </c>
      <c r="E372">
        <v>1.43</v>
      </c>
      <c r="F372">
        <v>2.87</v>
      </c>
      <c r="G372" s="8">
        <f>E372*60/F372</f>
        <v>29.89547038327526</v>
      </c>
    </row>
    <row r="373" spans="1:7" x14ac:dyDescent="0.25">
      <c r="A373" s="5">
        <v>45808.354166666664</v>
      </c>
      <c r="B373">
        <v>24</v>
      </c>
      <c r="C373" t="s">
        <v>30</v>
      </c>
      <c r="D373" t="s">
        <v>31</v>
      </c>
      <c r="E373">
        <v>1.52</v>
      </c>
      <c r="F373">
        <v>2.93</v>
      </c>
      <c r="G373" s="8">
        <f>E373*60/F373</f>
        <v>31.126279863481226</v>
      </c>
    </row>
    <row r="374" spans="1:7" x14ac:dyDescent="0.25">
      <c r="A374" s="5">
        <v>45808.354166666664</v>
      </c>
      <c r="B374">
        <v>25</v>
      </c>
      <c r="C374" t="s">
        <v>31</v>
      </c>
      <c r="D374" t="s">
        <v>32</v>
      </c>
      <c r="E374">
        <v>1.52</v>
      </c>
      <c r="F374">
        <v>3.08</v>
      </c>
      <c r="G374" s="8">
        <f>E374*60/F374</f>
        <v>29.61038961038961</v>
      </c>
    </row>
    <row r="375" spans="1:7" x14ac:dyDescent="0.25">
      <c r="A375" s="5">
        <v>45808.354166666664</v>
      </c>
      <c r="B375">
        <v>26</v>
      </c>
      <c r="C375" t="s">
        <v>32</v>
      </c>
      <c r="D375" t="s">
        <v>33</v>
      </c>
      <c r="E375">
        <v>1.49</v>
      </c>
      <c r="F375">
        <v>3.18</v>
      </c>
      <c r="G375" s="8">
        <f>E375*60/F375</f>
        <v>28.113207547169811</v>
      </c>
    </row>
    <row r="376" spans="1:7" x14ac:dyDescent="0.25">
      <c r="A376" s="5">
        <v>45808.354166666664</v>
      </c>
      <c r="B376">
        <v>27</v>
      </c>
      <c r="C376" t="s">
        <v>33</v>
      </c>
      <c r="D376" t="s">
        <v>34</v>
      </c>
      <c r="E376">
        <v>1.53</v>
      </c>
      <c r="F376">
        <v>3.03</v>
      </c>
      <c r="G376" s="8">
        <f>E376*60/F376</f>
        <v>30.297029702970299</v>
      </c>
    </row>
    <row r="377" spans="1:7" x14ac:dyDescent="0.25">
      <c r="A377" s="5">
        <v>45808.354166666664</v>
      </c>
      <c r="B377">
        <v>28</v>
      </c>
      <c r="C377" t="s">
        <v>34</v>
      </c>
      <c r="D377" t="s">
        <v>35</v>
      </c>
      <c r="E377">
        <v>1.51</v>
      </c>
      <c r="F377">
        <v>3.75</v>
      </c>
      <c r="G377" s="8">
        <f>E377*60/F377</f>
        <v>24.16</v>
      </c>
    </row>
    <row r="378" spans="1:7" x14ac:dyDescent="0.25">
      <c r="A378" s="5">
        <v>45808.354166666664</v>
      </c>
      <c r="B378">
        <v>29</v>
      </c>
      <c r="C378" t="s">
        <v>36</v>
      </c>
      <c r="D378" t="s">
        <v>37</v>
      </c>
      <c r="E378">
        <v>1.57</v>
      </c>
      <c r="F378">
        <v>3.62</v>
      </c>
      <c r="G378" s="8">
        <f>E378*60/F378</f>
        <v>26.022099447513813</v>
      </c>
    </row>
    <row r="379" spans="1:7" x14ac:dyDescent="0.25">
      <c r="A379" s="5">
        <v>45808.354166666664</v>
      </c>
      <c r="B379">
        <v>30</v>
      </c>
      <c r="C379" t="s">
        <v>37</v>
      </c>
      <c r="D379" t="s">
        <v>38</v>
      </c>
      <c r="E379">
        <v>1.57</v>
      </c>
      <c r="F379">
        <v>4.5999999999999996</v>
      </c>
      <c r="G379" s="8">
        <f>E379*60/F379</f>
        <v>20.478260869565219</v>
      </c>
    </row>
    <row r="380" spans="1:7" x14ac:dyDescent="0.25">
      <c r="A380" s="5">
        <v>45808.354166666664</v>
      </c>
      <c r="B380">
        <v>31</v>
      </c>
      <c r="C380" t="s">
        <v>38</v>
      </c>
      <c r="D380" t="s">
        <v>39</v>
      </c>
      <c r="E380">
        <v>1.52</v>
      </c>
      <c r="F380">
        <v>2.4700000000000002</v>
      </c>
      <c r="G380" s="8">
        <f>E380*60/F380</f>
        <v>36.92307692307692</v>
      </c>
    </row>
    <row r="381" spans="1:7" x14ac:dyDescent="0.25">
      <c r="A381" s="5">
        <v>45808.354166666664</v>
      </c>
      <c r="B381">
        <v>32</v>
      </c>
      <c r="C381" t="s">
        <v>39</v>
      </c>
      <c r="D381" t="s">
        <v>40</v>
      </c>
      <c r="E381">
        <v>1.5</v>
      </c>
      <c r="F381">
        <v>1.65</v>
      </c>
      <c r="G381" s="8">
        <f>E381*60/F381</f>
        <v>54.545454545454547</v>
      </c>
    </row>
    <row r="382" spans="1:7" x14ac:dyDescent="0.25">
      <c r="A382" s="5">
        <v>45808.354166666664</v>
      </c>
      <c r="B382">
        <v>33</v>
      </c>
      <c r="C382" t="s">
        <v>40</v>
      </c>
      <c r="D382" t="s">
        <v>41</v>
      </c>
      <c r="E382">
        <v>1.51</v>
      </c>
      <c r="F382">
        <v>1.68</v>
      </c>
      <c r="G382" s="8">
        <f>E382*60/F382</f>
        <v>53.928571428571431</v>
      </c>
    </row>
    <row r="383" spans="1:7" x14ac:dyDescent="0.25">
      <c r="A383" s="5">
        <v>45808.354166666664</v>
      </c>
      <c r="B383">
        <v>34</v>
      </c>
      <c r="C383" t="s">
        <v>41</v>
      </c>
      <c r="D383" t="s">
        <v>42</v>
      </c>
      <c r="E383">
        <v>1.5</v>
      </c>
      <c r="F383">
        <v>1.73</v>
      </c>
      <c r="G383" s="8">
        <f>E383*60/F383</f>
        <v>52.02312138728324</v>
      </c>
    </row>
    <row r="384" spans="1:7" x14ac:dyDescent="0.25">
      <c r="A384" s="5">
        <v>45808.354166666664</v>
      </c>
      <c r="B384">
        <v>35</v>
      </c>
      <c r="C384" t="s">
        <v>43</v>
      </c>
      <c r="D384" t="s">
        <v>44</v>
      </c>
      <c r="E384">
        <v>1.55</v>
      </c>
      <c r="F384">
        <v>3.13</v>
      </c>
      <c r="G384" s="8">
        <f>E384*60/F384</f>
        <v>29.712460063897765</v>
      </c>
    </row>
    <row r="385" spans="1:7" x14ac:dyDescent="0.25">
      <c r="A385" s="5">
        <v>45808.354166666664</v>
      </c>
      <c r="B385">
        <v>36</v>
      </c>
      <c r="C385" t="s">
        <v>44</v>
      </c>
      <c r="D385" t="s">
        <v>45</v>
      </c>
      <c r="E385">
        <v>1.5</v>
      </c>
      <c r="F385">
        <v>2.75</v>
      </c>
      <c r="G385" s="8">
        <f>E385*60/F385</f>
        <v>32.727272727272727</v>
      </c>
    </row>
    <row r="386" spans="1:7" x14ac:dyDescent="0.25">
      <c r="A386" s="5">
        <v>45808.354166666664</v>
      </c>
      <c r="B386">
        <v>37</v>
      </c>
      <c r="C386" t="s">
        <v>45</v>
      </c>
      <c r="D386" t="s">
        <v>46</v>
      </c>
      <c r="E386">
        <v>1.38</v>
      </c>
      <c r="F386">
        <v>3.35</v>
      </c>
      <c r="G386" s="8">
        <f>E386*60/F386</f>
        <v>24.71641791044776</v>
      </c>
    </row>
    <row r="387" spans="1:7" x14ac:dyDescent="0.25">
      <c r="A387" s="5">
        <v>45808.354166666664</v>
      </c>
      <c r="B387">
        <v>38</v>
      </c>
      <c r="C387" t="s">
        <v>46</v>
      </c>
      <c r="D387" t="s">
        <v>47</v>
      </c>
      <c r="E387">
        <v>1.61</v>
      </c>
      <c r="F387">
        <v>3.52</v>
      </c>
      <c r="G387" s="8">
        <f>E387*60/F387</f>
        <v>27.44318181818182</v>
      </c>
    </row>
    <row r="388" spans="1:7" x14ac:dyDescent="0.25">
      <c r="A388" s="5">
        <v>45808.354166666664</v>
      </c>
      <c r="B388">
        <v>39</v>
      </c>
      <c r="C388" t="s">
        <v>47</v>
      </c>
      <c r="D388" t="s">
        <v>48</v>
      </c>
      <c r="E388">
        <v>1.55</v>
      </c>
      <c r="F388">
        <v>3.18</v>
      </c>
      <c r="G388" s="8">
        <f>E388*60/F388</f>
        <v>29.245283018867923</v>
      </c>
    </row>
    <row r="389" spans="1:7" x14ac:dyDescent="0.25">
      <c r="A389" s="5">
        <v>45808.354166666664</v>
      </c>
      <c r="B389">
        <v>40</v>
      </c>
      <c r="C389" t="s">
        <v>48</v>
      </c>
      <c r="D389" t="s">
        <v>49</v>
      </c>
      <c r="E389">
        <v>1.39</v>
      </c>
      <c r="F389">
        <v>2.78</v>
      </c>
      <c r="G389" s="8">
        <f>E389*60/F389</f>
        <v>30</v>
      </c>
    </row>
    <row r="390" spans="1:7" x14ac:dyDescent="0.25">
      <c r="A390" s="5">
        <v>45808.354166666664</v>
      </c>
      <c r="B390">
        <v>41</v>
      </c>
      <c r="C390" t="s">
        <v>50</v>
      </c>
      <c r="D390" t="s">
        <v>51</v>
      </c>
      <c r="E390">
        <v>1.56</v>
      </c>
      <c r="F390">
        <v>3.18</v>
      </c>
      <c r="G390" s="8">
        <f>E390*60/F390</f>
        <v>29.433962264150946</v>
      </c>
    </row>
    <row r="391" spans="1:7" x14ac:dyDescent="0.25">
      <c r="A391" s="5">
        <v>45808.354166666664</v>
      </c>
      <c r="B391">
        <v>42</v>
      </c>
      <c r="C391" t="s">
        <v>51</v>
      </c>
      <c r="D391" t="s">
        <v>52</v>
      </c>
      <c r="E391">
        <v>1.56</v>
      </c>
      <c r="F391">
        <v>3.48</v>
      </c>
      <c r="G391" s="8">
        <f>E391*60/F391</f>
        <v>26.896551724137932</v>
      </c>
    </row>
    <row r="392" spans="1:7" x14ac:dyDescent="0.25">
      <c r="A392" s="5">
        <v>45808.354166666664</v>
      </c>
      <c r="B392">
        <v>43</v>
      </c>
      <c r="C392" t="s">
        <v>52</v>
      </c>
      <c r="D392" t="s">
        <v>53</v>
      </c>
      <c r="E392">
        <v>1.51</v>
      </c>
      <c r="F392">
        <v>3.22</v>
      </c>
      <c r="G392" s="8">
        <f>E392*60/F392</f>
        <v>28.136645962732917</v>
      </c>
    </row>
    <row r="393" spans="1:7" x14ac:dyDescent="0.25">
      <c r="A393" s="5">
        <v>45808.354166666664</v>
      </c>
      <c r="B393">
        <v>44</v>
      </c>
      <c r="C393" t="s">
        <v>54</v>
      </c>
      <c r="D393" t="s">
        <v>55</v>
      </c>
      <c r="E393">
        <v>1.51</v>
      </c>
      <c r="F393">
        <v>3.83</v>
      </c>
      <c r="G393" s="8">
        <f>E393*60/F393</f>
        <v>23.655352480417754</v>
      </c>
    </row>
    <row r="394" spans="1:7" x14ac:dyDescent="0.25">
      <c r="A394" s="5">
        <v>45808.354166666664</v>
      </c>
      <c r="B394">
        <v>45</v>
      </c>
      <c r="C394" t="s">
        <v>55</v>
      </c>
      <c r="D394" t="s">
        <v>56</v>
      </c>
      <c r="E394">
        <v>1.49</v>
      </c>
      <c r="F394">
        <v>3.03</v>
      </c>
      <c r="G394" s="8">
        <f>E394*60/F394</f>
        <v>29.50495049504951</v>
      </c>
    </row>
    <row r="395" spans="1:7" x14ac:dyDescent="0.25">
      <c r="A395" s="5">
        <v>45808.354166666664</v>
      </c>
      <c r="B395">
        <v>46</v>
      </c>
      <c r="C395" t="s">
        <v>56</v>
      </c>
      <c r="D395" t="s">
        <v>57</v>
      </c>
      <c r="E395">
        <v>1.52</v>
      </c>
      <c r="F395">
        <v>3.55</v>
      </c>
      <c r="G395" s="8">
        <f>E395*60/F395</f>
        <v>25.690140845070424</v>
      </c>
    </row>
    <row r="396" spans="1:7" x14ac:dyDescent="0.25">
      <c r="A396" s="5">
        <v>45808.354166666664</v>
      </c>
      <c r="B396">
        <v>47</v>
      </c>
      <c r="C396" t="s">
        <v>58</v>
      </c>
      <c r="D396" t="s">
        <v>59</v>
      </c>
      <c r="E396">
        <v>1.52</v>
      </c>
      <c r="F396">
        <v>3.32</v>
      </c>
      <c r="G396" s="8">
        <f>E396*60/F396</f>
        <v>27.46987951807229</v>
      </c>
    </row>
    <row r="397" spans="1:7" x14ac:dyDescent="0.25">
      <c r="A397" s="5">
        <v>45808.354166666664</v>
      </c>
      <c r="B397">
        <v>48</v>
      </c>
      <c r="C397" t="s">
        <v>59</v>
      </c>
      <c r="D397" t="s">
        <v>60</v>
      </c>
      <c r="E397">
        <v>1.5</v>
      </c>
      <c r="F397">
        <v>3.38</v>
      </c>
      <c r="G397" s="8">
        <f>E397*60/F397</f>
        <v>26.627218934911244</v>
      </c>
    </row>
    <row r="398" spans="1:7" x14ac:dyDescent="0.25">
      <c r="A398" s="5">
        <v>45808.354166666664</v>
      </c>
      <c r="B398">
        <v>49</v>
      </c>
      <c r="C398" t="s">
        <v>60</v>
      </c>
      <c r="D398" t="s">
        <v>61</v>
      </c>
      <c r="E398">
        <v>1.54</v>
      </c>
      <c r="F398">
        <v>3.63</v>
      </c>
      <c r="G398" s="8">
        <f>E398*60/F398</f>
        <v>25.454545454545457</v>
      </c>
    </row>
    <row r="399" spans="1:7" x14ac:dyDescent="0.25">
      <c r="A399" s="5">
        <v>45808.354166666664</v>
      </c>
      <c r="B399">
        <v>50</v>
      </c>
      <c r="C399" t="s">
        <v>62</v>
      </c>
      <c r="D399" t="s">
        <v>63</v>
      </c>
      <c r="E399">
        <v>1.38</v>
      </c>
      <c r="F399">
        <v>3.03</v>
      </c>
      <c r="G399" s="8">
        <f>E399*60/F399</f>
        <v>27.326732673267326</v>
      </c>
    </row>
    <row r="400" spans="1:7" x14ac:dyDescent="0.25">
      <c r="A400" s="5">
        <v>45808.354166666664</v>
      </c>
      <c r="B400">
        <v>51</v>
      </c>
      <c r="C400" t="s">
        <v>63</v>
      </c>
      <c r="D400" t="s">
        <v>64</v>
      </c>
      <c r="E400">
        <v>2.79</v>
      </c>
      <c r="F400">
        <v>5.35</v>
      </c>
      <c r="G400" s="8">
        <f>E400*60/F400</f>
        <v>31.289719626168228</v>
      </c>
    </row>
    <row r="401" spans="1:7" x14ac:dyDescent="0.25">
      <c r="A401" s="5">
        <v>45808.354166666664</v>
      </c>
      <c r="B401">
        <v>52</v>
      </c>
      <c r="C401" t="s">
        <v>64</v>
      </c>
      <c r="D401" t="s">
        <v>65</v>
      </c>
      <c r="E401">
        <v>1.5</v>
      </c>
      <c r="F401">
        <v>2.77</v>
      </c>
      <c r="G401" s="8">
        <f>E401*60/F401</f>
        <v>32.490974729241877</v>
      </c>
    </row>
    <row r="402" spans="1:7" x14ac:dyDescent="0.25">
      <c r="A402" s="5">
        <v>45808.354166666664</v>
      </c>
      <c r="B402">
        <v>53</v>
      </c>
      <c r="C402" t="s">
        <v>65</v>
      </c>
      <c r="D402" t="s">
        <v>66</v>
      </c>
      <c r="E402">
        <v>1.46</v>
      </c>
      <c r="F402">
        <v>3.48</v>
      </c>
      <c r="G402" s="8">
        <f>E402*60/F402</f>
        <v>25.172413793103448</v>
      </c>
    </row>
    <row r="403" spans="1:7" x14ac:dyDescent="0.25">
      <c r="A403" s="5">
        <v>45808.354166666664</v>
      </c>
      <c r="B403">
        <v>54</v>
      </c>
      <c r="C403" t="s">
        <v>67</v>
      </c>
      <c r="D403" t="s">
        <v>68</v>
      </c>
      <c r="E403">
        <v>1.46</v>
      </c>
      <c r="F403">
        <v>2.4300000000000002</v>
      </c>
      <c r="G403" s="8">
        <f>E403*60/F403</f>
        <v>36.049382716049379</v>
      </c>
    </row>
    <row r="404" spans="1:7" x14ac:dyDescent="0.25">
      <c r="A404" s="5">
        <v>45808.354166666664</v>
      </c>
      <c r="B404">
        <v>55</v>
      </c>
      <c r="C404" t="s">
        <v>68</v>
      </c>
      <c r="D404" t="s">
        <v>69</v>
      </c>
      <c r="E404">
        <v>1.5</v>
      </c>
      <c r="F404">
        <v>1.83</v>
      </c>
      <c r="G404" s="8">
        <f>E404*60/F404</f>
        <v>49.180327868852459</v>
      </c>
    </row>
    <row r="405" spans="1:7" x14ac:dyDescent="0.25">
      <c r="A405" s="5">
        <v>45808.354166666664</v>
      </c>
      <c r="B405">
        <v>56</v>
      </c>
      <c r="C405" t="s">
        <v>70</v>
      </c>
      <c r="D405" t="s">
        <v>71</v>
      </c>
      <c r="E405">
        <v>1.51</v>
      </c>
      <c r="F405">
        <v>3.55</v>
      </c>
      <c r="G405" s="8">
        <f>E405*60/F405</f>
        <v>25.52112676056338</v>
      </c>
    </row>
    <row r="406" spans="1:7" x14ac:dyDescent="0.25">
      <c r="A406" s="5">
        <v>45808.354166666664</v>
      </c>
      <c r="B406">
        <v>57</v>
      </c>
      <c r="C406" t="s">
        <v>71</v>
      </c>
      <c r="D406" t="s">
        <v>72</v>
      </c>
      <c r="E406">
        <v>1.52</v>
      </c>
      <c r="F406">
        <v>3.38</v>
      </c>
      <c r="G406" s="8">
        <f>E406*60/F406</f>
        <v>26.982248520710062</v>
      </c>
    </row>
    <row r="407" spans="1:7" x14ac:dyDescent="0.25">
      <c r="A407" s="5">
        <v>45808.354166666664</v>
      </c>
      <c r="B407">
        <v>58</v>
      </c>
      <c r="C407" t="s">
        <v>72</v>
      </c>
      <c r="D407" t="s">
        <v>73</v>
      </c>
      <c r="E407">
        <v>1.5</v>
      </c>
      <c r="F407">
        <v>3.27</v>
      </c>
      <c r="G407" s="8">
        <f>E407*60/F407</f>
        <v>27.522935779816514</v>
      </c>
    </row>
    <row r="408" spans="1:7" x14ac:dyDescent="0.25">
      <c r="A408" s="5">
        <v>45808.364583333336</v>
      </c>
      <c r="B408">
        <v>1</v>
      </c>
      <c r="C408" t="s">
        <v>6</v>
      </c>
      <c r="D408" t="s">
        <v>7</v>
      </c>
      <c r="E408">
        <v>1.53</v>
      </c>
      <c r="F408">
        <v>3.02</v>
      </c>
      <c r="G408" s="8">
        <f>E408*60/F408</f>
        <v>30.397350993377483</v>
      </c>
    </row>
    <row r="409" spans="1:7" x14ac:dyDescent="0.25">
      <c r="A409" s="5">
        <v>45808.364583333336</v>
      </c>
      <c r="B409">
        <v>2</v>
      </c>
      <c r="C409" t="s">
        <v>7</v>
      </c>
      <c r="D409" t="s">
        <v>8</v>
      </c>
      <c r="E409">
        <v>1.57</v>
      </c>
      <c r="F409">
        <v>4.28</v>
      </c>
      <c r="G409" s="8">
        <f>E409*60/F409</f>
        <v>22.009345794392523</v>
      </c>
    </row>
    <row r="410" spans="1:7" x14ac:dyDescent="0.25">
      <c r="A410" s="5">
        <v>45808.364583333336</v>
      </c>
      <c r="B410">
        <v>3</v>
      </c>
      <c r="C410" t="s">
        <v>8</v>
      </c>
      <c r="D410" t="s">
        <v>9</v>
      </c>
      <c r="E410">
        <v>1.5</v>
      </c>
      <c r="F410">
        <v>2.8</v>
      </c>
      <c r="G410" s="8">
        <f>E410*60/F410</f>
        <v>32.142857142857146</v>
      </c>
    </row>
    <row r="411" spans="1:7" x14ac:dyDescent="0.25">
      <c r="A411" s="5">
        <v>45808.364583333336</v>
      </c>
      <c r="B411">
        <v>4</v>
      </c>
      <c r="C411" t="s">
        <v>9</v>
      </c>
      <c r="D411" t="s">
        <v>10</v>
      </c>
      <c r="E411">
        <v>1.5</v>
      </c>
      <c r="F411">
        <v>2.6</v>
      </c>
      <c r="G411" s="8">
        <f>E411*60/F411</f>
        <v>34.615384615384613</v>
      </c>
    </row>
    <row r="412" spans="1:7" x14ac:dyDescent="0.25">
      <c r="A412" s="5">
        <v>45808.364583333336</v>
      </c>
      <c r="B412">
        <v>5</v>
      </c>
      <c r="C412" t="s">
        <v>10</v>
      </c>
      <c r="D412" t="s">
        <v>11</v>
      </c>
      <c r="E412">
        <v>1.52</v>
      </c>
      <c r="F412">
        <v>2.95</v>
      </c>
      <c r="G412" s="8">
        <f>E412*60/F412</f>
        <v>30.915254237288135</v>
      </c>
    </row>
    <row r="413" spans="1:7" x14ac:dyDescent="0.25">
      <c r="A413" s="5">
        <v>45808.364583333336</v>
      </c>
      <c r="B413">
        <v>6</v>
      </c>
      <c r="C413" t="s">
        <v>11</v>
      </c>
      <c r="D413" t="s">
        <v>12</v>
      </c>
      <c r="E413">
        <v>1.5</v>
      </c>
      <c r="F413">
        <v>2.48</v>
      </c>
      <c r="G413" s="8">
        <f>E413*60/F413</f>
        <v>36.29032258064516</v>
      </c>
    </row>
    <row r="414" spans="1:7" x14ac:dyDescent="0.25">
      <c r="A414" s="5">
        <v>45808.364583333336</v>
      </c>
      <c r="B414">
        <v>7</v>
      </c>
      <c r="C414" t="s">
        <v>12</v>
      </c>
      <c r="D414" t="s">
        <v>13</v>
      </c>
      <c r="E414">
        <v>1.54</v>
      </c>
      <c r="F414">
        <v>2.58</v>
      </c>
      <c r="G414" s="8">
        <f>E414*60/F414</f>
        <v>35.813953488372093</v>
      </c>
    </row>
    <row r="415" spans="1:7" x14ac:dyDescent="0.25">
      <c r="A415" s="5">
        <v>45808.364583333336</v>
      </c>
      <c r="B415">
        <v>8</v>
      </c>
      <c r="C415" t="s">
        <v>13</v>
      </c>
      <c r="D415" t="s">
        <v>14</v>
      </c>
      <c r="E415">
        <v>1.54</v>
      </c>
      <c r="F415">
        <v>3.07</v>
      </c>
      <c r="G415" s="8">
        <f>E415*60/F415</f>
        <v>30.097719869706843</v>
      </c>
    </row>
    <row r="416" spans="1:7" x14ac:dyDescent="0.25">
      <c r="A416" s="5">
        <v>45808.364583333336</v>
      </c>
      <c r="B416">
        <v>9</v>
      </c>
      <c r="C416" t="s">
        <v>14</v>
      </c>
      <c r="D416" t="s">
        <v>15</v>
      </c>
      <c r="E416">
        <v>1.52</v>
      </c>
      <c r="F416">
        <v>2.82</v>
      </c>
      <c r="G416" s="8">
        <f>E416*60/F416</f>
        <v>32.340425531914896</v>
      </c>
    </row>
    <row r="417" spans="1:7" x14ac:dyDescent="0.25">
      <c r="A417" s="5">
        <v>45808.364583333336</v>
      </c>
      <c r="B417">
        <v>10</v>
      </c>
      <c r="C417" t="s">
        <v>15</v>
      </c>
      <c r="D417" t="s">
        <v>16</v>
      </c>
      <c r="E417">
        <v>1.5</v>
      </c>
      <c r="F417">
        <v>3.3</v>
      </c>
      <c r="G417" s="8">
        <f>E417*60/F417</f>
        <v>27.272727272727273</v>
      </c>
    </row>
    <row r="418" spans="1:7" x14ac:dyDescent="0.25">
      <c r="A418" s="5">
        <v>45808.364583333336</v>
      </c>
      <c r="B418">
        <v>11</v>
      </c>
      <c r="C418" t="s">
        <v>16</v>
      </c>
      <c r="D418" t="s">
        <v>17</v>
      </c>
      <c r="E418">
        <v>1.48</v>
      </c>
      <c r="F418">
        <v>2.35</v>
      </c>
      <c r="G418" s="8">
        <f>E418*60/F418</f>
        <v>37.787234042553187</v>
      </c>
    </row>
    <row r="419" spans="1:7" x14ac:dyDescent="0.25">
      <c r="A419" s="5">
        <v>45808.364583333336</v>
      </c>
      <c r="B419">
        <v>12</v>
      </c>
      <c r="C419" t="s">
        <v>17</v>
      </c>
      <c r="D419" t="s">
        <v>18</v>
      </c>
      <c r="E419">
        <v>1.46</v>
      </c>
      <c r="F419">
        <v>3.05</v>
      </c>
      <c r="G419" s="8">
        <f>E419*60/F419</f>
        <v>28.721311475409834</v>
      </c>
    </row>
    <row r="420" spans="1:7" x14ac:dyDescent="0.25">
      <c r="A420" s="5">
        <v>45808.364583333336</v>
      </c>
      <c r="B420">
        <v>13</v>
      </c>
      <c r="C420" t="s">
        <v>18</v>
      </c>
      <c r="D420" t="s">
        <v>19</v>
      </c>
      <c r="E420">
        <v>1.52</v>
      </c>
      <c r="F420">
        <v>3.03</v>
      </c>
      <c r="G420" s="8">
        <f>E420*60/F420</f>
        <v>30.099009900990101</v>
      </c>
    </row>
    <row r="421" spans="1:7" x14ac:dyDescent="0.25">
      <c r="A421" s="5">
        <v>45808.364583333336</v>
      </c>
      <c r="B421">
        <v>14</v>
      </c>
      <c r="C421" t="s">
        <v>19</v>
      </c>
      <c r="D421" t="s">
        <v>20</v>
      </c>
      <c r="E421">
        <v>1.51</v>
      </c>
      <c r="F421">
        <v>2.93</v>
      </c>
      <c r="G421" s="8">
        <f>E421*60/F421</f>
        <v>30.921501706484637</v>
      </c>
    </row>
    <row r="422" spans="1:7" x14ac:dyDescent="0.25">
      <c r="A422" s="5">
        <v>45808.364583333336</v>
      </c>
      <c r="B422">
        <v>15</v>
      </c>
      <c r="C422" t="s">
        <v>20</v>
      </c>
      <c r="D422" t="s">
        <v>21</v>
      </c>
      <c r="E422">
        <v>1.47</v>
      </c>
      <c r="F422">
        <v>1.98</v>
      </c>
      <c r="G422" s="8">
        <f>E422*60/F422</f>
        <v>44.545454545454547</v>
      </c>
    </row>
    <row r="423" spans="1:7" x14ac:dyDescent="0.25">
      <c r="A423" s="5">
        <v>45808.364583333336</v>
      </c>
      <c r="B423">
        <v>16</v>
      </c>
      <c r="C423" t="s">
        <v>21</v>
      </c>
      <c r="D423" t="s">
        <v>22</v>
      </c>
      <c r="E423">
        <v>1.5</v>
      </c>
      <c r="F423">
        <v>1.73</v>
      </c>
      <c r="G423" s="8">
        <f>E423*60/F423</f>
        <v>52.02312138728324</v>
      </c>
    </row>
    <row r="424" spans="1:7" x14ac:dyDescent="0.25">
      <c r="A424" s="5">
        <v>45808.364583333336</v>
      </c>
      <c r="B424">
        <v>17</v>
      </c>
      <c r="C424" t="s">
        <v>22</v>
      </c>
      <c r="D424" t="s">
        <v>23</v>
      </c>
      <c r="E424">
        <v>1.51</v>
      </c>
      <c r="F424">
        <v>2.63</v>
      </c>
      <c r="G424" s="8">
        <f>E424*60/F424</f>
        <v>34.448669201520914</v>
      </c>
    </row>
    <row r="425" spans="1:7" x14ac:dyDescent="0.25">
      <c r="A425" s="5">
        <v>45808.364583333336</v>
      </c>
      <c r="B425">
        <v>18</v>
      </c>
      <c r="C425" t="s">
        <v>23</v>
      </c>
      <c r="D425" t="s">
        <v>24</v>
      </c>
      <c r="E425">
        <v>1.51</v>
      </c>
      <c r="F425">
        <v>2.73</v>
      </c>
      <c r="G425" s="8">
        <f>E425*60/F425</f>
        <v>33.186813186813183</v>
      </c>
    </row>
    <row r="426" spans="1:7" x14ac:dyDescent="0.25">
      <c r="A426" s="5">
        <v>45808.364583333336</v>
      </c>
      <c r="B426">
        <v>19</v>
      </c>
      <c r="C426" t="s">
        <v>25</v>
      </c>
      <c r="D426" t="s">
        <v>26</v>
      </c>
      <c r="E426">
        <v>1.5</v>
      </c>
      <c r="F426">
        <v>3.32</v>
      </c>
      <c r="G426" s="8">
        <f>E426*60/F426</f>
        <v>27.108433734939759</v>
      </c>
    </row>
    <row r="427" spans="1:7" x14ac:dyDescent="0.25">
      <c r="A427" s="5">
        <v>45808.364583333336</v>
      </c>
      <c r="B427">
        <v>20</v>
      </c>
      <c r="C427" t="s">
        <v>26</v>
      </c>
      <c r="D427" t="s">
        <v>27</v>
      </c>
      <c r="E427">
        <v>1.48</v>
      </c>
      <c r="F427">
        <v>3.48</v>
      </c>
      <c r="G427" s="8">
        <f>E427*60/F427</f>
        <v>25.517241379310345</v>
      </c>
    </row>
    <row r="428" spans="1:7" x14ac:dyDescent="0.25">
      <c r="A428" s="5">
        <v>45808.364583333336</v>
      </c>
      <c r="B428">
        <v>21</v>
      </c>
      <c r="C428" t="s">
        <v>27</v>
      </c>
      <c r="D428" t="s">
        <v>28</v>
      </c>
      <c r="E428">
        <v>1.51</v>
      </c>
      <c r="F428">
        <v>2.9</v>
      </c>
      <c r="G428" s="8">
        <f>E428*60/F428</f>
        <v>31.241379310344826</v>
      </c>
    </row>
    <row r="429" spans="1:7" x14ac:dyDescent="0.25">
      <c r="A429" s="5">
        <v>45808.364583333336</v>
      </c>
      <c r="B429">
        <v>22</v>
      </c>
      <c r="C429" t="s">
        <v>28</v>
      </c>
      <c r="D429" t="s">
        <v>29</v>
      </c>
      <c r="E429">
        <v>1.57</v>
      </c>
      <c r="F429">
        <v>3.15</v>
      </c>
      <c r="G429" s="8">
        <f>E429*60/F429</f>
        <v>29.904761904761905</v>
      </c>
    </row>
    <row r="430" spans="1:7" x14ac:dyDescent="0.25">
      <c r="A430" s="5">
        <v>45808.364583333336</v>
      </c>
      <c r="B430">
        <v>23</v>
      </c>
      <c r="C430" t="s">
        <v>29</v>
      </c>
      <c r="D430" t="s">
        <v>30</v>
      </c>
      <c r="E430">
        <v>1.43</v>
      </c>
      <c r="F430">
        <v>3.05</v>
      </c>
      <c r="G430" s="8">
        <f>E430*60/F430</f>
        <v>28.131147540983608</v>
      </c>
    </row>
    <row r="431" spans="1:7" x14ac:dyDescent="0.25">
      <c r="A431" s="5">
        <v>45808.364583333336</v>
      </c>
      <c r="B431">
        <v>24</v>
      </c>
      <c r="C431" t="s">
        <v>30</v>
      </c>
      <c r="D431" t="s">
        <v>31</v>
      </c>
      <c r="E431">
        <v>1.52</v>
      </c>
      <c r="F431">
        <v>2.9</v>
      </c>
      <c r="G431" s="8">
        <f>E431*60/F431</f>
        <v>31.448275862068968</v>
      </c>
    </row>
    <row r="432" spans="1:7" x14ac:dyDescent="0.25">
      <c r="A432" s="5">
        <v>45808.364583333336</v>
      </c>
      <c r="B432">
        <v>25</v>
      </c>
      <c r="C432" t="s">
        <v>31</v>
      </c>
      <c r="D432" t="s">
        <v>32</v>
      </c>
      <c r="E432">
        <v>1.52</v>
      </c>
      <c r="F432">
        <v>3.12</v>
      </c>
      <c r="G432" s="8">
        <f>E432*60/F432</f>
        <v>29.23076923076923</v>
      </c>
    </row>
    <row r="433" spans="1:7" x14ac:dyDescent="0.25">
      <c r="A433" s="5">
        <v>45808.364583333336</v>
      </c>
      <c r="B433">
        <v>26</v>
      </c>
      <c r="C433" t="s">
        <v>32</v>
      </c>
      <c r="D433" t="s">
        <v>33</v>
      </c>
      <c r="E433">
        <v>1.49</v>
      </c>
      <c r="F433">
        <v>3.05</v>
      </c>
      <c r="G433" s="8">
        <f>E433*60/F433</f>
        <v>29.311475409836071</v>
      </c>
    </row>
    <row r="434" spans="1:7" x14ac:dyDescent="0.25">
      <c r="A434" s="5">
        <v>45808.364583333336</v>
      </c>
      <c r="B434">
        <v>27</v>
      </c>
      <c r="C434" t="s">
        <v>33</v>
      </c>
      <c r="D434" t="s">
        <v>34</v>
      </c>
      <c r="E434">
        <v>1.53</v>
      </c>
      <c r="F434">
        <v>3.07</v>
      </c>
      <c r="G434" s="8">
        <f>E434*60/F434</f>
        <v>29.90228013029316</v>
      </c>
    </row>
    <row r="435" spans="1:7" x14ac:dyDescent="0.25">
      <c r="A435" s="5">
        <v>45808.364583333336</v>
      </c>
      <c r="B435">
        <v>28</v>
      </c>
      <c r="C435" t="s">
        <v>34</v>
      </c>
      <c r="D435" t="s">
        <v>35</v>
      </c>
      <c r="E435">
        <v>1.51</v>
      </c>
      <c r="F435">
        <v>3.88</v>
      </c>
      <c r="G435" s="8">
        <f>E435*60/F435</f>
        <v>23.350515463917525</v>
      </c>
    </row>
    <row r="436" spans="1:7" x14ac:dyDescent="0.25">
      <c r="A436" s="5">
        <v>45808.364583333336</v>
      </c>
      <c r="B436">
        <v>29</v>
      </c>
      <c r="C436" t="s">
        <v>36</v>
      </c>
      <c r="D436" t="s">
        <v>37</v>
      </c>
      <c r="E436">
        <v>1.57</v>
      </c>
      <c r="F436">
        <v>3.67</v>
      </c>
      <c r="G436" s="8">
        <f>E436*60/F436</f>
        <v>25.667574931880111</v>
      </c>
    </row>
    <row r="437" spans="1:7" x14ac:dyDescent="0.25">
      <c r="A437" s="5">
        <v>45808.364583333336</v>
      </c>
      <c r="B437">
        <v>30</v>
      </c>
      <c r="C437" t="s">
        <v>37</v>
      </c>
      <c r="D437" t="s">
        <v>38</v>
      </c>
      <c r="E437">
        <v>1.57</v>
      </c>
      <c r="F437">
        <v>4.87</v>
      </c>
      <c r="G437" s="8">
        <f>E437*60/F437</f>
        <v>19.342915811088297</v>
      </c>
    </row>
    <row r="438" spans="1:7" x14ac:dyDescent="0.25">
      <c r="A438" s="5">
        <v>45808.364583333336</v>
      </c>
      <c r="B438">
        <v>31</v>
      </c>
      <c r="C438" t="s">
        <v>38</v>
      </c>
      <c r="D438" t="s">
        <v>39</v>
      </c>
      <c r="E438">
        <v>1.52</v>
      </c>
      <c r="F438">
        <v>2.4700000000000002</v>
      </c>
      <c r="G438" s="8">
        <f>E438*60/F438</f>
        <v>36.92307692307692</v>
      </c>
    </row>
    <row r="439" spans="1:7" x14ac:dyDescent="0.25">
      <c r="A439" s="5">
        <v>45808.364583333336</v>
      </c>
      <c r="B439">
        <v>32</v>
      </c>
      <c r="C439" t="s">
        <v>39</v>
      </c>
      <c r="D439" t="s">
        <v>40</v>
      </c>
      <c r="E439">
        <v>1.5</v>
      </c>
      <c r="F439">
        <v>1.67</v>
      </c>
      <c r="G439" s="8">
        <f>E439*60/F439</f>
        <v>53.892215568862277</v>
      </c>
    </row>
    <row r="440" spans="1:7" x14ac:dyDescent="0.25">
      <c r="A440" s="5">
        <v>45808.364583333336</v>
      </c>
      <c r="B440">
        <v>33</v>
      </c>
      <c r="C440" t="s">
        <v>40</v>
      </c>
      <c r="D440" t="s">
        <v>41</v>
      </c>
      <c r="E440">
        <v>1.51</v>
      </c>
      <c r="F440">
        <v>1.73</v>
      </c>
      <c r="G440" s="8">
        <f>E440*60/F440</f>
        <v>52.369942196531788</v>
      </c>
    </row>
    <row r="441" spans="1:7" x14ac:dyDescent="0.25">
      <c r="A441" s="5">
        <v>45808.364583333336</v>
      </c>
      <c r="B441">
        <v>34</v>
      </c>
      <c r="C441" t="s">
        <v>41</v>
      </c>
      <c r="D441" t="s">
        <v>42</v>
      </c>
      <c r="E441">
        <v>1.5</v>
      </c>
      <c r="F441">
        <v>1.77</v>
      </c>
      <c r="G441" s="8">
        <f>E441*60/F441</f>
        <v>50.847457627118644</v>
      </c>
    </row>
    <row r="442" spans="1:7" x14ac:dyDescent="0.25">
      <c r="A442" s="5">
        <v>45808.364583333336</v>
      </c>
      <c r="B442">
        <v>35</v>
      </c>
      <c r="C442" t="s">
        <v>43</v>
      </c>
      <c r="D442" t="s">
        <v>44</v>
      </c>
      <c r="E442">
        <v>1.55</v>
      </c>
      <c r="F442">
        <v>3.18</v>
      </c>
      <c r="G442" s="8">
        <f>E442*60/F442</f>
        <v>29.245283018867923</v>
      </c>
    </row>
    <row r="443" spans="1:7" x14ac:dyDescent="0.25">
      <c r="A443" s="5">
        <v>45808.364583333336</v>
      </c>
      <c r="B443">
        <v>36</v>
      </c>
      <c r="C443" t="s">
        <v>44</v>
      </c>
      <c r="D443" t="s">
        <v>45</v>
      </c>
      <c r="E443">
        <v>1.5</v>
      </c>
      <c r="F443">
        <v>2.73</v>
      </c>
      <c r="G443" s="8">
        <f>E443*60/F443</f>
        <v>32.967032967032971</v>
      </c>
    </row>
    <row r="444" spans="1:7" x14ac:dyDescent="0.25">
      <c r="A444" s="5">
        <v>45808.364583333336</v>
      </c>
      <c r="B444">
        <v>37</v>
      </c>
      <c r="C444" t="s">
        <v>45</v>
      </c>
      <c r="D444" t="s">
        <v>46</v>
      </c>
      <c r="E444">
        <v>1.38</v>
      </c>
      <c r="F444">
        <v>3.42</v>
      </c>
      <c r="G444" s="8">
        <f>E444*60/F444</f>
        <v>24.210526315789473</v>
      </c>
    </row>
    <row r="445" spans="1:7" x14ac:dyDescent="0.25">
      <c r="A445" s="5">
        <v>45808.364583333336</v>
      </c>
      <c r="B445">
        <v>38</v>
      </c>
      <c r="C445" t="s">
        <v>46</v>
      </c>
      <c r="D445" t="s">
        <v>47</v>
      </c>
      <c r="E445">
        <v>1.61</v>
      </c>
      <c r="F445">
        <v>3.65</v>
      </c>
      <c r="G445" s="8">
        <f>E445*60/F445</f>
        <v>26.465753424657539</v>
      </c>
    </row>
    <row r="446" spans="1:7" x14ac:dyDescent="0.25">
      <c r="A446" s="5">
        <v>45808.364583333336</v>
      </c>
      <c r="B446">
        <v>39</v>
      </c>
      <c r="C446" t="s">
        <v>47</v>
      </c>
      <c r="D446" t="s">
        <v>48</v>
      </c>
      <c r="E446">
        <v>1.55</v>
      </c>
      <c r="F446">
        <v>3.28</v>
      </c>
      <c r="G446" s="8">
        <f>E446*60/F446</f>
        <v>28.353658536585368</v>
      </c>
    </row>
    <row r="447" spans="1:7" x14ac:dyDescent="0.25">
      <c r="A447" s="5">
        <v>45808.364583333336</v>
      </c>
      <c r="B447">
        <v>40</v>
      </c>
      <c r="C447" t="s">
        <v>48</v>
      </c>
      <c r="D447" t="s">
        <v>49</v>
      </c>
      <c r="E447">
        <v>1.39</v>
      </c>
      <c r="F447">
        <v>2.82</v>
      </c>
      <c r="G447" s="8">
        <f>E447*60/F447</f>
        <v>29.574468085106382</v>
      </c>
    </row>
    <row r="448" spans="1:7" x14ac:dyDescent="0.25">
      <c r="A448" s="5">
        <v>45808.364583333336</v>
      </c>
      <c r="B448">
        <v>41</v>
      </c>
      <c r="C448" t="s">
        <v>50</v>
      </c>
      <c r="D448" t="s">
        <v>51</v>
      </c>
      <c r="E448">
        <v>1.56</v>
      </c>
      <c r="F448">
        <v>3.37</v>
      </c>
      <c r="G448" s="8">
        <f>E448*60/F448</f>
        <v>27.774480712166174</v>
      </c>
    </row>
    <row r="449" spans="1:7" x14ac:dyDescent="0.25">
      <c r="A449" s="5">
        <v>45808.364583333336</v>
      </c>
      <c r="B449">
        <v>42</v>
      </c>
      <c r="C449" t="s">
        <v>51</v>
      </c>
      <c r="D449" t="s">
        <v>52</v>
      </c>
      <c r="E449">
        <v>1.56</v>
      </c>
      <c r="F449">
        <v>3.6</v>
      </c>
      <c r="G449" s="8">
        <f>E449*60/F449</f>
        <v>26</v>
      </c>
    </row>
    <row r="450" spans="1:7" x14ac:dyDescent="0.25">
      <c r="A450" s="5">
        <v>45808.364583333336</v>
      </c>
      <c r="B450">
        <v>43</v>
      </c>
      <c r="C450" t="s">
        <v>52</v>
      </c>
      <c r="D450" t="s">
        <v>53</v>
      </c>
      <c r="E450">
        <v>1.51</v>
      </c>
      <c r="F450">
        <v>3.3</v>
      </c>
      <c r="G450" s="8">
        <f>E450*60/F450</f>
        <v>27.454545454545453</v>
      </c>
    </row>
    <row r="451" spans="1:7" x14ac:dyDescent="0.25">
      <c r="A451" s="5">
        <v>45808.364583333336</v>
      </c>
      <c r="B451">
        <v>44</v>
      </c>
      <c r="C451" t="s">
        <v>54</v>
      </c>
      <c r="D451" t="s">
        <v>55</v>
      </c>
      <c r="E451">
        <v>1.51</v>
      </c>
      <c r="F451">
        <v>3.62</v>
      </c>
      <c r="G451" s="8">
        <f>E451*60/F451</f>
        <v>25.027624309392262</v>
      </c>
    </row>
    <row r="452" spans="1:7" x14ac:dyDescent="0.25">
      <c r="A452" s="5">
        <v>45808.364583333336</v>
      </c>
      <c r="B452">
        <v>45</v>
      </c>
      <c r="C452" t="s">
        <v>55</v>
      </c>
      <c r="D452" t="s">
        <v>56</v>
      </c>
      <c r="E452">
        <v>1.49</v>
      </c>
      <c r="F452">
        <v>2.93</v>
      </c>
      <c r="G452" s="8">
        <f>E452*60/F452</f>
        <v>30.511945392491469</v>
      </c>
    </row>
    <row r="453" spans="1:7" x14ac:dyDescent="0.25">
      <c r="A453" s="5">
        <v>45808.364583333336</v>
      </c>
      <c r="B453">
        <v>46</v>
      </c>
      <c r="C453" t="s">
        <v>56</v>
      </c>
      <c r="D453" t="s">
        <v>57</v>
      </c>
      <c r="E453">
        <v>1.52</v>
      </c>
      <c r="F453">
        <v>3.53</v>
      </c>
      <c r="G453" s="8">
        <f>E453*60/F453</f>
        <v>25.835694050991503</v>
      </c>
    </row>
    <row r="454" spans="1:7" x14ac:dyDescent="0.25">
      <c r="A454" s="5">
        <v>45808.364583333336</v>
      </c>
      <c r="B454">
        <v>47</v>
      </c>
      <c r="C454" t="s">
        <v>58</v>
      </c>
      <c r="D454" t="s">
        <v>59</v>
      </c>
      <c r="E454">
        <v>1.52</v>
      </c>
      <c r="F454">
        <v>3.33</v>
      </c>
      <c r="G454" s="8">
        <f>E454*60/F454</f>
        <v>27.387387387387388</v>
      </c>
    </row>
    <row r="455" spans="1:7" x14ac:dyDescent="0.25">
      <c r="A455" s="5">
        <v>45808.364583333336</v>
      </c>
      <c r="B455">
        <v>48</v>
      </c>
      <c r="C455" t="s">
        <v>59</v>
      </c>
      <c r="D455" t="s">
        <v>60</v>
      </c>
      <c r="E455">
        <v>1.5</v>
      </c>
      <c r="F455">
        <v>3.23</v>
      </c>
      <c r="G455" s="8">
        <f>E455*60/F455</f>
        <v>27.86377708978328</v>
      </c>
    </row>
    <row r="456" spans="1:7" x14ac:dyDescent="0.25">
      <c r="A456" s="5">
        <v>45808.364583333336</v>
      </c>
      <c r="B456">
        <v>49</v>
      </c>
      <c r="C456" t="s">
        <v>60</v>
      </c>
      <c r="D456" t="s">
        <v>61</v>
      </c>
      <c r="E456">
        <v>1.54</v>
      </c>
      <c r="F456">
        <v>3.63</v>
      </c>
      <c r="G456" s="8">
        <f>E456*60/F456</f>
        <v>25.454545454545457</v>
      </c>
    </row>
    <row r="457" spans="1:7" x14ac:dyDescent="0.25">
      <c r="A457" s="5">
        <v>45808.364583333336</v>
      </c>
      <c r="B457">
        <v>50</v>
      </c>
      <c r="C457" t="s">
        <v>62</v>
      </c>
      <c r="D457" t="s">
        <v>63</v>
      </c>
      <c r="E457">
        <v>1.38</v>
      </c>
      <c r="F457">
        <v>2.95</v>
      </c>
      <c r="G457" s="8">
        <f>E457*60/F457</f>
        <v>28.067796610169488</v>
      </c>
    </row>
    <row r="458" spans="1:7" x14ac:dyDescent="0.25">
      <c r="A458" s="5">
        <v>45808.364583333336</v>
      </c>
      <c r="B458">
        <v>51</v>
      </c>
      <c r="C458" t="s">
        <v>63</v>
      </c>
      <c r="D458" t="s">
        <v>64</v>
      </c>
      <c r="E458">
        <v>2.79</v>
      </c>
      <c r="F458">
        <v>5.12</v>
      </c>
      <c r="G458" s="8">
        <f>E458*60/F458</f>
        <v>32.6953125</v>
      </c>
    </row>
    <row r="459" spans="1:7" x14ac:dyDescent="0.25">
      <c r="A459" s="5">
        <v>45808.364583333336</v>
      </c>
      <c r="B459">
        <v>52</v>
      </c>
      <c r="C459" t="s">
        <v>64</v>
      </c>
      <c r="D459" t="s">
        <v>65</v>
      </c>
      <c r="E459">
        <v>1.5</v>
      </c>
      <c r="F459">
        <v>2.78</v>
      </c>
      <c r="G459" s="8">
        <f>E459*60/F459</f>
        <v>32.374100719424462</v>
      </c>
    </row>
    <row r="460" spans="1:7" x14ac:dyDescent="0.25">
      <c r="A460" s="5">
        <v>45808.364583333336</v>
      </c>
      <c r="B460">
        <v>53</v>
      </c>
      <c r="C460" t="s">
        <v>65</v>
      </c>
      <c r="D460" t="s">
        <v>66</v>
      </c>
      <c r="E460">
        <v>1.46</v>
      </c>
      <c r="F460">
        <v>3.48</v>
      </c>
      <c r="G460" s="8">
        <f>E460*60/F460</f>
        <v>25.172413793103448</v>
      </c>
    </row>
    <row r="461" spans="1:7" x14ac:dyDescent="0.25">
      <c r="A461" s="5">
        <v>45808.364583333336</v>
      </c>
      <c r="B461">
        <v>54</v>
      </c>
      <c r="C461" t="s">
        <v>67</v>
      </c>
      <c r="D461" t="s">
        <v>68</v>
      </c>
      <c r="E461">
        <v>1.46</v>
      </c>
      <c r="F461">
        <v>2.4300000000000002</v>
      </c>
      <c r="G461" s="8">
        <f>E461*60/F461</f>
        <v>36.049382716049379</v>
      </c>
    </row>
    <row r="462" spans="1:7" x14ac:dyDescent="0.25">
      <c r="A462" s="5">
        <v>45808.364583333336</v>
      </c>
      <c r="B462">
        <v>55</v>
      </c>
      <c r="C462" t="s">
        <v>68</v>
      </c>
      <c r="D462" t="s">
        <v>69</v>
      </c>
      <c r="E462">
        <v>1.5</v>
      </c>
      <c r="F462">
        <v>2.2000000000000002</v>
      </c>
      <c r="G462" s="8">
        <f>E462*60/F462</f>
        <v>40.909090909090907</v>
      </c>
    </row>
    <row r="463" spans="1:7" x14ac:dyDescent="0.25">
      <c r="A463" s="5">
        <v>45808.364583333336</v>
      </c>
      <c r="B463">
        <v>56</v>
      </c>
      <c r="C463" t="s">
        <v>70</v>
      </c>
      <c r="D463" t="s">
        <v>71</v>
      </c>
      <c r="E463">
        <v>1.51</v>
      </c>
      <c r="F463">
        <v>3.65</v>
      </c>
      <c r="G463" s="8">
        <f>E463*60/F463</f>
        <v>24.821917808219176</v>
      </c>
    </row>
    <row r="464" spans="1:7" x14ac:dyDescent="0.25">
      <c r="A464" s="5">
        <v>45808.364583333336</v>
      </c>
      <c r="B464">
        <v>57</v>
      </c>
      <c r="C464" t="s">
        <v>71</v>
      </c>
      <c r="D464" t="s">
        <v>72</v>
      </c>
      <c r="E464">
        <v>1.52</v>
      </c>
      <c r="F464">
        <v>3.48</v>
      </c>
      <c r="G464" s="8">
        <f>E464*60/F464</f>
        <v>26.206896551724139</v>
      </c>
    </row>
    <row r="465" spans="1:7" x14ac:dyDescent="0.25">
      <c r="A465" s="5">
        <v>45808.364583333336</v>
      </c>
      <c r="B465">
        <v>58</v>
      </c>
      <c r="C465" t="s">
        <v>72</v>
      </c>
      <c r="D465" t="s">
        <v>73</v>
      </c>
      <c r="E465">
        <v>1.5</v>
      </c>
      <c r="F465">
        <v>3.43</v>
      </c>
      <c r="G465" s="8">
        <f>E465*60/F465</f>
        <v>26.239067055393583</v>
      </c>
    </row>
    <row r="466" spans="1:7" x14ac:dyDescent="0.25">
      <c r="A466" s="5">
        <v>45808.375</v>
      </c>
      <c r="B466">
        <v>1</v>
      </c>
      <c r="C466" t="s">
        <v>6</v>
      </c>
      <c r="D466" t="s">
        <v>7</v>
      </c>
      <c r="E466">
        <v>1.53</v>
      </c>
      <c r="F466">
        <v>3</v>
      </c>
      <c r="G466" s="8">
        <f>E466*60/F466</f>
        <v>30.599999999999998</v>
      </c>
    </row>
    <row r="467" spans="1:7" x14ac:dyDescent="0.25">
      <c r="A467" s="5">
        <v>45808.375</v>
      </c>
      <c r="B467">
        <v>2</v>
      </c>
      <c r="C467" t="s">
        <v>7</v>
      </c>
      <c r="D467" t="s">
        <v>8</v>
      </c>
      <c r="E467">
        <v>1.57</v>
      </c>
      <c r="F467">
        <v>4.3</v>
      </c>
      <c r="G467" s="8">
        <f>E467*60/F467</f>
        <v>21.906976744186046</v>
      </c>
    </row>
    <row r="468" spans="1:7" x14ac:dyDescent="0.25">
      <c r="A468" s="5">
        <v>45808.375</v>
      </c>
      <c r="B468">
        <v>3</v>
      </c>
      <c r="C468" t="s">
        <v>8</v>
      </c>
      <c r="D468" t="s">
        <v>9</v>
      </c>
      <c r="E468">
        <v>1.5</v>
      </c>
      <c r="F468">
        <v>2.77</v>
      </c>
      <c r="G468" s="8">
        <f>E468*60/F468</f>
        <v>32.490974729241877</v>
      </c>
    </row>
    <row r="469" spans="1:7" x14ac:dyDescent="0.25">
      <c r="A469" s="5">
        <v>45808.375</v>
      </c>
      <c r="B469">
        <v>4</v>
      </c>
      <c r="C469" t="s">
        <v>9</v>
      </c>
      <c r="D469" t="s">
        <v>10</v>
      </c>
      <c r="E469">
        <v>1.5</v>
      </c>
      <c r="F469">
        <v>2.67</v>
      </c>
      <c r="G469" s="8">
        <f>E469*60/F469</f>
        <v>33.707865168539328</v>
      </c>
    </row>
    <row r="470" spans="1:7" x14ac:dyDescent="0.25">
      <c r="A470" s="5">
        <v>45808.375</v>
      </c>
      <c r="B470">
        <v>5</v>
      </c>
      <c r="C470" t="s">
        <v>10</v>
      </c>
      <c r="D470" t="s">
        <v>11</v>
      </c>
      <c r="E470">
        <v>1.52</v>
      </c>
      <c r="F470">
        <v>2.87</v>
      </c>
      <c r="G470" s="8">
        <f>E470*60/F470</f>
        <v>31.777003484320556</v>
      </c>
    </row>
    <row r="471" spans="1:7" x14ac:dyDescent="0.25">
      <c r="A471" s="5">
        <v>45808.375</v>
      </c>
      <c r="B471">
        <v>6</v>
      </c>
      <c r="C471" t="s">
        <v>11</v>
      </c>
      <c r="D471" t="s">
        <v>12</v>
      </c>
      <c r="E471">
        <v>1.5</v>
      </c>
      <c r="F471">
        <v>2.52</v>
      </c>
      <c r="G471" s="8">
        <f>E471*60/F471</f>
        <v>35.714285714285715</v>
      </c>
    </row>
    <row r="472" spans="1:7" x14ac:dyDescent="0.25">
      <c r="A472" s="5">
        <v>45808.375</v>
      </c>
      <c r="B472">
        <v>7</v>
      </c>
      <c r="C472" t="s">
        <v>12</v>
      </c>
      <c r="D472" t="s">
        <v>13</v>
      </c>
      <c r="E472">
        <v>1.54</v>
      </c>
      <c r="F472">
        <v>2.57</v>
      </c>
      <c r="G472" s="8">
        <f>E472*60/F472</f>
        <v>35.953307392996116</v>
      </c>
    </row>
    <row r="473" spans="1:7" x14ac:dyDescent="0.25">
      <c r="A473" s="5">
        <v>45808.375</v>
      </c>
      <c r="B473">
        <v>8</v>
      </c>
      <c r="C473" t="s">
        <v>13</v>
      </c>
      <c r="D473" t="s">
        <v>14</v>
      </c>
      <c r="E473">
        <v>1.54</v>
      </c>
      <c r="F473">
        <v>2.98</v>
      </c>
      <c r="G473" s="8">
        <f>E473*60/F473</f>
        <v>31.006711409395976</v>
      </c>
    </row>
    <row r="474" spans="1:7" x14ac:dyDescent="0.25">
      <c r="A474" s="5">
        <v>45808.375</v>
      </c>
      <c r="B474">
        <v>9</v>
      </c>
      <c r="C474" t="s">
        <v>14</v>
      </c>
      <c r="D474" t="s">
        <v>15</v>
      </c>
      <c r="E474">
        <v>1.52</v>
      </c>
      <c r="F474">
        <v>2.97</v>
      </c>
      <c r="G474" s="8">
        <f>E474*60/F474</f>
        <v>30.707070707070706</v>
      </c>
    </row>
    <row r="475" spans="1:7" x14ac:dyDescent="0.25">
      <c r="A475" s="5">
        <v>45808.375</v>
      </c>
      <c r="B475">
        <v>10</v>
      </c>
      <c r="C475" t="s">
        <v>15</v>
      </c>
      <c r="D475" t="s">
        <v>16</v>
      </c>
      <c r="E475">
        <v>1.5</v>
      </c>
      <c r="F475">
        <v>3.18</v>
      </c>
      <c r="G475" s="8">
        <f>E475*60/F475</f>
        <v>28.30188679245283</v>
      </c>
    </row>
    <row r="476" spans="1:7" x14ac:dyDescent="0.25">
      <c r="A476" s="5">
        <v>45808.375</v>
      </c>
      <c r="B476">
        <v>11</v>
      </c>
      <c r="C476" t="s">
        <v>16</v>
      </c>
      <c r="D476" t="s">
        <v>17</v>
      </c>
      <c r="E476">
        <v>1.48</v>
      </c>
      <c r="F476">
        <v>2.38</v>
      </c>
      <c r="G476" s="8">
        <f>E476*60/F476</f>
        <v>37.310924369747902</v>
      </c>
    </row>
    <row r="477" spans="1:7" x14ac:dyDescent="0.25">
      <c r="A477" s="5">
        <v>45808.375</v>
      </c>
      <c r="B477">
        <v>12</v>
      </c>
      <c r="C477" t="s">
        <v>17</v>
      </c>
      <c r="D477" t="s">
        <v>18</v>
      </c>
      <c r="E477">
        <v>1.46</v>
      </c>
      <c r="F477">
        <v>3.28</v>
      </c>
      <c r="G477" s="8">
        <f>E477*60/F477</f>
        <v>26.707317073170731</v>
      </c>
    </row>
    <row r="478" spans="1:7" x14ac:dyDescent="0.25">
      <c r="A478" s="5">
        <v>45808.375</v>
      </c>
      <c r="B478">
        <v>13</v>
      </c>
      <c r="C478" t="s">
        <v>18</v>
      </c>
      <c r="D478" t="s">
        <v>19</v>
      </c>
      <c r="E478">
        <v>1.52</v>
      </c>
      <c r="F478">
        <v>3.13</v>
      </c>
      <c r="G478" s="8">
        <f>E478*60/F478</f>
        <v>29.137380191693293</v>
      </c>
    </row>
    <row r="479" spans="1:7" x14ac:dyDescent="0.25">
      <c r="A479" s="5">
        <v>45808.375</v>
      </c>
      <c r="B479">
        <v>14</v>
      </c>
      <c r="C479" t="s">
        <v>19</v>
      </c>
      <c r="D479" t="s">
        <v>20</v>
      </c>
      <c r="E479">
        <v>1.51</v>
      </c>
      <c r="F479">
        <v>3.03</v>
      </c>
      <c r="G479" s="8">
        <f>E479*60/F479</f>
        <v>29.900990099009903</v>
      </c>
    </row>
    <row r="480" spans="1:7" x14ac:dyDescent="0.25">
      <c r="A480" s="5">
        <v>45808.375</v>
      </c>
      <c r="B480">
        <v>15</v>
      </c>
      <c r="C480" t="s">
        <v>20</v>
      </c>
      <c r="D480" t="s">
        <v>21</v>
      </c>
      <c r="E480">
        <v>1.47</v>
      </c>
      <c r="F480">
        <v>2.1800000000000002</v>
      </c>
      <c r="G480" s="8">
        <f>E480*60/F480</f>
        <v>40.458715596330272</v>
      </c>
    </row>
    <row r="481" spans="1:7" x14ac:dyDescent="0.25">
      <c r="A481" s="5">
        <v>45808.375</v>
      </c>
      <c r="B481">
        <v>16</v>
      </c>
      <c r="C481" t="s">
        <v>21</v>
      </c>
      <c r="D481" t="s">
        <v>22</v>
      </c>
      <c r="E481">
        <v>1.5</v>
      </c>
      <c r="F481">
        <v>1.75</v>
      </c>
      <c r="G481" s="8">
        <f>E481*60/F481</f>
        <v>51.428571428571431</v>
      </c>
    </row>
    <row r="482" spans="1:7" x14ac:dyDescent="0.25">
      <c r="A482" s="5">
        <v>45808.375</v>
      </c>
      <c r="B482">
        <v>17</v>
      </c>
      <c r="C482" t="s">
        <v>22</v>
      </c>
      <c r="D482" t="s">
        <v>23</v>
      </c>
      <c r="E482">
        <v>1.51</v>
      </c>
      <c r="F482">
        <v>2.52</v>
      </c>
      <c r="G482" s="8">
        <f>E482*60/F482</f>
        <v>35.952380952380949</v>
      </c>
    </row>
    <row r="483" spans="1:7" x14ac:dyDescent="0.25">
      <c r="A483" s="5">
        <v>45808.375</v>
      </c>
      <c r="B483">
        <v>18</v>
      </c>
      <c r="C483" t="s">
        <v>23</v>
      </c>
      <c r="D483" t="s">
        <v>24</v>
      </c>
      <c r="E483">
        <v>1.51</v>
      </c>
      <c r="F483">
        <v>2.72</v>
      </c>
      <c r="G483" s="8">
        <f>E483*60/F483</f>
        <v>33.308823529411761</v>
      </c>
    </row>
    <row r="484" spans="1:7" x14ac:dyDescent="0.25">
      <c r="A484" s="5">
        <v>45808.375</v>
      </c>
      <c r="B484">
        <v>19</v>
      </c>
      <c r="C484" t="s">
        <v>25</v>
      </c>
      <c r="D484" t="s">
        <v>26</v>
      </c>
      <c r="E484">
        <v>1.5</v>
      </c>
      <c r="F484">
        <v>3.68</v>
      </c>
      <c r="G484" s="8">
        <f>E484*60/F484</f>
        <v>24.456521739130434</v>
      </c>
    </row>
    <row r="485" spans="1:7" x14ac:dyDescent="0.25">
      <c r="A485" s="5">
        <v>45808.375</v>
      </c>
      <c r="B485">
        <v>20</v>
      </c>
      <c r="C485" t="s">
        <v>26</v>
      </c>
      <c r="D485" t="s">
        <v>27</v>
      </c>
      <c r="E485">
        <v>1.48</v>
      </c>
      <c r="F485">
        <v>3.47</v>
      </c>
      <c r="G485" s="8">
        <f>E485*60/F485</f>
        <v>25.590778097982707</v>
      </c>
    </row>
    <row r="486" spans="1:7" x14ac:dyDescent="0.25">
      <c r="A486" s="5">
        <v>45808.375</v>
      </c>
      <c r="B486">
        <v>21</v>
      </c>
      <c r="C486" t="s">
        <v>27</v>
      </c>
      <c r="D486" t="s">
        <v>28</v>
      </c>
      <c r="E486">
        <v>1.51</v>
      </c>
      <c r="F486">
        <v>2.97</v>
      </c>
      <c r="G486" s="8">
        <f>E486*60/F486</f>
        <v>30.505050505050502</v>
      </c>
    </row>
    <row r="487" spans="1:7" x14ac:dyDescent="0.25">
      <c r="A487" s="5">
        <v>45808.375</v>
      </c>
      <c r="B487">
        <v>22</v>
      </c>
      <c r="C487" t="s">
        <v>28</v>
      </c>
      <c r="D487" t="s">
        <v>29</v>
      </c>
      <c r="E487">
        <v>1.57</v>
      </c>
      <c r="F487">
        <v>3.08</v>
      </c>
      <c r="G487" s="8">
        <f>E487*60/F487</f>
        <v>30.584415584415584</v>
      </c>
    </row>
    <row r="488" spans="1:7" x14ac:dyDescent="0.25">
      <c r="A488" s="5">
        <v>45808.375</v>
      </c>
      <c r="B488">
        <v>23</v>
      </c>
      <c r="C488" t="s">
        <v>29</v>
      </c>
      <c r="D488" t="s">
        <v>30</v>
      </c>
      <c r="E488">
        <v>1.43</v>
      </c>
      <c r="F488">
        <v>3.15</v>
      </c>
      <c r="G488" s="8">
        <f>E488*60/F488</f>
        <v>27.238095238095237</v>
      </c>
    </row>
    <row r="489" spans="1:7" x14ac:dyDescent="0.25">
      <c r="A489" s="5">
        <v>45808.375</v>
      </c>
      <c r="B489">
        <v>24</v>
      </c>
      <c r="C489" t="s">
        <v>30</v>
      </c>
      <c r="D489" t="s">
        <v>31</v>
      </c>
      <c r="E489">
        <v>1.52</v>
      </c>
      <c r="F489">
        <v>2.9</v>
      </c>
      <c r="G489" s="8">
        <f>E489*60/F489</f>
        <v>31.448275862068968</v>
      </c>
    </row>
    <row r="490" spans="1:7" x14ac:dyDescent="0.25">
      <c r="A490" s="5">
        <v>45808.375</v>
      </c>
      <c r="B490">
        <v>25</v>
      </c>
      <c r="C490" t="s">
        <v>31</v>
      </c>
      <c r="D490" t="s">
        <v>32</v>
      </c>
      <c r="E490">
        <v>1.52</v>
      </c>
      <c r="F490">
        <v>3.12</v>
      </c>
      <c r="G490" s="8">
        <f>E490*60/F490</f>
        <v>29.23076923076923</v>
      </c>
    </row>
    <row r="491" spans="1:7" x14ac:dyDescent="0.25">
      <c r="A491" s="5">
        <v>45808.375</v>
      </c>
      <c r="B491">
        <v>26</v>
      </c>
      <c r="C491" t="s">
        <v>32</v>
      </c>
      <c r="D491" t="s">
        <v>33</v>
      </c>
      <c r="E491">
        <v>1.49</v>
      </c>
      <c r="F491">
        <v>3.03</v>
      </c>
      <c r="G491" s="8">
        <f>E491*60/F491</f>
        <v>29.50495049504951</v>
      </c>
    </row>
    <row r="492" spans="1:7" x14ac:dyDescent="0.25">
      <c r="A492" s="5">
        <v>45808.375</v>
      </c>
      <c r="B492">
        <v>27</v>
      </c>
      <c r="C492" t="s">
        <v>33</v>
      </c>
      <c r="D492" t="s">
        <v>34</v>
      </c>
      <c r="E492">
        <v>1.53</v>
      </c>
      <c r="F492">
        <v>3.17</v>
      </c>
      <c r="G492" s="8">
        <f>E492*60/F492</f>
        <v>28.958990536277604</v>
      </c>
    </row>
    <row r="493" spans="1:7" x14ac:dyDescent="0.25">
      <c r="A493" s="5">
        <v>45808.375</v>
      </c>
      <c r="B493">
        <v>28</v>
      </c>
      <c r="C493" t="s">
        <v>34</v>
      </c>
      <c r="D493" t="s">
        <v>35</v>
      </c>
      <c r="E493">
        <v>1.51</v>
      </c>
      <c r="F493">
        <v>3.78</v>
      </c>
      <c r="G493" s="8">
        <f>E493*60/F493</f>
        <v>23.968253968253968</v>
      </c>
    </row>
    <row r="494" spans="1:7" x14ac:dyDescent="0.25">
      <c r="A494" s="5">
        <v>45808.375</v>
      </c>
      <c r="B494">
        <v>29</v>
      </c>
      <c r="C494" t="s">
        <v>36</v>
      </c>
      <c r="D494" t="s">
        <v>37</v>
      </c>
      <c r="E494">
        <v>1.57</v>
      </c>
      <c r="F494">
        <v>3.6</v>
      </c>
      <c r="G494" s="8">
        <f>E494*60/F494</f>
        <v>26.166666666666668</v>
      </c>
    </row>
    <row r="495" spans="1:7" x14ac:dyDescent="0.25">
      <c r="A495" s="5">
        <v>45808.375</v>
      </c>
      <c r="B495">
        <v>30</v>
      </c>
      <c r="C495" t="s">
        <v>37</v>
      </c>
      <c r="D495" t="s">
        <v>38</v>
      </c>
      <c r="E495">
        <v>1.57</v>
      </c>
      <c r="F495">
        <v>5.17</v>
      </c>
      <c r="G495" s="8">
        <f>E495*60/F495</f>
        <v>18.220502901353967</v>
      </c>
    </row>
    <row r="496" spans="1:7" x14ac:dyDescent="0.25">
      <c r="A496" s="5">
        <v>45808.375</v>
      </c>
      <c r="B496">
        <v>31</v>
      </c>
      <c r="C496" t="s">
        <v>38</v>
      </c>
      <c r="D496" t="s">
        <v>39</v>
      </c>
      <c r="E496">
        <v>1.52</v>
      </c>
      <c r="F496">
        <v>2.5499999999999998</v>
      </c>
      <c r="G496" s="8">
        <f>E496*60/F496</f>
        <v>35.764705882352942</v>
      </c>
    </row>
    <row r="497" spans="1:7" x14ac:dyDescent="0.25">
      <c r="A497" s="5">
        <v>45808.375</v>
      </c>
      <c r="B497">
        <v>32</v>
      </c>
      <c r="C497" t="s">
        <v>39</v>
      </c>
      <c r="D497" t="s">
        <v>40</v>
      </c>
      <c r="E497">
        <v>1.5</v>
      </c>
      <c r="F497">
        <v>1.68</v>
      </c>
      <c r="G497" s="8">
        <f>E497*60/F497</f>
        <v>53.571428571428577</v>
      </c>
    </row>
    <row r="498" spans="1:7" x14ac:dyDescent="0.25">
      <c r="A498" s="5">
        <v>45808.375</v>
      </c>
      <c r="B498">
        <v>33</v>
      </c>
      <c r="C498" t="s">
        <v>40</v>
      </c>
      <c r="D498" t="s">
        <v>41</v>
      </c>
      <c r="E498">
        <v>1.51</v>
      </c>
      <c r="F498">
        <v>1.67</v>
      </c>
      <c r="G498" s="8">
        <f>E498*60/F498</f>
        <v>54.251497005988021</v>
      </c>
    </row>
    <row r="499" spans="1:7" x14ac:dyDescent="0.25">
      <c r="A499" s="5">
        <v>45808.375</v>
      </c>
      <c r="B499">
        <v>34</v>
      </c>
      <c r="C499" t="s">
        <v>41</v>
      </c>
      <c r="D499" t="s">
        <v>42</v>
      </c>
      <c r="E499">
        <v>1.5</v>
      </c>
      <c r="F499">
        <v>1.75</v>
      </c>
      <c r="G499" s="8">
        <f>E499*60/F499</f>
        <v>51.428571428571431</v>
      </c>
    </row>
    <row r="500" spans="1:7" x14ac:dyDescent="0.25">
      <c r="A500" s="5">
        <v>45808.375</v>
      </c>
      <c r="B500">
        <v>35</v>
      </c>
      <c r="C500" t="s">
        <v>43</v>
      </c>
      <c r="D500" t="s">
        <v>44</v>
      </c>
      <c r="E500">
        <v>1.55</v>
      </c>
      <c r="F500">
        <v>3.07</v>
      </c>
      <c r="G500" s="8">
        <f>E500*60/F500</f>
        <v>30.293159609120522</v>
      </c>
    </row>
    <row r="501" spans="1:7" x14ac:dyDescent="0.25">
      <c r="A501" s="5">
        <v>45808.375</v>
      </c>
      <c r="B501">
        <v>36</v>
      </c>
      <c r="C501" t="s">
        <v>44</v>
      </c>
      <c r="D501" t="s">
        <v>45</v>
      </c>
      <c r="E501">
        <v>1.5</v>
      </c>
      <c r="F501">
        <v>2.72</v>
      </c>
      <c r="G501" s="8">
        <f>E501*60/F501</f>
        <v>33.088235294117645</v>
      </c>
    </row>
    <row r="502" spans="1:7" x14ac:dyDescent="0.25">
      <c r="A502" s="5">
        <v>45808.375</v>
      </c>
      <c r="B502">
        <v>37</v>
      </c>
      <c r="C502" t="s">
        <v>45</v>
      </c>
      <c r="D502" t="s">
        <v>46</v>
      </c>
      <c r="E502">
        <v>1.38</v>
      </c>
      <c r="F502">
        <v>3.28</v>
      </c>
      <c r="G502" s="8">
        <f>E502*60/F502</f>
        <v>25.243902439024392</v>
      </c>
    </row>
    <row r="503" spans="1:7" x14ac:dyDescent="0.25">
      <c r="A503" s="5">
        <v>45808.375</v>
      </c>
      <c r="B503">
        <v>38</v>
      </c>
      <c r="C503" t="s">
        <v>46</v>
      </c>
      <c r="D503" t="s">
        <v>47</v>
      </c>
      <c r="E503">
        <v>1.61</v>
      </c>
      <c r="F503">
        <v>3.63</v>
      </c>
      <c r="G503" s="8">
        <f>E503*60/F503</f>
        <v>26.611570247933887</v>
      </c>
    </row>
    <row r="504" spans="1:7" x14ac:dyDescent="0.25">
      <c r="A504" s="5">
        <v>45808.375</v>
      </c>
      <c r="B504">
        <v>39</v>
      </c>
      <c r="C504" t="s">
        <v>47</v>
      </c>
      <c r="D504" t="s">
        <v>48</v>
      </c>
      <c r="E504">
        <v>1.55</v>
      </c>
      <c r="F504">
        <v>3.27</v>
      </c>
      <c r="G504" s="8">
        <f>E504*60/F504</f>
        <v>28.440366972477065</v>
      </c>
    </row>
    <row r="505" spans="1:7" x14ac:dyDescent="0.25">
      <c r="A505" s="5">
        <v>45808.375</v>
      </c>
      <c r="B505">
        <v>40</v>
      </c>
      <c r="C505" t="s">
        <v>48</v>
      </c>
      <c r="D505" t="s">
        <v>49</v>
      </c>
      <c r="E505">
        <v>1.39</v>
      </c>
      <c r="F505">
        <v>2.78</v>
      </c>
      <c r="G505" s="8">
        <f>E505*60/F505</f>
        <v>30</v>
      </c>
    </row>
    <row r="506" spans="1:7" x14ac:dyDescent="0.25">
      <c r="A506" s="5">
        <v>45808.375</v>
      </c>
      <c r="B506">
        <v>41</v>
      </c>
      <c r="C506" t="s">
        <v>50</v>
      </c>
      <c r="D506" t="s">
        <v>51</v>
      </c>
      <c r="E506">
        <v>1.56</v>
      </c>
      <c r="F506">
        <v>3.4</v>
      </c>
      <c r="G506" s="8">
        <f>E506*60/F506</f>
        <v>27.529411764705884</v>
      </c>
    </row>
    <row r="507" spans="1:7" x14ac:dyDescent="0.25">
      <c r="A507" s="5">
        <v>45808.375</v>
      </c>
      <c r="B507">
        <v>42</v>
      </c>
      <c r="C507" t="s">
        <v>51</v>
      </c>
      <c r="D507" t="s">
        <v>52</v>
      </c>
      <c r="E507">
        <v>1.56</v>
      </c>
      <c r="F507">
        <v>3.58</v>
      </c>
      <c r="G507" s="8">
        <f>E507*60/F507</f>
        <v>26.145251396648046</v>
      </c>
    </row>
    <row r="508" spans="1:7" x14ac:dyDescent="0.25">
      <c r="A508" s="5">
        <v>45808.375</v>
      </c>
      <c r="B508">
        <v>43</v>
      </c>
      <c r="C508" t="s">
        <v>52</v>
      </c>
      <c r="D508" t="s">
        <v>53</v>
      </c>
      <c r="E508">
        <v>1.51</v>
      </c>
      <c r="F508">
        <v>3.28</v>
      </c>
      <c r="G508" s="8">
        <f>E508*60/F508</f>
        <v>27.621951219512194</v>
      </c>
    </row>
    <row r="509" spans="1:7" x14ac:dyDescent="0.25">
      <c r="A509" s="5">
        <v>45808.375</v>
      </c>
      <c r="B509">
        <v>44</v>
      </c>
      <c r="C509" t="s">
        <v>54</v>
      </c>
      <c r="D509" t="s">
        <v>55</v>
      </c>
      <c r="E509">
        <v>1.51</v>
      </c>
      <c r="F509">
        <v>3.78</v>
      </c>
      <c r="G509" s="8">
        <f>E509*60/F509</f>
        <v>23.968253968253968</v>
      </c>
    </row>
    <row r="510" spans="1:7" x14ac:dyDescent="0.25">
      <c r="A510" s="5">
        <v>45808.375</v>
      </c>
      <c r="B510">
        <v>45</v>
      </c>
      <c r="C510" t="s">
        <v>55</v>
      </c>
      <c r="D510" t="s">
        <v>56</v>
      </c>
      <c r="E510">
        <v>1.49</v>
      </c>
      <c r="F510">
        <v>3</v>
      </c>
      <c r="G510" s="8">
        <f>E510*60/F510</f>
        <v>29.8</v>
      </c>
    </row>
    <row r="511" spans="1:7" x14ac:dyDescent="0.25">
      <c r="A511" s="5">
        <v>45808.375</v>
      </c>
      <c r="B511">
        <v>46</v>
      </c>
      <c r="C511" t="s">
        <v>56</v>
      </c>
      <c r="D511" t="s">
        <v>57</v>
      </c>
      <c r="E511">
        <v>1.52</v>
      </c>
      <c r="F511">
        <v>3.43</v>
      </c>
      <c r="G511" s="8">
        <f>E511*60/F511</f>
        <v>26.588921282798832</v>
      </c>
    </row>
    <row r="512" spans="1:7" x14ac:dyDescent="0.25">
      <c r="A512" s="5">
        <v>45808.375</v>
      </c>
      <c r="B512">
        <v>47</v>
      </c>
      <c r="C512" t="s">
        <v>58</v>
      </c>
      <c r="D512" t="s">
        <v>59</v>
      </c>
      <c r="E512">
        <v>1.52</v>
      </c>
      <c r="F512">
        <v>3.55</v>
      </c>
      <c r="G512" s="8">
        <f>E512*60/F512</f>
        <v>25.690140845070424</v>
      </c>
    </row>
    <row r="513" spans="1:7" x14ac:dyDescent="0.25">
      <c r="A513" s="5">
        <v>45808.375</v>
      </c>
      <c r="B513">
        <v>48</v>
      </c>
      <c r="C513" t="s">
        <v>59</v>
      </c>
      <c r="D513" t="s">
        <v>60</v>
      </c>
      <c r="E513">
        <v>1.5</v>
      </c>
      <c r="F513">
        <v>3.27</v>
      </c>
      <c r="G513" s="8">
        <f>E513*60/F513</f>
        <v>27.522935779816514</v>
      </c>
    </row>
    <row r="514" spans="1:7" x14ac:dyDescent="0.25">
      <c r="A514" s="5">
        <v>45808.375</v>
      </c>
      <c r="B514">
        <v>49</v>
      </c>
      <c r="C514" t="s">
        <v>60</v>
      </c>
      <c r="D514" t="s">
        <v>61</v>
      </c>
      <c r="E514">
        <v>1.54</v>
      </c>
      <c r="F514">
        <v>3.67</v>
      </c>
      <c r="G514" s="8">
        <f>E514*60/F514</f>
        <v>25.177111716621255</v>
      </c>
    </row>
    <row r="515" spans="1:7" x14ac:dyDescent="0.25">
      <c r="A515" s="5">
        <v>45808.375</v>
      </c>
      <c r="B515">
        <v>50</v>
      </c>
      <c r="C515" t="s">
        <v>62</v>
      </c>
      <c r="D515" t="s">
        <v>63</v>
      </c>
      <c r="E515">
        <v>1.38</v>
      </c>
      <c r="F515">
        <v>2.95</v>
      </c>
      <c r="G515" s="8">
        <f>E515*60/F515</f>
        <v>28.067796610169488</v>
      </c>
    </row>
    <row r="516" spans="1:7" x14ac:dyDescent="0.25">
      <c r="A516" s="5">
        <v>45808.375</v>
      </c>
      <c r="B516">
        <v>51</v>
      </c>
      <c r="C516" t="s">
        <v>63</v>
      </c>
      <c r="D516" t="s">
        <v>64</v>
      </c>
      <c r="E516">
        <v>2.79</v>
      </c>
      <c r="F516">
        <v>5.23</v>
      </c>
      <c r="G516" s="8">
        <f>E516*60/F516</f>
        <v>32.007648183556405</v>
      </c>
    </row>
    <row r="517" spans="1:7" x14ac:dyDescent="0.25">
      <c r="A517" s="5">
        <v>45808.375</v>
      </c>
      <c r="B517">
        <v>52</v>
      </c>
      <c r="C517" t="s">
        <v>64</v>
      </c>
      <c r="D517" t="s">
        <v>65</v>
      </c>
      <c r="E517">
        <v>1.5</v>
      </c>
      <c r="F517">
        <v>2.83</v>
      </c>
      <c r="G517" s="8">
        <f>E517*60/F517</f>
        <v>31.802120141342755</v>
      </c>
    </row>
    <row r="518" spans="1:7" x14ac:dyDescent="0.25">
      <c r="A518" s="5">
        <v>45808.375</v>
      </c>
      <c r="B518">
        <v>53</v>
      </c>
      <c r="C518" t="s">
        <v>65</v>
      </c>
      <c r="D518" t="s">
        <v>66</v>
      </c>
      <c r="E518">
        <v>1.46</v>
      </c>
      <c r="F518">
        <v>3.53</v>
      </c>
      <c r="G518" s="8">
        <f>E518*60/F518</f>
        <v>24.81586402266289</v>
      </c>
    </row>
    <row r="519" spans="1:7" x14ac:dyDescent="0.25">
      <c r="A519" s="5">
        <v>45808.375</v>
      </c>
      <c r="B519">
        <v>54</v>
      </c>
      <c r="C519" t="s">
        <v>67</v>
      </c>
      <c r="D519" t="s">
        <v>68</v>
      </c>
      <c r="E519">
        <v>1.46</v>
      </c>
      <c r="F519">
        <v>2.5499999999999998</v>
      </c>
      <c r="G519" s="8">
        <f>E519*60/F519</f>
        <v>34.352941176470587</v>
      </c>
    </row>
    <row r="520" spans="1:7" x14ac:dyDescent="0.25">
      <c r="A520" s="5">
        <v>45808.375</v>
      </c>
      <c r="B520">
        <v>55</v>
      </c>
      <c r="C520" t="s">
        <v>68</v>
      </c>
      <c r="D520" t="s">
        <v>69</v>
      </c>
      <c r="E520">
        <v>1.5</v>
      </c>
      <c r="F520">
        <v>1.87</v>
      </c>
      <c r="G520" s="8">
        <f>E520*60/F520</f>
        <v>48.128342245989302</v>
      </c>
    </row>
    <row r="521" spans="1:7" x14ac:dyDescent="0.25">
      <c r="A521" s="5">
        <v>45808.375</v>
      </c>
      <c r="B521">
        <v>56</v>
      </c>
      <c r="C521" t="s">
        <v>70</v>
      </c>
      <c r="D521" t="s">
        <v>71</v>
      </c>
      <c r="E521">
        <v>1.51</v>
      </c>
      <c r="F521">
        <v>3.68</v>
      </c>
      <c r="G521" s="8">
        <f>E521*60/F521</f>
        <v>24.619565217391301</v>
      </c>
    </row>
    <row r="522" spans="1:7" x14ac:dyDescent="0.25">
      <c r="A522" s="5">
        <v>45808.375</v>
      </c>
      <c r="B522">
        <v>57</v>
      </c>
      <c r="C522" t="s">
        <v>71</v>
      </c>
      <c r="D522" t="s">
        <v>72</v>
      </c>
      <c r="E522">
        <v>1.52</v>
      </c>
      <c r="F522">
        <v>3.37</v>
      </c>
      <c r="G522" s="8">
        <f>E522*60/F522</f>
        <v>27.062314540059347</v>
      </c>
    </row>
    <row r="523" spans="1:7" x14ac:dyDescent="0.25">
      <c r="A523" s="5">
        <v>45808.375</v>
      </c>
      <c r="B523">
        <v>58</v>
      </c>
      <c r="C523" t="s">
        <v>72</v>
      </c>
      <c r="D523" t="s">
        <v>73</v>
      </c>
      <c r="E523">
        <v>1.5</v>
      </c>
      <c r="F523">
        <v>3.35</v>
      </c>
      <c r="G523" s="8">
        <f>E523*60/F523</f>
        <v>26.865671641791042</v>
      </c>
    </row>
    <row r="524" spans="1:7" x14ac:dyDescent="0.25">
      <c r="A524" s="5">
        <v>45808.385416666664</v>
      </c>
      <c r="B524">
        <v>1</v>
      </c>
      <c r="C524" t="s">
        <v>6</v>
      </c>
      <c r="D524" t="s">
        <v>7</v>
      </c>
      <c r="E524">
        <v>1.53</v>
      </c>
      <c r="F524">
        <v>2.88</v>
      </c>
      <c r="G524" s="8">
        <f>E524*60/F524</f>
        <v>31.875</v>
      </c>
    </row>
    <row r="525" spans="1:7" x14ac:dyDescent="0.25">
      <c r="A525" s="5">
        <v>45808.385416666664</v>
      </c>
      <c r="B525">
        <v>2</v>
      </c>
      <c r="C525" t="s">
        <v>7</v>
      </c>
      <c r="D525" t="s">
        <v>8</v>
      </c>
      <c r="E525">
        <v>1.57</v>
      </c>
      <c r="F525">
        <v>4.3</v>
      </c>
      <c r="G525" s="8">
        <f>E525*60/F525</f>
        <v>21.906976744186046</v>
      </c>
    </row>
    <row r="526" spans="1:7" x14ac:dyDescent="0.25">
      <c r="A526" s="5">
        <v>45808.385416666664</v>
      </c>
      <c r="B526">
        <v>3</v>
      </c>
      <c r="C526" t="s">
        <v>8</v>
      </c>
      <c r="D526" t="s">
        <v>9</v>
      </c>
      <c r="E526">
        <v>1.5</v>
      </c>
      <c r="F526">
        <v>2.78</v>
      </c>
      <c r="G526" s="8">
        <f>E526*60/F526</f>
        <v>32.374100719424462</v>
      </c>
    </row>
    <row r="527" spans="1:7" x14ac:dyDescent="0.25">
      <c r="A527" s="5">
        <v>45808.385416666664</v>
      </c>
      <c r="B527">
        <v>4</v>
      </c>
      <c r="C527" t="s">
        <v>9</v>
      </c>
      <c r="D527" t="s">
        <v>10</v>
      </c>
      <c r="E527">
        <v>1.5</v>
      </c>
      <c r="F527">
        <v>2.7</v>
      </c>
      <c r="G527" s="8">
        <f>E527*60/F527</f>
        <v>33.333333333333329</v>
      </c>
    </row>
    <row r="528" spans="1:7" x14ac:dyDescent="0.25">
      <c r="A528" s="5">
        <v>45808.385416666664</v>
      </c>
      <c r="B528">
        <v>5</v>
      </c>
      <c r="C528" t="s">
        <v>10</v>
      </c>
      <c r="D528" t="s">
        <v>11</v>
      </c>
      <c r="E528">
        <v>1.52</v>
      </c>
      <c r="F528">
        <v>2.93</v>
      </c>
      <c r="G528" s="8">
        <f>E528*60/F528</f>
        <v>31.126279863481226</v>
      </c>
    </row>
    <row r="529" spans="1:7" x14ac:dyDescent="0.25">
      <c r="A529" s="5">
        <v>45808.385416666664</v>
      </c>
      <c r="B529">
        <v>6</v>
      </c>
      <c r="C529" t="s">
        <v>11</v>
      </c>
      <c r="D529" t="s">
        <v>12</v>
      </c>
      <c r="E529">
        <v>1.5</v>
      </c>
      <c r="F529">
        <v>2.6</v>
      </c>
      <c r="G529" s="8">
        <f>E529*60/F529</f>
        <v>34.615384615384613</v>
      </c>
    </row>
    <row r="530" spans="1:7" x14ac:dyDescent="0.25">
      <c r="A530" s="5">
        <v>45808.385416666664</v>
      </c>
      <c r="B530">
        <v>7</v>
      </c>
      <c r="C530" t="s">
        <v>12</v>
      </c>
      <c r="D530" t="s">
        <v>13</v>
      </c>
      <c r="E530">
        <v>1.54</v>
      </c>
      <c r="F530">
        <v>2.58</v>
      </c>
      <c r="G530" s="8">
        <f>E530*60/F530</f>
        <v>35.813953488372093</v>
      </c>
    </row>
    <row r="531" spans="1:7" x14ac:dyDescent="0.25">
      <c r="A531" s="5">
        <v>45808.385416666664</v>
      </c>
      <c r="B531">
        <v>8</v>
      </c>
      <c r="C531" t="s">
        <v>13</v>
      </c>
      <c r="D531" t="s">
        <v>14</v>
      </c>
      <c r="E531">
        <v>1.54</v>
      </c>
      <c r="F531">
        <v>3.03</v>
      </c>
      <c r="G531" s="8">
        <f>E531*60/F531</f>
        <v>30.495049504950497</v>
      </c>
    </row>
    <row r="532" spans="1:7" x14ac:dyDescent="0.25">
      <c r="A532" s="5">
        <v>45808.385416666664</v>
      </c>
      <c r="B532">
        <v>9</v>
      </c>
      <c r="C532" t="s">
        <v>14</v>
      </c>
      <c r="D532" t="s">
        <v>15</v>
      </c>
      <c r="E532">
        <v>1.52</v>
      </c>
      <c r="F532">
        <v>3.15</v>
      </c>
      <c r="G532" s="8">
        <f>E532*60/F532</f>
        <v>28.952380952380953</v>
      </c>
    </row>
    <row r="533" spans="1:7" x14ac:dyDescent="0.25">
      <c r="A533" s="5">
        <v>45808.385416666664</v>
      </c>
      <c r="B533">
        <v>10</v>
      </c>
      <c r="C533" t="s">
        <v>15</v>
      </c>
      <c r="D533" t="s">
        <v>16</v>
      </c>
      <c r="E533">
        <v>1.5</v>
      </c>
      <c r="F533">
        <v>3.27</v>
      </c>
      <c r="G533" s="8">
        <f>E533*60/F533</f>
        <v>27.522935779816514</v>
      </c>
    </row>
    <row r="534" spans="1:7" x14ac:dyDescent="0.25">
      <c r="A534" s="5">
        <v>45808.385416666664</v>
      </c>
      <c r="B534">
        <v>11</v>
      </c>
      <c r="C534" t="s">
        <v>16</v>
      </c>
      <c r="D534" t="s">
        <v>17</v>
      </c>
      <c r="E534">
        <v>1.48</v>
      </c>
      <c r="F534">
        <v>2.42</v>
      </c>
      <c r="G534" s="8">
        <f>E534*60/F534</f>
        <v>36.694214876033058</v>
      </c>
    </row>
    <row r="535" spans="1:7" x14ac:dyDescent="0.25">
      <c r="A535" s="5">
        <v>45808.385416666664</v>
      </c>
      <c r="B535">
        <v>12</v>
      </c>
      <c r="C535" t="s">
        <v>17</v>
      </c>
      <c r="D535" t="s">
        <v>18</v>
      </c>
      <c r="E535">
        <v>1.46</v>
      </c>
      <c r="F535">
        <v>3.47</v>
      </c>
      <c r="G535" s="8">
        <f>E535*60/F535</f>
        <v>25.244956772334291</v>
      </c>
    </row>
    <row r="536" spans="1:7" x14ac:dyDescent="0.25">
      <c r="A536" s="5">
        <v>45808.385416666664</v>
      </c>
      <c r="B536">
        <v>13</v>
      </c>
      <c r="C536" t="s">
        <v>18</v>
      </c>
      <c r="D536" t="s">
        <v>19</v>
      </c>
      <c r="E536">
        <v>1.52</v>
      </c>
      <c r="F536">
        <v>3.32</v>
      </c>
      <c r="G536" s="8">
        <f>E536*60/F536</f>
        <v>27.46987951807229</v>
      </c>
    </row>
    <row r="537" spans="1:7" x14ac:dyDescent="0.25">
      <c r="A537" s="5">
        <v>45808.385416666664</v>
      </c>
      <c r="B537">
        <v>14</v>
      </c>
      <c r="C537" t="s">
        <v>19</v>
      </c>
      <c r="D537" t="s">
        <v>20</v>
      </c>
      <c r="E537">
        <v>1.51</v>
      </c>
      <c r="F537">
        <v>3.12</v>
      </c>
      <c r="G537" s="8">
        <f>E537*60/F537</f>
        <v>29.038461538461537</v>
      </c>
    </row>
    <row r="538" spans="1:7" x14ac:dyDescent="0.25">
      <c r="A538" s="5">
        <v>45808.385416666664</v>
      </c>
      <c r="B538">
        <v>15</v>
      </c>
      <c r="C538" t="s">
        <v>20</v>
      </c>
      <c r="D538" t="s">
        <v>21</v>
      </c>
      <c r="E538">
        <v>1.47</v>
      </c>
      <c r="F538">
        <v>2.35</v>
      </c>
      <c r="G538" s="8">
        <f>E538*60/F538</f>
        <v>37.531914893617021</v>
      </c>
    </row>
    <row r="539" spans="1:7" x14ac:dyDescent="0.25">
      <c r="A539" s="5">
        <v>45808.385416666664</v>
      </c>
      <c r="B539">
        <v>16</v>
      </c>
      <c r="C539" t="s">
        <v>21</v>
      </c>
      <c r="D539" t="s">
        <v>22</v>
      </c>
      <c r="E539">
        <v>1.5</v>
      </c>
      <c r="F539">
        <v>1.75</v>
      </c>
      <c r="G539" s="8">
        <f>E539*60/F539</f>
        <v>51.428571428571431</v>
      </c>
    </row>
    <row r="540" spans="1:7" x14ac:dyDescent="0.25">
      <c r="A540" s="5">
        <v>45808.385416666664</v>
      </c>
      <c r="B540">
        <v>17</v>
      </c>
      <c r="C540" t="s">
        <v>22</v>
      </c>
      <c r="D540" t="s">
        <v>23</v>
      </c>
      <c r="E540">
        <v>1.51</v>
      </c>
      <c r="F540">
        <v>2.5499999999999998</v>
      </c>
      <c r="G540" s="8">
        <f>E540*60/F540</f>
        <v>35.529411764705884</v>
      </c>
    </row>
    <row r="541" spans="1:7" x14ac:dyDescent="0.25">
      <c r="A541" s="5">
        <v>45808.385416666664</v>
      </c>
      <c r="B541">
        <v>18</v>
      </c>
      <c r="C541" t="s">
        <v>23</v>
      </c>
      <c r="D541" t="s">
        <v>24</v>
      </c>
      <c r="E541">
        <v>1.51</v>
      </c>
      <c r="F541">
        <v>2.73</v>
      </c>
      <c r="G541" s="8">
        <f>E541*60/F541</f>
        <v>33.186813186813183</v>
      </c>
    </row>
    <row r="542" spans="1:7" x14ac:dyDescent="0.25">
      <c r="A542" s="5">
        <v>45808.385416666664</v>
      </c>
      <c r="B542">
        <v>19</v>
      </c>
      <c r="C542" t="s">
        <v>25</v>
      </c>
      <c r="D542" t="s">
        <v>26</v>
      </c>
      <c r="E542">
        <v>1.5</v>
      </c>
      <c r="F542">
        <v>3.3</v>
      </c>
      <c r="G542" s="8">
        <f>E542*60/F542</f>
        <v>27.272727272727273</v>
      </c>
    </row>
    <row r="543" spans="1:7" x14ac:dyDescent="0.25">
      <c r="A543" s="5">
        <v>45808.385416666664</v>
      </c>
      <c r="B543">
        <v>20</v>
      </c>
      <c r="C543" t="s">
        <v>26</v>
      </c>
      <c r="D543" t="s">
        <v>27</v>
      </c>
      <c r="E543">
        <v>1.48</v>
      </c>
      <c r="F543">
        <v>3.42</v>
      </c>
      <c r="G543" s="8">
        <f>E543*60/F543</f>
        <v>25.964912280701753</v>
      </c>
    </row>
    <row r="544" spans="1:7" x14ac:dyDescent="0.25">
      <c r="A544" s="5">
        <v>45808.385416666664</v>
      </c>
      <c r="B544">
        <v>21</v>
      </c>
      <c r="C544" t="s">
        <v>27</v>
      </c>
      <c r="D544" t="s">
        <v>28</v>
      </c>
      <c r="E544">
        <v>1.51</v>
      </c>
      <c r="F544">
        <v>2.97</v>
      </c>
      <c r="G544" s="8">
        <f>E544*60/F544</f>
        <v>30.505050505050502</v>
      </c>
    </row>
    <row r="545" spans="1:7" x14ac:dyDescent="0.25">
      <c r="A545" s="5">
        <v>45808.385416666664</v>
      </c>
      <c r="B545">
        <v>22</v>
      </c>
      <c r="C545" t="s">
        <v>28</v>
      </c>
      <c r="D545" t="s">
        <v>29</v>
      </c>
      <c r="E545">
        <v>1.57</v>
      </c>
      <c r="F545">
        <v>3.08</v>
      </c>
      <c r="G545" s="8">
        <f>E545*60/F545</f>
        <v>30.584415584415584</v>
      </c>
    </row>
    <row r="546" spans="1:7" x14ac:dyDescent="0.25">
      <c r="A546" s="5">
        <v>45808.385416666664</v>
      </c>
      <c r="B546">
        <v>23</v>
      </c>
      <c r="C546" t="s">
        <v>29</v>
      </c>
      <c r="D546" t="s">
        <v>30</v>
      </c>
      <c r="E546">
        <v>1.43</v>
      </c>
      <c r="F546">
        <v>3.1</v>
      </c>
      <c r="G546" s="8">
        <f>E546*60/F546</f>
        <v>27.677419354838708</v>
      </c>
    </row>
    <row r="547" spans="1:7" x14ac:dyDescent="0.25">
      <c r="A547" s="5">
        <v>45808.385416666664</v>
      </c>
      <c r="B547">
        <v>24</v>
      </c>
      <c r="C547" t="s">
        <v>30</v>
      </c>
      <c r="D547" t="s">
        <v>31</v>
      </c>
      <c r="E547">
        <v>1.52</v>
      </c>
      <c r="F547">
        <v>2.93</v>
      </c>
      <c r="G547" s="8">
        <f>E547*60/F547</f>
        <v>31.126279863481226</v>
      </c>
    </row>
    <row r="548" spans="1:7" x14ac:dyDescent="0.25">
      <c r="A548" s="5">
        <v>45808.385416666664</v>
      </c>
      <c r="B548">
        <v>25</v>
      </c>
      <c r="C548" t="s">
        <v>31</v>
      </c>
      <c r="D548" t="s">
        <v>32</v>
      </c>
      <c r="E548">
        <v>1.52</v>
      </c>
      <c r="F548">
        <v>3.02</v>
      </c>
      <c r="G548" s="8">
        <f>E548*60/F548</f>
        <v>30.198675496688743</v>
      </c>
    </row>
    <row r="549" spans="1:7" x14ac:dyDescent="0.25">
      <c r="A549" s="5">
        <v>45808.385416666664</v>
      </c>
      <c r="B549">
        <v>26</v>
      </c>
      <c r="C549" t="s">
        <v>32</v>
      </c>
      <c r="D549" t="s">
        <v>33</v>
      </c>
      <c r="E549">
        <v>1.49</v>
      </c>
      <c r="F549">
        <v>3.18</v>
      </c>
      <c r="G549" s="8">
        <f>E549*60/F549</f>
        <v>28.113207547169811</v>
      </c>
    </row>
    <row r="550" spans="1:7" x14ac:dyDescent="0.25">
      <c r="A550" s="5">
        <v>45808.385416666664</v>
      </c>
      <c r="B550">
        <v>27</v>
      </c>
      <c r="C550" t="s">
        <v>33</v>
      </c>
      <c r="D550" t="s">
        <v>34</v>
      </c>
      <c r="E550">
        <v>1.53</v>
      </c>
      <c r="F550">
        <v>3.27</v>
      </c>
      <c r="G550" s="8">
        <f>E550*60/F550</f>
        <v>28.073394495412842</v>
      </c>
    </row>
    <row r="551" spans="1:7" x14ac:dyDescent="0.25">
      <c r="A551" s="5">
        <v>45808.385416666664</v>
      </c>
      <c r="B551">
        <v>28</v>
      </c>
      <c r="C551" t="s">
        <v>34</v>
      </c>
      <c r="D551" t="s">
        <v>35</v>
      </c>
      <c r="E551">
        <v>1.51</v>
      </c>
      <c r="F551">
        <v>4</v>
      </c>
      <c r="G551" s="8">
        <f>E551*60/F551</f>
        <v>22.65</v>
      </c>
    </row>
    <row r="552" spans="1:7" x14ac:dyDescent="0.25">
      <c r="A552" s="5">
        <v>45808.385416666664</v>
      </c>
      <c r="B552">
        <v>29</v>
      </c>
      <c r="C552" t="s">
        <v>36</v>
      </c>
      <c r="D552" t="s">
        <v>37</v>
      </c>
      <c r="E552">
        <v>1.57</v>
      </c>
      <c r="F552">
        <v>3.73</v>
      </c>
      <c r="G552" s="8">
        <f>E552*60/F552</f>
        <v>25.254691689008045</v>
      </c>
    </row>
    <row r="553" spans="1:7" x14ac:dyDescent="0.25">
      <c r="A553" s="5">
        <v>45808.385416666664</v>
      </c>
      <c r="B553">
        <v>30</v>
      </c>
      <c r="C553" t="s">
        <v>37</v>
      </c>
      <c r="D553" t="s">
        <v>38</v>
      </c>
      <c r="E553">
        <v>1.57</v>
      </c>
      <c r="F553">
        <v>5.0999999999999996</v>
      </c>
      <c r="G553" s="8">
        <f>E553*60/F553</f>
        <v>18.47058823529412</v>
      </c>
    </row>
    <row r="554" spans="1:7" x14ac:dyDescent="0.25">
      <c r="A554" s="5">
        <v>45808.385416666664</v>
      </c>
      <c r="B554">
        <v>31</v>
      </c>
      <c r="C554" t="s">
        <v>38</v>
      </c>
      <c r="D554" t="s">
        <v>39</v>
      </c>
      <c r="E554">
        <v>1.52</v>
      </c>
      <c r="F554">
        <v>2.63</v>
      </c>
      <c r="G554" s="8">
        <f>E554*60/F554</f>
        <v>34.676806083650192</v>
      </c>
    </row>
    <row r="555" spans="1:7" x14ac:dyDescent="0.25">
      <c r="A555" s="5">
        <v>45808.385416666664</v>
      </c>
      <c r="B555">
        <v>32</v>
      </c>
      <c r="C555" t="s">
        <v>39</v>
      </c>
      <c r="D555" t="s">
        <v>40</v>
      </c>
      <c r="E555">
        <v>1.5</v>
      </c>
      <c r="F555">
        <v>1.7</v>
      </c>
      <c r="G555" s="8">
        <f>E555*60/F555</f>
        <v>52.941176470588239</v>
      </c>
    </row>
    <row r="556" spans="1:7" x14ac:dyDescent="0.25">
      <c r="A556" s="5">
        <v>45808.385416666664</v>
      </c>
      <c r="B556">
        <v>33</v>
      </c>
      <c r="C556" t="s">
        <v>40</v>
      </c>
      <c r="D556" t="s">
        <v>41</v>
      </c>
      <c r="E556">
        <v>1.51</v>
      </c>
      <c r="F556">
        <v>1.82</v>
      </c>
      <c r="G556" s="8">
        <f>E556*60/F556</f>
        <v>49.780219780219774</v>
      </c>
    </row>
    <row r="557" spans="1:7" x14ac:dyDescent="0.25">
      <c r="A557" s="5">
        <v>45808.385416666664</v>
      </c>
      <c r="B557">
        <v>34</v>
      </c>
      <c r="C557" t="s">
        <v>41</v>
      </c>
      <c r="D557" t="s">
        <v>42</v>
      </c>
      <c r="E557">
        <v>1.5</v>
      </c>
      <c r="F557">
        <v>1.78</v>
      </c>
      <c r="G557" s="8">
        <f>E557*60/F557</f>
        <v>50.561797752808985</v>
      </c>
    </row>
    <row r="558" spans="1:7" x14ac:dyDescent="0.25">
      <c r="A558" s="5">
        <v>45808.385416666664</v>
      </c>
      <c r="B558">
        <v>35</v>
      </c>
      <c r="C558" t="s">
        <v>43</v>
      </c>
      <c r="D558" t="s">
        <v>44</v>
      </c>
      <c r="E558">
        <v>1.55</v>
      </c>
      <c r="F558">
        <v>3.17</v>
      </c>
      <c r="G558" s="8">
        <f>E558*60/F558</f>
        <v>29.337539432176658</v>
      </c>
    </row>
    <row r="559" spans="1:7" x14ac:dyDescent="0.25">
      <c r="A559" s="5">
        <v>45808.385416666664</v>
      </c>
      <c r="B559">
        <v>36</v>
      </c>
      <c r="C559" t="s">
        <v>44</v>
      </c>
      <c r="D559" t="s">
        <v>45</v>
      </c>
      <c r="E559">
        <v>1.5</v>
      </c>
      <c r="F559">
        <v>2.85</v>
      </c>
      <c r="G559" s="8">
        <f>E559*60/F559</f>
        <v>31.578947368421051</v>
      </c>
    </row>
    <row r="560" spans="1:7" x14ac:dyDescent="0.25">
      <c r="A560" s="5">
        <v>45808.385416666664</v>
      </c>
      <c r="B560">
        <v>37</v>
      </c>
      <c r="C560" t="s">
        <v>45</v>
      </c>
      <c r="D560" t="s">
        <v>46</v>
      </c>
      <c r="E560">
        <v>1.38</v>
      </c>
      <c r="F560">
        <v>3.42</v>
      </c>
      <c r="G560" s="8">
        <f>E560*60/F560</f>
        <v>24.210526315789473</v>
      </c>
    </row>
    <row r="561" spans="1:7" x14ac:dyDescent="0.25">
      <c r="A561" s="5">
        <v>45808.385416666664</v>
      </c>
      <c r="B561">
        <v>38</v>
      </c>
      <c r="C561" t="s">
        <v>46</v>
      </c>
      <c r="D561" t="s">
        <v>47</v>
      </c>
      <c r="E561">
        <v>1.61</v>
      </c>
      <c r="F561">
        <v>3.63</v>
      </c>
      <c r="G561" s="8">
        <f>E561*60/F561</f>
        <v>26.611570247933887</v>
      </c>
    </row>
    <row r="562" spans="1:7" x14ac:dyDescent="0.25">
      <c r="A562" s="5">
        <v>45808.385416666664</v>
      </c>
      <c r="B562">
        <v>39</v>
      </c>
      <c r="C562" t="s">
        <v>47</v>
      </c>
      <c r="D562" t="s">
        <v>48</v>
      </c>
      <c r="E562">
        <v>1.55</v>
      </c>
      <c r="F562">
        <v>3.27</v>
      </c>
      <c r="G562" s="8">
        <f>E562*60/F562</f>
        <v>28.440366972477065</v>
      </c>
    </row>
    <row r="563" spans="1:7" x14ac:dyDescent="0.25">
      <c r="A563" s="5">
        <v>45808.385416666664</v>
      </c>
      <c r="B563">
        <v>40</v>
      </c>
      <c r="C563" t="s">
        <v>48</v>
      </c>
      <c r="D563" t="s">
        <v>49</v>
      </c>
      <c r="E563">
        <v>1.39</v>
      </c>
      <c r="F563">
        <v>2.78</v>
      </c>
      <c r="G563" s="8">
        <f>E563*60/F563</f>
        <v>30</v>
      </c>
    </row>
    <row r="564" spans="1:7" x14ac:dyDescent="0.25">
      <c r="A564" s="5">
        <v>45808.385416666664</v>
      </c>
      <c r="B564">
        <v>41</v>
      </c>
      <c r="C564" t="s">
        <v>50</v>
      </c>
      <c r="D564" t="s">
        <v>51</v>
      </c>
      <c r="E564">
        <v>1.56</v>
      </c>
      <c r="F564">
        <v>3.3</v>
      </c>
      <c r="G564" s="8">
        <f>E564*60/F564</f>
        <v>28.363636363636367</v>
      </c>
    </row>
    <row r="565" spans="1:7" x14ac:dyDescent="0.25">
      <c r="A565" s="5">
        <v>45808.385416666664</v>
      </c>
      <c r="B565">
        <v>42</v>
      </c>
      <c r="C565" t="s">
        <v>51</v>
      </c>
      <c r="D565" t="s">
        <v>52</v>
      </c>
      <c r="E565">
        <v>1.56</v>
      </c>
      <c r="F565">
        <v>3.55</v>
      </c>
      <c r="G565" s="8">
        <f>E565*60/F565</f>
        <v>26.366197183098596</v>
      </c>
    </row>
    <row r="566" spans="1:7" x14ac:dyDescent="0.25">
      <c r="A566" s="5">
        <v>45808.385416666664</v>
      </c>
      <c r="B566">
        <v>43</v>
      </c>
      <c r="C566" t="s">
        <v>52</v>
      </c>
      <c r="D566" t="s">
        <v>53</v>
      </c>
      <c r="E566">
        <v>1.51</v>
      </c>
      <c r="F566">
        <v>3.25</v>
      </c>
      <c r="G566" s="8">
        <f>E566*60/F566</f>
        <v>27.876923076923074</v>
      </c>
    </row>
    <row r="567" spans="1:7" x14ac:dyDescent="0.25">
      <c r="A567" s="5">
        <v>45808.385416666664</v>
      </c>
      <c r="B567">
        <v>44</v>
      </c>
      <c r="C567" t="s">
        <v>54</v>
      </c>
      <c r="D567" t="s">
        <v>55</v>
      </c>
      <c r="E567">
        <v>1.51</v>
      </c>
      <c r="F567">
        <v>3.82</v>
      </c>
      <c r="G567" s="8">
        <f>E567*60/F567</f>
        <v>23.717277486910994</v>
      </c>
    </row>
    <row r="568" spans="1:7" x14ac:dyDescent="0.25">
      <c r="A568" s="5">
        <v>45808.385416666664</v>
      </c>
      <c r="B568">
        <v>45</v>
      </c>
      <c r="C568" t="s">
        <v>55</v>
      </c>
      <c r="D568" t="s">
        <v>56</v>
      </c>
      <c r="E568">
        <v>1.49</v>
      </c>
      <c r="F568">
        <v>3.12</v>
      </c>
      <c r="G568" s="8">
        <f>E568*60/F568</f>
        <v>28.653846153846153</v>
      </c>
    </row>
    <row r="569" spans="1:7" x14ac:dyDescent="0.25">
      <c r="A569" s="5">
        <v>45808.385416666664</v>
      </c>
      <c r="B569">
        <v>46</v>
      </c>
      <c r="C569" t="s">
        <v>56</v>
      </c>
      <c r="D569" t="s">
        <v>57</v>
      </c>
      <c r="E569">
        <v>1.52</v>
      </c>
      <c r="F569">
        <v>3.4</v>
      </c>
      <c r="G569" s="8">
        <f>E569*60/F569</f>
        <v>26.823529411764707</v>
      </c>
    </row>
    <row r="570" spans="1:7" x14ac:dyDescent="0.25">
      <c r="A570" s="5">
        <v>45808.385416666664</v>
      </c>
      <c r="B570">
        <v>47</v>
      </c>
      <c r="C570" t="s">
        <v>58</v>
      </c>
      <c r="D570" t="s">
        <v>59</v>
      </c>
      <c r="E570">
        <v>1.52</v>
      </c>
      <c r="F570">
        <v>3.68</v>
      </c>
      <c r="G570" s="8">
        <f>E570*60/F570</f>
        <v>24.782608695652172</v>
      </c>
    </row>
    <row r="571" spans="1:7" x14ac:dyDescent="0.25">
      <c r="A571" s="5">
        <v>45808.385416666664</v>
      </c>
      <c r="B571">
        <v>48</v>
      </c>
      <c r="C571" t="s">
        <v>59</v>
      </c>
      <c r="D571" t="s">
        <v>60</v>
      </c>
      <c r="E571">
        <v>1.5</v>
      </c>
      <c r="F571">
        <v>3.42</v>
      </c>
      <c r="G571" s="8">
        <f>E571*60/F571</f>
        <v>26.315789473684212</v>
      </c>
    </row>
    <row r="572" spans="1:7" x14ac:dyDescent="0.25">
      <c r="A572" s="5">
        <v>45808.385416666664</v>
      </c>
      <c r="B572">
        <v>49</v>
      </c>
      <c r="C572" t="s">
        <v>60</v>
      </c>
      <c r="D572" t="s">
        <v>61</v>
      </c>
      <c r="E572">
        <v>1.54</v>
      </c>
      <c r="F572">
        <v>3.8</v>
      </c>
      <c r="G572" s="8">
        <f>E572*60/F572</f>
        <v>24.315789473684212</v>
      </c>
    </row>
    <row r="573" spans="1:7" x14ac:dyDescent="0.25">
      <c r="A573" s="5">
        <v>45808.385416666664</v>
      </c>
      <c r="B573">
        <v>50</v>
      </c>
      <c r="C573" t="s">
        <v>62</v>
      </c>
      <c r="D573" t="s">
        <v>63</v>
      </c>
      <c r="E573">
        <v>1.38</v>
      </c>
      <c r="F573">
        <v>3.03</v>
      </c>
      <c r="G573" s="8">
        <f>E573*60/F573</f>
        <v>27.326732673267326</v>
      </c>
    </row>
    <row r="574" spans="1:7" x14ac:dyDescent="0.25">
      <c r="A574" s="5">
        <v>45808.385416666664</v>
      </c>
      <c r="B574">
        <v>51</v>
      </c>
      <c r="C574" t="s">
        <v>63</v>
      </c>
      <c r="D574" t="s">
        <v>64</v>
      </c>
      <c r="E574">
        <v>2.79</v>
      </c>
      <c r="F574">
        <v>5.43</v>
      </c>
      <c r="G574" s="8">
        <f>E574*60/F574</f>
        <v>30.828729281767959</v>
      </c>
    </row>
    <row r="575" spans="1:7" x14ac:dyDescent="0.25">
      <c r="A575" s="5">
        <v>45808.385416666664</v>
      </c>
      <c r="B575">
        <v>52</v>
      </c>
      <c r="C575" t="s">
        <v>64</v>
      </c>
      <c r="D575" t="s">
        <v>65</v>
      </c>
      <c r="E575">
        <v>1.5</v>
      </c>
      <c r="F575">
        <v>2.78</v>
      </c>
      <c r="G575" s="8">
        <f>E575*60/F575</f>
        <v>32.374100719424462</v>
      </c>
    </row>
    <row r="576" spans="1:7" x14ac:dyDescent="0.25">
      <c r="A576" s="5">
        <v>45808.385416666664</v>
      </c>
      <c r="B576">
        <v>53</v>
      </c>
      <c r="C576" t="s">
        <v>65</v>
      </c>
      <c r="D576" t="s">
        <v>66</v>
      </c>
      <c r="E576">
        <v>1.46</v>
      </c>
      <c r="F576">
        <v>3.5</v>
      </c>
      <c r="G576" s="8">
        <f>E576*60/F576</f>
        <v>25.028571428571428</v>
      </c>
    </row>
    <row r="577" spans="1:7" x14ac:dyDescent="0.25">
      <c r="A577" s="5">
        <v>45808.385416666664</v>
      </c>
      <c r="B577">
        <v>54</v>
      </c>
      <c r="C577" t="s">
        <v>67</v>
      </c>
      <c r="D577" t="s">
        <v>68</v>
      </c>
      <c r="E577">
        <v>1.46</v>
      </c>
      <c r="F577">
        <v>2.67</v>
      </c>
      <c r="G577" s="8">
        <f>E577*60/F577</f>
        <v>32.80898876404494</v>
      </c>
    </row>
    <row r="578" spans="1:7" x14ac:dyDescent="0.25">
      <c r="A578" s="5">
        <v>45808.385416666664</v>
      </c>
      <c r="B578">
        <v>55</v>
      </c>
      <c r="C578" t="s">
        <v>68</v>
      </c>
      <c r="D578" t="s">
        <v>69</v>
      </c>
      <c r="E578">
        <v>1.5</v>
      </c>
      <c r="F578">
        <v>2.12</v>
      </c>
      <c r="G578" s="8">
        <f>E578*60/F578</f>
        <v>42.452830188679243</v>
      </c>
    </row>
    <row r="579" spans="1:7" x14ac:dyDescent="0.25">
      <c r="A579" s="5">
        <v>45808.385416666664</v>
      </c>
      <c r="B579">
        <v>56</v>
      </c>
      <c r="C579" t="s">
        <v>70</v>
      </c>
      <c r="D579" t="s">
        <v>71</v>
      </c>
      <c r="E579">
        <v>1.51</v>
      </c>
      <c r="F579">
        <v>3.75</v>
      </c>
      <c r="G579" s="8">
        <f>E579*60/F579</f>
        <v>24.16</v>
      </c>
    </row>
    <row r="580" spans="1:7" x14ac:dyDescent="0.25">
      <c r="A580" s="5">
        <v>45808.385416666664</v>
      </c>
      <c r="B580">
        <v>57</v>
      </c>
      <c r="C580" t="s">
        <v>71</v>
      </c>
      <c r="D580" t="s">
        <v>72</v>
      </c>
      <c r="E580">
        <v>1.52</v>
      </c>
      <c r="F580">
        <v>3.43</v>
      </c>
      <c r="G580" s="8">
        <f>E580*60/F580</f>
        <v>26.588921282798832</v>
      </c>
    </row>
    <row r="581" spans="1:7" x14ac:dyDescent="0.25">
      <c r="A581" s="5">
        <v>45808.385416666664</v>
      </c>
      <c r="B581">
        <v>58</v>
      </c>
      <c r="C581" t="s">
        <v>72</v>
      </c>
      <c r="D581" t="s">
        <v>73</v>
      </c>
      <c r="E581">
        <v>1.5</v>
      </c>
      <c r="F581">
        <v>3.42</v>
      </c>
      <c r="G581" s="8">
        <f>E581*60/F581</f>
        <v>26.315789473684212</v>
      </c>
    </row>
    <row r="582" spans="1:7" x14ac:dyDescent="0.25">
      <c r="A582" s="5">
        <v>45808.395833333336</v>
      </c>
      <c r="B582">
        <v>1</v>
      </c>
      <c r="C582" t="s">
        <v>6</v>
      </c>
      <c r="D582" t="s">
        <v>7</v>
      </c>
      <c r="E582">
        <v>1.53</v>
      </c>
      <c r="F582">
        <v>2.97</v>
      </c>
      <c r="G582" s="8">
        <f>E582*60/F582</f>
        <v>30.909090909090907</v>
      </c>
    </row>
    <row r="583" spans="1:7" x14ac:dyDescent="0.25">
      <c r="A583" s="5">
        <v>45808.395833333336</v>
      </c>
      <c r="B583">
        <v>2</v>
      </c>
      <c r="C583" t="s">
        <v>7</v>
      </c>
      <c r="D583" t="s">
        <v>8</v>
      </c>
      <c r="E583">
        <v>1.57</v>
      </c>
      <c r="F583">
        <v>4.5</v>
      </c>
      <c r="G583" s="8">
        <f>E583*60/F583</f>
        <v>20.933333333333334</v>
      </c>
    </row>
    <row r="584" spans="1:7" x14ac:dyDescent="0.25">
      <c r="A584" s="5">
        <v>45808.395833333336</v>
      </c>
      <c r="B584">
        <v>3</v>
      </c>
      <c r="C584" t="s">
        <v>8</v>
      </c>
      <c r="D584" t="s">
        <v>9</v>
      </c>
      <c r="E584">
        <v>1.5</v>
      </c>
      <c r="F584">
        <v>2.9</v>
      </c>
      <c r="G584" s="8">
        <f>E584*60/F584</f>
        <v>31.03448275862069</v>
      </c>
    </row>
    <row r="585" spans="1:7" x14ac:dyDescent="0.25">
      <c r="A585" s="5">
        <v>45808.395833333336</v>
      </c>
      <c r="B585">
        <v>4</v>
      </c>
      <c r="C585" t="s">
        <v>9</v>
      </c>
      <c r="D585" t="s">
        <v>10</v>
      </c>
      <c r="E585">
        <v>1.5</v>
      </c>
      <c r="F585">
        <v>2.77</v>
      </c>
      <c r="G585" s="8">
        <f>E585*60/F585</f>
        <v>32.490974729241877</v>
      </c>
    </row>
    <row r="586" spans="1:7" x14ac:dyDescent="0.25">
      <c r="A586" s="5">
        <v>45808.395833333336</v>
      </c>
      <c r="B586">
        <v>5</v>
      </c>
      <c r="C586" t="s">
        <v>10</v>
      </c>
      <c r="D586" t="s">
        <v>11</v>
      </c>
      <c r="E586">
        <v>1.52</v>
      </c>
      <c r="F586">
        <v>3</v>
      </c>
      <c r="G586" s="8">
        <f>E586*60/F586</f>
        <v>30.400000000000002</v>
      </c>
    </row>
    <row r="587" spans="1:7" x14ac:dyDescent="0.25">
      <c r="A587" s="5">
        <v>45808.395833333336</v>
      </c>
      <c r="B587">
        <v>6</v>
      </c>
      <c r="C587" t="s">
        <v>11</v>
      </c>
      <c r="D587" t="s">
        <v>12</v>
      </c>
      <c r="E587">
        <v>1.5</v>
      </c>
      <c r="F587">
        <v>2.4700000000000002</v>
      </c>
      <c r="G587" s="8">
        <f>E587*60/F587</f>
        <v>36.43724696356275</v>
      </c>
    </row>
    <row r="588" spans="1:7" x14ac:dyDescent="0.25">
      <c r="A588" s="5">
        <v>45808.395833333336</v>
      </c>
      <c r="B588">
        <v>7</v>
      </c>
      <c r="C588" t="s">
        <v>12</v>
      </c>
      <c r="D588" t="s">
        <v>13</v>
      </c>
      <c r="E588">
        <v>1.54</v>
      </c>
      <c r="F588">
        <v>2.68</v>
      </c>
      <c r="G588" s="8">
        <f>E588*60/F588</f>
        <v>34.477611940298509</v>
      </c>
    </row>
    <row r="589" spans="1:7" x14ac:dyDescent="0.25">
      <c r="A589" s="5">
        <v>45808.395833333336</v>
      </c>
      <c r="B589">
        <v>8</v>
      </c>
      <c r="C589" t="s">
        <v>13</v>
      </c>
      <c r="D589" t="s">
        <v>14</v>
      </c>
      <c r="E589">
        <v>1.54</v>
      </c>
      <c r="F589">
        <v>3.2</v>
      </c>
      <c r="G589" s="8">
        <f>E589*60/F589</f>
        <v>28.875</v>
      </c>
    </row>
    <row r="590" spans="1:7" x14ac:dyDescent="0.25">
      <c r="A590" s="5">
        <v>45808.395833333336</v>
      </c>
      <c r="B590">
        <v>9</v>
      </c>
      <c r="C590" t="s">
        <v>14</v>
      </c>
      <c r="D590" t="s">
        <v>15</v>
      </c>
      <c r="E590">
        <v>1.52</v>
      </c>
      <c r="F590">
        <v>3.52</v>
      </c>
      <c r="G590" s="8">
        <f>E590*60/F590</f>
        <v>25.90909090909091</v>
      </c>
    </row>
    <row r="591" spans="1:7" x14ac:dyDescent="0.25">
      <c r="A591" s="5">
        <v>45808.395833333336</v>
      </c>
      <c r="B591">
        <v>10</v>
      </c>
      <c r="C591" t="s">
        <v>15</v>
      </c>
      <c r="D591" t="s">
        <v>16</v>
      </c>
      <c r="E591">
        <v>1.5</v>
      </c>
      <c r="F591">
        <v>3.52</v>
      </c>
      <c r="G591" s="8">
        <f>E591*60/F591</f>
        <v>25.568181818181817</v>
      </c>
    </row>
    <row r="592" spans="1:7" x14ac:dyDescent="0.25">
      <c r="A592" s="5">
        <v>45808.395833333336</v>
      </c>
      <c r="B592">
        <v>11</v>
      </c>
      <c r="C592" t="s">
        <v>16</v>
      </c>
      <c r="D592" t="s">
        <v>17</v>
      </c>
      <c r="E592">
        <v>1.48</v>
      </c>
      <c r="F592">
        <v>2.4500000000000002</v>
      </c>
      <c r="G592" s="8">
        <f>E592*60/F592</f>
        <v>36.244897959183668</v>
      </c>
    </row>
    <row r="593" spans="1:7" x14ac:dyDescent="0.25">
      <c r="A593" s="5">
        <v>45808.395833333336</v>
      </c>
      <c r="B593">
        <v>12</v>
      </c>
      <c r="C593" t="s">
        <v>17</v>
      </c>
      <c r="D593" t="s">
        <v>18</v>
      </c>
      <c r="E593">
        <v>1.46</v>
      </c>
      <c r="F593">
        <v>3.57</v>
      </c>
      <c r="G593" s="8">
        <f>E593*60/F593</f>
        <v>24.537815126050418</v>
      </c>
    </row>
    <row r="594" spans="1:7" x14ac:dyDescent="0.25">
      <c r="A594" s="5">
        <v>45808.395833333336</v>
      </c>
      <c r="B594">
        <v>13</v>
      </c>
      <c r="C594" t="s">
        <v>18</v>
      </c>
      <c r="D594" t="s">
        <v>19</v>
      </c>
      <c r="E594">
        <v>1.52</v>
      </c>
      <c r="F594">
        <v>3.28</v>
      </c>
      <c r="G594" s="8">
        <f>E594*60/F594</f>
        <v>27.804878048780491</v>
      </c>
    </row>
    <row r="595" spans="1:7" x14ac:dyDescent="0.25">
      <c r="A595" s="5">
        <v>45808.395833333336</v>
      </c>
      <c r="B595">
        <v>14</v>
      </c>
      <c r="C595" t="s">
        <v>19</v>
      </c>
      <c r="D595" t="s">
        <v>20</v>
      </c>
      <c r="E595">
        <v>1.51</v>
      </c>
      <c r="F595">
        <v>2.93</v>
      </c>
      <c r="G595" s="8">
        <f>E595*60/F595</f>
        <v>30.921501706484637</v>
      </c>
    </row>
    <row r="596" spans="1:7" x14ac:dyDescent="0.25">
      <c r="A596" s="5">
        <v>45808.395833333336</v>
      </c>
      <c r="B596">
        <v>15</v>
      </c>
      <c r="C596" t="s">
        <v>20</v>
      </c>
      <c r="D596" t="s">
        <v>21</v>
      </c>
      <c r="E596">
        <v>1.47</v>
      </c>
      <c r="F596">
        <v>2.38</v>
      </c>
      <c r="G596" s="8">
        <f>E596*60/F596</f>
        <v>37.058823529411768</v>
      </c>
    </row>
    <row r="597" spans="1:7" x14ac:dyDescent="0.25">
      <c r="A597" s="5">
        <v>45808.395833333336</v>
      </c>
      <c r="B597">
        <v>16</v>
      </c>
      <c r="C597" t="s">
        <v>21</v>
      </c>
      <c r="D597" t="s">
        <v>22</v>
      </c>
      <c r="E597">
        <v>1.5</v>
      </c>
      <c r="F597">
        <v>1.72</v>
      </c>
      <c r="G597" s="8">
        <f>E597*60/F597</f>
        <v>52.325581395348841</v>
      </c>
    </row>
    <row r="598" spans="1:7" x14ac:dyDescent="0.25">
      <c r="A598" s="5">
        <v>45808.395833333336</v>
      </c>
      <c r="B598">
        <v>17</v>
      </c>
      <c r="C598" t="s">
        <v>22</v>
      </c>
      <c r="D598" t="s">
        <v>23</v>
      </c>
      <c r="E598">
        <v>1.51</v>
      </c>
      <c r="F598">
        <v>2.63</v>
      </c>
      <c r="G598" s="8">
        <f>E598*60/F598</f>
        <v>34.448669201520914</v>
      </c>
    </row>
    <row r="599" spans="1:7" x14ac:dyDescent="0.25">
      <c r="A599" s="5">
        <v>45808.395833333336</v>
      </c>
      <c r="B599">
        <v>18</v>
      </c>
      <c r="C599" t="s">
        <v>23</v>
      </c>
      <c r="D599" t="s">
        <v>24</v>
      </c>
      <c r="E599">
        <v>1.51</v>
      </c>
      <c r="F599">
        <v>2.82</v>
      </c>
      <c r="G599" s="8">
        <f>E599*60/F599</f>
        <v>32.127659574468083</v>
      </c>
    </row>
    <row r="600" spans="1:7" x14ac:dyDescent="0.25">
      <c r="A600" s="5">
        <v>45808.395833333336</v>
      </c>
      <c r="B600">
        <v>19</v>
      </c>
      <c r="C600" t="s">
        <v>25</v>
      </c>
      <c r="D600" t="s">
        <v>26</v>
      </c>
      <c r="E600">
        <v>1.5</v>
      </c>
      <c r="F600">
        <v>3.93</v>
      </c>
      <c r="G600" s="8">
        <f>E600*60/F600</f>
        <v>22.900763358778626</v>
      </c>
    </row>
    <row r="601" spans="1:7" x14ac:dyDescent="0.25">
      <c r="A601" s="5">
        <v>45808.395833333336</v>
      </c>
      <c r="B601">
        <v>20</v>
      </c>
      <c r="C601" t="s">
        <v>26</v>
      </c>
      <c r="D601" t="s">
        <v>27</v>
      </c>
      <c r="E601">
        <v>1.48</v>
      </c>
      <c r="F601">
        <v>3.48</v>
      </c>
      <c r="G601" s="8">
        <f>E601*60/F601</f>
        <v>25.517241379310345</v>
      </c>
    </row>
    <row r="602" spans="1:7" x14ac:dyDescent="0.25">
      <c r="A602" s="5">
        <v>45808.395833333336</v>
      </c>
      <c r="B602">
        <v>21</v>
      </c>
      <c r="C602" t="s">
        <v>27</v>
      </c>
      <c r="D602" t="s">
        <v>28</v>
      </c>
      <c r="E602">
        <v>1.51</v>
      </c>
      <c r="F602">
        <v>3.22</v>
      </c>
      <c r="G602" s="8">
        <f>E602*60/F602</f>
        <v>28.136645962732917</v>
      </c>
    </row>
    <row r="603" spans="1:7" x14ac:dyDescent="0.25">
      <c r="A603" s="5">
        <v>45808.395833333336</v>
      </c>
      <c r="B603">
        <v>22</v>
      </c>
      <c r="C603" t="s">
        <v>28</v>
      </c>
      <c r="D603" t="s">
        <v>29</v>
      </c>
      <c r="E603">
        <v>1.57</v>
      </c>
      <c r="F603">
        <v>3.43</v>
      </c>
      <c r="G603" s="8">
        <f>E603*60/F603</f>
        <v>27.463556851311953</v>
      </c>
    </row>
    <row r="604" spans="1:7" x14ac:dyDescent="0.25">
      <c r="A604" s="5">
        <v>45808.395833333336</v>
      </c>
      <c r="B604">
        <v>23</v>
      </c>
      <c r="C604" t="s">
        <v>29</v>
      </c>
      <c r="D604" t="s">
        <v>30</v>
      </c>
      <c r="E604">
        <v>1.43</v>
      </c>
      <c r="F604">
        <v>3.22</v>
      </c>
      <c r="G604" s="8">
        <f>E604*60/F604</f>
        <v>26.645962732919251</v>
      </c>
    </row>
    <row r="605" spans="1:7" x14ac:dyDescent="0.25">
      <c r="A605" s="5">
        <v>45808.395833333336</v>
      </c>
      <c r="B605">
        <v>24</v>
      </c>
      <c r="C605" t="s">
        <v>30</v>
      </c>
      <c r="D605" t="s">
        <v>31</v>
      </c>
      <c r="E605">
        <v>1.52</v>
      </c>
      <c r="F605">
        <v>2.98</v>
      </c>
      <c r="G605" s="8">
        <f>E605*60/F605</f>
        <v>30.604026845637584</v>
      </c>
    </row>
    <row r="606" spans="1:7" x14ac:dyDescent="0.25">
      <c r="A606" s="5">
        <v>45808.395833333336</v>
      </c>
      <c r="B606">
        <v>25</v>
      </c>
      <c r="C606" t="s">
        <v>31</v>
      </c>
      <c r="D606" t="s">
        <v>32</v>
      </c>
      <c r="E606">
        <v>1.52</v>
      </c>
      <c r="F606">
        <v>3.08</v>
      </c>
      <c r="G606" s="8">
        <f>E606*60/F606</f>
        <v>29.61038961038961</v>
      </c>
    </row>
    <row r="607" spans="1:7" x14ac:dyDescent="0.25">
      <c r="A607" s="5">
        <v>45808.395833333336</v>
      </c>
      <c r="B607">
        <v>26</v>
      </c>
      <c r="C607" t="s">
        <v>32</v>
      </c>
      <c r="D607" t="s">
        <v>33</v>
      </c>
      <c r="E607">
        <v>1.49</v>
      </c>
      <c r="F607">
        <v>3.48</v>
      </c>
      <c r="G607" s="8">
        <f>E607*60/F607</f>
        <v>25.689655172413794</v>
      </c>
    </row>
    <row r="608" spans="1:7" x14ac:dyDescent="0.25">
      <c r="A608" s="5">
        <v>45808.395833333336</v>
      </c>
      <c r="B608">
        <v>27</v>
      </c>
      <c r="C608" t="s">
        <v>33</v>
      </c>
      <c r="D608" t="s">
        <v>34</v>
      </c>
      <c r="E608">
        <v>1.53</v>
      </c>
      <c r="F608">
        <v>3.32</v>
      </c>
      <c r="G608" s="8">
        <f>E608*60/F608</f>
        <v>27.650602409638555</v>
      </c>
    </row>
    <row r="609" spans="1:7" x14ac:dyDescent="0.25">
      <c r="A609" s="5">
        <v>45808.395833333336</v>
      </c>
      <c r="B609">
        <v>28</v>
      </c>
      <c r="C609" t="s">
        <v>34</v>
      </c>
      <c r="D609" t="s">
        <v>35</v>
      </c>
      <c r="E609">
        <v>1.51</v>
      </c>
      <c r="F609">
        <v>3.8</v>
      </c>
      <c r="G609" s="8">
        <f>E609*60/F609</f>
        <v>23.842105263157894</v>
      </c>
    </row>
    <row r="610" spans="1:7" x14ac:dyDescent="0.25">
      <c r="A610" s="5">
        <v>45808.395833333336</v>
      </c>
      <c r="B610">
        <v>29</v>
      </c>
      <c r="C610" t="s">
        <v>36</v>
      </c>
      <c r="D610" t="s">
        <v>37</v>
      </c>
      <c r="E610">
        <v>1.57</v>
      </c>
      <c r="F610">
        <v>3.9</v>
      </c>
      <c r="G610" s="8">
        <f>E610*60/F610</f>
        <v>24.153846153846157</v>
      </c>
    </row>
    <row r="611" spans="1:7" x14ac:dyDescent="0.25">
      <c r="A611" s="5">
        <v>45808.395833333336</v>
      </c>
      <c r="B611">
        <v>30</v>
      </c>
      <c r="C611" t="s">
        <v>37</v>
      </c>
      <c r="D611" t="s">
        <v>38</v>
      </c>
      <c r="E611">
        <v>1.57</v>
      </c>
      <c r="F611">
        <v>5.4</v>
      </c>
      <c r="G611" s="8">
        <f>E611*60/F611</f>
        <v>17.444444444444443</v>
      </c>
    </row>
    <row r="612" spans="1:7" x14ac:dyDescent="0.25">
      <c r="A612" s="5">
        <v>45808.395833333336</v>
      </c>
      <c r="B612">
        <v>31</v>
      </c>
      <c r="C612" t="s">
        <v>38</v>
      </c>
      <c r="D612" t="s">
        <v>39</v>
      </c>
      <c r="E612">
        <v>1.52</v>
      </c>
      <c r="F612">
        <v>2.8</v>
      </c>
      <c r="G612" s="8">
        <f>E612*60/F612</f>
        <v>32.571428571428577</v>
      </c>
    </row>
    <row r="613" spans="1:7" x14ac:dyDescent="0.25">
      <c r="A613" s="5">
        <v>45808.395833333336</v>
      </c>
      <c r="B613">
        <v>32</v>
      </c>
      <c r="C613" t="s">
        <v>39</v>
      </c>
      <c r="D613" t="s">
        <v>40</v>
      </c>
      <c r="E613">
        <v>1.5</v>
      </c>
      <c r="F613">
        <v>1.8</v>
      </c>
      <c r="G613" s="8">
        <f>E613*60/F613</f>
        <v>50</v>
      </c>
    </row>
    <row r="614" spans="1:7" x14ac:dyDescent="0.25">
      <c r="A614" s="5">
        <v>45808.395833333336</v>
      </c>
      <c r="B614">
        <v>33</v>
      </c>
      <c r="C614" t="s">
        <v>40</v>
      </c>
      <c r="D614" t="s">
        <v>41</v>
      </c>
      <c r="E614">
        <v>1.51</v>
      </c>
      <c r="F614">
        <v>1.73</v>
      </c>
      <c r="G614" s="8">
        <f>E614*60/F614</f>
        <v>52.369942196531788</v>
      </c>
    </row>
    <row r="615" spans="1:7" x14ac:dyDescent="0.25">
      <c r="A615" s="5">
        <v>45808.395833333336</v>
      </c>
      <c r="B615">
        <v>34</v>
      </c>
      <c r="C615" t="s">
        <v>41</v>
      </c>
      <c r="D615" t="s">
        <v>42</v>
      </c>
      <c r="E615">
        <v>1.5</v>
      </c>
      <c r="F615">
        <v>1.82</v>
      </c>
      <c r="G615" s="8">
        <f>E615*60/F615</f>
        <v>49.450549450549445</v>
      </c>
    </row>
    <row r="616" spans="1:7" x14ac:dyDescent="0.25">
      <c r="A616" s="5">
        <v>45808.395833333336</v>
      </c>
      <c r="B616">
        <v>35</v>
      </c>
      <c r="C616" t="s">
        <v>43</v>
      </c>
      <c r="D616" t="s">
        <v>44</v>
      </c>
      <c r="E616">
        <v>1.55</v>
      </c>
      <c r="F616">
        <v>3.3</v>
      </c>
      <c r="G616" s="8">
        <f>E616*60/F616</f>
        <v>28.181818181818183</v>
      </c>
    </row>
    <row r="617" spans="1:7" x14ac:dyDescent="0.25">
      <c r="A617" s="5">
        <v>45808.395833333336</v>
      </c>
      <c r="B617">
        <v>36</v>
      </c>
      <c r="C617" t="s">
        <v>44</v>
      </c>
      <c r="D617" t="s">
        <v>45</v>
      </c>
      <c r="E617">
        <v>1.5</v>
      </c>
      <c r="F617">
        <v>2.83</v>
      </c>
      <c r="G617" s="8">
        <f>E617*60/F617</f>
        <v>31.802120141342755</v>
      </c>
    </row>
    <row r="618" spans="1:7" x14ac:dyDescent="0.25">
      <c r="A618" s="5">
        <v>45808.395833333336</v>
      </c>
      <c r="B618">
        <v>37</v>
      </c>
      <c r="C618" t="s">
        <v>45</v>
      </c>
      <c r="D618" t="s">
        <v>46</v>
      </c>
      <c r="E618">
        <v>1.38</v>
      </c>
      <c r="F618">
        <v>3.5</v>
      </c>
      <c r="G618" s="8">
        <f>E618*60/F618</f>
        <v>23.657142857142855</v>
      </c>
    </row>
    <row r="619" spans="1:7" x14ac:dyDescent="0.25">
      <c r="A619" s="5">
        <v>45808.395833333336</v>
      </c>
      <c r="B619">
        <v>38</v>
      </c>
      <c r="C619" t="s">
        <v>46</v>
      </c>
      <c r="D619" t="s">
        <v>47</v>
      </c>
      <c r="E619">
        <v>1.61</v>
      </c>
      <c r="F619">
        <v>3.6</v>
      </c>
      <c r="G619" s="8">
        <f>E619*60/F619</f>
        <v>26.833333333333336</v>
      </c>
    </row>
    <row r="620" spans="1:7" x14ac:dyDescent="0.25">
      <c r="A620" s="5">
        <v>45808.395833333336</v>
      </c>
      <c r="B620">
        <v>39</v>
      </c>
      <c r="C620" t="s">
        <v>47</v>
      </c>
      <c r="D620" t="s">
        <v>48</v>
      </c>
      <c r="E620">
        <v>1.55</v>
      </c>
      <c r="F620">
        <v>3.25</v>
      </c>
      <c r="G620" s="8">
        <f>E620*60/F620</f>
        <v>28.615384615384617</v>
      </c>
    </row>
    <row r="621" spans="1:7" x14ac:dyDescent="0.25">
      <c r="A621" s="5">
        <v>45808.395833333336</v>
      </c>
      <c r="B621">
        <v>40</v>
      </c>
      <c r="C621" t="s">
        <v>48</v>
      </c>
      <c r="D621" t="s">
        <v>49</v>
      </c>
      <c r="E621">
        <v>1.39</v>
      </c>
      <c r="F621">
        <v>2.82</v>
      </c>
      <c r="G621" s="8">
        <f>E621*60/F621</f>
        <v>29.574468085106382</v>
      </c>
    </row>
    <row r="622" spans="1:7" x14ac:dyDescent="0.25">
      <c r="A622" s="5">
        <v>45808.395833333336</v>
      </c>
      <c r="B622">
        <v>41</v>
      </c>
      <c r="C622" t="s">
        <v>50</v>
      </c>
      <c r="D622" t="s">
        <v>51</v>
      </c>
      <c r="E622">
        <v>1.56</v>
      </c>
      <c r="F622">
        <v>3.57</v>
      </c>
      <c r="G622" s="8">
        <f>E622*60/F622</f>
        <v>26.218487394957986</v>
      </c>
    </row>
    <row r="623" spans="1:7" x14ac:dyDescent="0.25">
      <c r="A623" s="5">
        <v>45808.395833333336</v>
      </c>
      <c r="B623">
        <v>42</v>
      </c>
      <c r="C623" t="s">
        <v>51</v>
      </c>
      <c r="D623" t="s">
        <v>52</v>
      </c>
      <c r="E623">
        <v>1.56</v>
      </c>
      <c r="F623">
        <v>3.63</v>
      </c>
      <c r="G623" s="8">
        <f>E623*60/F623</f>
        <v>25.785123966942152</v>
      </c>
    </row>
    <row r="624" spans="1:7" x14ac:dyDescent="0.25">
      <c r="A624" s="5">
        <v>45808.395833333336</v>
      </c>
      <c r="B624">
        <v>43</v>
      </c>
      <c r="C624" t="s">
        <v>52</v>
      </c>
      <c r="D624" t="s">
        <v>53</v>
      </c>
      <c r="E624">
        <v>1.51</v>
      </c>
      <c r="F624">
        <v>3.22</v>
      </c>
      <c r="G624" s="8">
        <f>E624*60/F624</f>
        <v>28.136645962732917</v>
      </c>
    </row>
    <row r="625" spans="1:7" x14ac:dyDescent="0.25">
      <c r="A625" s="5">
        <v>45808.395833333336</v>
      </c>
      <c r="B625">
        <v>44</v>
      </c>
      <c r="C625" t="s">
        <v>54</v>
      </c>
      <c r="D625" t="s">
        <v>55</v>
      </c>
      <c r="E625">
        <v>1.51</v>
      </c>
      <c r="F625">
        <v>4</v>
      </c>
      <c r="G625" s="8">
        <f>E625*60/F625</f>
        <v>22.65</v>
      </c>
    </row>
    <row r="626" spans="1:7" x14ac:dyDescent="0.25">
      <c r="A626" s="5">
        <v>45808.395833333336</v>
      </c>
      <c r="B626">
        <v>45</v>
      </c>
      <c r="C626" t="s">
        <v>55</v>
      </c>
      <c r="D626" t="s">
        <v>56</v>
      </c>
      <c r="E626">
        <v>1.49</v>
      </c>
      <c r="F626">
        <v>3.22</v>
      </c>
      <c r="G626" s="8">
        <f>E626*60/F626</f>
        <v>27.763975155279503</v>
      </c>
    </row>
    <row r="627" spans="1:7" x14ac:dyDescent="0.25">
      <c r="A627" s="5">
        <v>45808.395833333336</v>
      </c>
      <c r="B627">
        <v>46</v>
      </c>
      <c r="C627" t="s">
        <v>56</v>
      </c>
      <c r="D627" t="s">
        <v>57</v>
      </c>
      <c r="E627">
        <v>1.52</v>
      </c>
      <c r="F627">
        <v>3.47</v>
      </c>
      <c r="G627" s="8">
        <f>E627*60/F627</f>
        <v>26.282420749279538</v>
      </c>
    </row>
    <row r="628" spans="1:7" x14ac:dyDescent="0.25">
      <c r="A628" s="5">
        <v>45808.395833333336</v>
      </c>
      <c r="B628">
        <v>47</v>
      </c>
      <c r="C628" t="s">
        <v>58</v>
      </c>
      <c r="D628" t="s">
        <v>59</v>
      </c>
      <c r="E628">
        <v>1.52</v>
      </c>
      <c r="F628">
        <v>3.6</v>
      </c>
      <c r="G628" s="8">
        <f>E628*60/F628</f>
        <v>25.333333333333332</v>
      </c>
    </row>
    <row r="629" spans="1:7" x14ac:dyDescent="0.25">
      <c r="A629" s="5">
        <v>45808.395833333336</v>
      </c>
      <c r="B629">
        <v>48</v>
      </c>
      <c r="C629" t="s">
        <v>59</v>
      </c>
      <c r="D629" t="s">
        <v>60</v>
      </c>
      <c r="E629">
        <v>1.5</v>
      </c>
      <c r="F629">
        <v>3.22</v>
      </c>
      <c r="G629" s="8">
        <f>E629*60/F629</f>
        <v>27.950310559006208</v>
      </c>
    </row>
    <row r="630" spans="1:7" x14ac:dyDescent="0.25">
      <c r="A630" s="5">
        <v>45808.395833333336</v>
      </c>
      <c r="B630">
        <v>49</v>
      </c>
      <c r="C630" t="s">
        <v>60</v>
      </c>
      <c r="D630" t="s">
        <v>61</v>
      </c>
      <c r="E630">
        <v>1.54</v>
      </c>
      <c r="F630">
        <v>3.7</v>
      </c>
      <c r="G630" s="8">
        <f>E630*60/F630</f>
        <v>24.972972972972972</v>
      </c>
    </row>
    <row r="631" spans="1:7" x14ac:dyDescent="0.25">
      <c r="A631" s="5">
        <v>45808.395833333336</v>
      </c>
      <c r="B631">
        <v>50</v>
      </c>
      <c r="C631" t="s">
        <v>62</v>
      </c>
      <c r="D631" t="s">
        <v>63</v>
      </c>
      <c r="E631">
        <v>1.38</v>
      </c>
      <c r="F631">
        <v>3.17</v>
      </c>
      <c r="G631" s="8">
        <f>E631*60/F631</f>
        <v>26.119873817034701</v>
      </c>
    </row>
    <row r="632" spans="1:7" x14ac:dyDescent="0.25">
      <c r="A632" s="5">
        <v>45808.395833333336</v>
      </c>
      <c r="B632">
        <v>51</v>
      </c>
      <c r="C632" t="s">
        <v>63</v>
      </c>
      <c r="D632" t="s">
        <v>64</v>
      </c>
      <c r="E632">
        <v>2.79</v>
      </c>
      <c r="F632">
        <v>5.5</v>
      </c>
      <c r="G632" s="8">
        <f>E632*60/F632</f>
        <v>30.436363636363637</v>
      </c>
    </row>
    <row r="633" spans="1:7" x14ac:dyDescent="0.25">
      <c r="A633" s="5">
        <v>45808.395833333336</v>
      </c>
      <c r="B633">
        <v>52</v>
      </c>
      <c r="C633" t="s">
        <v>64</v>
      </c>
      <c r="D633" t="s">
        <v>65</v>
      </c>
      <c r="E633">
        <v>1.5</v>
      </c>
      <c r="F633">
        <v>2.82</v>
      </c>
      <c r="G633" s="8">
        <f>E633*60/F633</f>
        <v>31.914893617021278</v>
      </c>
    </row>
    <row r="634" spans="1:7" x14ac:dyDescent="0.25">
      <c r="A634" s="5">
        <v>45808.395833333336</v>
      </c>
      <c r="B634">
        <v>53</v>
      </c>
      <c r="C634" t="s">
        <v>65</v>
      </c>
      <c r="D634" t="s">
        <v>66</v>
      </c>
      <c r="E634">
        <v>1.46</v>
      </c>
      <c r="F634">
        <v>3.55</v>
      </c>
      <c r="G634" s="8">
        <f>E634*60/F634</f>
        <v>24.676056338028168</v>
      </c>
    </row>
    <row r="635" spans="1:7" x14ac:dyDescent="0.25">
      <c r="A635" s="5">
        <v>45808.395833333336</v>
      </c>
      <c r="B635">
        <v>54</v>
      </c>
      <c r="C635" t="s">
        <v>67</v>
      </c>
      <c r="D635" t="s">
        <v>68</v>
      </c>
      <c r="E635">
        <v>1.46</v>
      </c>
      <c r="F635">
        <v>3.03</v>
      </c>
      <c r="G635" s="8">
        <f>E635*60/F635</f>
        <v>28.910891089108912</v>
      </c>
    </row>
    <row r="636" spans="1:7" x14ac:dyDescent="0.25">
      <c r="A636" s="5">
        <v>45808.395833333336</v>
      </c>
      <c r="B636">
        <v>55</v>
      </c>
      <c r="C636" t="s">
        <v>68</v>
      </c>
      <c r="D636" t="s">
        <v>69</v>
      </c>
      <c r="E636">
        <v>1.5</v>
      </c>
      <c r="F636">
        <v>1.95</v>
      </c>
      <c r="G636" s="8">
        <f>E636*60/F636</f>
        <v>46.153846153846153</v>
      </c>
    </row>
    <row r="637" spans="1:7" x14ac:dyDescent="0.25">
      <c r="A637" s="5">
        <v>45808.395833333336</v>
      </c>
      <c r="B637">
        <v>56</v>
      </c>
      <c r="C637" t="s">
        <v>70</v>
      </c>
      <c r="D637" t="s">
        <v>71</v>
      </c>
      <c r="E637">
        <v>1.51</v>
      </c>
      <c r="F637">
        <v>3.97</v>
      </c>
      <c r="G637" s="8">
        <f>E637*60/F637</f>
        <v>22.821158690176318</v>
      </c>
    </row>
    <row r="638" spans="1:7" x14ac:dyDescent="0.25">
      <c r="A638" s="5">
        <v>45808.395833333336</v>
      </c>
      <c r="B638">
        <v>57</v>
      </c>
      <c r="C638" t="s">
        <v>71</v>
      </c>
      <c r="D638" t="s">
        <v>72</v>
      </c>
      <c r="E638">
        <v>1.52</v>
      </c>
      <c r="F638">
        <v>3.63</v>
      </c>
      <c r="G638" s="8">
        <f>E638*60/F638</f>
        <v>25.123966942148762</v>
      </c>
    </row>
    <row r="639" spans="1:7" x14ac:dyDescent="0.25">
      <c r="A639" s="5">
        <v>45808.395833333336</v>
      </c>
      <c r="B639">
        <v>58</v>
      </c>
      <c r="C639" t="s">
        <v>72</v>
      </c>
      <c r="D639" t="s">
        <v>73</v>
      </c>
      <c r="E639">
        <v>1.5</v>
      </c>
      <c r="F639">
        <v>3.57</v>
      </c>
      <c r="G639" s="8">
        <f>E639*60/F639</f>
        <v>25.210084033613448</v>
      </c>
    </row>
    <row r="640" spans="1:7" x14ac:dyDescent="0.25">
      <c r="A640" s="5">
        <v>45808.40625</v>
      </c>
      <c r="B640">
        <v>1</v>
      </c>
      <c r="C640" t="s">
        <v>6</v>
      </c>
      <c r="D640" t="s">
        <v>7</v>
      </c>
      <c r="E640">
        <v>1.53</v>
      </c>
      <c r="F640">
        <v>3.1</v>
      </c>
      <c r="G640" s="8">
        <f>E640*60/F640</f>
        <v>29.612903225806448</v>
      </c>
    </row>
    <row r="641" spans="1:7" x14ac:dyDescent="0.25">
      <c r="A641" s="5">
        <v>45808.40625</v>
      </c>
      <c r="B641">
        <v>2</v>
      </c>
      <c r="C641" t="s">
        <v>7</v>
      </c>
      <c r="D641" t="s">
        <v>8</v>
      </c>
      <c r="E641">
        <v>1.57</v>
      </c>
      <c r="F641">
        <v>4.68</v>
      </c>
      <c r="G641" s="8">
        <f>E641*60/F641</f>
        <v>20.128205128205131</v>
      </c>
    </row>
    <row r="642" spans="1:7" x14ac:dyDescent="0.25">
      <c r="A642" s="5">
        <v>45808.40625</v>
      </c>
      <c r="B642">
        <v>3</v>
      </c>
      <c r="C642" t="s">
        <v>8</v>
      </c>
      <c r="D642" t="s">
        <v>9</v>
      </c>
      <c r="E642">
        <v>1.5</v>
      </c>
      <c r="F642">
        <v>2.95</v>
      </c>
      <c r="G642" s="8">
        <f>E642*60/F642</f>
        <v>30.508474576271183</v>
      </c>
    </row>
    <row r="643" spans="1:7" x14ac:dyDescent="0.25">
      <c r="A643" s="5">
        <v>45808.40625</v>
      </c>
      <c r="B643">
        <v>4</v>
      </c>
      <c r="C643" t="s">
        <v>9</v>
      </c>
      <c r="D643" t="s">
        <v>10</v>
      </c>
      <c r="E643">
        <v>1.5</v>
      </c>
      <c r="F643">
        <v>2.75</v>
      </c>
      <c r="G643" s="8">
        <f>E643*60/F643</f>
        <v>32.727272727272727</v>
      </c>
    </row>
    <row r="644" spans="1:7" x14ac:dyDescent="0.25">
      <c r="A644" s="5">
        <v>45808.40625</v>
      </c>
      <c r="B644">
        <v>5</v>
      </c>
      <c r="C644" t="s">
        <v>10</v>
      </c>
      <c r="D644" t="s">
        <v>11</v>
      </c>
      <c r="E644">
        <v>1.52</v>
      </c>
      <c r="F644">
        <v>3.15</v>
      </c>
      <c r="G644" s="8">
        <f>E644*60/F644</f>
        <v>28.952380952380953</v>
      </c>
    </row>
    <row r="645" spans="1:7" x14ac:dyDescent="0.25">
      <c r="A645" s="5">
        <v>45808.40625</v>
      </c>
      <c r="B645">
        <v>6</v>
      </c>
      <c r="C645" t="s">
        <v>11</v>
      </c>
      <c r="D645" t="s">
        <v>12</v>
      </c>
      <c r="E645">
        <v>1.5</v>
      </c>
      <c r="F645">
        <v>2.65</v>
      </c>
      <c r="G645" s="8">
        <f>E645*60/F645</f>
        <v>33.962264150943398</v>
      </c>
    </row>
    <row r="646" spans="1:7" x14ac:dyDescent="0.25">
      <c r="A646" s="5">
        <v>45808.40625</v>
      </c>
      <c r="B646">
        <v>7</v>
      </c>
      <c r="C646" t="s">
        <v>12</v>
      </c>
      <c r="D646" t="s">
        <v>13</v>
      </c>
      <c r="E646">
        <v>1.54</v>
      </c>
      <c r="F646">
        <v>2.58</v>
      </c>
      <c r="G646" s="8">
        <f>E646*60/F646</f>
        <v>35.813953488372093</v>
      </c>
    </row>
    <row r="647" spans="1:7" x14ac:dyDescent="0.25">
      <c r="A647" s="5">
        <v>45808.40625</v>
      </c>
      <c r="B647">
        <v>8</v>
      </c>
      <c r="C647" t="s">
        <v>13</v>
      </c>
      <c r="D647" t="s">
        <v>14</v>
      </c>
      <c r="E647">
        <v>1.54</v>
      </c>
      <c r="F647">
        <v>3.25</v>
      </c>
      <c r="G647" s="8">
        <f>E647*60/F647</f>
        <v>28.430769230769233</v>
      </c>
    </row>
    <row r="648" spans="1:7" x14ac:dyDescent="0.25">
      <c r="A648" s="5">
        <v>45808.40625</v>
      </c>
      <c r="B648">
        <v>9</v>
      </c>
      <c r="C648" t="s">
        <v>14</v>
      </c>
      <c r="D648" t="s">
        <v>15</v>
      </c>
      <c r="E648">
        <v>1.52</v>
      </c>
      <c r="F648">
        <v>3.57</v>
      </c>
      <c r="G648" s="8">
        <f>E648*60/F648</f>
        <v>25.54621848739496</v>
      </c>
    </row>
    <row r="649" spans="1:7" x14ac:dyDescent="0.25">
      <c r="A649" s="5">
        <v>45808.40625</v>
      </c>
      <c r="B649">
        <v>10</v>
      </c>
      <c r="C649" t="s">
        <v>15</v>
      </c>
      <c r="D649" t="s">
        <v>16</v>
      </c>
      <c r="E649">
        <v>1.5</v>
      </c>
      <c r="F649">
        <v>3.47</v>
      </c>
      <c r="G649" s="8">
        <f>E649*60/F649</f>
        <v>25.936599423631122</v>
      </c>
    </row>
    <row r="650" spans="1:7" x14ac:dyDescent="0.25">
      <c r="A650" s="5">
        <v>45808.40625</v>
      </c>
      <c r="B650">
        <v>11</v>
      </c>
      <c r="C650" t="s">
        <v>16</v>
      </c>
      <c r="D650" t="s">
        <v>17</v>
      </c>
      <c r="E650">
        <v>1.48</v>
      </c>
      <c r="F650">
        <v>2.37</v>
      </c>
      <c r="G650" s="8">
        <f>E650*60/F650</f>
        <v>37.46835443037974</v>
      </c>
    </row>
    <row r="651" spans="1:7" x14ac:dyDescent="0.25">
      <c r="A651" s="5">
        <v>45808.40625</v>
      </c>
      <c r="B651">
        <v>12</v>
      </c>
      <c r="C651" t="s">
        <v>17</v>
      </c>
      <c r="D651" t="s">
        <v>18</v>
      </c>
      <c r="E651">
        <v>1.46</v>
      </c>
      <c r="F651">
        <v>3.43</v>
      </c>
      <c r="G651" s="8">
        <f>E651*60/F651</f>
        <v>25.539358600583089</v>
      </c>
    </row>
    <row r="652" spans="1:7" x14ac:dyDescent="0.25">
      <c r="A652" s="5">
        <v>45808.40625</v>
      </c>
      <c r="B652">
        <v>13</v>
      </c>
      <c r="C652" t="s">
        <v>18</v>
      </c>
      <c r="D652" t="s">
        <v>19</v>
      </c>
      <c r="E652">
        <v>1.52</v>
      </c>
      <c r="F652">
        <v>3.22</v>
      </c>
      <c r="G652" s="8">
        <f>E652*60/F652</f>
        <v>28.322981366459626</v>
      </c>
    </row>
    <row r="653" spans="1:7" x14ac:dyDescent="0.25">
      <c r="A653" s="5">
        <v>45808.40625</v>
      </c>
      <c r="B653">
        <v>14</v>
      </c>
      <c r="C653" t="s">
        <v>19</v>
      </c>
      <c r="D653" t="s">
        <v>20</v>
      </c>
      <c r="E653">
        <v>1.51</v>
      </c>
      <c r="F653">
        <v>3.27</v>
      </c>
      <c r="G653" s="8">
        <f>E653*60/F653</f>
        <v>27.706422018348622</v>
      </c>
    </row>
    <row r="654" spans="1:7" x14ac:dyDescent="0.25">
      <c r="A654" s="5">
        <v>45808.40625</v>
      </c>
      <c r="B654">
        <v>15</v>
      </c>
      <c r="C654" t="s">
        <v>20</v>
      </c>
      <c r="D654" t="s">
        <v>21</v>
      </c>
      <c r="E654">
        <v>1.47</v>
      </c>
      <c r="F654">
        <v>2.38</v>
      </c>
      <c r="G654" s="8">
        <f>E654*60/F654</f>
        <v>37.058823529411768</v>
      </c>
    </row>
    <row r="655" spans="1:7" x14ac:dyDescent="0.25">
      <c r="A655" s="5">
        <v>45808.40625</v>
      </c>
      <c r="B655">
        <v>16</v>
      </c>
      <c r="C655" t="s">
        <v>21</v>
      </c>
      <c r="D655" t="s">
        <v>22</v>
      </c>
      <c r="E655">
        <v>1.5</v>
      </c>
      <c r="F655">
        <v>1.77</v>
      </c>
      <c r="G655" s="8">
        <f>E655*60/F655</f>
        <v>50.847457627118644</v>
      </c>
    </row>
    <row r="656" spans="1:7" x14ac:dyDescent="0.25">
      <c r="A656" s="5">
        <v>45808.40625</v>
      </c>
      <c r="B656">
        <v>17</v>
      </c>
      <c r="C656" t="s">
        <v>22</v>
      </c>
      <c r="D656" t="s">
        <v>23</v>
      </c>
      <c r="E656">
        <v>1.51</v>
      </c>
      <c r="F656">
        <v>2.77</v>
      </c>
      <c r="G656" s="8">
        <f>E656*60/F656</f>
        <v>32.707581227436819</v>
      </c>
    </row>
    <row r="657" spans="1:7" x14ac:dyDescent="0.25">
      <c r="A657" s="5">
        <v>45808.40625</v>
      </c>
      <c r="B657">
        <v>18</v>
      </c>
      <c r="C657" t="s">
        <v>23</v>
      </c>
      <c r="D657" t="s">
        <v>24</v>
      </c>
      <c r="E657">
        <v>1.51</v>
      </c>
      <c r="F657">
        <v>2.83</v>
      </c>
      <c r="G657" s="8">
        <f>E657*60/F657</f>
        <v>32.014134275618375</v>
      </c>
    </row>
    <row r="658" spans="1:7" x14ac:dyDescent="0.25">
      <c r="A658" s="5">
        <v>45808.40625</v>
      </c>
      <c r="B658">
        <v>19</v>
      </c>
      <c r="C658" t="s">
        <v>25</v>
      </c>
      <c r="D658" t="s">
        <v>26</v>
      </c>
      <c r="E658">
        <v>1.5</v>
      </c>
      <c r="F658">
        <v>3.82</v>
      </c>
      <c r="G658" s="8">
        <f>E658*60/F658</f>
        <v>23.560209424083769</v>
      </c>
    </row>
    <row r="659" spans="1:7" x14ac:dyDescent="0.25">
      <c r="A659" s="5">
        <v>45808.40625</v>
      </c>
      <c r="B659">
        <v>20</v>
      </c>
      <c r="C659" t="s">
        <v>26</v>
      </c>
      <c r="D659" t="s">
        <v>27</v>
      </c>
      <c r="E659">
        <v>1.48</v>
      </c>
      <c r="F659">
        <v>3.43</v>
      </c>
      <c r="G659" s="8">
        <f>E659*60/F659</f>
        <v>25.889212827988334</v>
      </c>
    </row>
    <row r="660" spans="1:7" x14ac:dyDescent="0.25">
      <c r="A660" s="5">
        <v>45808.40625</v>
      </c>
      <c r="B660">
        <v>21</v>
      </c>
      <c r="C660" t="s">
        <v>27</v>
      </c>
      <c r="D660" t="s">
        <v>28</v>
      </c>
      <c r="E660">
        <v>1.51</v>
      </c>
      <c r="F660">
        <v>2.95</v>
      </c>
      <c r="G660" s="8">
        <f>E660*60/F660</f>
        <v>30.711864406779657</v>
      </c>
    </row>
    <row r="661" spans="1:7" x14ac:dyDescent="0.25">
      <c r="A661" s="5">
        <v>45808.40625</v>
      </c>
      <c r="B661">
        <v>22</v>
      </c>
      <c r="C661" t="s">
        <v>28</v>
      </c>
      <c r="D661" t="s">
        <v>29</v>
      </c>
      <c r="E661">
        <v>1.57</v>
      </c>
      <c r="F661">
        <v>3.18</v>
      </c>
      <c r="G661" s="8">
        <f>E661*60/F661</f>
        <v>29.622641509433961</v>
      </c>
    </row>
    <row r="662" spans="1:7" x14ac:dyDescent="0.25">
      <c r="A662" s="5">
        <v>45808.40625</v>
      </c>
      <c r="B662">
        <v>23</v>
      </c>
      <c r="C662" t="s">
        <v>29</v>
      </c>
      <c r="D662" t="s">
        <v>30</v>
      </c>
      <c r="E662">
        <v>1.43</v>
      </c>
      <c r="F662">
        <v>3.3</v>
      </c>
      <c r="G662" s="8">
        <f>E662*60/F662</f>
        <v>26</v>
      </c>
    </row>
    <row r="663" spans="1:7" x14ac:dyDescent="0.25">
      <c r="A663" s="5">
        <v>45808.40625</v>
      </c>
      <c r="B663">
        <v>24</v>
      </c>
      <c r="C663" t="s">
        <v>30</v>
      </c>
      <c r="D663" t="s">
        <v>31</v>
      </c>
      <c r="E663">
        <v>1.52</v>
      </c>
      <c r="F663">
        <v>3.03</v>
      </c>
      <c r="G663" s="8">
        <f>E663*60/F663</f>
        <v>30.099009900990101</v>
      </c>
    </row>
    <row r="664" spans="1:7" x14ac:dyDescent="0.25">
      <c r="A664" s="5">
        <v>45808.40625</v>
      </c>
      <c r="B664">
        <v>25</v>
      </c>
      <c r="C664" t="s">
        <v>31</v>
      </c>
      <c r="D664" t="s">
        <v>32</v>
      </c>
      <c r="E664">
        <v>1.52</v>
      </c>
      <c r="F664">
        <v>3.07</v>
      </c>
      <c r="G664" s="8">
        <f>E664*60/F664</f>
        <v>29.706840390879481</v>
      </c>
    </row>
    <row r="665" spans="1:7" x14ac:dyDescent="0.25">
      <c r="A665" s="5">
        <v>45808.40625</v>
      </c>
      <c r="B665">
        <v>26</v>
      </c>
      <c r="C665" t="s">
        <v>32</v>
      </c>
      <c r="D665" t="s">
        <v>33</v>
      </c>
      <c r="E665">
        <v>1.49</v>
      </c>
      <c r="F665">
        <v>3.3</v>
      </c>
      <c r="G665" s="8">
        <f>E665*60/F665</f>
        <v>27.090909090909093</v>
      </c>
    </row>
    <row r="666" spans="1:7" x14ac:dyDescent="0.25">
      <c r="A666" s="5">
        <v>45808.40625</v>
      </c>
      <c r="B666">
        <v>27</v>
      </c>
      <c r="C666" t="s">
        <v>33</v>
      </c>
      <c r="D666" t="s">
        <v>34</v>
      </c>
      <c r="E666">
        <v>1.53</v>
      </c>
      <c r="F666">
        <v>3.43</v>
      </c>
      <c r="G666" s="8">
        <f>E666*60/F666</f>
        <v>26.763848396501455</v>
      </c>
    </row>
    <row r="667" spans="1:7" x14ac:dyDescent="0.25">
      <c r="A667" s="5">
        <v>45808.40625</v>
      </c>
      <c r="B667">
        <v>28</v>
      </c>
      <c r="C667" t="s">
        <v>34</v>
      </c>
      <c r="D667" t="s">
        <v>35</v>
      </c>
      <c r="E667">
        <v>1.51</v>
      </c>
      <c r="F667">
        <v>3.85</v>
      </c>
      <c r="G667" s="8">
        <f>E667*60/F667</f>
        <v>23.532467532467532</v>
      </c>
    </row>
    <row r="668" spans="1:7" x14ac:dyDescent="0.25">
      <c r="A668" s="5">
        <v>45808.40625</v>
      </c>
      <c r="B668">
        <v>29</v>
      </c>
      <c r="C668" t="s">
        <v>36</v>
      </c>
      <c r="D668" t="s">
        <v>37</v>
      </c>
      <c r="E668">
        <v>1.57</v>
      </c>
      <c r="F668">
        <v>3.9</v>
      </c>
      <c r="G668" s="8">
        <f>E668*60/F668</f>
        <v>24.153846153846157</v>
      </c>
    </row>
    <row r="669" spans="1:7" x14ac:dyDescent="0.25">
      <c r="A669" s="5">
        <v>45808.40625</v>
      </c>
      <c r="B669">
        <v>30</v>
      </c>
      <c r="C669" t="s">
        <v>37</v>
      </c>
      <c r="D669" t="s">
        <v>38</v>
      </c>
      <c r="E669">
        <v>1.57</v>
      </c>
      <c r="F669">
        <v>5.73</v>
      </c>
      <c r="G669" s="8">
        <f>E669*60/F669</f>
        <v>16.439790575916231</v>
      </c>
    </row>
    <row r="670" spans="1:7" x14ac:dyDescent="0.25">
      <c r="A670" s="5">
        <v>45808.40625</v>
      </c>
      <c r="B670">
        <v>31</v>
      </c>
      <c r="C670" t="s">
        <v>38</v>
      </c>
      <c r="D670" t="s">
        <v>39</v>
      </c>
      <c r="E670">
        <v>1.52</v>
      </c>
      <c r="F670">
        <v>2.68</v>
      </c>
      <c r="G670" s="8">
        <f>E670*60/F670</f>
        <v>34.029850746268657</v>
      </c>
    </row>
    <row r="671" spans="1:7" x14ac:dyDescent="0.25">
      <c r="A671" s="5">
        <v>45808.40625</v>
      </c>
      <c r="B671">
        <v>32</v>
      </c>
      <c r="C671" t="s">
        <v>39</v>
      </c>
      <c r="D671" t="s">
        <v>40</v>
      </c>
      <c r="E671">
        <v>1.5</v>
      </c>
      <c r="F671">
        <v>1.72</v>
      </c>
      <c r="G671" s="8">
        <f>E671*60/F671</f>
        <v>52.325581395348841</v>
      </c>
    </row>
    <row r="672" spans="1:7" x14ac:dyDescent="0.25">
      <c r="A672" s="5">
        <v>45808.40625</v>
      </c>
      <c r="B672">
        <v>33</v>
      </c>
      <c r="C672" t="s">
        <v>40</v>
      </c>
      <c r="D672" t="s">
        <v>41</v>
      </c>
      <c r="E672">
        <v>1.51</v>
      </c>
      <c r="F672">
        <v>1.77</v>
      </c>
      <c r="G672" s="8">
        <f>E672*60/F672</f>
        <v>51.186440677966097</v>
      </c>
    </row>
    <row r="673" spans="1:7" x14ac:dyDescent="0.25">
      <c r="A673" s="5">
        <v>45808.40625</v>
      </c>
      <c r="B673">
        <v>34</v>
      </c>
      <c r="C673" t="s">
        <v>41</v>
      </c>
      <c r="D673" t="s">
        <v>42</v>
      </c>
      <c r="E673">
        <v>1.5</v>
      </c>
      <c r="F673">
        <v>1.78</v>
      </c>
      <c r="G673" s="8">
        <f>E673*60/F673</f>
        <v>50.561797752808985</v>
      </c>
    </row>
    <row r="674" spans="1:7" x14ac:dyDescent="0.25">
      <c r="A674" s="5">
        <v>45808.40625</v>
      </c>
      <c r="B674">
        <v>35</v>
      </c>
      <c r="C674" t="s">
        <v>43</v>
      </c>
      <c r="D674" t="s">
        <v>44</v>
      </c>
      <c r="E674">
        <v>1.55</v>
      </c>
      <c r="F674">
        <v>3.32</v>
      </c>
      <c r="G674" s="8">
        <f>E674*60/F674</f>
        <v>28.012048192771086</v>
      </c>
    </row>
    <row r="675" spans="1:7" x14ac:dyDescent="0.25">
      <c r="A675" s="5">
        <v>45808.40625</v>
      </c>
      <c r="B675">
        <v>36</v>
      </c>
      <c r="C675" t="s">
        <v>44</v>
      </c>
      <c r="D675" t="s">
        <v>45</v>
      </c>
      <c r="E675">
        <v>1.5</v>
      </c>
      <c r="F675">
        <v>2.85</v>
      </c>
      <c r="G675" s="8">
        <f>E675*60/F675</f>
        <v>31.578947368421051</v>
      </c>
    </row>
    <row r="676" spans="1:7" x14ac:dyDescent="0.25">
      <c r="A676" s="5">
        <v>45808.40625</v>
      </c>
      <c r="B676">
        <v>37</v>
      </c>
      <c r="C676" t="s">
        <v>45</v>
      </c>
      <c r="D676" t="s">
        <v>46</v>
      </c>
      <c r="E676">
        <v>1.38</v>
      </c>
      <c r="F676">
        <v>3.57</v>
      </c>
      <c r="G676" s="8">
        <f>E676*60/F676</f>
        <v>23.193277310924369</v>
      </c>
    </row>
    <row r="677" spans="1:7" x14ac:dyDescent="0.25">
      <c r="A677" s="5">
        <v>45808.40625</v>
      </c>
      <c r="B677">
        <v>38</v>
      </c>
      <c r="C677" t="s">
        <v>46</v>
      </c>
      <c r="D677" t="s">
        <v>47</v>
      </c>
      <c r="E677">
        <v>1.61</v>
      </c>
      <c r="F677">
        <v>3.75</v>
      </c>
      <c r="G677" s="8">
        <f>E677*60/F677</f>
        <v>25.76</v>
      </c>
    </row>
    <row r="678" spans="1:7" x14ac:dyDescent="0.25">
      <c r="A678" s="5">
        <v>45808.40625</v>
      </c>
      <c r="B678">
        <v>39</v>
      </c>
      <c r="C678" t="s">
        <v>47</v>
      </c>
      <c r="D678" t="s">
        <v>48</v>
      </c>
      <c r="E678">
        <v>1.55</v>
      </c>
      <c r="F678">
        <v>3.33</v>
      </c>
      <c r="G678" s="8">
        <f>E678*60/F678</f>
        <v>27.927927927927929</v>
      </c>
    </row>
    <row r="679" spans="1:7" x14ac:dyDescent="0.25">
      <c r="A679" s="5">
        <v>45808.40625</v>
      </c>
      <c r="B679">
        <v>40</v>
      </c>
      <c r="C679" t="s">
        <v>48</v>
      </c>
      <c r="D679" t="s">
        <v>49</v>
      </c>
      <c r="E679">
        <v>1.39</v>
      </c>
      <c r="F679">
        <v>2.83</v>
      </c>
      <c r="G679" s="8">
        <f>E679*60/F679</f>
        <v>29.46996466431095</v>
      </c>
    </row>
    <row r="680" spans="1:7" x14ac:dyDescent="0.25">
      <c r="A680" s="5">
        <v>45808.40625</v>
      </c>
      <c r="B680">
        <v>41</v>
      </c>
      <c r="C680" t="s">
        <v>50</v>
      </c>
      <c r="D680" t="s">
        <v>51</v>
      </c>
      <c r="E680">
        <v>1.56</v>
      </c>
      <c r="F680">
        <v>3.55</v>
      </c>
      <c r="G680" s="8">
        <f>E680*60/F680</f>
        <v>26.366197183098596</v>
      </c>
    </row>
    <row r="681" spans="1:7" x14ac:dyDescent="0.25">
      <c r="A681" s="5">
        <v>45808.40625</v>
      </c>
      <c r="B681">
        <v>42</v>
      </c>
      <c r="C681" t="s">
        <v>51</v>
      </c>
      <c r="D681" t="s">
        <v>52</v>
      </c>
      <c r="E681">
        <v>1.56</v>
      </c>
      <c r="F681">
        <v>3.67</v>
      </c>
      <c r="G681" s="8">
        <f>E681*60/F681</f>
        <v>25.504087193460492</v>
      </c>
    </row>
    <row r="682" spans="1:7" x14ac:dyDescent="0.25">
      <c r="A682" s="5">
        <v>45808.40625</v>
      </c>
      <c r="B682">
        <v>43</v>
      </c>
      <c r="C682" t="s">
        <v>52</v>
      </c>
      <c r="D682" t="s">
        <v>53</v>
      </c>
      <c r="E682">
        <v>1.51</v>
      </c>
      <c r="F682">
        <v>3.22</v>
      </c>
      <c r="G682" s="8">
        <f>E682*60/F682</f>
        <v>28.136645962732917</v>
      </c>
    </row>
    <row r="683" spans="1:7" x14ac:dyDescent="0.25">
      <c r="A683" s="5">
        <v>45808.40625</v>
      </c>
      <c r="B683">
        <v>44</v>
      </c>
      <c r="C683" t="s">
        <v>54</v>
      </c>
      <c r="D683" t="s">
        <v>55</v>
      </c>
      <c r="E683">
        <v>1.51</v>
      </c>
      <c r="F683">
        <v>3.85</v>
      </c>
      <c r="G683" s="8">
        <f>E683*60/F683</f>
        <v>23.532467532467532</v>
      </c>
    </row>
    <row r="684" spans="1:7" x14ac:dyDescent="0.25">
      <c r="A684" s="5">
        <v>45808.40625</v>
      </c>
      <c r="B684">
        <v>45</v>
      </c>
      <c r="C684" t="s">
        <v>55</v>
      </c>
      <c r="D684" t="s">
        <v>56</v>
      </c>
      <c r="E684">
        <v>1.49</v>
      </c>
      <c r="F684">
        <v>3.38</v>
      </c>
      <c r="G684" s="8">
        <f>E684*60/F684</f>
        <v>26.449704142011836</v>
      </c>
    </row>
    <row r="685" spans="1:7" x14ac:dyDescent="0.25">
      <c r="A685" s="5">
        <v>45808.40625</v>
      </c>
      <c r="B685">
        <v>46</v>
      </c>
      <c r="C685" t="s">
        <v>56</v>
      </c>
      <c r="D685" t="s">
        <v>57</v>
      </c>
      <c r="E685">
        <v>1.52</v>
      </c>
      <c r="F685">
        <v>3.47</v>
      </c>
      <c r="G685" s="8">
        <f>E685*60/F685</f>
        <v>26.282420749279538</v>
      </c>
    </row>
    <row r="686" spans="1:7" x14ac:dyDescent="0.25">
      <c r="A686" s="5">
        <v>45808.40625</v>
      </c>
      <c r="B686">
        <v>47</v>
      </c>
      <c r="C686" t="s">
        <v>58</v>
      </c>
      <c r="D686" t="s">
        <v>59</v>
      </c>
      <c r="E686">
        <v>1.52</v>
      </c>
      <c r="F686">
        <v>3.72</v>
      </c>
      <c r="G686" s="8">
        <f>E686*60/F686</f>
        <v>24.516129032258064</v>
      </c>
    </row>
    <row r="687" spans="1:7" x14ac:dyDescent="0.25">
      <c r="A687" s="5">
        <v>45808.40625</v>
      </c>
      <c r="B687">
        <v>48</v>
      </c>
      <c r="C687" t="s">
        <v>59</v>
      </c>
      <c r="D687" t="s">
        <v>60</v>
      </c>
      <c r="E687">
        <v>1.5</v>
      </c>
      <c r="F687">
        <v>3.32</v>
      </c>
      <c r="G687" s="8">
        <f>E687*60/F687</f>
        <v>27.108433734939759</v>
      </c>
    </row>
    <row r="688" spans="1:7" x14ac:dyDescent="0.25">
      <c r="A688" s="5">
        <v>45808.40625</v>
      </c>
      <c r="B688">
        <v>49</v>
      </c>
      <c r="C688" t="s">
        <v>60</v>
      </c>
      <c r="D688" t="s">
        <v>61</v>
      </c>
      <c r="E688">
        <v>1.54</v>
      </c>
      <c r="F688">
        <v>3.77</v>
      </c>
      <c r="G688" s="8">
        <f>E688*60/F688</f>
        <v>24.509283819628649</v>
      </c>
    </row>
    <row r="689" spans="1:7" x14ac:dyDescent="0.25">
      <c r="A689" s="5">
        <v>45808.40625</v>
      </c>
      <c r="B689">
        <v>50</v>
      </c>
      <c r="C689" t="s">
        <v>62</v>
      </c>
      <c r="D689" t="s">
        <v>63</v>
      </c>
      <c r="E689">
        <v>1.38</v>
      </c>
      <c r="F689">
        <v>3.13</v>
      </c>
      <c r="G689" s="8">
        <f>E689*60/F689</f>
        <v>26.453674121405751</v>
      </c>
    </row>
    <row r="690" spans="1:7" x14ac:dyDescent="0.25">
      <c r="A690" s="5">
        <v>45808.40625</v>
      </c>
      <c r="B690">
        <v>51</v>
      </c>
      <c r="C690" t="s">
        <v>63</v>
      </c>
      <c r="D690" t="s">
        <v>64</v>
      </c>
      <c r="E690">
        <v>2.79</v>
      </c>
      <c r="F690">
        <v>5.7</v>
      </c>
      <c r="G690" s="8">
        <f>E690*60/F690</f>
        <v>29.368421052631579</v>
      </c>
    </row>
    <row r="691" spans="1:7" x14ac:dyDescent="0.25">
      <c r="A691" s="5">
        <v>45808.40625</v>
      </c>
      <c r="B691">
        <v>52</v>
      </c>
      <c r="C691" t="s">
        <v>64</v>
      </c>
      <c r="D691" t="s">
        <v>65</v>
      </c>
      <c r="E691">
        <v>1.5</v>
      </c>
      <c r="F691">
        <v>2.83</v>
      </c>
      <c r="G691" s="8">
        <f>E691*60/F691</f>
        <v>31.802120141342755</v>
      </c>
    </row>
    <row r="692" spans="1:7" x14ac:dyDescent="0.25">
      <c r="A692" s="5">
        <v>45808.40625</v>
      </c>
      <c r="B692">
        <v>53</v>
      </c>
      <c r="C692" t="s">
        <v>65</v>
      </c>
      <c r="D692" t="s">
        <v>66</v>
      </c>
      <c r="E692">
        <v>1.46</v>
      </c>
      <c r="F692">
        <v>3.62</v>
      </c>
      <c r="G692" s="8">
        <f>E692*60/F692</f>
        <v>24.198895027624307</v>
      </c>
    </row>
    <row r="693" spans="1:7" x14ac:dyDescent="0.25">
      <c r="A693" s="5">
        <v>45808.40625</v>
      </c>
      <c r="B693">
        <v>54</v>
      </c>
      <c r="C693" t="s">
        <v>67</v>
      </c>
      <c r="D693" t="s">
        <v>68</v>
      </c>
      <c r="E693">
        <v>1.46</v>
      </c>
      <c r="F693">
        <v>2.75</v>
      </c>
      <c r="G693" s="8">
        <f>E693*60/F693</f>
        <v>31.854545454545452</v>
      </c>
    </row>
    <row r="694" spans="1:7" x14ac:dyDescent="0.25">
      <c r="A694" s="5">
        <v>45808.40625</v>
      </c>
      <c r="B694">
        <v>55</v>
      </c>
      <c r="C694" t="s">
        <v>68</v>
      </c>
      <c r="D694" t="s">
        <v>69</v>
      </c>
      <c r="E694">
        <v>1.5</v>
      </c>
      <c r="F694">
        <v>2.15</v>
      </c>
      <c r="G694" s="8">
        <f>E694*60/F694</f>
        <v>41.860465116279073</v>
      </c>
    </row>
    <row r="695" spans="1:7" x14ac:dyDescent="0.25">
      <c r="A695" s="5">
        <v>45808.40625</v>
      </c>
      <c r="B695">
        <v>56</v>
      </c>
      <c r="C695" t="s">
        <v>70</v>
      </c>
      <c r="D695" t="s">
        <v>71</v>
      </c>
      <c r="E695">
        <v>1.51</v>
      </c>
      <c r="F695">
        <v>4.5999999999999996</v>
      </c>
      <c r="G695" s="8">
        <f>E695*60/F695</f>
        <v>19.695652173913043</v>
      </c>
    </row>
    <row r="696" spans="1:7" x14ac:dyDescent="0.25">
      <c r="A696" s="5">
        <v>45808.40625</v>
      </c>
      <c r="B696">
        <v>57</v>
      </c>
      <c r="C696" t="s">
        <v>71</v>
      </c>
      <c r="D696" t="s">
        <v>72</v>
      </c>
      <c r="E696">
        <v>1.52</v>
      </c>
      <c r="F696">
        <v>3.7</v>
      </c>
      <c r="G696" s="8">
        <f>E696*60/F696</f>
        <v>24.648648648648649</v>
      </c>
    </row>
    <row r="697" spans="1:7" x14ac:dyDescent="0.25">
      <c r="A697" s="5">
        <v>45808.40625</v>
      </c>
      <c r="B697">
        <v>58</v>
      </c>
      <c r="C697" t="s">
        <v>72</v>
      </c>
      <c r="D697" t="s">
        <v>73</v>
      </c>
      <c r="E697">
        <v>1.5</v>
      </c>
      <c r="F697">
        <v>3.63</v>
      </c>
      <c r="G697" s="8">
        <f>E697*60/F697</f>
        <v>24.793388429752067</v>
      </c>
    </row>
    <row r="698" spans="1:7" x14ac:dyDescent="0.25">
      <c r="A698" s="5">
        <v>45808.416666666664</v>
      </c>
      <c r="B698">
        <v>1</v>
      </c>
      <c r="C698" t="s">
        <v>6</v>
      </c>
      <c r="D698" t="s">
        <v>7</v>
      </c>
      <c r="E698">
        <v>1.53</v>
      </c>
      <c r="F698">
        <v>3.12</v>
      </c>
      <c r="G698" s="8">
        <f>E698*60/F698</f>
        <v>29.42307692307692</v>
      </c>
    </row>
    <row r="699" spans="1:7" x14ac:dyDescent="0.25">
      <c r="A699" s="5">
        <v>45808.416666666664</v>
      </c>
      <c r="B699">
        <v>2</v>
      </c>
      <c r="C699" t="s">
        <v>7</v>
      </c>
      <c r="D699" t="s">
        <v>8</v>
      </c>
      <c r="E699">
        <v>1.57</v>
      </c>
      <c r="F699">
        <v>4.3499999999999996</v>
      </c>
      <c r="G699" s="8">
        <f>E699*60/F699</f>
        <v>21.655172413793107</v>
      </c>
    </row>
    <row r="700" spans="1:7" x14ac:dyDescent="0.25">
      <c r="A700" s="5">
        <v>45808.416666666664</v>
      </c>
      <c r="B700">
        <v>3</v>
      </c>
      <c r="C700" t="s">
        <v>8</v>
      </c>
      <c r="D700" t="s">
        <v>9</v>
      </c>
      <c r="E700">
        <v>1.5</v>
      </c>
      <c r="F700">
        <v>2.9</v>
      </c>
      <c r="G700" s="8">
        <f>E700*60/F700</f>
        <v>31.03448275862069</v>
      </c>
    </row>
    <row r="701" spans="1:7" x14ac:dyDescent="0.25">
      <c r="A701" s="5">
        <v>45808.416666666664</v>
      </c>
      <c r="B701">
        <v>4</v>
      </c>
      <c r="C701" t="s">
        <v>9</v>
      </c>
      <c r="D701" t="s">
        <v>10</v>
      </c>
      <c r="E701">
        <v>1.5</v>
      </c>
      <c r="F701">
        <v>2.58</v>
      </c>
      <c r="G701" s="8">
        <f>E701*60/F701</f>
        <v>34.883720930232556</v>
      </c>
    </row>
    <row r="702" spans="1:7" x14ac:dyDescent="0.25">
      <c r="A702" s="5">
        <v>45808.416666666664</v>
      </c>
      <c r="B702">
        <v>5</v>
      </c>
      <c r="C702" t="s">
        <v>10</v>
      </c>
      <c r="D702" t="s">
        <v>11</v>
      </c>
      <c r="E702">
        <v>1.52</v>
      </c>
      <c r="F702">
        <v>3.17</v>
      </c>
      <c r="G702" s="8">
        <f>E702*60/F702</f>
        <v>28.769716088328078</v>
      </c>
    </row>
    <row r="703" spans="1:7" x14ac:dyDescent="0.25">
      <c r="A703" s="5">
        <v>45808.416666666664</v>
      </c>
      <c r="B703">
        <v>6</v>
      </c>
      <c r="C703" t="s">
        <v>11</v>
      </c>
      <c r="D703" t="s">
        <v>12</v>
      </c>
      <c r="E703">
        <v>1.5</v>
      </c>
      <c r="F703">
        <v>2.68</v>
      </c>
      <c r="G703" s="8">
        <f>E703*60/F703</f>
        <v>33.582089552238806</v>
      </c>
    </row>
    <row r="704" spans="1:7" x14ac:dyDescent="0.25">
      <c r="A704" s="5">
        <v>45808.416666666664</v>
      </c>
      <c r="B704">
        <v>7</v>
      </c>
      <c r="C704" t="s">
        <v>12</v>
      </c>
      <c r="D704" t="s">
        <v>13</v>
      </c>
      <c r="E704">
        <v>1.54</v>
      </c>
      <c r="F704">
        <v>2.65</v>
      </c>
      <c r="G704" s="8">
        <f>E704*60/F704</f>
        <v>34.867924528301891</v>
      </c>
    </row>
    <row r="705" spans="1:7" x14ac:dyDescent="0.25">
      <c r="A705" s="5">
        <v>45808.416666666664</v>
      </c>
      <c r="B705">
        <v>8</v>
      </c>
      <c r="C705" t="s">
        <v>13</v>
      </c>
      <c r="D705" t="s">
        <v>14</v>
      </c>
      <c r="E705">
        <v>1.54</v>
      </c>
      <c r="F705">
        <v>3.15</v>
      </c>
      <c r="G705" s="8">
        <f>E705*60/F705</f>
        <v>29.333333333333336</v>
      </c>
    </row>
    <row r="706" spans="1:7" x14ac:dyDescent="0.25">
      <c r="A706" s="5">
        <v>45808.416666666664</v>
      </c>
      <c r="B706">
        <v>9</v>
      </c>
      <c r="C706" t="s">
        <v>14</v>
      </c>
      <c r="D706" t="s">
        <v>15</v>
      </c>
      <c r="E706">
        <v>1.52</v>
      </c>
      <c r="F706">
        <v>3.38</v>
      </c>
      <c r="G706" s="8">
        <f>E706*60/F706</f>
        <v>26.982248520710062</v>
      </c>
    </row>
    <row r="707" spans="1:7" x14ac:dyDescent="0.25">
      <c r="A707" s="5">
        <v>45808.416666666664</v>
      </c>
      <c r="B707">
        <v>10</v>
      </c>
      <c r="C707" t="s">
        <v>15</v>
      </c>
      <c r="D707" t="s">
        <v>16</v>
      </c>
      <c r="E707">
        <v>1.5</v>
      </c>
      <c r="F707">
        <v>3.35</v>
      </c>
      <c r="G707" s="8">
        <f>E707*60/F707</f>
        <v>26.865671641791042</v>
      </c>
    </row>
    <row r="708" spans="1:7" x14ac:dyDescent="0.25">
      <c r="A708" s="5">
        <v>45808.416666666664</v>
      </c>
      <c r="B708">
        <v>11</v>
      </c>
      <c r="C708" t="s">
        <v>16</v>
      </c>
      <c r="D708" t="s">
        <v>17</v>
      </c>
      <c r="E708">
        <v>1.48</v>
      </c>
      <c r="F708">
        <v>2.4300000000000002</v>
      </c>
      <c r="G708" s="8">
        <f>E708*60/F708</f>
        <v>36.543209876543209</v>
      </c>
    </row>
    <row r="709" spans="1:7" x14ac:dyDescent="0.25">
      <c r="A709" s="5">
        <v>45808.416666666664</v>
      </c>
      <c r="B709">
        <v>12</v>
      </c>
      <c r="C709" t="s">
        <v>17</v>
      </c>
      <c r="D709" t="s">
        <v>18</v>
      </c>
      <c r="E709">
        <v>1.46</v>
      </c>
      <c r="F709">
        <v>3.43</v>
      </c>
      <c r="G709" s="8">
        <f>E709*60/F709</f>
        <v>25.539358600583089</v>
      </c>
    </row>
    <row r="710" spans="1:7" x14ac:dyDescent="0.25">
      <c r="A710" s="5">
        <v>45808.416666666664</v>
      </c>
      <c r="B710">
        <v>13</v>
      </c>
      <c r="C710" t="s">
        <v>18</v>
      </c>
      <c r="D710" t="s">
        <v>19</v>
      </c>
      <c r="E710">
        <v>1.52</v>
      </c>
      <c r="F710">
        <v>3.22</v>
      </c>
      <c r="G710" s="8">
        <f>E710*60/F710</f>
        <v>28.322981366459626</v>
      </c>
    </row>
    <row r="711" spans="1:7" x14ac:dyDescent="0.25">
      <c r="A711" s="5">
        <v>45808.416666666664</v>
      </c>
      <c r="B711">
        <v>14</v>
      </c>
      <c r="C711" t="s">
        <v>19</v>
      </c>
      <c r="D711" t="s">
        <v>20</v>
      </c>
      <c r="E711">
        <v>1.51</v>
      </c>
      <c r="F711">
        <v>3</v>
      </c>
      <c r="G711" s="8">
        <f>E711*60/F711</f>
        <v>30.2</v>
      </c>
    </row>
    <row r="712" spans="1:7" x14ac:dyDescent="0.25">
      <c r="A712" s="5">
        <v>45808.416666666664</v>
      </c>
      <c r="B712">
        <v>15</v>
      </c>
      <c r="C712" t="s">
        <v>20</v>
      </c>
      <c r="D712" t="s">
        <v>21</v>
      </c>
      <c r="E712">
        <v>1.47</v>
      </c>
      <c r="F712">
        <v>2.38</v>
      </c>
      <c r="G712" s="8">
        <f>E712*60/F712</f>
        <v>37.058823529411768</v>
      </c>
    </row>
    <row r="713" spans="1:7" x14ac:dyDescent="0.25">
      <c r="A713" s="5">
        <v>45808.416666666664</v>
      </c>
      <c r="B713">
        <v>16</v>
      </c>
      <c r="C713" t="s">
        <v>21</v>
      </c>
      <c r="D713" t="s">
        <v>22</v>
      </c>
      <c r="E713">
        <v>1.5</v>
      </c>
      <c r="F713">
        <v>1.77</v>
      </c>
      <c r="G713" s="8">
        <f>E713*60/F713</f>
        <v>50.847457627118644</v>
      </c>
    </row>
    <row r="714" spans="1:7" x14ac:dyDescent="0.25">
      <c r="A714" s="5">
        <v>45808.416666666664</v>
      </c>
      <c r="B714">
        <v>17</v>
      </c>
      <c r="C714" t="s">
        <v>22</v>
      </c>
      <c r="D714" t="s">
        <v>23</v>
      </c>
      <c r="E714">
        <v>1.51</v>
      </c>
      <c r="F714">
        <v>2.75</v>
      </c>
      <c r="G714" s="8">
        <f>E714*60/F714</f>
        <v>32.945454545454545</v>
      </c>
    </row>
    <row r="715" spans="1:7" x14ac:dyDescent="0.25">
      <c r="A715" s="5">
        <v>45808.416666666664</v>
      </c>
      <c r="B715">
        <v>18</v>
      </c>
      <c r="C715" t="s">
        <v>23</v>
      </c>
      <c r="D715" t="s">
        <v>24</v>
      </c>
      <c r="E715">
        <v>1.51</v>
      </c>
      <c r="F715">
        <v>2.68</v>
      </c>
      <c r="G715" s="8">
        <f>E715*60/F715</f>
        <v>33.805970149253724</v>
      </c>
    </row>
    <row r="716" spans="1:7" x14ac:dyDescent="0.25">
      <c r="A716" s="5">
        <v>45808.416666666664</v>
      </c>
      <c r="B716">
        <v>19</v>
      </c>
      <c r="C716" t="s">
        <v>25</v>
      </c>
      <c r="D716" t="s">
        <v>26</v>
      </c>
      <c r="E716">
        <v>1.5</v>
      </c>
      <c r="F716">
        <v>3.95</v>
      </c>
      <c r="G716" s="8">
        <f>E716*60/F716</f>
        <v>22.784810126582279</v>
      </c>
    </row>
    <row r="717" spans="1:7" x14ac:dyDescent="0.25">
      <c r="A717" s="5">
        <v>45808.416666666664</v>
      </c>
      <c r="B717">
        <v>20</v>
      </c>
      <c r="C717" t="s">
        <v>26</v>
      </c>
      <c r="D717" t="s">
        <v>27</v>
      </c>
      <c r="E717">
        <v>1.48</v>
      </c>
      <c r="F717">
        <v>4.0199999999999996</v>
      </c>
      <c r="G717" s="8">
        <f>E717*60/F717</f>
        <v>22.089552238805972</v>
      </c>
    </row>
    <row r="718" spans="1:7" x14ac:dyDescent="0.25">
      <c r="A718" s="5">
        <v>45808.416666666664</v>
      </c>
      <c r="B718">
        <v>21</v>
      </c>
      <c r="C718" t="s">
        <v>27</v>
      </c>
      <c r="D718" t="s">
        <v>28</v>
      </c>
      <c r="E718">
        <v>1.51</v>
      </c>
      <c r="F718">
        <v>3.18</v>
      </c>
      <c r="G718" s="8">
        <f>E718*60/F718</f>
        <v>28.490566037735846</v>
      </c>
    </row>
    <row r="719" spans="1:7" x14ac:dyDescent="0.25">
      <c r="A719" s="5">
        <v>45808.416666666664</v>
      </c>
      <c r="B719">
        <v>22</v>
      </c>
      <c r="C719" t="s">
        <v>28</v>
      </c>
      <c r="D719" t="s">
        <v>29</v>
      </c>
      <c r="E719">
        <v>1.57</v>
      </c>
      <c r="F719">
        <v>3.22</v>
      </c>
      <c r="G719" s="8">
        <f>E719*60/F719</f>
        <v>29.254658385093165</v>
      </c>
    </row>
    <row r="720" spans="1:7" x14ac:dyDescent="0.25">
      <c r="A720" s="5">
        <v>45808.416666666664</v>
      </c>
      <c r="B720">
        <v>23</v>
      </c>
      <c r="C720" t="s">
        <v>29</v>
      </c>
      <c r="D720" t="s">
        <v>30</v>
      </c>
      <c r="E720">
        <v>1.43</v>
      </c>
      <c r="F720">
        <v>3.62</v>
      </c>
      <c r="G720" s="8">
        <f>E720*60/F720</f>
        <v>23.701657458563535</v>
      </c>
    </row>
    <row r="721" spans="1:7" x14ac:dyDescent="0.25">
      <c r="A721" s="5">
        <v>45808.416666666664</v>
      </c>
      <c r="B721">
        <v>24</v>
      </c>
      <c r="C721" t="s">
        <v>30</v>
      </c>
      <c r="D721" t="s">
        <v>31</v>
      </c>
      <c r="E721">
        <v>1.52</v>
      </c>
      <c r="F721">
        <v>3.08</v>
      </c>
      <c r="G721" s="8">
        <f>E721*60/F721</f>
        <v>29.61038961038961</v>
      </c>
    </row>
    <row r="722" spans="1:7" x14ac:dyDescent="0.25">
      <c r="A722" s="5">
        <v>45808.416666666664</v>
      </c>
      <c r="B722">
        <v>25</v>
      </c>
      <c r="C722" t="s">
        <v>31</v>
      </c>
      <c r="D722" t="s">
        <v>32</v>
      </c>
      <c r="E722">
        <v>1.52</v>
      </c>
      <c r="F722">
        <v>3.12</v>
      </c>
      <c r="G722" s="8">
        <f>E722*60/F722</f>
        <v>29.23076923076923</v>
      </c>
    </row>
    <row r="723" spans="1:7" x14ac:dyDescent="0.25">
      <c r="A723" s="5">
        <v>45808.416666666664</v>
      </c>
      <c r="B723">
        <v>26</v>
      </c>
      <c r="C723" t="s">
        <v>32</v>
      </c>
      <c r="D723" t="s">
        <v>33</v>
      </c>
      <c r="E723">
        <v>1.49</v>
      </c>
      <c r="F723">
        <v>3.55</v>
      </c>
      <c r="G723" s="8">
        <f>E723*60/F723</f>
        <v>25.1830985915493</v>
      </c>
    </row>
    <row r="724" spans="1:7" x14ac:dyDescent="0.25">
      <c r="A724" s="5">
        <v>45808.416666666664</v>
      </c>
      <c r="B724">
        <v>27</v>
      </c>
      <c r="C724" t="s">
        <v>33</v>
      </c>
      <c r="D724" t="s">
        <v>34</v>
      </c>
      <c r="E724">
        <v>1.53</v>
      </c>
      <c r="F724">
        <v>3.15</v>
      </c>
      <c r="G724" s="8">
        <f>E724*60/F724</f>
        <v>29.142857142857142</v>
      </c>
    </row>
    <row r="725" spans="1:7" x14ac:dyDescent="0.25">
      <c r="A725" s="5">
        <v>45808.416666666664</v>
      </c>
      <c r="B725">
        <v>28</v>
      </c>
      <c r="C725" t="s">
        <v>34</v>
      </c>
      <c r="D725" t="s">
        <v>35</v>
      </c>
      <c r="E725">
        <v>1.51</v>
      </c>
      <c r="F725">
        <v>3.9</v>
      </c>
      <c r="G725" s="8">
        <f>E725*60/F725</f>
        <v>23.23076923076923</v>
      </c>
    </row>
    <row r="726" spans="1:7" x14ac:dyDescent="0.25">
      <c r="A726" s="5">
        <v>45808.416666666664</v>
      </c>
      <c r="B726">
        <v>29</v>
      </c>
      <c r="C726" t="s">
        <v>36</v>
      </c>
      <c r="D726" t="s">
        <v>37</v>
      </c>
      <c r="E726">
        <v>1.57</v>
      </c>
      <c r="F726">
        <v>4.2300000000000004</v>
      </c>
      <c r="G726" s="8">
        <f>E726*60/F726</f>
        <v>22.269503546099291</v>
      </c>
    </row>
    <row r="727" spans="1:7" x14ac:dyDescent="0.25">
      <c r="A727" s="5">
        <v>45808.416666666664</v>
      </c>
      <c r="B727">
        <v>30</v>
      </c>
      <c r="C727" t="s">
        <v>37</v>
      </c>
      <c r="D727" t="s">
        <v>38</v>
      </c>
      <c r="E727">
        <v>1.57</v>
      </c>
      <c r="F727">
        <v>5.63</v>
      </c>
      <c r="G727" s="8">
        <f>E727*60/F727</f>
        <v>16.731793960923625</v>
      </c>
    </row>
    <row r="728" spans="1:7" x14ac:dyDescent="0.25">
      <c r="A728" s="5">
        <v>45808.416666666664</v>
      </c>
      <c r="B728">
        <v>31</v>
      </c>
      <c r="C728" t="s">
        <v>38</v>
      </c>
      <c r="D728" t="s">
        <v>39</v>
      </c>
      <c r="E728">
        <v>1.52</v>
      </c>
      <c r="F728">
        <v>2.85</v>
      </c>
      <c r="G728" s="8">
        <f>E728*60/F728</f>
        <v>32</v>
      </c>
    </row>
    <row r="729" spans="1:7" x14ac:dyDescent="0.25">
      <c r="A729" s="5">
        <v>45808.416666666664</v>
      </c>
      <c r="B729">
        <v>32</v>
      </c>
      <c r="C729" t="s">
        <v>39</v>
      </c>
      <c r="D729" t="s">
        <v>40</v>
      </c>
      <c r="E729">
        <v>1.5</v>
      </c>
      <c r="F729">
        <v>1.75</v>
      </c>
      <c r="G729" s="8">
        <f>E729*60/F729</f>
        <v>51.428571428571431</v>
      </c>
    </row>
    <row r="730" spans="1:7" x14ac:dyDescent="0.25">
      <c r="A730" s="5">
        <v>45808.416666666664</v>
      </c>
      <c r="B730">
        <v>33</v>
      </c>
      <c r="C730" t="s">
        <v>40</v>
      </c>
      <c r="D730" t="s">
        <v>41</v>
      </c>
      <c r="E730">
        <v>1.51</v>
      </c>
      <c r="F730">
        <v>1.75</v>
      </c>
      <c r="G730" s="8">
        <f>E730*60/F730</f>
        <v>51.771428571428565</v>
      </c>
    </row>
    <row r="731" spans="1:7" x14ac:dyDescent="0.25">
      <c r="A731" s="5">
        <v>45808.416666666664</v>
      </c>
      <c r="B731">
        <v>34</v>
      </c>
      <c r="C731" t="s">
        <v>41</v>
      </c>
      <c r="D731" t="s">
        <v>42</v>
      </c>
      <c r="E731">
        <v>1.5</v>
      </c>
      <c r="F731">
        <v>1.82</v>
      </c>
      <c r="G731" s="8">
        <f>E731*60/F731</f>
        <v>49.450549450549445</v>
      </c>
    </row>
    <row r="732" spans="1:7" x14ac:dyDescent="0.25">
      <c r="A732" s="5">
        <v>45808.416666666664</v>
      </c>
      <c r="B732">
        <v>35</v>
      </c>
      <c r="C732" t="s">
        <v>43</v>
      </c>
      <c r="D732" t="s">
        <v>44</v>
      </c>
      <c r="E732">
        <v>1.55</v>
      </c>
      <c r="F732">
        <v>3.12</v>
      </c>
      <c r="G732" s="8">
        <f>E732*60/F732</f>
        <v>29.807692307692307</v>
      </c>
    </row>
    <row r="733" spans="1:7" x14ac:dyDescent="0.25">
      <c r="A733" s="5">
        <v>45808.416666666664</v>
      </c>
      <c r="B733">
        <v>36</v>
      </c>
      <c r="C733" t="s">
        <v>44</v>
      </c>
      <c r="D733" t="s">
        <v>45</v>
      </c>
      <c r="E733">
        <v>1.5</v>
      </c>
      <c r="F733">
        <v>2.77</v>
      </c>
      <c r="G733" s="8">
        <f>E733*60/F733</f>
        <v>32.490974729241877</v>
      </c>
    </row>
    <row r="734" spans="1:7" x14ac:dyDescent="0.25">
      <c r="A734" s="5">
        <v>45808.416666666664</v>
      </c>
      <c r="B734">
        <v>37</v>
      </c>
      <c r="C734" t="s">
        <v>45</v>
      </c>
      <c r="D734" t="s">
        <v>46</v>
      </c>
      <c r="E734">
        <v>1.38</v>
      </c>
      <c r="F734">
        <v>3.57</v>
      </c>
      <c r="G734" s="8">
        <f>E734*60/F734</f>
        <v>23.193277310924369</v>
      </c>
    </row>
    <row r="735" spans="1:7" x14ac:dyDescent="0.25">
      <c r="A735" s="5">
        <v>45808.416666666664</v>
      </c>
      <c r="B735">
        <v>38</v>
      </c>
      <c r="C735" t="s">
        <v>46</v>
      </c>
      <c r="D735" t="s">
        <v>47</v>
      </c>
      <c r="E735">
        <v>1.61</v>
      </c>
      <c r="F735">
        <v>3.62</v>
      </c>
      <c r="G735" s="8">
        <f>E735*60/F735</f>
        <v>26.685082872928177</v>
      </c>
    </row>
    <row r="736" spans="1:7" x14ac:dyDescent="0.25">
      <c r="A736" s="5">
        <v>45808.416666666664</v>
      </c>
      <c r="B736">
        <v>39</v>
      </c>
      <c r="C736" t="s">
        <v>47</v>
      </c>
      <c r="D736" t="s">
        <v>48</v>
      </c>
      <c r="E736">
        <v>1.55</v>
      </c>
      <c r="F736">
        <v>3.48</v>
      </c>
      <c r="G736" s="8">
        <f>E736*60/F736</f>
        <v>26.724137931034484</v>
      </c>
    </row>
    <row r="737" spans="1:7" x14ac:dyDescent="0.25">
      <c r="A737" s="5">
        <v>45808.416666666664</v>
      </c>
      <c r="B737">
        <v>40</v>
      </c>
      <c r="C737" t="s">
        <v>48</v>
      </c>
      <c r="D737" t="s">
        <v>49</v>
      </c>
      <c r="E737">
        <v>1.39</v>
      </c>
      <c r="F737">
        <v>2.8</v>
      </c>
      <c r="G737" s="8">
        <f>E737*60/F737</f>
        <v>29.785714285714285</v>
      </c>
    </row>
    <row r="738" spans="1:7" x14ac:dyDescent="0.25">
      <c r="A738" s="5">
        <v>45808.416666666664</v>
      </c>
      <c r="B738">
        <v>41</v>
      </c>
      <c r="C738" t="s">
        <v>50</v>
      </c>
      <c r="D738" t="s">
        <v>51</v>
      </c>
      <c r="E738">
        <v>1.56</v>
      </c>
      <c r="F738">
        <v>3.53</v>
      </c>
      <c r="G738" s="8">
        <f>E738*60/F738</f>
        <v>26.515580736543914</v>
      </c>
    </row>
    <row r="739" spans="1:7" x14ac:dyDescent="0.25">
      <c r="A739" s="5">
        <v>45808.416666666664</v>
      </c>
      <c r="B739">
        <v>42</v>
      </c>
      <c r="C739" t="s">
        <v>51</v>
      </c>
      <c r="D739" t="s">
        <v>52</v>
      </c>
      <c r="E739">
        <v>1.56</v>
      </c>
      <c r="F739">
        <v>3.77</v>
      </c>
      <c r="G739" s="8">
        <f>E739*60/F739</f>
        <v>24.827586206896555</v>
      </c>
    </row>
    <row r="740" spans="1:7" x14ac:dyDescent="0.25">
      <c r="A740" s="5">
        <v>45808.416666666664</v>
      </c>
      <c r="B740">
        <v>43</v>
      </c>
      <c r="C740" t="s">
        <v>52</v>
      </c>
      <c r="D740" t="s">
        <v>53</v>
      </c>
      <c r="E740">
        <v>1.51</v>
      </c>
      <c r="F740">
        <v>3.42</v>
      </c>
      <c r="G740" s="8">
        <f>E740*60/F740</f>
        <v>26.491228070175438</v>
      </c>
    </row>
    <row r="741" spans="1:7" x14ac:dyDescent="0.25">
      <c r="A741" s="5">
        <v>45808.416666666664</v>
      </c>
      <c r="B741">
        <v>44</v>
      </c>
      <c r="C741" t="s">
        <v>54</v>
      </c>
      <c r="D741" t="s">
        <v>55</v>
      </c>
      <c r="E741">
        <v>1.51</v>
      </c>
      <c r="F741">
        <v>4.0199999999999996</v>
      </c>
      <c r="G741" s="8">
        <f>E741*60/F741</f>
        <v>22.537313432835823</v>
      </c>
    </row>
    <row r="742" spans="1:7" x14ac:dyDescent="0.25">
      <c r="A742" s="5">
        <v>45808.416666666664</v>
      </c>
      <c r="B742">
        <v>45</v>
      </c>
      <c r="C742" t="s">
        <v>55</v>
      </c>
      <c r="D742" t="s">
        <v>56</v>
      </c>
      <c r="E742">
        <v>1.49</v>
      </c>
      <c r="F742">
        <v>3.25</v>
      </c>
      <c r="G742" s="8">
        <f>E742*60/F742</f>
        <v>27.507692307692309</v>
      </c>
    </row>
    <row r="743" spans="1:7" x14ac:dyDescent="0.25">
      <c r="A743" s="5">
        <v>45808.416666666664</v>
      </c>
      <c r="B743">
        <v>46</v>
      </c>
      <c r="C743" t="s">
        <v>56</v>
      </c>
      <c r="D743" t="s">
        <v>57</v>
      </c>
      <c r="E743">
        <v>1.52</v>
      </c>
      <c r="F743">
        <v>3.6</v>
      </c>
      <c r="G743" s="8">
        <f>E743*60/F743</f>
        <v>25.333333333333332</v>
      </c>
    </row>
    <row r="744" spans="1:7" x14ac:dyDescent="0.25">
      <c r="A744" s="5">
        <v>45808.416666666664</v>
      </c>
      <c r="B744">
        <v>47</v>
      </c>
      <c r="C744" t="s">
        <v>58</v>
      </c>
      <c r="D744" t="s">
        <v>59</v>
      </c>
      <c r="E744">
        <v>1.52</v>
      </c>
      <c r="F744">
        <v>3.83</v>
      </c>
      <c r="G744" s="8">
        <f>E744*60/F744</f>
        <v>23.812010443864231</v>
      </c>
    </row>
    <row r="745" spans="1:7" x14ac:dyDescent="0.25">
      <c r="A745" s="5">
        <v>45808.416666666664</v>
      </c>
      <c r="B745">
        <v>48</v>
      </c>
      <c r="C745" t="s">
        <v>59</v>
      </c>
      <c r="D745" t="s">
        <v>60</v>
      </c>
      <c r="E745">
        <v>1.5</v>
      </c>
      <c r="F745">
        <v>3.42</v>
      </c>
      <c r="G745" s="8">
        <f>E745*60/F745</f>
        <v>26.315789473684212</v>
      </c>
    </row>
    <row r="746" spans="1:7" x14ac:dyDescent="0.25">
      <c r="A746" s="5">
        <v>45808.416666666664</v>
      </c>
      <c r="B746">
        <v>49</v>
      </c>
      <c r="C746" t="s">
        <v>60</v>
      </c>
      <c r="D746" t="s">
        <v>61</v>
      </c>
      <c r="E746">
        <v>1.54</v>
      </c>
      <c r="F746">
        <v>4</v>
      </c>
      <c r="G746" s="8">
        <f>E746*60/F746</f>
        <v>23.1</v>
      </c>
    </row>
    <row r="747" spans="1:7" x14ac:dyDescent="0.25">
      <c r="A747" s="5">
        <v>45808.416666666664</v>
      </c>
      <c r="B747">
        <v>50</v>
      </c>
      <c r="C747" t="s">
        <v>62</v>
      </c>
      <c r="D747" t="s">
        <v>63</v>
      </c>
      <c r="E747">
        <v>1.38</v>
      </c>
      <c r="F747">
        <v>3.12</v>
      </c>
      <c r="G747" s="8">
        <f>E747*60/F747</f>
        <v>26.538461538461537</v>
      </c>
    </row>
    <row r="748" spans="1:7" x14ac:dyDescent="0.25">
      <c r="A748" s="5">
        <v>45808.416666666664</v>
      </c>
      <c r="B748">
        <v>51</v>
      </c>
      <c r="C748" t="s">
        <v>63</v>
      </c>
      <c r="D748" t="s">
        <v>64</v>
      </c>
      <c r="E748">
        <v>2.79</v>
      </c>
      <c r="F748">
        <v>5.63</v>
      </c>
      <c r="G748" s="8">
        <f>E748*60/F748</f>
        <v>29.733570159857905</v>
      </c>
    </row>
    <row r="749" spans="1:7" x14ac:dyDescent="0.25">
      <c r="A749" s="5">
        <v>45808.416666666664</v>
      </c>
      <c r="B749">
        <v>52</v>
      </c>
      <c r="C749" t="s">
        <v>64</v>
      </c>
      <c r="D749" t="s">
        <v>65</v>
      </c>
      <c r="E749">
        <v>1.5</v>
      </c>
      <c r="F749">
        <v>2.85</v>
      </c>
      <c r="G749" s="8">
        <f>E749*60/F749</f>
        <v>31.578947368421051</v>
      </c>
    </row>
    <row r="750" spans="1:7" x14ac:dyDescent="0.25">
      <c r="A750" s="5">
        <v>45808.416666666664</v>
      </c>
      <c r="B750">
        <v>53</v>
      </c>
      <c r="C750" t="s">
        <v>65</v>
      </c>
      <c r="D750" t="s">
        <v>66</v>
      </c>
      <c r="E750">
        <v>1.46</v>
      </c>
      <c r="F750">
        <v>3.57</v>
      </c>
      <c r="G750" s="8">
        <f>E750*60/F750</f>
        <v>24.537815126050418</v>
      </c>
    </row>
    <row r="751" spans="1:7" x14ac:dyDescent="0.25">
      <c r="A751" s="5">
        <v>45808.416666666664</v>
      </c>
      <c r="B751">
        <v>54</v>
      </c>
      <c r="C751" t="s">
        <v>67</v>
      </c>
      <c r="D751" t="s">
        <v>68</v>
      </c>
      <c r="E751">
        <v>1.46</v>
      </c>
      <c r="F751">
        <v>2.95</v>
      </c>
      <c r="G751" s="8">
        <f>E751*60/F751</f>
        <v>29.694915254237284</v>
      </c>
    </row>
    <row r="752" spans="1:7" x14ac:dyDescent="0.25">
      <c r="A752" s="5">
        <v>45808.416666666664</v>
      </c>
      <c r="B752">
        <v>55</v>
      </c>
      <c r="C752" t="s">
        <v>68</v>
      </c>
      <c r="D752" t="s">
        <v>69</v>
      </c>
      <c r="E752">
        <v>1.5</v>
      </c>
      <c r="F752">
        <v>2.13</v>
      </c>
      <c r="G752" s="8">
        <f>E752*60/F752</f>
        <v>42.253521126760567</v>
      </c>
    </row>
    <row r="753" spans="1:7" x14ac:dyDescent="0.25">
      <c r="A753" s="5">
        <v>45808.416666666664</v>
      </c>
      <c r="B753">
        <v>56</v>
      </c>
      <c r="C753" t="s">
        <v>70</v>
      </c>
      <c r="D753" t="s">
        <v>71</v>
      </c>
      <c r="E753">
        <v>1.51</v>
      </c>
      <c r="F753">
        <v>4.2699999999999996</v>
      </c>
      <c r="G753" s="8">
        <f>E753*60/F753</f>
        <v>21.217798594847775</v>
      </c>
    </row>
    <row r="754" spans="1:7" x14ac:dyDescent="0.25">
      <c r="A754" s="5">
        <v>45808.416666666664</v>
      </c>
      <c r="B754">
        <v>57</v>
      </c>
      <c r="C754" t="s">
        <v>71</v>
      </c>
      <c r="D754" t="s">
        <v>72</v>
      </c>
      <c r="E754">
        <v>1.52</v>
      </c>
      <c r="F754">
        <v>3.6</v>
      </c>
      <c r="G754" s="8">
        <f>E754*60/F754</f>
        <v>25.333333333333332</v>
      </c>
    </row>
    <row r="755" spans="1:7" x14ac:dyDescent="0.25">
      <c r="A755" s="5">
        <v>45808.416666666664</v>
      </c>
      <c r="B755">
        <v>58</v>
      </c>
      <c r="C755" t="s">
        <v>72</v>
      </c>
      <c r="D755" t="s">
        <v>73</v>
      </c>
      <c r="E755">
        <v>1.5</v>
      </c>
      <c r="F755">
        <v>3.7</v>
      </c>
      <c r="G755" s="8">
        <f>E755*60/F755</f>
        <v>24.324324324324323</v>
      </c>
    </row>
    <row r="756" spans="1:7" s="3" customFormat="1" x14ac:dyDescent="0.25">
      <c r="A756" s="5">
        <v>45808.666666666664</v>
      </c>
      <c r="B756" s="3">
        <v>1</v>
      </c>
      <c r="C756" s="3" t="s">
        <v>6</v>
      </c>
      <c r="D756" s="3" t="s">
        <v>7</v>
      </c>
      <c r="E756" s="3">
        <v>1.53</v>
      </c>
      <c r="F756" s="3">
        <v>2.98</v>
      </c>
      <c r="G756" s="8">
        <f>E756*60/F756</f>
        <v>30.805369127516776</v>
      </c>
    </row>
    <row r="757" spans="1:7" x14ac:dyDescent="0.25">
      <c r="A757" s="5">
        <v>45808.666666666664</v>
      </c>
      <c r="B757">
        <v>2</v>
      </c>
      <c r="C757" t="s">
        <v>7</v>
      </c>
      <c r="D757" t="s">
        <v>8</v>
      </c>
      <c r="E757">
        <v>1.57</v>
      </c>
      <c r="F757">
        <v>5.2</v>
      </c>
      <c r="G757" s="8">
        <f>E757*60/F757</f>
        <v>18.115384615384617</v>
      </c>
    </row>
    <row r="758" spans="1:7" x14ac:dyDescent="0.25">
      <c r="A758" s="5">
        <v>45808.666666666701</v>
      </c>
      <c r="B758">
        <v>3</v>
      </c>
      <c r="C758" t="s">
        <v>8</v>
      </c>
      <c r="D758" t="s">
        <v>9</v>
      </c>
      <c r="E758">
        <v>1.5</v>
      </c>
      <c r="F758">
        <v>2.97</v>
      </c>
      <c r="G758" s="8">
        <f>E758*60/F758</f>
        <v>30.303030303030301</v>
      </c>
    </row>
    <row r="759" spans="1:7" x14ac:dyDescent="0.25">
      <c r="A759" s="5">
        <v>45808.666666666701</v>
      </c>
      <c r="B759">
        <v>4</v>
      </c>
      <c r="C759" t="s">
        <v>9</v>
      </c>
      <c r="D759" t="s">
        <v>10</v>
      </c>
      <c r="E759">
        <v>1.5</v>
      </c>
      <c r="F759">
        <v>2.87</v>
      </c>
      <c r="G759" s="8">
        <f>E759*60/F759</f>
        <v>31.358885017421603</v>
      </c>
    </row>
    <row r="760" spans="1:7" x14ac:dyDescent="0.25">
      <c r="A760" s="5">
        <v>45808.666666666701</v>
      </c>
      <c r="B760">
        <v>5</v>
      </c>
      <c r="C760" t="s">
        <v>10</v>
      </c>
      <c r="D760" t="s">
        <v>11</v>
      </c>
      <c r="E760">
        <v>1.52</v>
      </c>
      <c r="F760">
        <v>3.35</v>
      </c>
      <c r="G760" s="8">
        <f>E760*60/F760</f>
        <v>27.223880597014926</v>
      </c>
    </row>
    <row r="761" spans="1:7" x14ac:dyDescent="0.25">
      <c r="A761" s="5">
        <v>45808.666666666701</v>
      </c>
      <c r="B761">
        <v>6</v>
      </c>
      <c r="C761" t="s">
        <v>11</v>
      </c>
      <c r="D761" t="s">
        <v>12</v>
      </c>
      <c r="E761">
        <v>1.5</v>
      </c>
      <c r="F761">
        <v>2.5299999999999998</v>
      </c>
      <c r="G761" s="8">
        <f>E761*60/F761</f>
        <v>35.573122529644273</v>
      </c>
    </row>
    <row r="762" spans="1:7" x14ac:dyDescent="0.25">
      <c r="A762" s="5">
        <v>45808.666666666701</v>
      </c>
      <c r="B762">
        <v>7</v>
      </c>
      <c r="C762" t="s">
        <v>12</v>
      </c>
      <c r="D762" t="s">
        <v>13</v>
      </c>
      <c r="E762">
        <v>1.54</v>
      </c>
      <c r="F762">
        <v>2.62</v>
      </c>
      <c r="G762" s="8">
        <f>E762*60/F762</f>
        <v>35.267175572519086</v>
      </c>
    </row>
    <row r="763" spans="1:7" x14ac:dyDescent="0.25">
      <c r="A763" s="5">
        <v>45808.666666666701</v>
      </c>
      <c r="B763">
        <v>8</v>
      </c>
      <c r="C763" t="s">
        <v>13</v>
      </c>
      <c r="D763" t="s">
        <v>14</v>
      </c>
      <c r="E763">
        <v>1.54</v>
      </c>
      <c r="F763">
        <v>3.25</v>
      </c>
      <c r="G763" s="8">
        <f>E763*60/F763</f>
        <v>28.430769230769233</v>
      </c>
    </row>
    <row r="764" spans="1:7" x14ac:dyDescent="0.25">
      <c r="A764" s="5">
        <v>45808.666666666701</v>
      </c>
      <c r="B764">
        <v>9</v>
      </c>
      <c r="C764" t="s">
        <v>14</v>
      </c>
      <c r="D764" t="s">
        <v>15</v>
      </c>
      <c r="E764">
        <v>1.52</v>
      </c>
      <c r="F764">
        <v>4.18</v>
      </c>
      <c r="G764" s="8">
        <f>E764*60/F764</f>
        <v>21.81818181818182</v>
      </c>
    </row>
    <row r="765" spans="1:7" x14ac:dyDescent="0.25">
      <c r="A765" s="5">
        <v>45808.666666666701</v>
      </c>
      <c r="B765">
        <v>10</v>
      </c>
      <c r="C765" t="s">
        <v>15</v>
      </c>
      <c r="D765" t="s">
        <v>16</v>
      </c>
      <c r="E765">
        <v>1.5</v>
      </c>
      <c r="F765">
        <v>4.13</v>
      </c>
      <c r="G765" s="8">
        <f>E765*60/F765</f>
        <v>21.791767554479421</v>
      </c>
    </row>
    <row r="766" spans="1:7" x14ac:dyDescent="0.25">
      <c r="A766" s="5">
        <v>45808.666666666701</v>
      </c>
      <c r="B766">
        <v>11</v>
      </c>
      <c r="C766" t="s">
        <v>16</v>
      </c>
      <c r="D766" t="s">
        <v>17</v>
      </c>
      <c r="E766">
        <v>1.48</v>
      </c>
      <c r="F766">
        <v>2.4500000000000002</v>
      </c>
      <c r="G766" s="8">
        <f>E766*60/F766</f>
        <v>36.244897959183668</v>
      </c>
    </row>
    <row r="767" spans="1:7" x14ac:dyDescent="0.25">
      <c r="A767" s="5">
        <v>45808.666666666701</v>
      </c>
      <c r="B767">
        <v>12</v>
      </c>
      <c r="C767" t="s">
        <v>17</v>
      </c>
      <c r="D767" t="s">
        <v>18</v>
      </c>
      <c r="E767">
        <v>1.46</v>
      </c>
      <c r="F767">
        <v>3.47</v>
      </c>
      <c r="G767" s="8">
        <f>E767*60/F767</f>
        <v>25.244956772334291</v>
      </c>
    </row>
    <row r="768" spans="1:7" x14ac:dyDescent="0.25">
      <c r="A768" s="5">
        <v>45808.666666666701</v>
      </c>
      <c r="B768">
        <v>13</v>
      </c>
      <c r="C768" t="s">
        <v>18</v>
      </c>
      <c r="D768" t="s">
        <v>19</v>
      </c>
      <c r="E768">
        <v>1.52</v>
      </c>
      <c r="F768">
        <v>3.75</v>
      </c>
      <c r="G768" s="8">
        <f>E768*60/F768</f>
        <v>24.32</v>
      </c>
    </row>
    <row r="769" spans="1:7" x14ac:dyDescent="0.25">
      <c r="A769" s="5">
        <v>45808.666666666701</v>
      </c>
      <c r="B769">
        <v>14</v>
      </c>
      <c r="C769" t="s">
        <v>19</v>
      </c>
      <c r="D769" t="s">
        <v>20</v>
      </c>
      <c r="E769">
        <v>1.51</v>
      </c>
      <c r="F769">
        <v>3.32</v>
      </c>
      <c r="G769" s="8">
        <f>E769*60/F769</f>
        <v>27.289156626506024</v>
      </c>
    </row>
    <row r="770" spans="1:7" x14ac:dyDescent="0.25">
      <c r="A770" s="5">
        <v>45808.666666666701</v>
      </c>
      <c r="B770">
        <v>15</v>
      </c>
      <c r="C770" t="s">
        <v>20</v>
      </c>
      <c r="D770" t="s">
        <v>21</v>
      </c>
      <c r="E770">
        <v>1.47</v>
      </c>
      <c r="F770">
        <v>2.5</v>
      </c>
      <c r="G770" s="8">
        <f>E770*60/F770</f>
        <v>35.28</v>
      </c>
    </row>
    <row r="771" spans="1:7" x14ac:dyDescent="0.25">
      <c r="A771" s="5">
        <v>45808.666666666701</v>
      </c>
      <c r="B771">
        <v>16</v>
      </c>
      <c r="C771" t="s">
        <v>21</v>
      </c>
      <c r="D771" t="s">
        <v>22</v>
      </c>
      <c r="E771">
        <v>1.5</v>
      </c>
      <c r="F771">
        <v>1.83</v>
      </c>
      <c r="G771" s="8">
        <f>E771*60/F771</f>
        <v>49.180327868852459</v>
      </c>
    </row>
    <row r="772" spans="1:7" x14ac:dyDescent="0.25">
      <c r="A772" s="5">
        <v>45808.666666666701</v>
      </c>
      <c r="B772">
        <v>17</v>
      </c>
      <c r="C772" t="s">
        <v>22</v>
      </c>
      <c r="D772" t="s">
        <v>23</v>
      </c>
      <c r="E772">
        <v>1.51</v>
      </c>
      <c r="F772">
        <v>2.9</v>
      </c>
      <c r="G772" s="8">
        <f>E772*60/F772</f>
        <v>31.241379310344826</v>
      </c>
    </row>
    <row r="773" spans="1:7" x14ac:dyDescent="0.25">
      <c r="A773" s="5">
        <v>45808.666666666701</v>
      </c>
      <c r="B773">
        <v>18</v>
      </c>
      <c r="C773" t="s">
        <v>23</v>
      </c>
      <c r="D773" t="s">
        <v>24</v>
      </c>
      <c r="E773">
        <v>1.51</v>
      </c>
      <c r="F773">
        <v>2.95</v>
      </c>
      <c r="G773" s="8">
        <f>E773*60/F773</f>
        <v>30.711864406779657</v>
      </c>
    </row>
    <row r="774" spans="1:7" x14ac:dyDescent="0.25">
      <c r="A774" s="5">
        <v>45808.666666666701</v>
      </c>
      <c r="B774">
        <v>19</v>
      </c>
      <c r="C774" t="s">
        <v>25</v>
      </c>
      <c r="D774" t="s">
        <v>26</v>
      </c>
      <c r="E774">
        <v>1.5</v>
      </c>
      <c r="F774">
        <v>3.37</v>
      </c>
      <c r="G774" s="8">
        <f>E774*60/F774</f>
        <v>26.706231454005934</v>
      </c>
    </row>
    <row r="775" spans="1:7" x14ac:dyDescent="0.25">
      <c r="A775" s="5">
        <v>45808.666666666701</v>
      </c>
      <c r="B775">
        <v>20</v>
      </c>
      <c r="C775" t="s">
        <v>26</v>
      </c>
      <c r="D775" t="s">
        <v>27</v>
      </c>
      <c r="E775">
        <v>1.48</v>
      </c>
      <c r="F775">
        <v>3.53</v>
      </c>
      <c r="G775" s="8">
        <f>E775*60/F775</f>
        <v>25.155807365439095</v>
      </c>
    </row>
    <row r="776" spans="1:7" x14ac:dyDescent="0.25">
      <c r="A776" s="5">
        <v>45808.666666666701</v>
      </c>
      <c r="B776">
        <v>21</v>
      </c>
      <c r="C776" t="s">
        <v>27</v>
      </c>
      <c r="D776" t="s">
        <v>28</v>
      </c>
      <c r="E776">
        <v>1.51</v>
      </c>
      <c r="F776">
        <v>3.03</v>
      </c>
      <c r="G776" s="8">
        <f>E776*60/F776</f>
        <v>29.900990099009903</v>
      </c>
    </row>
    <row r="777" spans="1:7" x14ac:dyDescent="0.25">
      <c r="A777" s="5">
        <v>45808.666666666701</v>
      </c>
      <c r="B777">
        <v>22</v>
      </c>
      <c r="C777" t="s">
        <v>28</v>
      </c>
      <c r="D777" t="s">
        <v>29</v>
      </c>
      <c r="E777">
        <v>1.57</v>
      </c>
      <c r="F777">
        <v>3.37</v>
      </c>
      <c r="G777" s="8">
        <f>E777*60/F777</f>
        <v>27.952522255192878</v>
      </c>
    </row>
    <row r="778" spans="1:7" x14ac:dyDescent="0.25">
      <c r="A778" s="5">
        <v>45808.666666666701</v>
      </c>
      <c r="B778">
        <v>23</v>
      </c>
      <c r="C778" t="s">
        <v>29</v>
      </c>
      <c r="D778" t="s">
        <v>30</v>
      </c>
      <c r="E778">
        <v>1.43</v>
      </c>
      <c r="F778">
        <v>3.95</v>
      </c>
      <c r="G778" s="8">
        <f>E778*60/F778</f>
        <v>21.721518987341771</v>
      </c>
    </row>
    <row r="779" spans="1:7" x14ac:dyDescent="0.25">
      <c r="A779" s="5">
        <v>45808.666666666701</v>
      </c>
      <c r="B779">
        <v>24</v>
      </c>
      <c r="C779" t="s">
        <v>30</v>
      </c>
      <c r="D779" t="s">
        <v>31</v>
      </c>
      <c r="E779">
        <v>1.52</v>
      </c>
      <c r="F779">
        <v>3.35</v>
      </c>
      <c r="G779" s="8">
        <f>E779*60/F779</f>
        <v>27.223880597014926</v>
      </c>
    </row>
    <row r="780" spans="1:7" x14ac:dyDescent="0.25">
      <c r="A780" s="5">
        <v>45808.666666666701</v>
      </c>
      <c r="B780">
        <v>25</v>
      </c>
      <c r="C780" t="s">
        <v>31</v>
      </c>
      <c r="D780" t="s">
        <v>32</v>
      </c>
      <c r="E780">
        <v>1.52</v>
      </c>
      <c r="F780">
        <v>3.28</v>
      </c>
      <c r="G780" s="8">
        <f>E780*60/F780</f>
        <v>27.804878048780491</v>
      </c>
    </row>
    <row r="781" spans="1:7" x14ac:dyDescent="0.25">
      <c r="A781" s="5">
        <v>45808.666666666701</v>
      </c>
      <c r="B781">
        <v>26</v>
      </c>
      <c r="C781" t="s">
        <v>32</v>
      </c>
      <c r="D781" t="s">
        <v>33</v>
      </c>
      <c r="E781">
        <v>1.49</v>
      </c>
      <c r="F781">
        <v>4.33</v>
      </c>
      <c r="G781" s="8">
        <f>E781*60/F781</f>
        <v>20.646651270207855</v>
      </c>
    </row>
    <row r="782" spans="1:7" x14ac:dyDescent="0.25">
      <c r="A782" s="5">
        <v>45808.666666666701</v>
      </c>
      <c r="B782">
        <v>27</v>
      </c>
      <c r="C782" t="s">
        <v>33</v>
      </c>
      <c r="D782" t="s">
        <v>34</v>
      </c>
      <c r="E782">
        <v>1.53</v>
      </c>
      <c r="F782">
        <v>5.42</v>
      </c>
      <c r="G782" s="8">
        <f>E782*60/F782</f>
        <v>16.937269372693727</v>
      </c>
    </row>
    <row r="783" spans="1:7" x14ac:dyDescent="0.25">
      <c r="A783" s="5">
        <v>45808.666666666701</v>
      </c>
      <c r="B783">
        <v>28</v>
      </c>
      <c r="C783" t="s">
        <v>34</v>
      </c>
      <c r="D783" t="s">
        <v>35</v>
      </c>
      <c r="E783">
        <v>1.51</v>
      </c>
      <c r="F783">
        <v>4.0999999999999996</v>
      </c>
      <c r="G783" s="8">
        <f>E783*60/F783</f>
        <v>22.097560975609756</v>
      </c>
    </row>
    <row r="784" spans="1:7" x14ac:dyDescent="0.25">
      <c r="A784" s="5">
        <v>45808.666666666701</v>
      </c>
      <c r="B784">
        <v>29</v>
      </c>
      <c r="C784" t="s">
        <v>36</v>
      </c>
      <c r="D784" t="s">
        <v>37</v>
      </c>
      <c r="E784">
        <v>1.57</v>
      </c>
      <c r="F784">
        <v>3.37</v>
      </c>
      <c r="G784" s="8">
        <f>E784*60/F784</f>
        <v>27.952522255192878</v>
      </c>
    </row>
    <row r="785" spans="1:7" x14ac:dyDescent="0.25">
      <c r="A785" s="5">
        <v>45808.666666666701</v>
      </c>
      <c r="B785">
        <v>30</v>
      </c>
      <c r="C785" t="s">
        <v>37</v>
      </c>
      <c r="D785" t="s">
        <v>38</v>
      </c>
      <c r="E785">
        <v>1.57</v>
      </c>
      <c r="F785">
        <v>4.4000000000000004</v>
      </c>
      <c r="G785" s="8">
        <f>E785*60/F785</f>
        <v>21.409090909090907</v>
      </c>
    </row>
    <row r="786" spans="1:7" x14ac:dyDescent="0.25">
      <c r="A786" s="5">
        <v>45808.666666666701</v>
      </c>
      <c r="B786">
        <v>31</v>
      </c>
      <c r="C786" t="s">
        <v>38</v>
      </c>
      <c r="D786" t="s">
        <v>39</v>
      </c>
      <c r="E786">
        <v>1.52</v>
      </c>
      <c r="F786">
        <v>2.65</v>
      </c>
      <c r="G786" s="8">
        <f>E786*60/F786</f>
        <v>34.415094339622641</v>
      </c>
    </row>
    <row r="787" spans="1:7" x14ac:dyDescent="0.25">
      <c r="A787" s="5">
        <v>45808.666666666701</v>
      </c>
      <c r="B787">
        <v>32</v>
      </c>
      <c r="C787" t="s">
        <v>39</v>
      </c>
      <c r="D787" t="s">
        <v>40</v>
      </c>
      <c r="E787">
        <v>1.5</v>
      </c>
      <c r="F787">
        <v>1.85</v>
      </c>
      <c r="G787" s="8">
        <f>E787*60/F787</f>
        <v>48.648648648648646</v>
      </c>
    </row>
    <row r="788" spans="1:7" x14ac:dyDescent="0.25">
      <c r="A788" s="5">
        <v>45808.666666666701</v>
      </c>
      <c r="B788">
        <v>33</v>
      </c>
      <c r="C788" t="s">
        <v>40</v>
      </c>
      <c r="D788" t="s">
        <v>41</v>
      </c>
      <c r="E788">
        <v>1.51</v>
      </c>
      <c r="F788">
        <v>1.9</v>
      </c>
      <c r="G788" s="8">
        <f>E788*60/F788</f>
        <v>47.684210526315788</v>
      </c>
    </row>
    <row r="789" spans="1:7" x14ac:dyDescent="0.25">
      <c r="A789" s="5">
        <v>45808.666666666701</v>
      </c>
      <c r="B789">
        <v>34</v>
      </c>
      <c r="C789" t="s">
        <v>41</v>
      </c>
      <c r="D789" t="s">
        <v>42</v>
      </c>
      <c r="E789">
        <v>1.5</v>
      </c>
      <c r="F789">
        <v>1.97</v>
      </c>
      <c r="G789" s="8">
        <f>E789*60/F789</f>
        <v>45.685279187817258</v>
      </c>
    </row>
    <row r="790" spans="1:7" x14ac:dyDescent="0.25">
      <c r="A790" s="5">
        <v>45808.666666666701</v>
      </c>
      <c r="B790">
        <v>35</v>
      </c>
      <c r="C790" t="s">
        <v>43</v>
      </c>
      <c r="D790" t="s">
        <v>44</v>
      </c>
      <c r="E790">
        <v>1.55</v>
      </c>
      <c r="F790">
        <v>3.33</v>
      </c>
      <c r="G790" s="8">
        <f>E790*60/F790</f>
        <v>27.927927927927929</v>
      </c>
    </row>
    <row r="791" spans="1:7" x14ac:dyDescent="0.25">
      <c r="A791" s="5">
        <v>45808.666666666701</v>
      </c>
      <c r="B791">
        <v>36</v>
      </c>
      <c r="C791" t="s">
        <v>44</v>
      </c>
      <c r="D791" t="s">
        <v>45</v>
      </c>
      <c r="E791">
        <v>1.5</v>
      </c>
      <c r="F791">
        <v>2.98</v>
      </c>
      <c r="G791" s="8">
        <f>E791*60/F791</f>
        <v>30.201342281879196</v>
      </c>
    </row>
    <row r="792" spans="1:7" x14ac:dyDescent="0.25">
      <c r="A792" s="5">
        <v>45808.666666666701</v>
      </c>
      <c r="B792">
        <v>37</v>
      </c>
      <c r="C792" t="s">
        <v>45</v>
      </c>
      <c r="D792" t="s">
        <v>46</v>
      </c>
      <c r="E792">
        <v>1.38</v>
      </c>
      <c r="F792">
        <v>3.93</v>
      </c>
      <c r="G792" s="8">
        <f>E792*60/F792</f>
        <v>21.068702290076335</v>
      </c>
    </row>
    <row r="793" spans="1:7" x14ac:dyDescent="0.25">
      <c r="A793" s="5">
        <v>45808.666666666701</v>
      </c>
      <c r="B793">
        <v>38</v>
      </c>
      <c r="C793" t="s">
        <v>46</v>
      </c>
      <c r="D793" t="s">
        <v>47</v>
      </c>
      <c r="E793">
        <v>1.61</v>
      </c>
      <c r="F793">
        <v>4.18</v>
      </c>
      <c r="G793" s="8">
        <f>E793*60/F793</f>
        <v>23.110047846889955</v>
      </c>
    </row>
    <row r="794" spans="1:7" x14ac:dyDescent="0.25">
      <c r="A794" s="5">
        <v>45808.666666666701</v>
      </c>
      <c r="B794">
        <v>39</v>
      </c>
      <c r="C794" t="s">
        <v>47</v>
      </c>
      <c r="D794" t="s">
        <v>48</v>
      </c>
      <c r="E794">
        <v>1.55</v>
      </c>
      <c r="F794">
        <v>3.52</v>
      </c>
      <c r="G794" s="8">
        <f>E794*60/F794</f>
        <v>26.420454545454547</v>
      </c>
    </row>
    <row r="795" spans="1:7" x14ac:dyDescent="0.25">
      <c r="A795" s="5">
        <v>45808.666666666701</v>
      </c>
      <c r="B795">
        <v>40</v>
      </c>
      <c r="C795" t="s">
        <v>48</v>
      </c>
      <c r="D795" t="s">
        <v>49</v>
      </c>
      <c r="E795">
        <v>1.39</v>
      </c>
      <c r="F795">
        <v>2.83</v>
      </c>
      <c r="G795" s="8">
        <f>E795*60/F795</f>
        <v>29.46996466431095</v>
      </c>
    </row>
    <row r="796" spans="1:7" x14ac:dyDescent="0.25">
      <c r="A796" s="5">
        <v>45808.666666666701</v>
      </c>
      <c r="B796">
        <v>41</v>
      </c>
      <c r="C796" t="s">
        <v>50</v>
      </c>
      <c r="D796" t="s">
        <v>51</v>
      </c>
      <c r="E796">
        <v>1.56</v>
      </c>
      <c r="F796">
        <v>4.05</v>
      </c>
      <c r="G796" s="8">
        <f>E796*60/F796</f>
        <v>23.111111111111114</v>
      </c>
    </row>
    <row r="797" spans="1:7" x14ac:dyDescent="0.25">
      <c r="A797" s="5">
        <v>45808.666666666701</v>
      </c>
      <c r="B797">
        <v>42</v>
      </c>
      <c r="C797" t="s">
        <v>51</v>
      </c>
      <c r="D797" t="s">
        <v>52</v>
      </c>
      <c r="E797">
        <v>1.56</v>
      </c>
      <c r="F797">
        <v>4.62</v>
      </c>
      <c r="G797" s="8">
        <f>E797*60/F797</f>
        <v>20.259740259740262</v>
      </c>
    </row>
    <row r="798" spans="1:7" x14ac:dyDescent="0.25">
      <c r="A798" s="5">
        <v>45808.666666666701</v>
      </c>
      <c r="B798">
        <v>43</v>
      </c>
      <c r="C798" t="s">
        <v>52</v>
      </c>
      <c r="D798" t="s">
        <v>53</v>
      </c>
      <c r="E798">
        <v>1.51</v>
      </c>
      <c r="F798">
        <v>3.47</v>
      </c>
      <c r="G798" s="8">
        <f>E798*60/F798</f>
        <v>26.109510086455327</v>
      </c>
    </row>
    <row r="799" spans="1:7" x14ac:dyDescent="0.25">
      <c r="A799" s="5">
        <v>45808.666666666701</v>
      </c>
      <c r="B799">
        <v>44</v>
      </c>
      <c r="C799" t="s">
        <v>54</v>
      </c>
      <c r="D799" t="s">
        <v>55</v>
      </c>
      <c r="E799">
        <v>1.51</v>
      </c>
      <c r="F799">
        <v>3.9</v>
      </c>
      <c r="G799" s="8">
        <f>E799*60/F799</f>
        <v>23.23076923076923</v>
      </c>
    </row>
    <row r="800" spans="1:7" x14ac:dyDescent="0.25">
      <c r="A800" s="5">
        <v>45808.666666666701</v>
      </c>
      <c r="B800">
        <v>45</v>
      </c>
      <c r="C800" t="s">
        <v>55</v>
      </c>
      <c r="D800" t="s">
        <v>56</v>
      </c>
      <c r="E800">
        <v>1.49</v>
      </c>
      <c r="F800">
        <v>3.37</v>
      </c>
      <c r="G800" s="8">
        <f>E800*60/F800</f>
        <v>26.528189910979229</v>
      </c>
    </row>
    <row r="801" spans="1:7" x14ac:dyDescent="0.25">
      <c r="A801" s="5">
        <v>45808.666666666701</v>
      </c>
      <c r="B801">
        <v>46</v>
      </c>
      <c r="C801" t="s">
        <v>56</v>
      </c>
      <c r="D801" t="s">
        <v>57</v>
      </c>
      <c r="E801">
        <v>1.52</v>
      </c>
      <c r="F801">
        <v>3.57</v>
      </c>
      <c r="G801" s="8">
        <f>E801*60/F801</f>
        <v>25.54621848739496</v>
      </c>
    </row>
    <row r="802" spans="1:7" x14ac:dyDescent="0.25">
      <c r="A802" s="5">
        <v>45808.666666666701</v>
      </c>
      <c r="B802">
        <v>47</v>
      </c>
      <c r="C802" t="s">
        <v>58</v>
      </c>
      <c r="D802" t="s">
        <v>59</v>
      </c>
      <c r="E802">
        <v>1.52</v>
      </c>
      <c r="F802">
        <v>3.6</v>
      </c>
      <c r="G802" s="8">
        <f>E802*60/F802</f>
        <v>25.333333333333332</v>
      </c>
    </row>
    <row r="803" spans="1:7" x14ac:dyDescent="0.25">
      <c r="A803" s="5">
        <v>45808.666666666701</v>
      </c>
      <c r="B803">
        <v>48</v>
      </c>
      <c r="C803" t="s">
        <v>59</v>
      </c>
      <c r="D803" t="s">
        <v>60</v>
      </c>
      <c r="E803">
        <v>1.5</v>
      </c>
      <c r="F803">
        <v>3.28</v>
      </c>
      <c r="G803" s="8">
        <f>E803*60/F803</f>
        <v>27.439024390243905</v>
      </c>
    </row>
    <row r="804" spans="1:7" x14ac:dyDescent="0.25">
      <c r="A804" s="5">
        <v>45808.666666666701</v>
      </c>
      <c r="B804">
        <v>49</v>
      </c>
      <c r="C804" t="s">
        <v>60</v>
      </c>
      <c r="D804" t="s">
        <v>61</v>
      </c>
      <c r="E804">
        <v>1.54</v>
      </c>
      <c r="F804">
        <v>4.0199999999999996</v>
      </c>
      <c r="G804" s="8">
        <f>E804*60/F804</f>
        <v>22.985074626865675</v>
      </c>
    </row>
    <row r="805" spans="1:7" x14ac:dyDescent="0.25">
      <c r="A805" s="5">
        <v>45808.666666666701</v>
      </c>
      <c r="B805">
        <v>50</v>
      </c>
      <c r="C805" t="s">
        <v>62</v>
      </c>
      <c r="D805" t="s">
        <v>63</v>
      </c>
      <c r="E805">
        <v>1.38</v>
      </c>
      <c r="F805">
        <v>3.13</v>
      </c>
      <c r="G805" s="8">
        <f>E805*60/F805</f>
        <v>26.453674121405751</v>
      </c>
    </row>
    <row r="806" spans="1:7" x14ac:dyDescent="0.25">
      <c r="A806" s="5">
        <v>45808.666666666701</v>
      </c>
      <c r="B806">
        <v>51</v>
      </c>
      <c r="C806" t="s">
        <v>63</v>
      </c>
      <c r="D806" t="s">
        <v>64</v>
      </c>
      <c r="E806">
        <v>2.79</v>
      </c>
      <c r="F806">
        <v>5.5</v>
      </c>
      <c r="G806" s="8">
        <f>E806*60/F806</f>
        <v>30.436363636363637</v>
      </c>
    </row>
    <row r="807" spans="1:7" x14ac:dyDescent="0.25">
      <c r="A807" s="5">
        <v>45808.666666666701</v>
      </c>
      <c r="B807">
        <v>52</v>
      </c>
      <c r="C807" t="s">
        <v>64</v>
      </c>
      <c r="D807" t="s">
        <v>65</v>
      </c>
      <c r="E807">
        <v>1.5</v>
      </c>
      <c r="F807">
        <v>2.65</v>
      </c>
      <c r="G807" s="8">
        <f>E807*60/F807</f>
        <v>33.962264150943398</v>
      </c>
    </row>
    <row r="808" spans="1:7" x14ac:dyDescent="0.25">
      <c r="A808" s="5">
        <v>45808.666666666701</v>
      </c>
      <c r="B808">
        <v>53</v>
      </c>
      <c r="C808" t="s">
        <v>65</v>
      </c>
      <c r="D808" t="s">
        <v>66</v>
      </c>
      <c r="E808">
        <v>1.46</v>
      </c>
      <c r="F808">
        <v>3.68</v>
      </c>
      <c r="G808" s="8">
        <f>E808*60/F808</f>
        <v>23.804347826086953</v>
      </c>
    </row>
    <row r="809" spans="1:7" x14ac:dyDescent="0.25">
      <c r="A809" s="5">
        <v>45808.666666666701</v>
      </c>
      <c r="B809">
        <v>54</v>
      </c>
      <c r="C809" t="s">
        <v>67</v>
      </c>
      <c r="D809" t="s">
        <v>68</v>
      </c>
      <c r="E809">
        <v>1.46</v>
      </c>
      <c r="F809">
        <v>2.9</v>
      </c>
      <c r="G809" s="8">
        <f>E809*60/F809</f>
        <v>30.206896551724135</v>
      </c>
    </row>
    <row r="810" spans="1:7" x14ac:dyDescent="0.25">
      <c r="A810" s="5">
        <v>45808.666666666701</v>
      </c>
      <c r="B810">
        <v>55</v>
      </c>
      <c r="C810" t="s">
        <v>68</v>
      </c>
      <c r="D810" t="s">
        <v>69</v>
      </c>
      <c r="E810">
        <v>1.5</v>
      </c>
      <c r="F810">
        <v>2.12</v>
      </c>
      <c r="G810" s="8">
        <f>E810*60/F810</f>
        <v>42.452830188679243</v>
      </c>
    </row>
    <row r="811" spans="1:7" x14ac:dyDescent="0.25">
      <c r="A811" s="5">
        <v>45808.666666666701</v>
      </c>
      <c r="B811">
        <v>56</v>
      </c>
      <c r="C811" t="s">
        <v>70</v>
      </c>
      <c r="D811" t="s">
        <v>71</v>
      </c>
      <c r="E811">
        <v>1.51</v>
      </c>
      <c r="F811">
        <v>4.13</v>
      </c>
      <c r="G811" s="8">
        <f>E811*60/F811</f>
        <v>21.937046004842614</v>
      </c>
    </row>
    <row r="812" spans="1:7" x14ac:dyDescent="0.25">
      <c r="A812" s="5">
        <v>45808.666666666701</v>
      </c>
      <c r="B812">
        <v>57</v>
      </c>
      <c r="C812" t="s">
        <v>71</v>
      </c>
      <c r="D812" t="s">
        <v>72</v>
      </c>
      <c r="E812">
        <v>1.52</v>
      </c>
      <c r="F812">
        <v>3.7</v>
      </c>
      <c r="G812" s="8">
        <f>E812*60/F812</f>
        <v>24.648648648648649</v>
      </c>
    </row>
    <row r="813" spans="1:7" x14ac:dyDescent="0.25">
      <c r="A813" s="5">
        <v>45808.666666666701</v>
      </c>
      <c r="B813">
        <v>58</v>
      </c>
      <c r="C813" t="s">
        <v>72</v>
      </c>
      <c r="D813" t="s">
        <v>73</v>
      </c>
      <c r="E813">
        <v>1.5</v>
      </c>
      <c r="F813">
        <v>4</v>
      </c>
      <c r="G813" s="8">
        <f>E813*60/F813</f>
        <v>22.5</v>
      </c>
    </row>
    <row r="814" spans="1:7" x14ac:dyDescent="0.25">
      <c r="A814" s="5">
        <v>45808.677083333336</v>
      </c>
      <c r="B814">
        <v>1</v>
      </c>
      <c r="C814" t="s">
        <v>6</v>
      </c>
      <c r="D814" t="s">
        <v>7</v>
      </c>
      <c r="E814">
        <v>1.53</v>
      </c>
      <c r="F814">
        <v>3.03</v>
      </c>
      <c r="G814" s="8">
        <f>E814*60/F814</f>
        <v>30.297029702970299</v>
      </c>
    </row>
    <row r="815" spans="1:7" x14ac:dyDescent="0.25">
      <c r="A815" s="5">
        <v>45808.677083333336</v>
      </c>
      <c r="B815">
        <v>2</v>
      </c>
      <c r="C815" t="s">
        <v>7</v>
      </c>
      <c r="D815" t="s">
        <v>8</v>
      </c>
      <c r="E815">
        <v>1.57</v>
      </c>
      <c r="F815">
        <v>4.5199999999999996</v>
      </c>
      <c r="G815" s="8">
        <f>E815*60/F815</f>
        <v>20.840707964601773</v>
      </c>
    </row>
    <row r="816" spans="1:7" x14ac:dyDescent="0.25">
      <c r="A816" s="5">
        <v>45808.677083333336</v>
      </c>
      <c r="B816">
        <v>3</v>
      </c>
      <c r="C816" t="s">
        <v>8</v>
      </c>
      <c r="D816" t="s">
        <v>9</v>
      </c>
      <c r="E816">
        <v>1.5</v>
      </c>
      <c r="F816">
        <v>2.98</v>
      </c>
      <c r="G816" s="8">
        <f>E816*60/F816</f>
        <v>30.201342281879196</v>
      </c>
    </row>
    <row r="817" spans="1:7" x14ac:dyDescent="0.25">
      <c r="A817" s="5">
        <v>45808.677083333336</v>
      </c>
      <c r="B817">
        <v>4</v>
      </c>
      <c r="C817" t="s">
        <v>9</v>
      </c>
      <c r="D817" t="s">
        <v>10</v>
      </c>
      <c r="E817">
        <v>1.5</v>
      </c>
      <c r="F817">
        <v>2.92</v>
      </c>
      <c r="G817" s="8">
        <f>E817*60/F817</f>
        <v>30.82191780821918</v>
      </c>
    </row>
    <row r="818" spans="1:7" x14ac:dyDescent="0.25">
      <c r="A818" s="5">
        <v>45808.677083333336</v>
      </c>
      <c r="B818">
        <v>5</v>
      </c>
      <c r="C818" t="s">
        <v>10</v>
      </c>
      <c r="D818" t="s">
        <v>11</v>
      </c>
      <c r="E818">
        <v>1.52</v>
      </c>
      <c r="F818">
        <v>3.45</v>
      </c>
      <c r="G818" s="8">
        <f>E818*60/F818</f>
        <v>26.434782608695652</v>
      </c>
    </row>
    <row r="819" spans="1:7" x14ac:dyDescent="0.25">
      <c r="A819" s="5">
        <v>45808.677083333336</v>
      </c>
      <c r="B819">
        <v>6</v>
      </c>
      <c r="C819" t="s">
        <v>11</v>
      </c>
      <c r="D819" t="s">
        <v>12</v>
      </c>
      <c r="E819">
        <v>1.5</v>
      </c>
      <c r="F819">
        <v>2.62</v>
      </c>
      <c r="G819" s="8">
        <f>E819*60/F819</f>
        <v>34.351145038167935</v>
      </c>
    </row>
    <row r="820" spans="1:7" x14ac:dyDescent="0.25">
      <c r="A820" s="5">
        <v>45808.677083333336</v>
      </c>
      <c r="B820">
        <v>7</v>
      </c>
      <c r="C820" t="s">
        <v>12</v>
      </c>
      <c r="D820" t="s">
        <v>13</v>
      </c>
      <c r="E820">
        <v>1.54</v>
      </c>
      <c r="F820">
        <v>2.7</v>
      </c>
      <c r="G820" s="8">
        <f>E820*60/F820</f>
        <v>34.222222222222221</v>
      </c>
    </row>
    <row r="821" spans="1:7" x14ac:dyDescent="0.25">
      <c r="A821" s="5">
        <v>45808.677083333336</v>
      </c>
      <c r="B821">
        <v>8</v>
      </c>
      <c r="C821" t="s">
        <v>13</v>
      </c>
      <c r="D821" t="s">
        <v>14</v>
      </c>
      <c r="E821">
        <v>1.54</v>
      </c>
      <c r="F821">
        <v>3.12</v>
      </c>
      <c r="G821" s="8">
        <f>E821*60/F821</f>
        <v>29.615384615384617</v>
      </c>
    </row>
    <row r="822" spans="1:7" x14ac:dyDescent="0.25">
      <c r="A822" s="5">
        <v>45808.677083333336</v>
      </c>
      <c r="B822">
        <v>9</v>
      </c>
      <c r="C822" t="s">
        <v>14</v>
      </c>
      <c r="D822" t="s">
        <v>15</v>
      </c>
      <c r="E822">
        <v>1.52</v>
      </c>
      <c r="F822">
        <v>3.92</v>
      </c>
      <c r="G822" s="8">
        <f>E822*60/F822</f>
        <v>23.26530612244898</v>
      </c>
    </row>
    <row r="823" spans="1:7" x14ac:dyDescent="0.25">
      <c r="A823" s="5">
        <v>45808.677083333336</v>
      </c>
      <c r="B823">
        <v>10</v>
      </c>
      <c r="C823" t="s">
        <v>15</v>
      </c>
      <c r="D823" t="s">
        <v>16</v>
      </c>
      <c r="E823">
        <v>1.5</v>
      </c>
      <c r="F823">
        <v>3.87</v>
      </c>
      <c r="G823" s="8">
        <f>E823*60/F823</f>
        <v>23.255813953488371</v>
      </c>
    </row>
    <row r="824" spans="1:7" x14ac:dyDescent="0.25">
      <c r="A824" s="5">
        <v>45808.677083333336</v>
      </c>
      <c r="B824">
        <v>11</v>
      </c>
      <c r="C824" t="s">
        <v>16</v>
      </c>
      <c r="D824" t="s">
        <v>17</v>
      </c>
      <c r="E824">
        <v>1.48</v>
      </c>
      <c r="F824">
        <v>2.5299999999999998</v>
      </c>
      <c r="G824" s="8">
        <f>E824*60/F824</f>
        <v>35.098814229249015</v>
      </c>
    </row>
    <row r="825" spans="1:7" x14ac:dyDescent="0.25">
      <c r="A825" s="5">
        <v>45808.677083333336</v>
      </c>
      <c r="B825">
        <v>12</v>
      </c>
      <c r="C825" t="s">
        <v>17</v>
      </c>
      <c r="D825" t="s">
        <v>18</v>
      </c>
      <c r="E825">
        <v>1.46</v>
      </c>
      <c r="F825">
        <v>3.72</v>
      </c>
      <c r="G825" s="8">
        <f>E825*60/F825</f>
        <v>23.548387096774192</v>
      </c>
    </row>
    <row r="826" spans="1:7" x14ac:dyDescent="0.25">
      <c r="A826" s="5">
        <v>45808.677083333336</v>
      </c>
      <c r="B826">
        <v>13</v>
      </c>
      <c r="C826" t="s">
        <v>18</v>
      </c>
      <c r="D826" t="s">
        <v>19</v>
      </c>
      <c r="E826">
        <v>1.52</v>
      </c>
      <c r="F826">
        <v>3.77</v>
      </c>
      <c r="G826" s="8">
        <f>E826*60/F826</f>
        <v>24.190981432360743</v>
      </c>
    </row>
    <row r="827" spans="1:7" x14ac:dyDescent="0.25">
      <c r="A827" s="5">
        <v>45808.677083333336</v>
      </c>
      <c r="B827">
        <v>14</v>
      </c>
      <c r="C827" t="s">
        <v>19</v>
      </c>
      <c r="D827" t="s">
        <v>20</v>
      </c>
      <c r="E827">
        <v>1.51</v>
      </c>
      <c r="F827">
        <v>3.7</v>
      </c>
      <c r="G827" s="8">
        <f>E827*60/F827</f>
        <v>24.486486486486484</v>
      </c>
    </row>
    <row r="828" spans="1:7" x14ac:dyDescent="0.25">
      <c r="A828" s="5">
        <v>45808.677083333336</v>
      </c>
      <c r="B828">
        <v>15</v>
      </c>
      <c r="C828" t="s">
        <v>20</v>
      </c>
      <c r="D828" t="s">
        <v>21</v>
      </c>
      <c r="E828">
        <v>1.47</v>
      </c>
      <c r="F828">
        <v>2.25</v>
      </c>
      <c r="G828" s="8">
        <f>E828*60/F828</f>
        <v>39.200000000000003</v>
      </c>
    </row>
    <row r="829" spans="1:7" x14ac:dyDescent="0.25">
      <c r="A829" s="5">
        <v>45808.677083333336</v>
      </c>
      <c r="B829">
        <v>16</v>
      </c>
      <c r="C829" t="s">
        <v>21</v>
      </c>
      <c r="D829" t="s">
        <v>22</v>
      </c>
      <c r="E829">
        <v>1.5</v>
      </c>
      <c r="F829">
        <v>1.8</v>
      </c>
      <c r="G829" s="8">
        <f>E829*60/F829</f>
        <v>50</v>
      </c>
    </row>
    <row r="830" spans="1:7" x14ac:dyDescent="0.25">
      <c r="A830" s="5">
        <v>45808.677083333336</v>
      </c>
      <c r="B830">
        <v>17</v>
      </c>
      <c r="C830" t="s">
        <v>22</v>
      </c>
      <c r="D830" t="s">
        <v>23</v>
      </c>
      <c r="E830">
        <v>1.51</v>
      </c>
      <c r="F830">
        <v>2.92</v>
      </c>
      <c r="G830" s="8">
        <f>E830*60/F830</f>
        <v>31.027397260273972</v>
      </c>
    </row>
    <row r="831" spans="1:7" x14ac:dyDescent="0.25">
      <c r="A831" s="5">
        <v>45808.677083333336</v>
      </c>
      <c r="B831">
        <v>18</v>
      </c>
      <c r="C831" t="s">
        <v>23</v>
      </c>
      <c r="D831" t="s">
        <v>24</v>
      </c>
      <c r="E831">
        <v>1.51</v>
      </c>
      <c r="F831">
        <v>3.18</v>
      </c>
      <c r="G831" s="8">
        <f>E831*60/F831</f>
        <v>28.490566037735846</v>
      </c>
    </row>
    <row r="832" spans="1:7" x14ac:dyDescent="0.25">
      <c r="A832" s="5">
        <v>45808.677083333336</v>
      </c>
      <c r="B832">
        <v>19</v>
      </c>
      <c r="C832" t="s">
        <v>25</v>
      </c>
      <c r="D832" t="s">
        <v>26</v>
      </c>
      <c r="E832">
        <v>1.5</v>
      </c>
      <c r="F832">
        <v>3.82</v>
      </c>
      <c r="G832" s="8">
        <f>E832*60/F832</f>
        <v>23.560209424083769</v>
      </c>
    </row>
    <row r="833" spans="1:7" x14ac:dyDescent="0.25">
      <c r="A833" s="5">
        <v>45808.677083333336</v>
      </c>
      <c r="B833">
        <v>20</v>
      </c>
      <c r="C833" t="s">
        <v>26</v>
      </c>
      <c r="D833" t="s">
        <v>27</v>
      </c>
      <c r="E833">
        <v>1.48</v>
      </c>
      <c r="F833">
        <v>3.77</v>
      </c>
      <c r="G833" s="8">
        <f>E833*60/F833</f>
        <v>23.554376657824932</v>
      </c>
    </row>
    <row r="834" spans="1:7" x14ac:dyDescent="0.25">
      <c r="A834" s="5">
        <v>45808.677083333336</v>
      </c>
      <c r="B834">
        <v>21</v>
      </c>
      <c r="C834" t="s">
        <v>27</v>
      </c>
      <c r="D834" t="s">
        <v>28</v>
      </c>
      <c r="E834">
        <v>1.51</v>
      </c>
      <c r="F834">
        <v>3.08</v>
      </c>
      <c r="G834" s="8">
        <f>E834*60/F834</f>
        <v>29.415584415584412</v>
      </c>
    </row>
    <row r="835" spans="1:7" x14ac:dyDescent="0.25">
      <c r="A835" s="5">
        <v>45808.677083333336</v>
      </c>
      <c r="B835">
        <v>22</v>
      </c>
      <c r="C835" t="s">
        <v>28</v>
      </c>
      <c r="D835" t="s">
        <v>29</v>
      </c>
      <c r="E835">
        <v>1.57</v>
      </c>
      <c r="F835">
        <v>3.3</v>
      </c>
      <c r="G835" s="8">
        <f>E835*60/F835</f>
        <v>28.545454545454547</v>
      </c>
    </row>
    <row r="836" spans="1:7" x14ac:dyDescent="0.25">
      <c r="A836" s="5">
        <v>45808.677083333336</v>
      </c>
      <c r="B836">
        <v>23</v>
      </c>
      <c r="C836" t="s">
        <v>29</v>
      </c>
      <c r="D836" t="s">
        <v>30</v>
      </c>
      <c r="E836">
        <v>1.43</v>
      </c>
      <c r="F836">
        <v>3.75</v>
      </c>
      <c r="G836" s="8">
        <f>E836*60/F836</f>
        <v>22.88</v>
      </c>
    </row>
    <row r="837" spans="1:7" x14ac:dyDescent="0.25">
      <c r="A837" s="5">
        <v>45808.677083333336</v>
      </c>
      <c r="B837">
        <v>24</v>
      </c>
      <c r="C837" t="s">
        <v>30</v>
      </c>
      <c r="D837" t="s">
        <v>31</v>
      </c>
      <c r="E837">
        <v>1.52</v>
      </c>
      <c r="F837">
        <v>3.1</v>
      </c>
      <c r="G837" s="8">
        <f>E837*60/F837</f>
        <v>29.419354838709676</v>
      </c>
    </row>
    <row r="838" spans="1:7" x14ac:dyDescent="0.25">
      <c r="A838" s="5">
        <v>45808.677083333336</v>
      </c>
      <c r="B838">
        <v>25</v>
      </c>
      <c r="C838" t="s">
        <v>31</v>
      </c>
      <c r="D838" t="s">
        <v>32</v>
      </c>
      <c r="E838">
        <v>1.52</v>
      </c>
      <c r="F838">
        <v>3.3</v>
      </c>
      <c r="G838" s="8">
        <f>E838*60/F838</f>
        <v>27.63636363636364</v>
      </c>
    </row>
    <row r="839" spans="1:7" x14ac:dyDescent="0.25">
      <c r="A839" s="5">
        <v>45808.677083333336</v>
      </c>
      <c r="B839">
        <v>26</v>
      </c>
      <c r="C839" t="s">
        <v>32</v>
      </c>
      <c r="D839" t="s">
        <v>33</v>
      </c>
      <c r="E839">
        <v>1.49</v>
      </c>
      <c r="F839">
        <v>4.37</v>
      </c>
      <c r="G839" s="8">
        <f>E839*60/F839</f>
        <v>20.45766590389016</v>
      </c>
    </row>
    <row r="840" spans="1:7" x14ac:dyDescent="0.25">
      <c r="A840" s="5">
        <v>45808.677083333336</v>
      </c>
      <c r="B840">
        <v>27</v>
      </c>
      <c r="C840" t="s">
        <v>33</v>
      </c>
      <c r="D840" t="s">
        <v>34</v>
      </c>
      <c r="E840">
        <v>1.53</v>
      </c>
      <c r="F840">
        <v>5.2</v>
      </c>
      <c r="G840" s="8">
        <f>E840*60/F840</f>
        <v>17.653846153846153</v>
      </c>
    </row>
    <row r="841" spans="1:7" x14ac:dyDescent="0.25">
      <c r="A841" s="5">
        <v>45808.677083333336</v>
      </c>
      <c r="B841">
        <v>28</v>
      </c>
      <c r="C841" t="s">
        <v>34</v>
      </c>
      <c r="D841" t="s">
        <v>35</v>
      </c>
      <c r="E841">
        <v>1.51</v>
      </c>
      <c r="F841">
        <v>4.22</v>
      </c>
      <c r="G841" s="8">
        <f>E841*60/F841</f>
        <v>21.469194312796208</v>
      </c>
    </row>
    <row r="842" spans="1:7" x14ac:dyDescent="0.25">
      <c r="A842" s="5">
        <v>45808.677083333336</v>
      </c>
      <c r="B842">
        <v>29</v>
      </c>
      <c r="C842" t="s">
        <v>36</v>
      </c>
      <c r="D842" t="s">
        <v>37</v>
      </c>
      <c r="E842">
        <v>1.57</v>
      </c>
      <c r="F842">
        <v>3.5</v>
      </c>
      <c r="G842" s="8">
        <f>E842*60/F842</f>
        <v>26.914285714285715</v>
      </c>
    </row>
    <row r="843" spans="1:7" x14ac:dyDescent="0.25">
      <c r="A843" s="5">
        <v>45808.677083333336</v>
      </c>
      <c r="B843">
        <v>30</v>
      </c>
      <c r="C843" t="s">
        <v>37</v>
      </c>
      <c r="D843" t="s">
        <v>38</v>
      </c>
      <c r="E843">
        <v>1.57</v>
      </c>
      <c r="F843">
        <v>4.68</v>
      </c>
      <c r="G843" s="8">
        <f>E843*60/F843</f>
        <v>20.128205128205131</v>
      </c>
    </row>
    <row r="844" spans="1:7" x14ac:dyDescent="0.25">
      <c r="A844" s="5">
        <v>45808.677083333336</v>
      </c>
      <c r="B844">
        <v>31</v>
      </c>
      <c r="C844" t="s">
        <v>38</v>
      </c>
      <c r="D844" t="s">
        <v>39</v>
      </c>
      <c r="E844">
        <v>1.52</v>
      </c>
      <c r="F844">
        <v>2.75</v>
      </c>
      <c r="G844" s="8">
        <f>E844*60/F844</f>
        <v>33.163636363636364</v>
      </c>
    </row>
    <row r="845" spans="1:7" x14ac:dyDescent="0.25">
      <c r="A845" s="5">
        <v>45808.677083333336</v>
      </c>
      <c r="B845">
        <v>32</v>
      </c>
      <c r="C845" t="s">
        <v>39</v>
      </c>
      <c r="D845" t="s">
        <v>40</v>
      </c>
      <c r="E845">
        <v>1.5</v>
      </c>
      <c r="F845">
        <v>1.87</v>
      </c>
      <c r="G845" s="8">
        <f>E845*60/F845</f>
        <v>48.128342245989302</v>
      </c>
    </row>
    <row r="846" spans="1:7" x14ac:dyDescent="0.25">
      <c r="A846" s="5">
        <v>45808.677083333336</v>
      </c>
      <c r="B846">
        <v>33</v>
      </c>
      <c r="C846" t="s">
        <v>40</v>
      </c>
      <c r="D846" t="s">
        <v>41</v>
      </c>
      <c r="E846">
        <v>1.51</v>
      </c>
      <c r="F846">
        <v>1.85</v>
      </c>
      <c r="G846" s="8">
        <f>E846*60/F846</f>
        <v>48.972972972972968</v>
      </c>
    </row>
    <row r="847" spans="1:7" x14ac:dyDescent="0.25">
      <c r="A847" s="5">
        <v>45808.677083333336</v>
      </c>
      <c r="B847">
        <v>34</v>
      </c>
      <c r="C847" t="s">
        <v>41</v>
      </c>
      <c r="D847" t="s">
        <v>42</v>
      </c>
      <c r="E847">
        <v>1.5</v>
      </c>
      <c r="F847">
        <v>1.9</v>
      </c>
      <c r="G847" s="8">
        <f>E847*60/F847</f>
        <v>47.368421052631582</v>
      </c>
    </row>
    <row r="848" spans="1:7" x14ac:dyDescent="0.25">
      <c r="A848" s="5">
        <v>45808.677083333336</v>
      </c>
      <c r="B848">
        <v>35</v>
      </c>
      <c r="C848" t="s">
        <v>43</v>
      </c>
      <c r="D848" t="s">
        <v>44</v>
      </c>
      <c r="E848">
        <v>1.55</v>
      </c>
      <c r="F848">
        <v>3.42</v>
      </c>
      <c r="G848" s="8">
        <f>E848*60/F848</f>
        <v>27.192982456140353</v>
      </c>
    </row>
    <row r="849" spans="1:7" x14ac:dyDescent="0.25">
      <c r="A849" s="5">
        <v>45808.677083333336</v>
      </c>
      <c r="B849">
        <v>36</v>
      </c>
      <c r="C849" t="s">
        <v>44</v>
      </c>
      <c r="D849" t="s">
        <v>45</v>
      </c>
      <c r="E849">
        <v>1.5</v>
      </c>
      <c r="F849">
        <v>2.98</v>
      </c>
      <c r="G849" s="8">
        <f>E849*60/F849</f>
        <v>30.201342281879196</v>
      </c>
    </row>
    <row r="850" spans="1:7" x14ac:dyDescent="0.25">
      <c r="A850" s="5">
        <v>45808.677083333336</v>
      </c>
      <c r="B850">
        <v>37</v>
      </c>
      <c r="C850" t="s">
        <v>45</v>
      </c>
      <c r="D850" t="s">
        <v>46</v>
      </c>
      <c r="E850">
        <v>1.38</v>
      </c>
      <c r="F850">
        <v>3.85</v>
      </c>
      <c r="G850" s="8">
        <f>E850*60/F850</f>
        <v>21.506493506493506</v>
      </c>
    </row>
    <row r="851" spans="1:7" x14ac:dyDescent="0.25">
      <c r="A851" s="5">
        <v>45808.677083333336</v>
      </c>
      <c r="B851">
        <v>38</v>
      </c>
      <c r="C851" t="s">
        <v>46</v>
      </c>
      <c r="D851" t="s">
        <v>47</v>
      </c>
      <c r="E851">
        <v>1.61</v>
      </c>
      <c r="F851">
        <v>4.1500000000000004</v>
      </c>
      <c r="G851" s="8">
        <f>E851*60/F851</f>
        <v>23.277108433734941</v>
      </c>
    </row>
    <row r="852" spans="1:7" x14ac:dyDescent="0.25">
      <c r="A852" s="5">
        <v>45808.677083333336</v>
      </c>
      <c r="B852">
        <v>39</v>
      </c>
      <c r="C852" t="s">
        <v>47</v>
      </c>
      <c r="D852" t="s">
        <v>48</v>
      </c>
      <c r="E852">
        <v>1.55</v>
      </c>
      <c r="F852">
        <v>3.53</v>
      </c>
      <c r="G852" s="8">
        <f>E852*60/F852</f>
        <v>26.345609065155809</v>
      </c>
    </row>
    <row r="853" spans="1:7" x14ac:dyDescent="0.25">
      <c r="A853" s="5">
        <v>45808.677083333336</v>
      </c>
      <c r="B853">
        <v>40</v>
      </c>
      <c r="C853" t="s">
        <v>48</v>
      </c>
      <c r="D853" t="s">
        <v>49</v>
      </c>
      <c r="E853">
        <v>1.39</v>
      </c>
      <c r="F853">
        <v>2.9</v>
      </c>
      <c r="G853" s="8">
        <f>E853*60/F853</f>
        <v>28.758620689655171</v>
      </c>
    </row>
    <row r="854" spans="1:7" x14ac:dyDescent="0.25">
      <c r="A854" s="5">
        <v>45808.677083333336</v>
      </c>
      <c r="B854">
        <v>41</v>
      </c>
      <c r="C854" t="s">
        <v>50</v>
      </c>
      <c r="D854" t="s">
        <v>51</v>
      </c>
      <c r="E854">
        <v>1.56</v>
      </c>
      <c r="F854">
        <v>4</v>
      </c>
      <c r="G854" s="8">
        <f>E854*60/F854</f>
        <v>23.400000000000002</v>
      </c>
    </row>
    <row r="855" spans="1:7" x14ac:dyDescent="0.25">
      <c r="A855" s="5">
        <v>45808.677083333336</v>
      </c>
      <c r="B855">
        <v>42</v>
      </c>
      <c r="C855" t="s">
        <v>51</v>
      </c>
      <c r="D855" t="s">
        <v>52</v>
      </c>
      <c r="E855">
        <v>1.56</v>
      </c>
      <c r="F855">
        <v>4.2699999999999996</v>
      </c>
      <c r="G855" s="8">
        <f>E855*60/F855</f>
        <v>21.920374707259956</v>
      </c>
    </row>
    <row r="856" spans="1:7" x14ac:dyDescent="0.25">
      <c r="A856" s="5">
        <v>45808.677083333336</v>
      </c>
      <c r="B856">
        <v>43</v>
      </c>
      <c r="C856" t="s">
        <v>52</v>
      </c>
      <c r="D856" t="s">
        <v>53</v>
      </c>
      <c r="E856">
        <v>1.51</v>
      </c>
      <c r="F856">
        <v>3.48</v>
      </c>
      <c r="G856" s="8">
        <f>E856*60/F856</f>
        <v>26.034482758620687</v>
      </c>
    </row>
    <row r="857" spans="1:7" x14ac:dyDescent="0.25">
      <c r="A857" s="5">
        <v>45808.677083333336</v>
      </c>
      <c r="B857">
        <v>44</v>
      </c>
      <c r="C857" t="s">
        <v>54</v>
      </c>
      <c r="D857" t="s">
        <v>55</v>
      </c>
      <c r="E857">
        <v>1.51</v>
      </c>
      <c r="F857">
        <v>3.93</v>
      </c>
      <c r="G857" s="8">
        <f>E857*60/F857</f>
        <v>23.053435114503813</v>
      </c>
    </row>
    <row r="858" spans="1:7" x14ac:dyDescent="0.25">
      <c r="A858" s="5">
        <v>45808.677083333336</v>
      </c>
      <c r="B858">
        <v>45</v>
      </c>
      <c r="C858" t="s">
        <v>55</v>
      </c>
      <c r="D858" t="s">
        <v>56</v>
      </c>
      <c r="E858">
        <v>1.49</v>
      </c>
      <c r="F858">
        <v>3.32</v>
      </c>
      <c r="G858" s="8">
        <f>E858*60/F858</f>
        <v>26.927710843373497</v>
      </c>
    </row>
    <row r="859" spans="1:7" x14ac:dyDescent="0.25">
      <c r="A859" s="5">
        <v>45808.677083333336</v>
      </c>
      <c r="B859">
        <v>46</v>
      </c>
      <c r="C859" t="s">
        <v>56</v>
      </c>
      <c r="D859" t="s">
        <v>57</v>
      </c>
      <c r="E859">
        <v>1.52</v>
      </c>
      <c r="F859">
        <v>3.65</v>
      </c>
      <c r="G859" s="8">
        <f>E859*60/F859</f>
        <v>24.986301369863014</v>
      </c>
    </row>
    <row r="860" spans="1:7" x14ac:dyDescent="0.25">
      <c r="A860" s="5">
        <v>45808.677083333336</v>
      </c>
      <c r="B860">
        <v>47</v>
      </c>
      <c r="C860" t="s">
        <v>58</v>
      </c>
      <c r="D860" t="s">
        <v>59</v>
      </c>
      <c r="E860">
        <v>1.52</v>
      </c>
      <c r="F860">
        <v>3.73</v>
      </c>
      <c r="G860" s="8">
        <f>E860*60/F860</f>
        <v>24.45040214477212</v>
      </c>
    </row>
    <row r="861" spans="1:7" x14ac:dyDescent="0.25">
      <c r="A861" s="5">
        <v>45808.677083333336</v>
      </c>
      <c r="B861">
        <v>48</v>
      </c>
      <c r="C861" t="s">
        <v>59</v>
      </c>
      <c r="D861" t="s">
        <v>60</v>
      </c>
      <c r="E861">
        <v>1.5</v>
      </c>
      <c r="F861">
        <v>3.52</v>
      </c>
      <c r="G861" s="8">
        <f>E861*60/F861</f>
        <v>25.568181818181817</v>
      </c>
    </row>
    <row r="862" spans="1:7" x14ac:dyDescent="0.25">
      <c r="A862" s="5">
        <v>45808.677083333336</v>
      </c>
      <c r="B862">
        <v>49</v>
      </c>
      <c r="C862" t="s">
        <v>60</v>
      </c>
      <c r="D862" t="s">
        <v>61</v>
      </c>
      <c r="E862">
        <v>1.54</v>
      </c>
      <c r="F862">
        <v>4.2300000000000004</v>
      </c>
      <c r="G862" s="8">
        <f>E862*60/F862</f>
        <v>21.843971631205672</v>
      </c>
    </row>
    <row r="863" spans="1:7" x14ac:dyDescent="0.25">
      <c r="A863" s="5">
        <v>45808.677083333336</v>
      </c>
      <c r="B863">
        <v>50</v>
      </c>
      <c r="C863" t="s">
        <v>62</v>
      </c>
      <c r="D863" t="s">
        <v>63</v>
      </c>
      <c r="E863">
        <v>1.38</v>
      </c>
      <c r="F863">
        <v>3.15</v>
      </c>
      <c r="G863" s="8">
        <f>E863*60/F863</f>
        <v>26.285714285714285</v>
      </c>
    </row>
    <row r="864" spans="1:7" x14ac:dyDescent="0.25">
      <c r="A864" s="5">
        <v>45808.677083333336</v>
      </c>
      <c r="B864">
        <v>51</v>
      </c>
      <c r="C864" t="s">
        <v>63</v>
      </c>
      <c r="D864" t="s">
        <v>64</v>
      </c>
      <c r="E864">
        <v>2.79</v>
      </c>
      <c r="F864">
        <v>6.1</v>
      </c>
      <c r="G864" s="8">
        <f>E864*60/F864</f>
        <v>27.442622950819676</v>
      </c>
    </row>
    <row r="865" spans="1:7" x14ac:dyDescent="0.25">
      <c r="A865" s="5">
        <v>45808.677083333336</v>
      </c>
      <c r="B865">
        <v>52</v>
      </c>
      <c r="C865" t="s">
        <v>64</v>
      </c>
      <c r="D865" t="s">
        <v>65</v>
      </c>
      <c r="E865">
        <v>1.5</v>
      </c>
      <c r="F865">
        <v>2.7</v>
      </c>
      <c r="G865" s="8">
        <f>E865*60/F865</f>
        <v>33.333333333333329</v>
      </c>
    </row>
    <row r="866" spans="1:7" x14ac:dyDescent="0.25">
      <c r="A866" s="5">
        <v>45808.677083333336</v>
      </c>
      <c r="B866">
        <v>53</v>
      </c>
      <c r="C866" t="s">
        <v>65</v>
      </c>
      <c r="D866" t="s">
        <v>66</v>
      </c>
      <c r="E866">
        <v>1.46</v>
      </c>
      <c r="F866">
        <v>3.72</v>
      </c>
      <c r="G866" s="8">
        <f>E866*60/F866</f>
        <v>23.548387096774192</v>
      </c>
    </row>
    <row r="867" spans="1:7" x14ac:dyDescent="0.25">
      <c r="A867" s="5">
        <v>45808.677083333336</v>
      </c>
      <c r="B867">
        <v>54</v>
      </c>
      <c r="C867" t="s">
        <v>67</v>
      </c>
      <c r="D867" t="s">
        <v>68</v>
      </c>
      <c r="E867">
        <v>1.46</v>
      </c>
      <c r="F867">
        <v>2.98</v>
      </c>
      <c r="G867" s="8">
        <f>E867*60/F867</f>
        <v>29.395973154362416</v>
      </c>
    </row>
    <row r="868" spans="1:7" x14ac:dyDescent="0.25">
      <c r="A868" s="5">
        <v>45808.677083333336</v>
      </c>
      <c r="B868">
        <v>55</v>
      </c>
      <c r="C868" t="s">
        <v>68</v>
      </c>
      <c r="D868" t="s">
        <v>69</v>
      </c>
      <c r="E868">
        <v>1.5</v>
      </c>
      <c r="F868">
        <v>2.2799999999999998</v>
      </c>
      <c r="G868" s="8">
        <f>E868*60/F868</f>
        <v>39.473684210526322</v>
      </c>
    </row>
    <row r="869" spans="1:7" x14ac:dyDescent="0.25">
      <c r="A869" s="5">
        <v>45808.677083333336</v>
      </c>
      <c r="B869">
        <v>56</v>
      </c>
      <c r="C869" t="s">
        <v>70</v>
      </c>
      <c r="D869" t="s">
        <v>71</v>
      </c>
      <c r="E869">
        <v>1.51</v>
      </c>
      <c r="F869">
        <v>4.28</v>
      </c>
      <c r="G869" s="8">
        <f>E869*60/F869</f>
        <v>21.168224299065418</v>
      </c>
    </row>
    <row r="870" spans="1:7" x14ac:dyDescent="0.25">
      <c r="A870" s="5">
        <v>45808.677083333336</v>
      </c>
      <c r="B870">
        <v>57</v>
      </c>
      <c r="C870" t="s">
        <v>71</v>
      </c>
      <c r="D870" t="s">
        <v>72</v>
      </c>
      <c r="E870">
        <v>1.52</v>
      </c>
      <c r="F870">
        <v>4.03</v>
      </c>
      <c r="G870" s="8">
        <f>E870*60/F870</f>
        <v>22.630272952853598</v>
      </c>
    </row>
    <row r="871" spans="1:7" x14ac:dyDescent="0.25">
      <c r="A871" s="5">
        <v>45808.677083333336</v>
      </c>
      <c r="B871">
        <v>58</v>
      </c>
      <c r="C871" t="s">
        <v>72</v>
      </c>
      <c r="D871" t="s">
        <v>73</v>
      </c>
      <c r="E871">
        <v>1.5</v>
      </c>
      <c r="F871">
        <v>3.77</v>
      </c>
      <c r="G871" s="8">
        <f>E871*60/F871</f>
        <v>23.872679045092838</v>
      </c>
    </row>
    <row r="872" spans="1:7" x14ac:dyDescent="0.25">
      <c r="A872" s="5">
        <v>45808.6875</v>
      </c>
      <c r="B872">
        <v>1</v>
      </c>
      <c r="C872" t="s">
        <v>6</v>
      </c>
      <c r="D872" t="s">
        <v>7</v>
      </c>
      <c r="E872">
        <v>1.53</v>
      </c>
      <c r="F872">
        <v>3.07</v>
      </c>
      <c r="G872" s="8">
        <f>E872*60/F872</f>
        <v>29.90228013029316</v>
      </c>
    </row>
    <row r="873" spans="1:7" x14ac:dyDescent="0.25">
      <c r="A873" s="5">
        <v>45808.6875</v>
      </c>
      <c r="B873">
        <v>2</v>
      </c>
      <c r="C873" t="s">
        <v>7</v>
      </c>
      <c r="D873" t="s">
        <v>8</v>
      </c>
      <c r="E873">
        <v>1.57</v>
      </c>
      <c r="F873">
        <v>4.75</v>
      </c>
      <c r="G873" s="8">
        <f>E873*60/F873</f>
        <v>19.831578947368421</v>
      </c>
    </row>
    <row r="874" spans="1:7" x14ac:dyDescent="0.25">
      <c r="A874" s="5">
        <v>45808.6875</v>
      </c>
      <c r="B874">
        <v>3</v>
      </c>
      <c r="C874" t="s">
        <v>8</v>
      </c>
      <c r="D874" t="s">
        <v>9</v>
      </c>
      <c r="E874">
        <v>1.5</v>
      </c>
      <c r="F874">
        <v>2.98</v>
      </c>
      <c r="G874" s="8">
        <f>E874*60/F874</f>
        <v>30.201342281879196</v>
      </c>
    </row>
    <row r="875" spans="1:7" x14ac:dyDescent="0.25">
      <c r="A875" s="5">
        <v>45808.6875</v>
      </c>
      <c r="B875">
        <v>4</v>
      </c>
      <c r="C875" t="s">
        <v>9</v>
      </c>
      <c r="D875" t="s">
        <v>10</v>
      </c>
      <c r="E875">
        <v>1.5</v>
      </c>
      <c r="F875">
        <v>2.95</v>
      </c>
      <c r="G875" s="8">
        <f>E875*60/F875</f>
        <v>30.508474576271183</v>
      </c>
    </row>
    <row r="876" spans="1:7" x14ac:dyDescent="0.25">
      <c r="A876" s="5">
        <v>45808.6875</v>
      </c>
      <c r="B876">
        <v>5</v>
      </c>
      <c r="C876" t="s">
        <v>10</v>
      </c>
      <c r="D876" t="s">
        <v>11</v>
      </c>
      <c r="E876">
        <v>1.52</v>
      </c>
      <c r="F876">
        <v>3.37</v>
      </c>
      <c r="G876" s="8">
        <f>E876*60/F876</f>
        <v>27.062314540059347</v>
      </c>
    </row>
    <row r="877" spans="1:7" x14ac:dyDescent="0.25">
      <c r="A877" s="5">
        <v>45808.6875</v>
      </c>
      <c r="B877">
        <v>6</v>
      </c>
      <c r="C877" t="s">
        <v>11</v>
      </c>
      <c r="D877" t="s">
        <v>12</v>
      </c>
      <c r="E877">
        <v>1.5</v>
      </c>
      <c r="F877">
        <v>2.63</v>
      </c>
      <c r="G877" s="8">
        <f>E877*60/F877</f>
        <v>34.220532319391637</v>
      </c>
    </row>
    <row r="878" spans="1:7" x14ac:dyDescent="0.25">
      <c r="A878" s="5">
        <v>45808.6875</v>
      </c>
      <c r="B878">
        <v>7</v>
      </c>
      <c r="C878" t="s">
        <v>12</v>
      </c>
      <c r="D878" t="s">
        <v>13</v>
      </c>
      <c r="E878">
        <v>1.54</v>
      </c>
      <c r="F878">
        <v>2.85</v>
      </c>
      <c r="G878" s="8">
        <f>E878*60/F878</f>
        <v>32.421052631578945</v>
      </c>
    </row>
    <row r="879" spans="1:7" x14ac:dyDescent="0.25">
      <c r="A879" s="5">
        <v>45808.6875</v>
      </c>
      <c r="B879">
        <v>8</v>
      </c>
      <c r="C879" t="s">
        <v>13</v>
      </c>
      <c r="D879" t="s">
        <v>14</v>
      </c>
      <c r="E879">
        <v>1.54</v>
      </c>
      <c r="F879">
        <v>2.98</v>
      </c>
      <c r="G879" s="8">
        <f>E879*60/F879</f>
        <v>31.006711409395976</v>
      </c>
    </row>
    <row r="880" spans="1:7" x14ac:dyDescent="0.25">
      <c r="A880" s="5">
        <v>45808.6875</v>
      </c>
      <c r="B880">
        <v>9</v>
      </c>
      <c r="C880" t="s">
        <v>14</v>
      </c>
      <c r="D880" t="s">
        <v>15</v>
      </c>
      <c r="E880">
        <v>1.52</v>
      </c>
      <c r="F880">
        <v>4</v>
      </c>
      <c r="G880" s="8">
        <f>E880*60/F880</f>
        <v>22.8</v>
      </c>
    </row>
    <row r="881" spans="1:7" x14ac:dyDescent="0.25">
      <c r="A881" s="5">
        <v>45808.6875</v>
      </c>
      <c r="B881">
        <v>10</v>
      </c>
      <c r="C881" t="s">
        <v>15</v>
      </c>
      <c r="D881" t="s">
        <v>16</v>
      </c>
      <c r="E881">
        <v>1.5</v>
      </c>
      <c r="F881">
        <v>3.98</v>
      </c>
      <c r="G881" s="8">
        <f>E881*60/F881</f>
        <v>22.613065326633166</v>
      </c>
    </row>
    <row r="882" spans="1:7" x14ac:dyDescent="0.25">
      <c r="A882" s="5">
        <v>45808.6875</v>
      </c>
      <c r="B882">
        <v>11</v>
      </c>
      <c r="C882" t="s">
        <v>16</v>
      </c>
      <c r="D882" t="s">
        <v>17</v>
      </c>
      <c r="E882">
        <v>1.48</v>
      </c>
      <c r="F882">
        <v>2.52</v>
      </c>
      <c r="G882" s="8">
        <f>E882*60/F882</f>
        <v>35.238095238095234</v>
      </c>
    </row>
    <row r="883" spans="1:7" x14ac:dyDescent="0.25">
      <c r="A883" s="5">
        <v>45808.6875</v>
      </c>
      <c r="B883">
        <v>12</v>
      </c>
      <c r="C883" t="s">
        <v>17</v>
      </c>
      <c r="D883" t="s">
        <v>18</v>
      </c>
      <c r="E883">
        <v>1.46</v>
      </c>
      <c r="F883">
        <v>3.63</v>
      </c>
      <c r="G883" s="8">
        <f>E883*60/F883</f>
        <v>24.132231404958677</v>
      </c>
    </row>
    <row r="884" spans="1:7" x14ac:dyDescent="0.25">
      <c r="A884" s="5">
        <v>45808.6875</v>
      </c>
      <c r="B884">
        <v>13</v>
      </c>
      <c r="C884" t="s">
        <v>18</v>
      </c>
      <c r="D884" t="s">
        <v>19</v>
      </c>
      <c r="E884">
        <v>1.52</v>
      </c>
      <c r="F884">
        <v>3.6</v>
      </c>
      <c r="G884" s="8">
        <f>E884*60/F884</f>
        <v>25.333333333333332</v>
      </c>
    </row>
    <row r="885" spans="1:7" x14ac:dyDescent="0.25">
      <c r="A885" s="5">
        <v>45808.6875</v>
      </c>
      <c r="B885">
        <v>14</v>
      </c>
      <c r="C885" t="s">
        <v>19</v>
      </c>
      <c r="D885" t="s">
        <v>20</v>
      </c>
      <c r="E885">
        <v>1.51</v>
      </c>
      <c r="F885">
        <v>3.53</v>
      </c>
      <c r="G885" s="8">
        <f>E885*60/F885</f>
        <v>25.665722379603398</v>
      </c>
    </row>
    <row r="886" spans="1:7" x14ac:dyDescent="0.25">
      <c r="A886" s="5">
        <v>45808.6875</v>
      </c>
      <c r="B886">
        <v>15</v>
      </c>
      <c r="C886" t="s">
        <v>20</v>
      </c>
      <c r="D886" t="s">
        <v>21</v>
      </c>
      <c r="E886">
        <v>1.47</v>
      </c>
      <c r="F886">
        <v>2.4700000000000002</v>
      </c>
      <c r="G886" s="8">
        <f>E886*60/F886</f>
        <v>35.708502024291498</v>
      </c>
    </row>
    <row r="887" spans="1:7" x14ac:dyDescent="0.25">
      <c r="A887" s="5">
        <v>45808.6875</v>
      </c>
      <c r="B887">
        <v>16</v>
      </c>
      <c r="C887" t="s">
        <v>21</v>
      </c>
      <c r="D887" t="s">
        <v>22</v>
      </c>
      <c r="E887">
        <v>1.5</v>
      </c>
      <c r="F887">
        <v>1.9</v>
      </c>
      <c r="G887" s="8">
        <f>E887*60/F887</f>
        <v>47.368421052631582</v>
      </c>
    </row>
    <row r="888" spans="1:7" x14ac:dyDescent="0.25">
      <c r="A888" s="5">
        <v>45808.6875</v>
      </c>
      <c r="B888">
        <v>17</v>
      </c>
      <c r="C888" t="s">
        <v>22</v>
      </c>
      <c r="D888" t="s">
        <v>23</v>
      </c>
      <c r="E888">
        <v>1.51</v>
      </c>
      <c r="F888">
        <v>3.23</v>
      </c>
      <c r="G888" s="8">
        <f>E888*60/F888</f>
        <v>28.049535603715167</v>
      </c>
    </row>
    <row r="889" spans="1:7" x14ac:dyDescent="0.25">
      <c r="A889" s="5">
        <v>45808.6875</v>
      </c>
      <c r="B889">
        <v>18</v>
      </c>
      <c r="C889" t="s">
        <v>23</v>
      </c>
      <c r="D889" t="s">
        <v>24</v>
      </c>
      <c r="E889">
        <v>1.51</v>
      </c>
      <c r="F889">
        <v>3.27</v>
      </c>
      <c r="G889" s="8">
        <f>E889*60/F889</f>
        <v>27.706422018348622</v>
      </c>
    </row>
    <row r="890" spans="1:7" x14ac:dyDescent="0.25">
      <c r="A890" s="5">
        <v>45808.6875</v>
      </c>
      <c r="B890">
        <v>19</v>
      </c>
      <c r="C890" t="s">
        <v>25</v>
      </c>
      <c r="D890" t="s">
        <v>26</v>
      </c>
      <c r="E890">
        <v>1.5</v>
      </c>
      <c r="F890">
        <v>3.57</v>
      </c>
      <c r="G890" s="8">
        <f>E890*60/F890</f>
        <v>25.210084033613448</v>
      </c>
    </row>
    <row r="891" spans="1:7" x14ac:dyDescent="0.25">
      <c r="A891" s="5">
        <v>45808.6875</v>
      </c>
      <c r="B891">
        <v>20</v>
      </c>
      <c r="C891" t="s">
        <v>26</v>
      </c>
      <c r="D891" t="s">
        <v>27</v>
      </c>
      <c r="E891">
        <v>1.48</v>
      </c>
      <c r="F891">
        <v>3.48</v>
      </c>
      <c r="G891" s="8">
        <f>E891*60/F891</f>
        <v>25.517241379310345</v>
      </c>
    </row>
    <row r="892" spans="1:7" x14ac:dyDescent="0.25">
      <c r="A892" s="5">
        <v>45808.6875</v>
      </c>
      <c r="B892">
        <v>21</v>
      </c>
      <c r="C892" t="s">
        <v>27</v>
      </c>
      <c r="D892" t="s">
        <v>28</v>
      </c>
      <c r="E892">
        <v>1.51</v>
      </c>
      <c r="F892">
        <v>3.3</v>
      </c>
      <c r="G892" s="8">
        <f>E892*60/F892</f>
        <v>27.454545454545453</v>
      </c>
    </row>
    <row r="893" spans="1:7" x14ac:dyDescent="0.25">
      <c r="A893" s="5">
        <v>45808.6875</v>
      </c>
      <c r="B893">
        <v>22</v>
      </c>
      <c r="C893" t="s">
        <v>28</v>
      </c>
      <c r="D893" t="s">
        <v>29</v>
      </c>
      <c r="E893">
        <v>1.57</v>
      </c>
      <c r="F893">
        <v>3.52</v>
      </c>
      <c r="G893" s="8">
        <f>E893*60/F893</f>
        <v>26.761363636363637</v>
      </c>
    </row>
    <row r="894" spans="1:7" x14ac:dyDescent="0.25">
      <c r="A894" s="5">
        <v>45808.6875</v>
      </c>
      <c r="B894">
        <v>23</v>
      </c>
      <c r="C894" t="s">
        <v>29</v>
      </c>
      <c r="D894" t="s">
        <v>30</v>
      </c>
      <c r="E894">
        <v>1.43</v>
      </c>
      <c r="F894">
        <v>4.3499999999999996</v>
      </c>
      <c r="G894" s="8">
        <f>E894*60/F894</f>
        <v>19.724137931034484</v>
      </c>
    </row>
    <row r="895" spans="1:7" x14ac:dyDescent="0.25">
      <c r="A895" s="5">
        <v>45808.6875</v>
      </c>
      <c r="B895">
        <v>24</v>
      </c>
      <c r="C895" t="s">
        <v>30</v>
      </c>
      <c r="D895" t="s">
        <v>31</v>
      </c>
      <c r="E895">
        <v>1.52</v>
      </c>
      <c r="F895">
        <v>3.05</v>
      </c>
      <c r="G895" s="8">
        <f>E895*60/F895</f>
        <v>29.901639344262296</v>
      </c>
    </row>
    <row r="896" spans="1:7" x14ac:dyDescent="0.25">
      <c r="A896" s="5">
        <v>45808.6875</v>
      </c>
      <c r="B896">
        <v>25</v>
      </c>
      <c r="C896" t="s">
        <v>31</v>
      </c>
      <c r="D896" t="s">
        <v>32</v>
      </c>
      <c r="E896">
        <v>1.52</v>
      </c>
      <c r="F896">
        <v>3.28</v>
      </c>
      <c r="G896" s="8">
        <f>E896*60/F896</f>
        <v>27.804878048780491</v>
      </c>
    </row>
    <row r="897" spans="1:7" x14ac:dyDescent="0.25">
      <c r="A897" s="5">
        <v>45808.6875</v>
      </c>
      <c r="B897">
        <v>26</v>
      </c>
      <c r="C897" t="s">
        <v>32</v>
      </c>
      <c r="D897" t="s">
        <v>33</v>
      </c>
      <c r="E897">
        <v>1.49</v>
      </c>
      <c r="F897">
        <v>3.78</v>
      </c>
      <c r="G897" s="8">
        <f>E897*60/F897</f>
        <v>23.650793650793652</v>
      </c>
    </row>
    <row r="898" spans="1:7" x14ac:dyDescent="0.25">
      <c r="A898" s="5">
        <v>45808.6875</v>
      </c>
      <c r="B898">
        <v>27</v>
      </c>
      <c r="C898" t="s">
        <v>33</v>
      </c>
      <c r="D898" t="s">
        <v>34</v>
      </c>
      <c r="E898">
        <v>1.53</v>
      </c>
      <c r="F898">
        <v>4.82</v>
      </c>
      <c r="G898" s="8">
        <f>E898*60/F898</f>
        <v>19.045643153526971</v>
      </c>
    </row>
    <row r="899" spans="1:7" x14ac:dyDescent="0.25">
      <c r="A899" s="5">
        <v>45808.6875</v>
      </c>
      <c r="B899">
        <v>28</v>
      </c>
      <c r="C899" t="s">
        <v>34</v>
      </c>
      <c r="D899" t="s">
        <v>35</v>
      </c>
      <c r="E899">
        <v>1.51</v>
      </c>
      <c r="F899">
        <v>4.08</v>
      </c>
      <c r="G899" s="8">
        <f>E899*60/F899</f>
        <v>22.205882352941174</v>
      </c>
    </row>
    <row r="900" spans="1:7" x14ac:dyDescent="0.25">
      <c r="A900" s="5">
        <v>45808.6875</v>
      </c>
      <c r="B900">
        <v>29</v>
      </c>
      <c r="C900" t="s">
        <v>36</v>
      </c>
      <c r="D900" t="s">
        <v>37</v>
      </c>
      <c r="E900">
        <v>1.57</v>
      </c>
      <c r="F900">
        <v>3.47</v>
      </c>
      <c r="G900" s="8">
        <f>E900*60/F900</f>
        <v>27.146974063400577</v>
      </c>
    </row>
    <row r="901" spans="1:7" x14ac:dyDescent="0.25">
      <c r="A901" s="5">
        <v>45808.6875</v>
      </c>
      <c r="B901">
        <v>30</v>
      </c>
      <c r="C901" t="s">
        <v>37</v>
      </c>
      <c r="D901" t="s">
        <v>38</v>
      </c>
      <c r="E901">
        <v>1.57</v>
      </c>
      <c r="F901">
        <v>4.45</v>
      </c>
      <c r="G901" s="8">
        <f>E901*60/F901</f>
        <v>21.168539325842698</v>
      </c>
    </row>
    <row r="902" spans="1:7" x14ac:dyDescent="0.25">
      <c r="A902" s="5">
        <v>45808.6875</v>
      </c>
      <c r="B902">
        <v>31</v>
      </c>
      <c r="C902" t="s">
        <v>38</v>
      </c>
      <c r="D902" t="s">
        <v>39</v>
      </c>
      <c r="E902">
        <v>1.52</v>
      </c>
      <c r="F902">
        <v>2.72</v>
      </c>
      <c r="G902" s="8">
        <f>E902*60/F902</f>
        <v>33.529411764705884</v>
      </c>
    </row>
    <row r="903" spans="1:7" x14ac:dyDescent="0.25">
      <c r="A903" s="5">
        <v>45808.6875</v>
      </c>
      <c r="B903">
        <v>32</v>
      </c>
      <c r="C903" t="s">
        <v>39</v>
      </c>
      <c r="D903" t="s">
        <v>40</v>
      </c>
      <c r="E903">
        <v>1.5</v>
      </c>
      <c r="F903">
        <v>1.83</v>
      </c>
      <c r="G903" s="8">
        <f>E903*60/F903</f>
        <v>49.180327868852459</v>
      </c>
    </row>
    <row r="904" spans="1:7" x14ac:dyDescent="0.25">
      <c r="A904" s="5">
        <v>45808.6875</v>
      </c>
      <c r="B904">
        <v>33</v>
      </c>
      <c r="C904" t="s">
        <v>40</v>
      </c>
      <c r="D904" t="s">
        <v>41</v>
      </c>
      <c r="E904">
        <v>1.51</v>
      </c>
      <c r="F904">
        <v>1.82</v>
      </c>
      <c r="G904" s="8">
        <f>E904*60/F904</f>
        <v>49.780219780219774</v>
      </c>
    </row>
    <row r="905" spans="1:7" x14ac:dyDescent="0.25">
      <c r="A905" s="5">
        <v>45808.6875</v>
      </c>
      <c r="B905">
        <v>34</v>
      </c>
      <c r="C905" t="s">
        <v>41</v>
      </c>
      <c r="D905" t="s">
        <v>42</v>
      </c>
      <c r="E905">
        <v>1.5</v>
      </c>
      <c r="F905">
        <v>1.78</v>
      </c>
      <c r="G905" s="8">
        <f>E905*60/F905</f>
        <v>50.561797752808985</v>
      </c>
    </row>
    <row r="906" spans="1:7" x14ac:dyDescent="0.25">
      <c r="A906" s="5">
        <v>45808.6875</v>
      </c>
      <c r="B906">
        <v>35</v>
      </c>
      <c r="C906" t="s">
        <v>43</v>
      </c>
      <c r="D906" t="s">
        <v>44</v>
      </c>
      <c r="E906">
        <v>1.55</v>
      </c>
      <c r="F906">
        <v>3.3</v>
      </c>
      <c r="G906" s="8">
        <f>E906*60/F906</f>
        <v>28.181818181818183</v>
      </c>
    </row>
    <row r="907" spans="1:7" x14ac:dyDescent="0.25">
      <c r="A907" s="5">
        <v>45808.6875</v>
      </c>
      <c r="B907">
        <v>36</v>
      </c>
      <c r="C907" t="s">
        <v>44</v>
      </c>
      <c r="D907" t="s">
        <v>45</v>
      </c>
      <c r="E907">
        <v>1.5</v>
      </c>
      <c r="F907">
        <v>2.95</v>
      </c>
      <c r="G907" s="8">
        <f>E907*60/F907</f>
        <v>30.508474576271183</v>
      </c>
    </row>
    <row r="908" spans="1:7" x14ac:dyDescent="0.25">
      <c r="A908" s="5">
        <v>45808.6875</v>
      </c>
      <c r="B908">
        <v>37</v>
      </c>
      <c r="C908" t="s">
        <v>45</v>
      </c>
      <c r="D908" t="s">
        <v>46</v>
      </c>
      <c r="E908">
        <v>1.38</v>
      </c>
      <c r="F908">
        <v>4</v>
      </c>
      <c r="G908" s="8">
        <f>E908*60/F908</f>
        <v>20.7</v>
      </c>
    </row>
    <row r="909" spans="1:7" x14ac:dyDescent="0.25">
      <c r="A909" s="5">
        <v>45808.6875</v>
      </c>
      <c r="B909">
        <v>38</v>
      </c>
      <c r="C909" t="s">
        <v>46</v>
      </c>
      <c r="D909" t="s">
        <v>47</v>
      </c>
      <c r="E909">
        <v>1.61</v>
      </c>
      <c r="F909">
        <v>4.0999999999999996</v>
      </c>
      <c r="G909" s="8">
        <f>E909*60/F909</f>
        <v>23.560975609756103</v>
      </c>
    </row>
    <row r="910" spans="1:7" x14ac:dyDescent="0.25">
      <c r="A910" s="5">
        <v>45808.6875</v>
      </c>
      <c r="B910">
        <v>39</v>
      </c>
      <c r="C910" t="s">
        <v>47</v>
      </c>
      <c r="D910" t="s">
        <v>48</v>
      </c>
      <c r="E910">
        <v>1.55</v>
      </c>
      <c r="F910">
        <v>3.63</v>
      </c>
      <c r="G910" s="8">
        <f>E910*60/F910</f>
        <v>25.619834710743802</v>
      </c>
    </row>
    <row r="911" spans="1:7" x14ac:dyDescent="0.25">
      <c r="A911" s="5">
        <v>45808.6875</v>
      </c>
      <c r="B911">
        <v>40</v>
      </c>
      <c r="C911" t="s">
        <v>48</v>
      </c>
      <c r="D911" t="s">
        <v>49</v>
      </c>
      <c r="E911">
        <v>1.39</v>
      </c>
      <c r="F911">
        <v>3</v>
      </c>
      <c r="G911" s="8">
        <f>E911*60/F911</f>
        <v>27.799999999999997</v>
      </c>
    </row>
    <row r="912" spans="1:7" x14ac:dyDescent="0.25">
      <c r="A912" s="5">
        <v>45808.6875</v>
      </c>
      <c r="B912">
        <v>41</v>
      </c>
      <c r="C912" t="s">
        <v>50</v>
      </c>
      <c r="D912" t="s">
        <v>51</v>
      </c>
      <c r="E912">
        <v>1.56</v>
      </c>
      <c r="F912">
        <v>3.9</v>
      </c>
      <c r="G912" s="8">
        <f>E912*60/F912</f>
        <v>24.000000000000004</v>
      </c>
    </row>
    <row r="913" spans="1:7" x14ac:dyDescent="0.25">
      <c r="A913" s="5">
        <v>45808.6875</v>
      </c>
      <c r="B913">
        <v>42</v>
      </c>
      <c r="C913" t="s">
        <v>51</v>
      </c>
      <c r="D913" t="s">
        <v>52</v>
      </c>
      <c r="E913">
        <v>1.56</v>
      </c>
      <c r="F913">
        <v>4.5999999999999996</v>
      </c>
      <c r="G913" s="8">
        <f>E913*60/F913</f>
        <v>20.347826086956527</v>
      </c>
    </row>
    <row r="914" spans="1:7" x14ac:dyDescent="0.25">
      <c r="A914" s="5">
        <v>45808.6875</v>
      </c>
      <c r="B914">
        <v>43</v>
      </c>
      <c r="C914" t="s">
        <v>52</v>
      </c>
      <c r="D914" t="s">
        <v>53</v>
      </c>
      <c r="E914">
        <v>1.51</v>
      </c>
      <c r="F914">
        <v>3.58</v>
      </c>
      <c r="G914" s="8">
        <f>E914*60/F914</f>
        <v>25.3072625698324</v>
      </c>
    </row>
    <row r="915" spans="1:7" x14ac:dyDescent="0.25">
      <c r="A915" s="5">
        <v>45808.6875</v>
      </c>
      <c r="B915">
        <v>44</v>
      </c>
      <c r="C915" t="s">
        <v>54</v>
      </c>
      <c r="D915" t="s">
        <v>55</v>
      </c>
      <c r="E915">
        <v>1.51</v>
      </c>
      <c r="F915">
        <v>3.98</v>
      </c>
      <c r="G915" s="8">
        <f>E915*60/F915</f>
        <v>22.763819095477384</v>
      </c>
    </row>
    <row r="916" spans="1:7" x14ac:dyDescent="0.25">
      <c r="A916" s="5">
        <v>45808.6875</v>
      </c>
      <c r="B916">
        <v>45</v>
      </c>
      <c r="C916" t="s">
        <v>55</v>
      </c>
      <c r="D916" t="s">
        <v>56</v>
      </c>
      <c r="E916">
        <v>1.49</v>
      </c>
      <c r="F916">
        <v>3.38</v>
      </c>
      <c r="G916" s="8">
        <f>E916*60/F916</f>
        <v>26.449704142011836</v>
      </c>
    </row>
    <row r="917" spans="1:7" x14ac:dyDescent="0.25">
      <c r="A917" s="5">
        <v>45808.6875</v>
      </c>
      <c r="B917">
        <v>46</v>
      </c>
      <c r="C917" t="s">
        <v>56</v>
      </c>
      <c r="D917" t="s">
        <v>57</v>
      </c>
      <c r="E917">
        <v>1.52</v>
      </c>
      <c r="F917">
        <v>3.57</v>
      </c>
      <c r="G917" s="8">
        <f>E917*60/F917</f>
        <v>25.54621848739496</v>
      </c>
    </row>
    <row r="918" spans="1:7" x14ac:dyDescent="0.25">
      <c r="A918" s="5">
        <v>45808.6875</v>
      </c>
      <c r="B918">
        <v>47</v>
      </c>
      <c r="C918" t="s">
        <v>58</v>
      </c>
      <c r="D918" t="s">
        <v>59</v>
      </c>
      <c r="E918">
        <v>1.52</v>
      </c>
      <c r="F918">
        <v>3.8</v>
      </c>
      <c r="G918" s="8">
        <f>E918*60/F918</f>
        <v>24.000000000000004</v>
      </c>
    </row>
    <row r="919" spans="1:7" x14ac:dyDescent="0.25">
      <c r="A919" s="5">
        <v>45808.6875</v>
      </c>
      <c r="B919">
        <v>48</v>
      </c>
      <c r="C919" t="s">
        <v>59</v>
      </c>
      <c r="D919" t="s">
        <v>60</v>
      </c>
      <c r="E919">
        <v>1.5</v>
      </c>
      <c r="F919">
        <v>3.6</v>
      </c>
      <c r="G919" s="8">
        <f>E919*60/F919</f>
        <v>25</v>
      </c>
    </row>
    <row r="920" spans="1:7" x14ac:dyDescent="0.25">
      <c r="A920" s="5">
        <v>45808.6875</v>
      </c>
      <c r="B920">
        <v>49</v>
      </c>
      <c r="C920" t="s">
        <v>60</v>
      </c>
      <c r="D920" t="s">
        <v>61</v>
      </c>
      <c r="E920">
        <v>1.54</v>
      </c>
      <c r="F920">
        <v>4.13</v>
      </c>
      <c r="G920" s="8">
        <f>E920*60/F920</f>
        <v>22.372881355932204</v>
      </c>
    </row>
    <row r="921" spans="1:7" x14ac:dyDescent="0.25">
      <c r="A921" s="5">
        <v>45808.6875</v>
      </c>
      <c r="B921">
        <v>50</v>
      </c>
      <c r="C921" t="s">
        <v>62</v>
      </c>
      <c r="D921" t="s">
        <v>63</v>
      </c>
      <c r="E921">
        <v>1.38</v>
      </c>
      <c r="F921">
        <v>3.07</v>
      </c>
      <c r="G921" s="8">
        <f>E921*60/F921</f>
        <v>26.970684039087949</v>
      </c>
    </row>
    <row r="922" spans="1:7" x14ac:dyDescent="0.25">
      <c r="A922" s="5">
        <v>45808.6875</v>
      </c>
      <c r="B922">
        <v>51</v>
      </c>
      <c r="C922" t="s">
        <v>63</v>
      </c>
      <c r="D922" t="s">
        <v>64</v>
      </c>
      <c r="E922">
        <v>2.79</v>
      </c>
      <c r="F922">
        <v>6.13</v>
      </c>
      <c r="G922" s="8">
        <f>E922*60/F922</f>
        <v>27.308319738988583</v>
      </c>
    </row>
    <row r="923" spans="1:7" x14ac:dyDescent="0.25">
      <c r="A923" s="5">
        <v>45808.6875</v>
      </c>
      <c r="B923">
        <v>52</v>
      </c>
      <c r="C923" t="s">
        <v>64</v>
      </c>
      <c r="D923" t="s">
        <v>65</v>
      </c>
      <c r="E923">
        <v>1.5</v>
      </c>
      <c r="F923">
        <v>2.72</v>
      </c>
      <c r="G923" s="8">
        <f>E923*60/F923</f>
        <v>33.088235294117645</v>
      </c>
    </row>
    <row r="924" spans="1:7" x14ac:dyDescent="0.25">
      <c r="A924" s="5">
        <v>45808.6875</v>
      </c>
      <c r="B924">
        <v>53</v>
      </c>
      <c r="C924" t="s">
        <v>65</v>
      </c>
      <c r="D924" t="s">
        <v>66</v>
      </c>
      <c r="E924">
        <v>1.46</v>
      </c>
      <c r="F924">
        <v>3.67</v>
      </c>
      <c r="G924" s="8">
        <f>E924*60/F924</f>
        <v>23.869209809264305</v>
      </c>
    </row>
    <row r="925" spans="1:7" x14ac:dyDescent="0.25">
      <c r="A925" s="5">
        <v>45808.6875</v>
      </c>
      <c r="B925">
        <v>54</v>
      </c>
      <c r="C925" t="s">
        <v>67</v>
      </c>
      <c r="D925" t="s">
        <v>68</v>
      </c>
      <c r="E925">
        <v>1.46</v>
      </c>
      <c r="F925">
        <v>3.05</v>
      </c>
      <c r="G925" s="8">
        <f>E925*60/F925</f>
        <v>28.721311475409834</v>
      </c>
    </row>
    <row r="926" spans="1:7" x14ac:dyDescent="0.25">
      <c r="A926" s="5">
        <v>45808.6875</v>
      </c>
      <c r="B926">
        <v>55</v>
      </c>
      <c r="C926" t="s">
        <v>68</v>
      </c>
      <c r="D926" t="s">
        <v>69</v>
      </c>
      <c r="E926">
        <v>1.5</v>
      </c>
      <c r="F926">
        <v>2.4300000000000002</v>
      </c>
      <c r="G926" s="8">
        <f>E926*60/F926</f>
        <v>37.037037037037038</v>
      </c>
    </row>
    <row r="927" spans="1:7" x14ac:dyDescent="0.25">
      <c r="A927" s="5">
        <v>45808.6875</v>
      </c>
      <c r="B927">
        <v>56</v>
      </c>
      <c r="C927" t="s">
        <v>70</v>
      </c>
      <c r="D927" t="s">
        <v>71</v>
      </c>
      <c r="E927">
        <v>1.51</v>
      </c>
      <c r="F927">
        <v>3.97</v>
      </c>
      <c r="G927" s="8">
        <f>E927*60/F927</f>
        <v>22.821158690176318</v>
      </c>
    </row>
    <row r="928" spans="1:7" x14ac:dyDescent="0.25">
      <c r="A928" s="5">
        <v>45808.6875</v>
      </c>
      <c r="B928">
        <v>57</v>
      </c>
      <c r="C928" t="s">
        <v>71</v>
      </c>
      <c r="D928" t="s">
        <v>72</v>
      </c>
      <c r="E928">
        <v>1.52</v>
      </c>
      <c r="F928">
        <v>3.95</v>
      </c>
      <c r="G928" s="8">
        <f>E928*60/F928</f>
        <v>23.088607594936708</v>
      </c>
    </row>
    <row r="929" spans="1:7" x14ac:dyDescent="0.25">
      <c r="A929" s="5">
        <v>45808.6875</v>
      </c>
      <c r="B929">
        <v>58</v>
      </c>
      <c r="C929" t="s">
        <v>72</v>
      </c>
      <c r="D929" t="s">
        <v>73</v>
      </c>
      <c r="E929">
        <v>1.5</v>
      </c>
      <c r="F929">
        <v>4.47</v>
      </c>
      <c r="G929" s="8">
        <f>E929*60/F929</f>
        <v>20.134228187919465</v>
      </c>
    </row>
    <row r="930" spans="1:7" x14ac:dyDescent="0.25">
      <c r="A930" s="5">
        <v>45808.697916666664</v>
      </c>
      <c r="B930">
        <v>1</v>
      </c>
      <c r="C930" t="s">
        <v>6</v>
      </c>
      <c r="D930" t="s">
        <v>7</v>
      </c>
      <c r="E930">
        <v>1.53</v>
      </c>
      <c r="F930">
        <v>3.03</v>
      </c>
      <c r="G930" s="8">
        <f>E930*60/F930</f>
        <v>30.297029702970299</v>
      </c>
    </row>
    <row r="931" spans="1:7" x14ac:dyDescent="0.25">
      <c r="A931" s="5">
        <v>45808.697916666664</v>
      </c>
      <c r="B931">
        <v>2</v>
      </c>
      <c r="C931" t="s">
        <v>7</v>
      </c>
      <c r="D931" t="s">
        <v>8</v>
      </c>
      <c r="E931">
        <v>1.57</v>
      </c>
      <c r="F931">
        <v>4.88</v>
      </c>
      <c r="G931" s="8">
        <f>E931*60/F931</f>
        <v>19.303278688524593</v>
      </c>
    </row>
    <row r="932" spans="1:7" x14ac:dyDescent="0.25">
      <c r="A932" s="5">
        <v>45808.697916666664</v>
      </c>
      <c r="B932">
        <v>3</v>
      </c>
      <c r="C932" t="s">
        <v>8</v>
      </c>
      <c r="D932" t="s">
        <v>9</v>
      </c>
      <c r="E932">
        <v>1.5</v>
      </c>
      <c r="F932">
        <v>3</v>
      </c>
      <c r="G932" s="8">
        <f>E932*60/F932</f>
        <v>30</v>
      </c>
    </row>
    <row r="933" spans="1:7" x14ac:dyDescent="0.25">
      <c r="A933" s="5">
        <v>45808.697916666664</v>
      </c>
      <c r="B933">
        <v>4</v>
      </c>
      <c r="C933" t="s">
        <v>9</v>
      </c>
      <c r="D933" t="s">
        <v>10</v>
      </c>
      <c r="E933">
        <v>1.5</v>
      </c>
      <c r="F933">
        <v>2.95</v>
      </c>
      <c r="G933" s="8">
        <f>E933*60/F933</f>
        <v>30.508474576271183</v>
      </c>
    </row>
    <row r="934" spans="1:7" x14ac:dyDescent="0.25">
      <c r="A934" s="5">
        <v>45808.697916666664</v>
      </c>
      <c r="B934">
        <v>5</v>
      </c>
      <c r="C934" t="s">
        <v>10</v>
      </c>
      <c r="D934" t="s">
        <v>11</v>
      </c>
      <c r="E934">
        <v>1.52</v>
      </c>
      <c r="F934">
        <v>2.95</v>
      </c>
      <c r="G934" s="8">
        <f>E934*60/F934</f>
        <v>30.915254237288135</v>
      </c>
    </row>
    <row r="935" spans="1:7" x14ac:dyDescent="0.25">
      <c r="A935" s="5">
        <v>45808.697916666664</v>
      </c>
      <c r="B935">
        <v>6</v>
      </c>
      <c r="C935" t="s">
        <v>11</v>
      </c>
      <c r="D935" t="s">
        <v>12</v>
      </c>
      <c r="E935">
        <v>1.5</v>
      </c>
      <c r="F935">
        <v>2.67</v>
      </c>
      <c r="G935" s="8">
        <f>E935*60/F935</f>
        <v>33.707865168539328</v>
      </c>
    </row>
    <row r="936" spans="1:7" x14ac:dyDescent="0.25">
      <c r="A936" s="5">
        <v>45808.697916666664</v>
      </c>
      <c r="B936">
        <v>7</v>
      </c>
      <c r="C936" t="s">
        <v>12</v>
      </c>
      <c r="D936" t="s">
        <v>13</v>
      </c>
      <c r="E936">
        <v>1.54</v>
      </c>
      <c r="F936">
        <v>2.62</v>
      </c>
      <c r="G936" s="8">
        <f>E936*60/F936</f>
        <v>35.267175572519086</v>
      </c>
    </row>
    <row r="937" spans="1:7" x14ac:dyDescent="0.25">
      <c r="A937" s="5">
        <v>45808.697916666664</v>
      </c>
      <c r="B937">
        <v>8</v>
      </c>
      <c r="C937" t="s">
        <v>13</v>
      </c>
      <c r="D937" t="s">
        <v>14</v>
      </c>
      <c r="E937">
        <v>1.54</v>
      </c>
      <c r="F937">
        <v>3.37</v>
      </c>
      <c r="G937" s="8">
        <f>E937*60/F937</f>
        <v>27.41839762611276</v>
      </c>
    </row>
    <row r="938" spans="1:7" x14ac:dyDescent="0.25">
      <c r="A938" s="5">
        <v>45808.697916666664</v>
      </c>
      <c r="B938">
        <v>9</v>
      </c>
      <c r="C938" t="s">
        <v>14</v>
      </c>
      <c r="D938" t="s">
        <v>15</v>
      </c>
      <c r="E938">
        <v>1.52</v>
      </c>
      <c r="F938">
        <v>3.73</v>
      </c>
      <c r="G938" s="8">
        <f>E938*60/F938</f>
        <v>24.45040214477212</v>
      </c>
    </row>
    <row r="939" spans="1:7" x14ac:dyDescent="0.25">
      <c r="A939" s="5">
        <v>45808.697916666664</v>
      </c>
      <c r="B939">
        <v>10</v>
      </c>
      <c r="C939" t="s">
        <v>15</v>
      </c>
      <c r="D939" t="s">
        <v>16</v>
      </c>
      <c r="E939">
        <v>1.5</v>
      </c>
      <c r="F939">
        <v>3.85</v>
      </c>
      <c r="G939" s="8">
        <f>E939*60/F939</f>
        <v>23.376623376623375</v>
      </c>
    </row>
    <row r="940" spans="1:7" x14ac:dyDescent="0.25">
      <c r="A940" s="5">
        <v>45808.697916666664</v>
      </c>
      <c r="B940">
        <v>11</v>
      </c>
      <c r="C940" t="s">
        <v>16</v>
      </c>
      <c r="D940" t="s">
        <v>17</v>
      </c>
      <c r="E940">
        <v>1.48</v>
      </c>
      <c r="F940">
        <v>2.5</v>
      </c>
      <c r="G940" s="8">
        <f>E940*60/F940</f>
        <v>35.519999999999996</v>
      </c>
    </row>
    <row r="941" spans="1:7" x14ac:dyDescent="0.25">
      <c r="A941" s="5">
        <v>45808.697916666664</v>
      </c>
      <c r="B941">
        <v>12</v>
      </c>
      <c r="C941" t="s">
        <v>17</v>
      </c>
      <c r="D941" t="s">
        <v>18</v>
      </c>
      <c r="E941">
        <v>1.46</v>
      </c>
      <c r="F941">
        <v>3.63</v>
      </c>
      <c r="G941" s="8">
        <f>E941*60/F941</f>
        <v>24.132231404958677</v>
      </c>
    </row>
    <row r="942" spans="1:7" x14ac:dyDescent="0.25">
      <c r="A942" s="5">
        <v>45808.697916666664</v>
      </c>
      <c r="B942">
        <v>13</v>
      </c>
      <c r="C942" t="s">
        <v>18</v>
      </c>
      <c r="D942" t="s">
        <v>19</v>
      </c>
      <c r="E942">
        <v>1.52</v>
      </c>
      <c r="F942">
        <v>3.53</v>
      </c>
      <c r="G942" s="8">
        <f>E942*60/F942</f>
        <v>25.835694050991503</v>
      </c>
    </row>
    <row r="943" spans="1:7" x14ac:dyDescent="0.25">
      <c r="A943" s="5">
        <v>45808.697916666664</v>
      </c>
      <c r="B943">
        <v>14</v>
      </c>
      <c r="C943" t="s">
        <v>19</v>
      </c>
      <c r="D943" t="s">
        <v>20</v>
      </c>
      <c r="E943">
        <v>1.51</v>
      </c>
      <c r="F943">
        <v>3.28</v>
      </c>
      <c r="G943" s="8">
        <f>E943*60/F943</f>
        <v>27.621951219512194</v>
      </c>
    </row>
    <row r="944" spans="1:7" x14ac:dyDescent="0.25">
      <c r="A944" s="5">
        <v>45808.697916666664</v>
      </c>
      <c r="B944">
        <v>15</v>
      </c>
      <c r="C944" t="s">
        <v>20</v>
      </c>
      <c r="D944" t="s">
        <v>21</v>
      </c>
      <c r="E944">
        <v>1.47</v>
      </c>
      <c r="F944">
        <v>2.35</v>
      </c>
      <c r="G944" s="8">
        <f>E944*60/F944</f>
        <v>37.531914893617021</v>
      </c>
    </row>
    <row r="945" spans="1:7" x14ac:dyDescent="0.25">
      <c r="A945" s="5">
        <v>45808.697916666664</v>
      </c>
      <c r="B945">
        <v>16</v>
      </c>
      <c r="C945" t="s">
        <v>21</v>
      </c>
      <c r="D945" t="s">
        <v>22</v>
      </c>
      <c r="E945">
        <v>1.5</v>
      </c>
      <c r="F945">
        <v>1.73</v>
      </c>
      <c r="G945" s="8">
        <f>E945*60/F945</f>
        <v>52.02312138728324</v>
      </c>
    </row>
    <row r="946" spans="1:7" x14ac:dyDescent="0.25">
      <c r="A946" s="5">
        <v>45808.697916666664</v>
      </c>
      <c r="B946">
        <v>17</v>
      </c>
      <c r="C946" t="s">
        <v>22</v>
      </c>
      <c r="D946" t="s">
        <v>23</v>
      </c>
      <c r="E946">
        <v>1.51</v>
      </c>
      <c r="F946">
        <v>2.77</v>
      </c>
      <c r="G946" s="8">
        <f>E946*60/F946</f>
        <v>32.707581227436819</v>
      </c>
    </row>
    <row r="947" spans="1:7" x14ac:dyDescent="0.25">
      <c r="A947" s="5">
        <v>45808.697916666664</v>
      </c>
      <c r="B947">
        <v>18</v>
      </c>
      <c r="C947" t="s">
        <v>23</v>
      </c>
      <c r="D947" t="s">
        <v>24</v>
      </c>
      <c r="E947">
        <v>1.51</v>
      </c>
      <c r="F947">
        <v>3.18</v>
      </c>
      <c r="G947" s="8">
        <f>E947*60/F947</f>
        <v>28.490566037735846</v>
      </c>
    </row>
    <row r="948" spans="1:7" x14ac:dyDescent="0.25">
      <c r="A948" s="5">
        <v>45808.697916666664</v>
      </c>
      <c r="B948">
        <v>19</v>
      </c>
      <c r="C948" t="s">
        <v>25</v>
      </c>
      <c r="D948" t="s">
        <v>26</v>
      </c>
      <c r="E948">
        <v>1.5</v>
      </c>
      <c r="F948">
        <v>3.65</v>
      </c>
      <c r="G948" s="8">
        <f>E948*60/F948</f>
        <v>24.657534246575342</v>
      </c>
    </row>
    <row r="949" spans="1:7" x14ac:dyDescent="0.25">
      <c r="A949" s="5">
        <v>45808.697916666664</v>
      </c>
      <c r="B949">
        <v>20</v>
      </c>
      <c r="C949" t="s">
        <v>26</v>
      </c>
      <c r="D949" t="s">
        <v>27</v>
      </c>
      <c r="E949">
        <v>1.48</v>
      </c>
      <c r="F949">
        <v>3.58</v>
      </c>
      <c r="G949" s="8">
        <f>E949*60/F949</f>
        <v>24.804469273743017</v>
      </c>
    </row>
    <row r="950" spans="1:7" x14ac:dyDescent="0.25">
      <c r="A950" s="5">
        <v>45808.697916666664</v>
      </c>
      <c r="B950">
        <v>21</v>
      </c>
      <c r="C950" t="s">
        <v>27</v>
      </c>
      <c r="D950" t="s">
        <v>28</v>
      </c>
      <c r="E950">
        <v>1.51</v>
      </c>
      <c r="F950">
        <v>3.42</v>
      </c>
      <c r="G950" s="8">
        <f>E950*60/F950</f>
        <v>26.491228070175438</v>
      </c>
    </row>
    <row r="951" spans="1:7" x14ac:dyDescent="0.25">
      <c r="A951" s="5">
        <v>45808.697916666664</v>
      </c>
      <c r="B951">
        <v>22</v>
      </c>
      <c r="C951" t="s">
        <v>28</v>
      </c>
      <c r="D951" t="s">
        <v>29</v>
      </c>
      <c r="E951">
        <v>1.57</v>
      </c>
      <c r="F951">
        <v>3.6</v>
      </c>
      <c r="G951" s="8">
        <f>E951*60/F951</f>
        <v>26.166666666666668</v>
      </c>
    </row>
    <row r="952" spans="1:7" x14ac:dyDescent="0.25">
      <c r="A952" s="5">
        <v>45808.697916666664</v>
      </c>
      <c r="B952">
        <v>23</v>
      </c>
      <c r="C952" t="s">
        <v>29</v>
      </c>
      <c r="D952" t="s">
        <v>30</v>
      </c>
      <c r="E952">
        <v>1.43</v>
      </c>
      <c r="F952">
        <v>4.38</v>
      </c>
      <c r="G952" s="8">
        <f>E952*60/F952</f>
        <v>19.589041095890412</v>
      </c>
    </row>
    <row r="953" spans="1:7" x14ac:dyDescent="0.25">
      <c r="A953" s="5">
        <v>45808.697916666664</v>
      </c>
      <c r="B953">
        <v>24</v>
      </c>
      <c r="C953" t="s">
        <v>30</v>
      </c>
      <c r="D953" t="s">
        <v>31</v>
      </c>
      <c r="E953">
        <v>1.52</v>
      </c>
      <c r="F953">
        <v>3.27</v>
      </c>
      <c r="G953" s="8">
        <f>E953*60/F953</f>
        <v>27.889908256880734</v>
      </c>
    </row>
    <row r="954" spans="1:7" x14ac:dyDescent="0.25">
      <c r="A954" s="5">
        <v>45808.697916666664</v>
      </c>
      <c r="B954">
        <v>25</v>
      </c>
      <c r="C954" t="s">
        <v>31</v>
      </c>
      <c r="D954" t="s">
        <v>32</v>
      </c>
      <c r="E954">
        <v>1.52</v>
      </c>
      <c r="F954">
        <v>3.33</v>
      </c>
      <c r="G954" s="8">
        <f>E954*60/F954</f>
        <v>27.387387387387388</v>
      </c>
    </row>
    <row r="955" spans="1:7" x14ac:dyDescent="0.25">
      <c r="A955" s="5">
        <v>45808.697916666664</v>
      </c>
      <c r="B955">
        <v>26</v>
      </c>
      <c r="C955" t="s">
        <v>32</v>
      </c>
      <c r="D955" t="s">
        <v>33</v>
      </c>
      <c r="E955">
        <v>1.49</v>
      </c>
      <c r="F955">
        <v>3.78</v>
      </c>
      <c r="G955" s="8">
        <f>E955*60/F955</f>
        <v>23.650793650793652</v>
      </c>
    </row>
    <row r="956" spans="1:7" x14ac:dyDescent="0.25">
      <c r="A956" s="5">
        <v>45808.697916666664</v>
      </c>
      <c r="B956">
        <v>27</v>
      </c>
      <c r="C956" t="s">
        <v>33</v>
      </c>
      <c r="D956" t="s">
        <v>34</v>
      </c>
      <c r="E956">
        <v>1.53</v>
      </c>
      <c r="F956">
        <v>5.8</v>
      </c>
      <c r="G956" s="8">
        <f>E956*60/F956</f>
        <v>15.827586206896552</v>
      </c>
    </row>
    <row r="957" spans="1:7" x14ac:dyDescent="0.25">
      <c r="A957" s="5">
        <v>45808.697916666664</v>
      </c>
      <c r="B957">
        <v>28</v>
      </c>
      <c r="C957" t="s">
        <v>34</v>
      </c>
      <c r="D957" t="s">
        <v>35</v>
      </c>
      <c r="E957">
        <v>1.51</v>
      </c>
      <c r="F957">
        <v>4.17</v>
      </c>
      <c r="G957" s="8">
        <f>E957*60/F957</f>
        <v>21.726618705035971</v>
      </c>
    </row>
    <row r="958" spans="1:7" x14ac:dyDescent="0.25">
      <c r="A958" s="5">
        <v>45808.697916666664</v>
      </c>
      <c r="B958">
        <v>29</v>
      </c>
      <c r="C958" t="s">
        <v>36</v>
      </c>
      <c r="D958" t="s">
        <v>37</v>
      </c>
      <c r="E958">
        <v>1.57</v>
      </c>
      <c r="F958">
        <v>3.7</v>
      </c>
      <c r="G958" s="8">
        <f>E958*60/F958</f>
        <v>25.45945945945946</v>
      </c>
    </row>
    <row r="959" spans="1:7" x14ac:dyDescent="0.25">
      <c r="A959" s="5">
        <v>45808.697916666664</v>
      </c>
      <c r="B959">
        <v>30</v>
      </c>
      <c r="C959" t="s">
        <v>37</v>
      </c>
      <c r="D959" t="s">
        <v>38</v>
      </c>
      <c r="E959">
        <v>1.57</v>
      </c>
      <c r="F959">
        <v>4</v>
      </c>
      <c r="G959" s="8">
        <f>E959*60/F959</f>
        <v>23.55</v>
      </c>
    </row>
    <row r="960" spans="1:7" x14ac:dyDescent="0.25">
      <c r="A960" s="5">
        <v>45808.697916666664</v>
      </c>
      <c r="B960">
        <v>31</v>
      </c>
      <c r="C960" t="s">
        <v>38</v>
      </c>
      <c r="D960" t="s">
        <v>39</v>
      </c>
      <c r="E960">
        <v>1.52</v>
      </c>
      <c r="F960">
        <v>2.68</v>
      </c>
      <c r="G960" s="8">
        <f>E960*60/F960</f>
        <v>34.029850746268657</v>
      </c>
    </row>
    <row r="961" spans="1:7" x14ac:dyDescent="0.25">
      <c r="A961" s="5">
        <v>45808.697916666664</v>
      </c>
      <c r="B961">
        <v>32</v>
      </c>
      <c r="C961" t="s">
        <v>39</v>
      </c>
      <c r="D961" t="s">
        <v>40</v>
      </c>
      <c r="E961">
        <v>1.5</v>
      </c>
      <c r="F961">
        <v>1.92</v>
      </c>
      <c r="G961" s="8">
        <f>E961*60/F961</f>
        <v>46.875</v>
      </c>
    </row>
    <row r="962" spans="1:7" x14ac:dyDescent="0.25">
      <c r="A962" s="5">
        <v>45808.697916666664</v>
      </c>
      <c r="B962">
        <v>33</v>
      </c>
      <c r="C962" t="s">
        <v>40</v>
      </c>
      <c r="D962" t="s">
        <v>41</v>
      </c>
      <c r="E962">
        <v>1.51</v>
      </c>
      <c r="F962">
        <v>1.82</v>
      </c>
      <c r="G962" s="8">
        <f>E962*60/F962</f>
        <v>49.780219780219774</v>
      </c>
    </row>
    <row r="963" spans="1:7" x14ac:dyDescent="0.25">
      <c r="A963" s="5">
        <v>45808.697916666664</v>
      </c>
      <c r="B963">
        <v>34</v>
      </c>
      <c r="C963" t="s">
        <v>41</v>
      </c>
      <c r="D963" t="s">
        <v>42</v>
      </c>
      <c r="E963">
        <v>1.5</v>
      </c>
      <c r="F963">
        <v>1.88</v>
      </c>
      <c r="G963" s="8">
        <f>E963*60/F963</f>
        <v>47.872340425531917</v>
      </c>
    </row>
    <row r="964" spans="1:7" x14ac:dyDescent="0.25">
      <c r="A964" s="5">
        <v>45808.697916666664</v>
      </c>
      <c r="B964">
        <v>35</v>
      </c>
      <c r="C964" t="s">
        <v>43</v>
      </c>
      <c r="D964" t="s">
        <v>44</v>
      </c>
      <c r="E964">
        <v>1.55</v>
      </c>
      <c r="F964">
        <v>3.23</v>
      </c>
      <c r="G964" s="8">
        <f>E964*60/F964</f>
        <v>28.792569659442723</v>
      </c>
    </row>
    <row r="965" spans="1:7" x14ac:dyDescent="0.25">
      <c r="A965" s="5">
        <v>45808.697916666664</v>
      </c>
      <c r="B965">
        <v>36</v>
      </c>
      <c r="C965" t="s">
        <v>44</v>
      </c>
      <c r="D965" t="s">
        <v>45</v>
      </c>
      <c r="E965">
        <v>1.5</v>
      </c>
      <c r="F965">
        <v>2.95</v>
      </c>
      <c r="G965" s="8">
        <f>E965*60/F965</f>
        <v>30.508474576271183</v>
      </c>
    </row>
    <row r="966" spans="1:7" x14ac:dyDescent="0.25">
      <c r="A966" s="5">
        <v>45808.697916666664</v>
      </c>
      <c r="B966">
        <v>37</v>
      </c>
      <c r="C966" t="s">
        <v>45</v>
      </c>
      <c r="D966" t="s">
        <v>46</v>
      </c>
      <c r="E966">
        <v>1.38</v>
      </c>
      <c r="F966">
        <v>3.95</v>
      </c>
      <c r="G966" s="8">
        <f>E966*60/F966</f>
        <v>20.962025316455694</v>
      </c>
    </row>
    <row r="967" spans="1:7" x14ac:dyDescent="0.25">
      <c r="A967" s="5">
        <v>45808.697916666664</v>
      </c>
      <c r="B967">
        <v>38</v>
      </c>
      <c r="C967" t="s">
        <v>46</v>
      </c>
      <c r="D967" t="s">
        <v>47</v>
      </c>
      <c r="E967">
        <v>1.61</v>
      </c>
      <c r="F967">
        <v>4.25</v>
      </c>
      <c r="G967" s="8">
        <f>E967*60/F967</f>
        <v>22.729411764705883</v>
      </c>
    </row>
    <row r="968" spans="1:7" x14ac:dyDescent="0.25">
      <c r="A968" s="5">
        <v>45808.697916666664</v>
      </c>
      <c r="B968">
        <v>39</v>
      </c>
      <c r="C968" t="s">
        <v>47</v>
      </c>
      <c r="D968" t="s">
        <v>48</v>
      </c>
      <c r="E968">
        <v>1.55</v>
      </c>
      <c r="F968">
        <v>3.63</v>
      </c>
      <c r="G968" s="8">
        <f>E968*60/F968</f>
        <v>25.619834710743802</v>
      </c>
    </row>
    <row r="969" spans="1:7" x14ac:dyDescent="0.25">
      <c r="A969" s="5">
        <v>45808.697916666664</v>
      </c>
      <c r="B969">
        <v>40</v>
      </c>
      <c r="C969" t="s">
        <v>48</v>
      </c>
      <c r="D969" t="s">
        <v>49</v>
      </c>
      <c r="E969">
        <v>1.39</v>
      </c>
      <c r="F969">
        <v>3.1</v>
      </c>
      <c r="G969" s="8">
        <f>E969*60/F969</f>
        <v>26.903225806451609</v>
      </c>
    </row>
    <row r="970" spans="1:7" x14ac:dyDescent="0.25">
      <c r="A970" s="5">
        <v>45808.697916666664</v>
      </c>
      <c r="B970">
        <v>41</v>
      </c>
      <c r="C970" t="s">
        <v>50</v>
      </c>
      <c r="D970" t="s">
        <v>51</v>
      </c>
      <c r="E970">
        <v>1.56</v>
      </c>
      <c r="F970">
        <v>3.78</v>
      </c>
      <c r="G970" s="8">
        <f>E970*60/F970</f>
        <v>24.761904761904766</v>
      </c>
    </row>
    <row r="971" spans="1:7" x14ac:dyDescent="0.25">
      <c r="A971" s="5">
        <v>45808.697916666664</v>
      </c>
      <c r="B971">
        <v>42</v>
      </c>
      <c r="C971" t="s">
        <v>51</v>
      </c>
      <c r="D971" t="s">
        <v>52</v>
      </c>
      <c r="E971">
        <v>1.56</v>
      </c>
      <c r="F971">
        <v>4.25</v>
      </c>
      <c r="G971" s="8">
        <f>E971*60/F971</f>
        <v>22.023529411764709</v>
      </c>
    </row>
    <row r="972" spans="1:7" x14ac:dyDescent="0.25">
      <c r="A972" s="5">
        <v>45808.697916666664</v>
      </c>
      <c r="B972">
        <v>43</v>
      </c>
      <c r="C972" t="s">
        <v>52</v>
      </c>
      <c r="D972" t="s">
        <v>53</v>
      </c>
      <c r="E972">
        <v>1.51</v>
      </c>
      <c r="F972">
        <v>3.45</v>
      </c>
      <c r="G972" s="8">
        <f>E972*60/F972</f>
        <v>26.260869565217387</v>
      </c>
    </row>
    <row r="973" spans="1:7" x14ac:dyDescent="0.25">
      <c r="A973" s="5">
        <v>45808.697916666664</v>
      </c>
      <c r="B973">
        <v>44</v>
      </c>
      <c r="C973" t="s">
        <v>54</v>
      </c>
      <c r="D973" t="s">
        <v>55</v>
      </c>
      <c r="E973">
        <v>1.51</v>
      </c>
      <c r="F973">
        <v>4.05</v>
      </c>
      <c r="G973" s="8">
        <f>E973*60/F973</f>
        <v>22.37037037037037</v>
      </c>
    </row>
    <row r="974" spans="1:7" x14ac:dyDescent="0.25">
      <c r="A974" s="5">
        <v>45808.697916666664</v>
      </c>
      <c r="B974">
        <v>45</v>
      </c>
      <c r="C974" t="s">
        <v>55</v>
      </c>
      <c r="D974" t="s">
        <v>56</v>
      </c>
      <c r="E974">
        <v>1.49</v>
      </c>
      <c r="F974">
        <v>3.27</v>
      </c>
      <c r="G974" s="8">
        <f>E974*60/F974</f>
        <v>27.339449541284406</v>
      </c>
    </row>
    <row r="975" spans="1:7" x14ac:dyDescent="0.25">
      <c r="A975" s="5">
        <v>45808.697916666664</v>
      </c>
      <c r="B975">
        <v>46</v>
      </c>
      <c r="C975" t="s">
        <v>56</v>
      </c>
      <c r="D975" t="s">
        <v>57</v>
      </c>
      <c r="E975">
        <v>1.52</v>
      </c>
      <c r="F975">
        <v>3.55</v>
      </c>
      <c r="G975" s="8">
        <f>E975*60/F975</f>
        <v>25.690140845070424</v>
      </c>
    </row>
    <row r="976" spans="1:7" x14ac:dyDescent="0.25">
      <c r="A976" s="5">
        <v>45808.697916666664</v>
      </c>
      <c r="B976">
        <v>47</v>
      </c>
      <c r="C976" t="s">
        <v>58</v>
      </c>
      <c r="D976" t="s">
        <v>59</v>
      </c>
      <c r="E976">
        <v>1.52</v>
      </c>
      <c r="F976">
        <v>3.67</v>
      </c>
      <c r="G976" s="8">
        <f>E976*60/F976</f>
        <v>24.850136239782017</v>
      </c>
    </row>
    <row r="977" spans="1:7" x14ac:dyDescent="0.25">
      <c r="A977" s="5">
        <v>45808.697916666664</v>
      </c>
      <c r="B977">
        <v>48</v>
      </c>
      <c r="C977" t="s">
        <v>59</v>
      </c>
      <c r="D977" t="s">
        <v>60</v>
      </c>
      <c r="E977">
        <v>1.5</v>
      </c>
      <c r="F977">
        <v>3.65</v>
      </c>
      <c r="G977" s="8">
        <f>E977*60/F977</f>
        <v>24.657534246575342</v>
      </c>
    </row>
    <row r="978" spans="1:7" x14ac:dyDescent="0.25">
      <c r="A978" s="5">
        <v>45808.697916666664</v>
      </c>
      <c r="B978">
        <v>49</v>
      </c>
      <c r="C978" t="s">
        <v>60</v>
      </c>
      <c r="D978" t="s">
        <v>61</v>
      </c>
      <c r="E978">
        <v>1.54</v>
      </c>
      <c r="F978">
        <v>4.38</v>
      </c>
      <c r="G978" s="8">
        <f>E978*60/F978</f>
        <v>21.095890410958905</v>
      </c>
    </row>
    <row r="979" spans="1:7" x14ac:dyDescent="0.25">
      <c r="A979" s="5">
        <v>45808.697916666664</v>
      </c>
      <c r="B979">
        <v>50</v>
      </c>
      <c r="C979" t="s">
        <v>62</v>
      </c>
      <c r="D979" t="s">
        <v>63</v>
      </c>
      <c r="E979">
        <v>1.38</v>
      </c>
      <c r="F979">
        <v>3.13</v>
      </c>
      <c r="G979" s="8">
        <f>E979*60/F979</f>
        <v>26.453674121405751</v>
      </c>
    </row>
    <row r="980" spans="1:7" x14ac:dyDescent="0.25">
      <c r="A980" s="5">
        <v>45808.697916666664</v>
      </c>
      <c r="B980">
        <v>51</v>
      </c>
      <c r="C980" t="s">
        <v>63</v>
      </c>
      <c r="D980" t="s">
        <v>64</v>
      </c>
      <c r="E980">
        <v>2.79</v>
      </c>
      <c r="F980">
        <v>5.5</v>
      </c>
      <c r="G980" s="8">
        <f>E980*60/F980</f>
        <v>30.436363636363637</v>
      </c>
    </row>
    <row r="981" spans="1:7" x14ac:dyDescent="0.25">
      <c r="A981" s="5">
        <v>45808.697916666664</v>
      </c>
      <c r="B981">
        <v>52</v>
      </c>
      <c r="C981" t="s">
        <v>64</v>
      </c>
      <c r="D981" t="s">
        <v>65</v>
      </c>
      <c r="E981">
        <v>1.5</v>
      </c>
      <c r="F981">
        <v>2.85</v>
      </c>
      <c r="G981" s="8">
        <f>E981*60/F981</f>
        <v>31.578947368421051</v>
      </c>
    </row>
    <row r="982" spans="1:7" x14ac:dyDescent="0.25">
      <c r="A982" s="5">
        <v>45808.697916666664</v>
      </c>
      <c r="B982">
        <v>53</v>
      </c>
      <c r="C982" t="s">
        <v>65</v>
      </c>
      <c r="D982" t="s">
        <v>66</v>
      </c>
      <c r="E982">
        <v>1.46</v>
      </c>
      <c r="F982">
        <v>3.67</v>
      </c>
      <c r="G982" s="8">
        <f>E982*60/F982</f>
        <v>23.869209809264305</v>
      </c>
    </row>
    <row r="983" spans="1:7" x14ac:dyDescent="0.25">
      <c r="A983" s="5">
        <v>45808.697916666664</v>
      </c>
      <c r="B983">
        <v>54</v>
      </c>
      <c r="C983" t="s">
        <v>67</v>
      </c>
      <c r="D983" t="s">
        <v>68</v>
      </c>
      <c r="E983">
        <v>1.46</v>
      </c>
      <c r="F983">
        <v>2.88</v>
      </c>
      <c r="G983" s="8">
        <f>E983*60/F983</f>
        <v>30.416666666666664</v>
      </c>
    </row>
    <row r="984" spans="1:7" x14ac:dyDescent="0.25">
      <c r="A984" s="5">
        <v>45808.697916666664</v>
      </c>
      <c r="B984">
        <v>55</v>
      </c>
      <c r="C984" t="s">
        <v>68</v>
      </c>
      <c r="D984" t="s">
        <v>69</v>
      </c>
      <c r="E984">
        <v>1.5</v>
      </c>
      <c r="F984">
        <v>3.5</v>
      </c>
      <c r="G984" s="8">
        <f>E984*60/F984</f>
        <v>25.714285714285715</v>
      </c>
    </row>
    <row r="985" spans="1:7" x14ac:dyDescent="0.25">
      <c r="A985" s="5">
        <v>45808.697916666664</v>
      </c>
      <c r="B985">
        <v>56</v>
      </c>
      <c r="C985" t="s">
        <v>70</v>
      </c>
      <c r="D985" t="s">
        <v>71</v>
      </c>
      <c r="E985">
        <v>1.51</v>
      </c>
      <c r="F985">
        <v>4.28</v>
      </c>
      <c r="G985" s="8">
        <f>E985*60/F985</f>
        <v>21.168224299065418</v>
      </c>
    </row>
    <row r="986" spans="1:7" x14ac:dyDescent="0.25">
      <c r="A986" s="5">
        <v>45808.697916666664</v>
      </c>
      <c r="B986">
        <v>57</v>
      </c>
      <c r="C986" t="s">
        <v>71</v>
      </c>
      <c r="D986" t="s">
        <v>72</v>
      </c>
      <c r="E986">
        <v>1.52</v>
      </c>
      <c r="F986">
        <v>3.97</v>
      </c>
      <c r="G986" s="8">
        <f>E986*60/F986</f>
        <v>22.972292191435766</v>
      </c>
    </row>
    <row r="987" spans="1:7" x14ac:dyDescent="0.25">
      <c r="A987" s="5">
        <v>45808.697916666664</v>
      </c>
      <c r="B987">
        <v>58</v>
      </c>
      <c r="C987" t="s">
        <v>72</v>
      </c>
      <c r="D987" t="s">
        <v>73</v>
      </c>
      <c r="E987">
        <v>1.5</v>
      </c>
      <c r="F987">
        <v>4.12</v>
      </c>
      <c r="G987" s="8">
        <f>E987*60/F987</f>
        <v>21.844660194174757</v>
      </c>
    </row>
    <row r="988" spans="1:7" x14ac:dyDescent="0.25">
      <c r="A988" s="5">
        <v>45808.708333333336</v>
      </c>
      <c r="B988">
        <v>1</v>
      </c>
      <c r="C988" t="s">
        <v>6</v>
      </c>
      <c r="D988" t="s">
        <v>7</v>
      </c>
      <c r="E988">
        <v>1.53</v>
      </c>
      <c r="F988">
        <v>3.05</v>
      </c>
      <c r="G988" s="8">
        <f>E988*60/F988</f>
        <v>30.098360655737707</v>
      </c>
    </row>
    <row r="989" spans="1:7" x14ac:dyDescent="0.25">
      <c r="A989" s="5">
        <v>45808.708333333336</v>
      </c>
      <c r="B989">
        <v>2</v>
      </c>
      <c r="C989" t="s">
        <v>7</v>
      </c>
      <c r="D989" t="s">
        <v>8</v>
      </c>
      <c r="E989">
        <v>1.57</v>
      </c>
      <c r="F989">
        <v>4.8</v>
      </c>
      <c r="G989" s="8">
        <f>E989*60/F989</f>
        <v>19.625</v>
      </c>
    </row>
    <row r="990" spans="1:7" x14ac:dyDescent="0.25">
      <c r="A990" s="5">
        <v>45808.708333333336</v>
      </c>
      <c r="B990">
        <v>3</v>
      </c>
      <c r="C990" t="s">
        <v>8</v>
      </c>
      <c r="D990" t="s">
        <v>9</v>
      </c>
      <c r="E990">
        <v>1.5</v>
      </c>
      <c r="F990">
        <v>3</v>
      </c>
      <c r="G990" s="8">
        <f>E990*60/F990</f>
        <v>30</v>
      </c>
    </row>
    <row r="991" spans="1:7" x14ac:dyDescent="0.25">
      <c r="A991" s="5">
        <v>45808.708333333336</v>
      </c>
      <c r="B991">
        <v>4</v>
      </c>
      <c r="C991" t="s">
        <v>9</v>
      </c>
      <c r="D991" t="s">
        <v>10</v>
      </c>
      <c r="E991">
        <v>1.5</v>
      </c>
      <c r="F991">
        <v>2.9</v>
      </c>
      <c r="G991" s="8">
        <f>E991*60/F991</f>
        <v>31.03448275862069</v>
      </c>
    </row>
    <row r="992" spans="1:7" x14ac:dyDescent="0.25">
      <c r="A992" s="5">
        <v>45808.708333333336</v>
      </c>
      <c r="B992">
        <v>5</v>
      </c>
      <c r="C992" t="s">
        <v>10</v>
      </c>
      <c r="D992" t="s">
        <v>11</v>
      </c>
      <c r="E992">
        <v>1.52</v>
      </c>
      <c r="F992">
        <v>3.18</v>
      </c>
      <c r="G992" s="8">
        <f>E992*60/F992</f>
        <v>28.679245283018869</v>
      </c>
    </row>
    <row r="993" spans="1:7" x14ac:dyDescent="0.25">
      <c r="A993" s="5">
        <v>45808.708333333336</v>
      </c>
      <c r="B993">
        <v>6</v>
      </c>
      <c r="C993" t="s">
        <v>11</v>
      </c>
      <c r="D993" t="s">
        <v>12</v>
      </c>
      <c r="E993">
        <v>1.5</v>
      </c>
      <c r="F993">
        <v>2.65</v>
      </c>
      <c r="G993" s="8">
        <f>E993*60/F993</f>
        <v>33.962264150943398</v>
      </c>
    </row>
    <row r="994" spans="1:7" x14ac:dyDescent="0.25">
      <c r="A994" s="5">
        <v>45808.708333333336</v>
      </c>
      <c r="B994">
        <v>7</v>
      </c>
      <c r="C994" t="s">
        <v>12</v>
      </c>
      <c r="D994" t="s">
        <v>13</v>
      </c>
      <c r="E994">
        <v>1.54</v>
      </c>
      <c r="F994">
        <v>2.63</v>
      </c>
      <c r="G994" s="8">
        <f>E994*60/F994</f>
        <v>35.133079847908746</v>
      </c>
    </row>
    <row r="995" spans="1:7" x14ac:dyDescent="0.25">
      <c r="A995" s="5">
        <v>45808.708333333336</v>
      </c>
      <c r="B995">
        <v>8</v>
      </c>
      <c r="C995" t="s">
        <v>13</v>
      </c>
      <c r="D995" t="s">
        <v>14</v>
      </c>
      <c r="E995">
        <v>1.54</v>
      </c>
      <c r="F995">
        <v>3.17</v>
      </c>
      <c r="G995" s="8">
        <f>E995*60/F995</f>
        <v>29.148264984227133</v>
      </c>
    </row>
    <row r="996" spans="1:7" x14ac:dyDescent="0.25">
      <c r="A996" s="5">
        <v>45808.708333333336</v>
      </c>
      <c r="B996">
        <v>9</v>
      </c>
      <c r="C996" t="s">
        <v>14</v>
      </c>
      <c r="D996" t="s">
        <v>15</v>
      </c>
      <c r="E996">
        <v>1.52</v>
      </c>
      <c r="F996">
        <v>3.63</v>
      </c>
      <c r="G996" s="8">
        <f>E996*60/F996</f>
        <v>25.123966942148762</v>
      </c>
    </row>
    <row r="997" spans="1:7" x14ac:dyDescent="0.25">
      <c r="A997" s="5">
        <v>45808.708333333336</v>
      </c>
      <c r="B997">
        <v>10</v>
      </c>
      <c r="C997" t="s">
        <v>15</v>
      </c>
      <c r="D997" t="s">
        <v>16</v>
      </c>
      <c r="E997">
        <v>1.5</v>
      </c>
      <c r="F997">
        <v>3.88</v>
      </c>
      <c r="G997" s="8">
        <f>E997*60/F997</f>
        <v>23.195876288659793</v>
      </c>
    </row>
    <row r="998" spans="1:7" x14ac:dyDescent="0.25">
      <c r="A998" s="5">
        <v>45808.708333333336</v>
      </c>
      <c r="B998">
        <v>11</v>
      </c>
      <c r="C998" t="s">
        <v>16</v>
      </c>
      <c r="D998" t="s">
        <v>17</v>
      </c>
      <c r="E998">
        <v>1.48</v>
      </c>
      <c r="F998">
        <v>2.4300000000000002</v>
      </c>
      <c r="G998" s="8">
        <f>E998*60/F998</f>
        <v>36.543209876543209</v>
      </c>
    </row>
    <row r="999" spans="1:7" x14ac:dyDescent="0.25">
      <c r="A999" s="5">
        <v>45808.708333333336</v>
      </c>
      <c r="B999">
        <v>12</v>
      </c>
      <c r="C999" t="s">
        <v>17</v>
      </c>
      <c r="D999" t="s">
        <v>18</v>
      </c>
      <c r="E999">
        <v>1.46</v>
      </c>
      <c r="F999">
        <v>3.58</v>
      </c>
      <c r="G999" s="8">
        <f>E999*60/F999</f>
        <v>24.469273743016757</v>
      </c>
    </row>
    <row r="1000" spans="1:7" x14ac:dyDescent="0.25">
      <c r="A1000" s="5">
        <v>45808.708333333336</v>
      </c>
      <c r="B1000">
        <v>13</v>
      </c>
      <c r="C1000" t="s">
        <v>18</v>
      </c>
      <c r="D1000" t="s">
        <v>19</v>
      </c>
      <c r="E1000">
        <v>1.52</v>
      </c>
      <c r="F1000">
        <v>3.68</v>
      </c>
      <c r="G1000" s="8">
        <f>E1000*60/F1000</f>
        <v>24.782608695652172</v>
      </c>
    </row>
    <row r="1001" spans="1:7" x14ac:dyDescent="0.25">
      <c r="A1001" s="5">
        <v>45808.708333333336</v>
      </c>
      <c r="B1001">
        <v>14</v>
      </c>
      <c r="C1001" t="s">
        <v>19</v>
      </c>
      <c r="D1001" t="s">
        <v>20</v>
      </c>
      <c r="E1001">
        <v>1.51</v>
      </c>
      <c r="F1001">
        <v>3.37</v>
      </c>
      <c r="G1001" s="8">
        <f>E1001*60/F1001</f>
        <v>26.884272997032639</v>
      </c>
    </row>
    <row r="1002" spans="1:7" x14ac:dyDescent="0.25">
      <c r="A1002" s="5">
        <v>45808.708333333336</v>
      </c>
      <c r="B1002">
        <v>15</v>
      </c>
      <c r="C1002" t="s">
        <v>20</v>
      </c>
      <c r="D1002" t="s">
        <v>21</v>
      </c>
      <c r="E1002">
        <v>1.47</v>
      </c>
      <c r="F1002">
        <v>2.38</v>
      </c>
      <c r="G1002" s="8">
        <f>E1002*60/F1002</f>
        <v>37.058823529411768</v>
      </c>
    </row>
    <row r="1003" spans="1:7" x14ac:dyDescent="0.25">
      <c r="A1003" s="5">
        <v>45808.708333333336</v>
      </c>
      <c r="B1003">
        <v>16</v>
      </c>
      <c r="C1003" t="s">
        <v>21</v>
      </c>
      <c r="D1003" t="s">
        <v>22</v>
      </c>
      <c r="E1003">
        <v>1.5</v>
      </c>
      <c r="F1003">
        <v>1.82</v>
      </c>
      <c r="G1003" s="8">
        <f>E1003*60/F1003</f>
        <v>49.450549450549445</v>
      </c>
    </row>
    <row r="1004" spans="1:7" x14ac:dyDescent="0.25">
      <c r="A1004" s="5">
        <v>45808.708333333336</v>
      </c>
      <c r="B1004">
        <v>17</v>
      </c>
      <c r="C1004" t="s">
        <v>22</v>
      </c>
      <c r="D1004" t="s">
        <v>23</v>
      </c>
      <c r="E1004">
        <v>1.51</v>
      </c>
      <c r="F1004">
        <v>3.03</v>
      </c>
      <c r="G1004" s="8">
        <f>E1004*60/F1004</f>
        <v>29.900990099009903</v>
      </c>
    </row>
    <row r="1005" spans="1:7" x14ac:dyDescent="0.25">
      <c r="A1005" s="5">
        <v>45808.708333333336</v>
      </c>
      <c r="B1005">
        <v>18</v>
      </c>
      <c r="C1005" t="s">
        <v>23</v>
      </c>
      <c r="D1005" t="s">
        <v>24</v>
      </c>
      <c r="E1005">
        <v>1.51</v>
      </c>
      <c r="F1005">
        <v>3.15</v>
      </c>
      <c r="G1005" s="8">
        <f>E1005*60/F1005</f>
        <v>28.761904761904759</v>
      </c>
    </row>
    <row r="1006" spans="1:7" x14ac:dyDescent="0.25">
      <c r="A1006" s="5">
        <v>45808.708333333336</v>
      </c>
      <c r="B1006">
        <v>19</v>
      </c>
      <c r="C1006" t="s">
        <v>25</v>
      </c>
      <c r="D1006" t="s">
        <v>26</v>
      </c>
      <c r="E1006">
        <v>1.5</v>
      </c>
      <c r="F1006">
        <v>3.35</v>
      </c>
      <c r="G1006" s="8">
        <f>E1006*60/F1006</f>
        <v>26.865671641791042</v>
      </c>
    </row>
    <row r="1007" spans="1:7" x14ac:dyDescent="0.25">
      <c r="A1007" s="5">
        <v>45808.708333333336</v>
      </c>
      <c r="B1007">
        <v>20</v>
      </c>
      <c r="C1007" t="s">
        <v>26</v>
      </c>
      <c r="D1007" t="s">
        <v>27</v>
      </c>
      <c r="E1007">
        <v>1.48</v>
      </c>
      <c r="F1007">
        <v>3.47</v>
      </c>
      <c r="G1007" s="8">
        <f>E1007*60/F1007</f>
        <v>25.590778097982707</v>
      </c>
    </row>
    <row r="1008" spans="1:7" x14ac:dyDescent="0.25">
      <c r="A1008" s="5">
        <v>45808.708333333336</v>
      </c>
      <c r="B1008">
        <v>21</v>
      </c>
      <c r="C1008" t="s">
        <v>27</v>
      </c>
      <c r="D1008" t="s">
        <v>28</v>
      </c>
      <c r="E1008">
        <v>1.51</v>
      </c>
      <c r="F1008">
        <v>3.2</v>
      </c>
      <c r="G1008" s="8">
        <f>E1008*60/F1008</f>
        <v>28.312499999999996</v>
      </c>
    </row>
    <row r="1009" spans="1:7" x14ac:dyDescent="0.25">
      <c r="A1009" s="5">
        <v>45808.708333333336</v>
      </c>
      <c r="B1009">
        <v>22</v>
      </c>
      <c r="C1009" t="s">
        <v>28</v>
      </c>
      <c r="D1009" t="s">
        <v>29</v>
      </c>
      <c r="E1009">
        <v>1.57</v>
      </c>
      <c r="F1009">
        <v>3.7</v>
      </c>
      <c r="G1009" s="8">
        <f>E1009*60/F1009</f>
        <v>25.45945945945946</v>
      </c>
    </row>
    <row r="1010" spans="1:7" x14ac:dyDescent="0.25">
      <c r="A1010" s="5">
        <v>45808.708333333336</v>
      </c>
      <c r="B1010">
        <v>23</v>
      </c>
      <c r="C1010" t="s">
        <v>29</v>
      </c>
      <c r="D1010" t="s">
        <v>30</v>
      </c>
      <c r="E1010">
        <v>1.43</v>
      </c>
      <c r="F1010">
        <v>4.6500000000000004</v>
      </c>
      <c r="G1010" s="8">
        <f>E1010*60/F1010</f>
        <v>18.451612903225804</v>
      </c>
    </row>
    <row r="1011" spans="1:7" x14ac:dyDescent="0.25">
      <c r="A1011" s="5">
        <v>45808.708333333336</v>
      </c>
      <c r="B1011">
        <v>24</v>
      </c>
      <c r="C1011" t="s">
        <v>30</v>
      </c>
      <c r="D1011" t="s">
        <v>31</v>
      </c>
      <c r="E1011">
        <v>1.52</v>
      </c>
      <c r="F1011">
        <v>3.27</v>
      </c>
      <c r="G1011" s="8">
        <f>E1011*60/F1011</f>
        <v>27.889908256880734</v>
      </c>
    </row>
    <row r="1012" spans="1:7" x14ac:dyDescent="0.25">
      <c r="A1012" s="5">
        <v>45808.708333333336</v>
      </c>
      <c r="B1012">
        <v>25</v>
      </c>
      <c r="C1012" t="s">
        <v>31</v>
      </c>
      <c r="D1012" t="s">
        <v>32</v>
      </c>
      <c r="E1012">
        <v>1.52</v>
      </c>
      <c r="F1012">
        <v>3.23</v>
      </c>
      <c r="G1012" s="8">
        <f>E1012*60/F1012</f>
        <v>28.235294117647062</v>
      </c>
    </row>
    <row r="1013" spans="1:7" x14ac:dyDescent="0.25">
      <c r="A1013" s="5">
        <v>45808.708333333336</v>
      </c>
      <c r="B1013">
        <v>26</v>
      </c>
      <c r="C1013" t="s">
        <v>32</v>
      </c>
      <c r="D1013" t="s">
        <v>33</v>
      </c>
      <c r="E1013">
        <v>1.49</v>
      </c>
      <c r="F1013">
        <v>3.77</v>
      </c>
      <c r="G1013" s="8">
        <f>E1013*60/F1013</f>
        <v>23.713527851458888</v>
      </c>
    </row>
    <row r="1014" spans="1:7" x14ac:dyDescent="0.25">
      <c r="A1014" s="5">
        <v>45808.708333333336</v>
      </c>
      <c r="B1014">
        <v>27</v>
      </c>
      <c r="C1014" t="s">
        <v>33</v>
      </c>
      <c r="D1014" t="s">
        <v>34</v>
      </c>
      <c r="E1014">
        <v>1.53</v>
      </c>
      <c r="F1014">
        <v>5.38</v>
      </c>
      <c r="G1014" s="8">
        <f>E1014*60/F1014</f>
        <v>17.063197026022305</v>
      </c>
    </row>
    <row r="1015" spans="1:7" x14ac:dyDescent="0.25">
      <c r="A1015" s="5">
        <v>45808.708333333336</v>
      </c>
      <c r="B1015">
        <v>28</v>
      </c>
      <c r="C1015" t="s">
        <v>34</v>
      </c>
      <c r="D1015" t="s">
        <v>35</v>
      </c>
      <c r="E1015">
        <v>1.51</v>
      </c>
      <c r="F1015">
        <v>4.0999999999999996</v>
      </c>
      <c r="G1015" s="8">
        <f>E1015*60/F1015</f>
        <v>22.097560975609756</v>
      </c>
    </row>
    <row r="1016" spans="1:7" x14ac:dyDescent="0.25">
      <c r="A1016" s="5">
        <v>45808.708333333336</v>
      </c>
      <c r="B1016">
        <v>29</v>
      </c>
      <c r="C1016" t="s">
        <v>36</v>
      </c>
      <c r="D1016" t="s">
        <v>37</v>
      </c>
      <c r="E1016">
        <v>1.57</v>
      </c>
      <c r="F1016">
        <v>3.73</v>
      </c>
      <c r="G1016" s="8">
        <f>E1016*60/F1016</f>
        <v>25.254691689008045</v>
      </c>
    </row>
    <row r="1017" spans="1:7" x14ac:dyDescent="0.25">
      <c r="A1017" s="5">
        <v>45808.708333333336</v>
      </c>
      <c r="B1017">
        <v>30</v>
      </c>
      <c r="C1017" t="s">
        <v>37</v>
      </c>
      <c r="D1017" t="s">
        <v>38</v>
      </c>
      <c r="E1017">
        <v>1.57</v>
      </c>
      <c r="F1017">
        <v>4.17</v>
      </c>
      <c r="G1017" s="8">
        <f>E1017*60/F1017</f>
        <v>22.589928057553958</v>
      </c>
    </row>
    <row r="1018" spans="1:7" x14ac:dyDescent="0.25">
      <c r="A1018" s="5">
        <v>45808.708333333336</v>
      </c>
      <c r="B1018">
        <v>31</v>
      </c>
      <c r="C1018" t="s">
        <v>38</v>
      </c>
      <c r="D1018" t="s">
        <v>39</v>
      </c>
      <c r="E1018">
        <v>1.52</v>
      </c>
      <c r="F1018">
        <v>2.7</v>
      </c>
      <c r="G1018" s="8">
        <f>E1018*60/F1018</f>
        <v>33.777777777777779</v>
      </c>
    </row>
    <row r="1019" spans="1:7" x14ac:dyDescent="0.25">
      <c r="A1019" s="5">
        <v>45808.708333333336</v>
      </c>
      <c r="B1019">
        <v>32</v>
      </c>
      <c r="C1019" t="s">
        <v>39</v>
      </c>
      <c r="D1019" t="s">
        <v>40</v>
      </c>
      <c r="E1019">
        <v>1.5</v>
      </c>
      <c r="F1019">
        <v>1.95</v>
      </c>
      <c r="G1019" s="8">
        <f>E1019*60/F1019</f>
        <v>46.153846153846153</v>
      </c>
    </row>
    <row r="1020" spans="1:7" x14ac:dyDescent="0.25">
      <c r="A1020" s="5">
        <v>45808.708333333336</v>
      </c>
      <c r="B1020">
        <v>33</v>
      </c>
      <c r="C1020" t="s">
        <v>40</v>
      </c>
      <c r="D1020" t="s">
        <v>41</v>
      </c>
      <c r="E1020">
        <v>1.51</v>
      </c>
      <c r="F1020">
        <v>1.82</v>
      </c>
      <c r="G1020" s="8">
        <f>E1020*60/F1020</f>
        <v>49.780219780219774</v>
      </c>
    </row>
    <row r="1021" spans="1:7" x14ac:dyDescent="0.25">
      <c r="A1021" s="5">
        <v>45808.708333333336</v>
      </c>
      <c r="B1021">
        <v>34</v>
      </c>
      <c r="C1021" t="s">
        <v>41</v>
      </c>
      <c r="D1021" t="s">
        <v>42</v>
      </c>
      <c r="E1021">
        <v>1.5</v>
      </c>
      <c r="F1021">
        <v>1.98</v>
      </c>
      <c r="G1021" s="8">
        <f>E1021*60/F1021</f>
        <v>45.454545454545453</v>
      </c>
    </row>
    <row r="1022" spans="1:7" x14ac:dyDescent="0.25">
      <c r="A1022" s="5">
        <v>45808.708333333336</v>
      </c>
      <c r="B1022">
        <v>35</v>
      </c>
      <c r="C1022" t="s">
        <v>43</v>
      </c>
      <c r="D1022" t="s">
        <v>44</v>
      </c>
      <c r="E1022">
        <v>1.55</v>
      </c>
      <c r="F1022">
        <v>3.38</v>
      </c>
      <c r="G1022" s="8">
        <f>E1022*60/F1022</f>
        <v>27.514792899408285</v>
      </c>
    </row>
    <row r="1023" spans="1:7" x14ac:dyDescent="0.25">
      <c r="A1023" s="5">
        <v>45808.708333333336</v>
      </c>
      <c r="B1023">
        <v>36</v>
      </c>
      <c r="C1023" t="s">
        <v>44</v>
      </c>
      <c r="D1023" t="s">
        <v>45</v>
      </c>
      <c r="E1023">
        <v>1.5</v>
      </c>
      <c r="F1023">
        <v>2.95</v>
      </c>
      <c r="G1023" s="8">
        <f>E1023*60/F1023</f>
        <v>30.508474576271183</v>
      </c>
    </row>
    <row r="1024" spans="1:7" x14ac:dyDescent="0.25">
      <c r="A1024" s="5">
        <v>45808.708333333336</v>
      </c>
      <c r="B1024">
        <v>37</v>
      </c>
      <c r="C1024" t="s">
        <v>45</v>
      </c>
      <c r="D1024" t="s">
        <v>46</v>
      </c>
      <c r="E1024">
        <v>1.38</v>
      </c>
      <c r="F1024">
        <v>3.98</v>
      </c>
      <c r="G1024" s="8">
        <f>E1024*60/F1024</f>
        <v>20.804020100502512</v>
      </c>
    </row>
    <row r="1025" spans="1:7" x14ac:dyDescent="0.25">
      <c r="A1025" s="5">
        <v>45808.708333333336</v>
      </c>
      <c r="B1025">
        <v>38</v>
      </c>
      <c r="C1025" t="s">
        <v>46</v>
      </c>
      <c r="D1025" t="s">
        <v>47</v>
      </c>
      <c r="E1025">
        <v>1.61</v>
      </c>
      <c r="F1025">
        <v>4.2</v>
      </c>
      <c r="G1025" s="8">
        <f>E1025*60/F1025</f>
        <v>23</v>
      </c>
    </row>
    <row r="1026" spans="1:7" x14ac:dyDescent="0.25">
      <c r="A1026" s="5">
        <v>45808.708333333336</v>
      </c>
      <c r="B1026">
        <v>39</v>
      </c>
      <c r="C1026" t="s">
        <v>47</v>
      </c>
      <c r="D1026" t="s">
        <v>48</v>
      </c>
      <c r="E1026">
        <v>1.55</v>
      </c>
      <c r="F1026">
        <v>3.68</v>
      </c>
      <c r="G1026" s="8">
        <f>E1026*60/F1026</f>
        <v>25.271739130434781</v>
      </c>
    </row>
    <row r="1027" spans="1:7" x14ac:dyDescent="0.25">
      <c r="A1027" s="5">
        <v>45808.708333333336</v>
      </c>
      <c r="B1027">
        <v>40</v>
      </c>
      <c r="C1027" t="s">
        <v>48</v>
      </c>
      <c r="D1027" t="s">
        <v>49</v>
      </c>
      <c r="E1027">
        <v>1.39</v>
      </c>
      <c r="F1027">
        <v>2.98</v>
      </c>
      <c r="G1027" s="8">
        <f>E1027*60/F1027</f>
        <v>27.986577181208052</v>
      </c>
    </row>
    <row r="1028" spans="1:7" x14ac:dyDescent="0.25">
      <c r="A1028" s="5">
        <v>45808.708333333336</v>
      </c>
      <c r="B1028">
        <v>41</v>
      </c>
      <c r="C1028" t="s">
        <v>50</v>
      </c>
      <c r="D1028" t="s">
        <v>51</v>
      </c>
      <c r="E1028">
        <v>1.56</v>
      </c>
      <c r="F1028">
        <v>3.62</v>
      </c>
      <c r="G1028" s="8">
        <f>E1028*60/F1028</f>
        <v>25.856353591160222</v>
      </c>
    </row>
    <row r="1029" spans="1:7" x14ac:dyDescent="0.25">
      <c r="A1029" s="5">
        <v>45808.708333333336</v>
      </c>
      <c r="B1029">
        <v>42</v>
      </c>
      <c r="C1029" t="s">
        <v>51</v>
      </c>
      <c r="D1029" t="s">
        <v>52</v>
      </c>
      <c r="E1029">
        <v>1.56</v>
      </c>
      <c r="F1029">
        <v>4.0199999999999996</v>
      </c>
      <c r="G1029" s="8">
        <f>E1029*60/F1029</f>
        <v>23.283582089552244</v>
      </c>
    </row>
    <row r="1030" spans="1:7" x14ac:dyDescent="0.25">
      <c r="A1030" s="5">
        <v>45808.708333333336</v>
      </c>
      <c r="B1030">
        <v>43</v>
      </c>
      <c r="C1030" t="s">
        <v>52</v>
      </c>
      <c r="D1030" t="s">
        <v>53</v>
      </c>
      <c r="E1030">
        <v>1.51</v>
      </c>
      <c r="F1030">
        <v>3.4</v>
      </c>
      <c r="G1030" s="8">
        <f>E1030*60/F1030</f>
        <v>26.647058823529409</v>
      </c>
    </row>
    <row r="1031" spans="1:7" x14ac:dyDescent="0.25">
      <c r="A1031" s="5">
        <v>45808.708333333336</v>
      </c>
      <c r="B1031">
        <v>44</v>
      </c>
      <c r="C1031" t="s">
        <v>54</v>
      </c>
      <c r="D1031" t="s">
        <v>55</v>
      </c>
      <c r="E1031">
        <v>1.51</v>
      </c>
      <c r="F1031">
        <v>4.28</v>
      </c>
      <c r="G1031" s="8">
        <f>E1031*60/F1031</f>
        <v>21.168224299065418</v>
      </c>
    </row>
    <row r="1032" spans="1:7" x14ac:dyDescent="0.25">
      <c r="A1032" s="5">
        <v>45808.708333333336</v>
      </c>
      <c r="B1032">
        <v>45</v>
      </c>
      <c r="C1032" t="s">
        <v>55</v>
      </c>
      <c r="D1032" t="s">
        <v>56</v>
      </c>
      <c r="E1032">
        <v>1.49</v>
      </c>
      <c r="F1032">
        <v>3.57</v>
      </c>
      <c r="G1032" s="8">
        <f>E1032*60/F1032</f>
        <v>25.042016806722692</v>
      </c>
    </row>
    <row r="1033" spans="1:7" x14ac:dyDescent="0.25">
      <c r="A1033" s="5">
        <v>45808.708333333336</v>
      </c>
      <c r="B1033">
        <v>46</v>
      </c>
      <c r="C1033" t="s">
        <v>56</v>
      </c>
      <c r="D1033" t="s">
        <v>57</v>
      </c>
      <c r="E1033">
        <v>1.52</v>
      </c>
      <c r="F1033">
        <v>3.63</v>
      </c>
      <c r="G1033" s="8">
        <f>E1033*60/F1033</f>
        <v>25.123966942148762</v>
      </c>
    </row>
    <row r="1034" spans="1:7" x14ac:dyDescent="0.25">
      <c r="A1034" s="5">
        <v>45808.708333333336</v>
      </c>
      <c r="B1034">
        <v>47</v>
      </c>
      <c r="C1034" t="s">
        <v>58</v>
      </c>
      <c r="D1034" t="s">
        <v>59</v>
      </c>
      <c r="E1034">
        <v>1.52</v>
      </c>
      <c r="F1034">
        <v>4.12</v>
      </c>
      <c r="G1034" s="8">
        <f>E1034*60/F1034</f>
        <v>22.135922330097088</v>
      </c>
    </row>
    <row r="1035" spans="1:7" x14ac:dyDescent="0.25">
      <c r="A1035" s="5">
        <v>45808.708333333336</v>
      </c>
      <c r="B1035">
        <v>48</v>
      </c>
      <c r="C1035" t="s">
        <v>59</v>
      </c>
      <c r="D1035" t="s">
        <v>60</v>
      </c>
      <c r="E1035">
        <v>1.5</v>
      </c>
      <c r="F1035">
        <v>3.65</v>
      </c>
      <c r="G1035" s="8">
        <f>E1035*60/F1035</f>
        <v>24.657534246575342</v>
      </c>
    </row>
    <row r="1036" spans="1:7" x14ac:dyDescent="0.25">
      <c r="A1036" s="5">
        <v>45808.708333333336</v>
      </c>
      <c r="B1036">
        <v>49</v>
      </c>
      <c r="C1036" t="s">
        <v>60</v>
      </c>
      <c r="D1036" t="s">
        <v>61</v>
      </c>
      <c r="E1036">
        <v>1.54</v>
      </c>
      <c r="F1036">
        <v>3.98</v>
      </c>
      <c r="G1036" s="8">
        <f>E1036*60/F1036</f>
        <v>23.216080402010054</v>
      </c>
    </row>
    <row r="1037" spans="1:7" x14ac:dyDescent="0.25">
      <c r="A1037" s="5">
        <v>45808.708333333336</v>
      </c>
      <c r="B1037">
        <v>50</v>
      </c>
      <c r="C1037" t="s">
        <v>62</v>
      </c>
      <c r="D1037" t="s">
        <v>63</v>
      </c>
      <c r="E1037">
        <v>1.38</v>
      </c>
      <c r="F1037">
        <v>3.23</v>
      </c>
      <c r="G1037" s="8">
        <f>E1037*60/F1037</f>
        <v>25.634674922600617</v>
      </c>
    </row>
    <row r="1038" spans="1:7" x14ac:dyDescent="0.25">
      <c r="A1038" s="5">
        <v>45808.708333333336</v>
      </c>
      <c r="B1038">
        <v>51</v>
      </c>
      <c r="C1038" t="s">
        <v>63</v>
      </c>
      <c r="D1038" t="s">
        <v>64</v>
      </c>
      <c r="E1038">
        <v>2.79</v>
      </c>
      <c r="F1038">
        <v>5.5</v>
      </c>
      <c r="G1038" s="8">
        <f>E1038*60/F1038</f>
        <v>30.436363636363637</v>
      </c>
    </row>
    <row r="1039" spans="1:7" x14ac:dyDescent="0.25">
      <c r="A1039" s="5">
        <v>45808.708333333336</v>
      </c>
      <c r="B1039">
        <v>52</v>
      </c>
      <c r="C1039" t="s">
        <v>64</v>
      </c>
      <c r="D1039" t="s">
        <v>65</v>
      </c>
      <c r="E1039">
        <v>1.5</v>
      </c>
      <c r="F1039">
        <v>2.67</v>
      </c>
      <c r="G1039" s="8">
        <f>E1039*60/F1039</f>
        <v>33.707865168539328</v>
      </c>
    </row>
    <row r="1040" spans="1:7" x14ac:dyDescent="0.25">
      <c r="A1040" s="5">
        <v>45808.708333333336</v>
      </c>
      <c r="B1040">
        <v>53</v>
      </c>
      <c r="C1040" t="s">
        <v>65</v>
      </c>
      <c r="D1040" t="s">
        <v>66</v>
      </c>
      <c r="E1040">
        <v>1.46</v>
      </c>
      <c r="F1040">
        <v>3.65</v>
      </c>
      <c r="G1040" s="8">
        <f>E1040*60/F1040</f>
        <v>24</v>
      </c>
    </row>
    <row r="1041" spans="1:7" x14ac:dyDescent="0.25">
      <c r="A1041" s="5">
        <v>45808.708333333336</v>
      </c>
      <c r="B1041">
        <v>54</v>
      </c>
      <c r="C1041" t="s">
        <v>67</v>
      </c>
      <c r="D1041" t="s">
        <v>68</v>
      </c>
      <c r="E1041">
        <v>1.46</v>
      </c>
      <c r="F1041">
        <v>2.83</v>
      </c>
      <c r="G1041" s="8">
        <f>E1041*60/F1041</f>
        <v>30.954063604240279</v>
      </c>
    </row>
    <row r="1042" spans="1:7" x14ac:dyDescent="0.25">
      <c r="A1042" s="5">
        <v>45808.708333333336</v>
      </c>
      <c r="B1042">
        <v>55</v>
      </c>
      <c r="C1042" t="s">
        <v>68</v>
      </c>
      <c r="D1042" t="s">
        <v>69</v>
      </c>
      <c r="E1042">
        <v>1.5</v>
      </c>
      <c r="F1042">
        <v>2.12</v>
      </c>
      <c r="G1042" s="8">
        <f>E1042*60/F1042</f>
        <v>42.452830188679243</v>
      </c>
    </row>
    <row r="1043" spans="1:7" x14ac:dyDescent="0.25">
      <c r="A1043" s="5">
        <v>45808.708333333336</v>
      </c>
      <c r="B1043">
        <v>56</v>
      </c>
      <c r="C1043" t="s">
        <v>70</v>
      </c>
      <c r="D1043" t="s">
        <v>71</v>
      </c>
      <c r="E1043">
        <v>1.51</v>
      </c>
      <c r="F1043">
        <v>4.32</v>
      </c>
      <c r="G1043" s="8">
        <f>E1043*60/F1043</f>
        <v>20.972222222222218</v>
      </c>
    </row>
    <row r="1044" spans="1:7" x14ac:dyDescent="0.25">
      <c r="A1044" s="5">
        <v>45808.708333333336</v>
      </c>
      <c r="B1044">
        <v>57</v>
      </c>
      <c r="C1044" t="s">
        <v>71</v>
      </c>
      <c r="D1044" t="s">
        <v>72</v>
      </c>
      <c r="E1044">
        <v>1.52</v>
      </c>
      <c r="F1044">
        <v>4</v>
      </c>
      <c r="G1044" s="8">
        <f>E1044*60/F1044</f>
        <v>22.8</v>
      </c>
    </row>
    <row r="1045" spans="1:7" x14ac:dyDescent="0.25">
      <c r="A1045" s="5">
        <v>45808.708333333336</v>
      </c>
      <c r="B1045">
        <v>58</v>
      </c>
      <c r="C1045" t="s">
        <v>72</v>
      </c>
      <c r="D1045" t="s">
        <v>73</v>
      </c>
      <c r="E1045">
        <v>1.5</v>
      </c>
      <c r="F1045">
        <v>4.05</v>
      </c>
      <c r="G1045" s="8">
        <f>E1045*60/F1045</f>
        <v>22.222222222222221</v>
      </c>
    </row>
    <row r="1046" spans="1:7" x14ac:dyDescent="0.25">
      <c r="A1046" s="5">
        <v>45808.71875</v>
      </c>
      <c r="B1046">
        <v>1</v>
      </c>
      <c r="C1046" t="s">
        <v>6</v>
      </c>
      <c r="D1046" t="s">
        <v>7</v>
      </c>
      <c r="E1046">
        <v>1.53</v>
      </c>
      <c r="F1046">
        <v>3.3</v>
      </c>
      <c r="G1046" s="8">
        <f>E1046*60/F1046</f>
        <v>27.81818181818182</v>
      </c>
    </row>
    <row r="1047" spans="1:7" x14ac:dyDescent="0.25">
      <c r="A1047" s="5">
        <v>45808.71875</v>
      </c>
      <c r="B1047">
        <v>2</v>
      </c>
      <c r="C1047" t="s">
        <v>7</v>
      </c>
      <c r="D1047" t="s">
        <v>8</v>
      </c>
      <c r="E1047">
        <v>1.57</v>
      </c>
      <c r="F1047">
        <v>5.22</v>
      </c>
      <c r="G1047" s="8">
        <f>E1047*60/F1047</f>
        <v>18.045977011494255</v>
      </c>
    </row>
    <row r="1048" spans="1:7" x14ac:dyDescent="0.25">
      <c r="A1048" s="5">
        <v>45808.71875</v>
      </c>
      <c r="B1048">
        <v>3</v>
      </c>
      <c r="C1048" t="s">
        <v>8</v>
      </c>
      <c r="D1048" t="s">
        <v>9</v>
      </c>
      <c r="E1048">
        <v>1.5</v>
      </c>
      <c r="F1048">
        <v>3.02</v>
      </c>
      <c r="G1048" s="8">
        <f>E1048*60/F1048</f>
        <v>29.801324503311257</v>
      </c>
    </row>
    <row r="1049" spans="1:7" x14ac:dyDescent="0.25">
      <c r="A1049" s="5">
        <v>45808.71875</v>
      </c>
      <c r="B1049">
        <v>4</v>
      </c>
      <c r="C1049" t="s">
        <v>9</v>
      </c>
      <c r="D1049" t="s">
        <v>10</v>
      </c>
      <c r="E1049">
        <v>1.5</v>
      </c>
      <c r="F1049">
        <v>2.68</v>
      </c>
      <c r="G1049" s="8">
        <f>E1049*60/F1049</f>
        <v>33.582089552238806</v>
      </c>
    </row>
    <row r="1050" spans="1:7" x14ac:dyDescent="0.25">
      <c r="A1050" s="5">
        <v>45808.71875</v>
      </c>
      <c r="B1050">
        <v>5</v>
      </c>
      <c r="C1050" t="s">
        <v>10</v>
      </c>
      <c r="D1050" t="s">
        <v>11</v>
      </c>
      <c r="E1050">
        <v>1.52</v>
      </c>
      <c r="F1050">
        <v>3.75</v>
      </c>
      <c r="G1050" s="8">
        <f>E1050*60/F1050</f>
        <v>24.32</v>
      </c>
    </row>
    <row r="1051" spans="1:7" x14ac:dyDescent="0.25">
      <c r="A1051" s="5">
        <v>45808.71875</v>
      </c>
      <c r="B1051">
        <v>6</v>
      </c>
      <c r="C1051" t="s">
        <v>11</v>
      </c>
      <c r="D1051" t="s">
        <v>12</v>
      </c>
      <c r="E1051">
        <v>1.5</v>
      </c>
      <c r="F1051">
        <v>2.75</v>
      </c>
      <c r="G1051" s="8">
        <f>E1051*60/F1051</f>
        <v>32.727272727272727</v>
      </c>
    </row>
    <row r="1052" spans="1:7" x14ac:dyDescent="0.25">
      <c r="A1052" s="5">
        <v>45808.71875</v>
      </c>
      <c r="B1052">
        <v>7</v>
      </c>
      <c r="C1052" t="s">
        <v>12</v>
      </c>
      <c r="D1052" t="s">
        <v>13</v>
      </c>
      <c r="E1052">
        <v>1.54</v>
      </c>
      <c r="F1052">
        <v>2.82</v>
      </c>
      <c r="G1052" s="8">
        <f>E1052*60/F1052</f>
        <v>32.765957446808514</v>
      </c>
    </row>
    <row r="1053" spans="1:7" x14ac:dyDescent="0.25">
      <c r="A1053" s="5">
        <v>45808.71875</v>
      </c>
      <c r="B1053">
        <v>8</v>
      </c>
      <c r="C1053" t="s">
        <v>13</v>
      </c>
      <c r="D1053" t="s">
        <v>14</v>
      </c>
      <c r="E1053">
        <v>1.54</v>
      </c>
      <c r="F1053">
        <v>3.1</v>
      </c>
      <c r="G1053" s="8">
        <f>E1053*60/F1053</f>
        <v>29.806451612903228</v>
      </c>
    </row>
    <row r="1054" spans="1:7" x14ac:dyDescent="0.25">
      <c r="A1054" s="5">
        <v>45808.71875</v>
      </c>
      <c r="B1054">
        <v>9</v>
      </c>
      <c r="C1054" t="s">
        <v>14</v>
      </c>
      <c r="D1054" t="s">
        <v>15</v>
      </c>
      <c r="E1054">
        <v>1.52</v>
      </c>
      <c r="F1054">
        <v>3.65</v>
      </c>
      <c r="G1054" s="8">
        <f>E1054*60/F1054</f>
        <v>24.986301369863014</v>
      </c>
    </row>
    <row r="1055" spans="1:7" x14ac:dyDescent="0.25">
      <c r="A1055" s="5">
        <v>45808.71875</v>
      </c>
      <c r="B1055">
        <v>10</v>
      </c>
      <c r="C1055" t="s">
        <v>15</v>
      </c>
      <c r="D1055" t="s">
        <v>16</v>
      </c>
      <c r="E1055">
        <v>1.5</v>
      </c>
      <c r="F1055">
        <v>4</v>
      </c>
      <c r="G1055" s="8">
        <f>E1055*60/F1055</f>
        <v>22.5</v>
      </c>
    </row>
    <row r="1056" spans="1:7" x14ac:dyDescent="0.25">
      <c r="A1056" s="5">
        <v>45808.71875</v>
      </c>
      <c r="B1056">
        <v>11</v>
      </c>
      <c r="C1056" t="s">
        <v>16</v>
      </c>
      <c r="D1056" t="s">
        <v>17</v>
      </c>
      <c r="E1056">
        <v>1.48</v>
      </c>
      <c r="F1056">
        <v>2.4700000000000002</v>
      </c>
      <c r="G1056" s="8">
        <f>E1056*60/F1056</f>
        <v>35.951417004048579</v>
      </c>
    </row>
    <row r="1057" spans="1:7" x14ac:dyDescent="0.25">
      <c r="A1057" s="5">
        <v>45808.71875</v>
      </c>
      <c r="B1057">
        <v>12</v>
      </c>
      <c r="C1057" t="s">
        <v>17</v>
      </c>
      <c r="D1057" t="s">
        <v>18</v>
      </c>
      <c r="E1057">
        <v>1.46</v>
      </c>
      <c r="F1057">
        <v>3.4</v>
      </c>
      <c r="G1057" s="8">
        <f>E1057*60/F1057</f>
        <v>25.764705882352938</v>
      </c>
    </row>
    <row r="1058" spans="1:7" x14ac:dyDescent="0.25">
      <c r="A1058" s="5">
        <v>45808.71875</v>
      </c>
      <c r="B1058">
        <v>13</v>
      </c>
      <c r="C1058" t="s">
        <v>18</v>
      </c>
      <c r="D1058" t="s">
        <v>19</v>
      </c>
      <c r="E1058">
        <v>1.52</v>
      </c>
      <c r="F1058">
        <v>3.7</v>
      </c>
      <c r="G1058" s="8">
        <f>E1058*60/F1058</f>
        <v>24.648648648648649</v>
      </c>
    </row>
    <row r="1059" spans="1:7" x14ac:dyDescent="0.25">
      <c r="A1059" s="5">
        <v>45808.71875</v>
      </c>
      <c r="B1059">
        <v>14</v>
      </c>
      <c r="C1059" t="s">
        <v>19</v>
      </c>
      <c r="D1059" t="s">
        <v>20</v>
      </c>
      <c r="E1059">
        <v>1.51</v>
      </c>
      <c r="F1059">
        <v>3.85</v>
      </c>
      <c r="G1059" s="8">
        <f>E1059*60/F1059</f>
        <v>23.532467532467532</v>
      </c>
    </row>
    <row r="1060" spans="1:7" x14ac:dyDescent="0.25">
      <c r="A1060" s="5">
        <v>45808.71875</v>
      </c>
      <c r="B1060">
        <v>15</v>
      </c>
      <c r="C1060" t="s">
        <v>20</v>
      </c>
      <c r="D1060" t="s">
        <v>21</v>
      </c>
      <c r="E1060">
        <v>1.47</v>
      </c>
      <c r="F1060">
        <v>2.2999999999999998</v>
      </c>
      <c r="G1060" s="8">
        <f>E1060*60/F1060</f>
        <v>38.347826086956523</v>
      </c>
    </row>
    <row r="1061" spans="1:7" x14ac:dyDescent="0.25">
      <c r="A1061" s="5">
        <v>45808.71875</v>
      </c>
      <c r="B1061">
        <v>16</v>
      </c>
      <c r="C1061" t="s">
        <v>21</v>
      </c>
      <c r="D1061" t="s">
        <v>22</v>
      </c>
      <c r="E1061">
        <v>1.5</v>
      </c>
      <c r="F1061">
        <v>1.8</v>
      </c>
      <c r="G1061" s="8">
        <f>E1061*60/F1061</f>
        <v>50</v>
      </c>
    </row>
    <row r="1062" spans="1:7" x14ac:dyDescent="0.25">
      <c r="A1062" s="5">
        <v>45808.71875</v>
      </c>
      <c r="B1062">
        <v>17</v>
      </c>
      <c r="C1062" t="s">
        <v>22</v>
      </c>
      <c r="D1062" t="s">
        <v>23</v>
      </c>
      <c r="E1062">
        <v>1.51</v>
      </c>
      <c r="F1062">
        <v>3.08</v>
      </c>
      <c r="G1062" s="8">
        <f>E1062*60/F1062</f>
        <v>29.415584415584412</v>
      </c>
    </row>
    <row r="1063" spans="1:7" x14ac:dyDescent="0.25">
      <c r="A1063" s="5">
        <v>45808.71875</v>
      </c>
      <c r="B1063">
        <v>18</v>
      </c>
      <c r="C1063" t="s">
        <v>23</v>
      </c>
      <c r="D1063" t="s">
        <v>24</v>
      </c>
      <c r="E1063">
        <v>1.51</v>
      </c>
      <c r="F1063">
        <v>3.25</v>
      </c>
      <c r="G1063" s="8">
        <f>E1063*60/F1063</f>
        <v>27.876923076923074</v>
      </c>
    </row>
    <row r="1064" spans="1:7" x14ac:dyDescent="0.25">
      <c r="A1064" s="5">
        <v>45808.71875</v>
      </c>
      <c r="B1064">
        <v>19</v>
      </c>
      <c r="C1064" t="s">
        <v>25</v>
      </c>
      <c r="D1064" t="s">
        <v>26</v>
      </c>
      <c r="E1064">
        <v>1.5</v>
      </c>
      <c r="F1064">
        <v>3.62</v>
      </c>
      <c r="G1064" s="8">
        <f>E1064*60/F1064</f>
        <v>24.861878453038674</v>
      </c>
    </row>
    <row r="1065" spans="1:7" x14ac:dyDescent="0.25">
      <c r="A1065" s="5">
        <v>45808.71875</v>
      </c>
      <c r="B1065">
        <v>20</v>
      </c>
      <c r="C1065" t="s">
        <v>26</v>
      </c>
      <c r="D1065" t="s">
        <v>27</v>
      </c>
      <c r="E1065">
        <v>1.48</v>
      </c>
      <c r="F1065">
        <v>3.57</v>
      </c>
      <c r="G1065" s="8">
        <f>E1065*60/F1065</f>
        <v>24.873949579831933</v>
      </c>
    </row>
    <row r="1066" spans="1:7" x14ac:dyDescent="0.25">
      <c r="A1066" s="5">
        <v>45808.71875</v>
      </c>
      <c r="B1066">
        <v>21</v>
      </c>
      <c r="C1066" t="s">
        <v>27</v>
      </c>
      <c r="D1066" t="s">
        <v>28</v>
      </c>
      <c r="E1066">
        <v>1.51</v>
      </c>
      <c r="F1066">
        <v>3.2</v>
      </c>
      <c r="G1066" s="8">
        <f>E1066*60/F1066</f>
        <v>28.312499999999996</v>
      </c>
    </row>
    <row r="1067" spans="1:7" x14ac:dyDescent="0.25">
      <c r="A1067" s="5">
        <v>45808.71875</v>
      </c>
      <c r="B1067">
        <v>22</v>
      </c>
      <c r="C1067" t="s">
        <v>28</v>
      </c>
      <c r="D1067" t="s">
        <v>29</v>
      </c>
      <c r="E1067">
        <v>1.57</v>
      </c>
      <c r="F1067">
        <v>3.25</v>
      </c>
      <c r="G1067" s="8">
        <f>E1067*60/F1067</f>
        <v>28.984615384615385</v>
      </c>
    </row>
    <row r="1068" spans="1:7" x14ac:dyDescent="0.25">
      <c r="A1068" s="5">
        <v>45808.71875</v>
      </c>
      <c r="B1068">
        <v>23</v>
      </c>
      <c r="C1068" t="s">
        <v>29</v>
      </c>
      <c r="D1068" t="s">
        <v>30</v>
      </c>
      <c r="E1068">
        <v>1.43</v>
      </c>
      <c r="F1068">
        <v>3.6</v>
      </c>
      <c r="G1068" s="8">
        <f>E1068*60/F1068</f>
        <v>23.833333333333332</v>
      </c>
    </row>
    <row r="1069" spans="1:7" x14ac:dyDescent="0.25">
      <c r="A1069" s="5">
        <v>45808.71875</v>
      </c>
      <c r="B1069">
        <v>24</v>
      </c>
      <c r="C1069" t="s">
        <v>30</v>
      </c>
      <c r="D1069" t="s">
        <v>31</v>
      </c>
      <c r="E1069">
        <v>1.52</v>
      </c>
      <c r="F1069">
        <v>3.28</v>
      </c>
      <c r="G1069" s="8">
        <f>E1069*60/F1069</f>
        <v>27.804878048780491</v>
      </c>
    </row>
    <row r="1070" spans="1:7" x14ac:dyDescent="0.25">
      <c r="A1070" s="5">
        <v>45808.71875</v>
      </c>
      <c r="B1070">
        <v>25</v>
      </c>
      <c r="C1070" t="s">
        <v>31</v>
      </c>
      <c r="D1070" t="s">
        <v>32</v>
      </c>
      <c r="E1070">
        <v>1.52</v>
      </c>
      <c r="F1070">
        <v>3.15</v>
      </c>
      <c r="G1070" s="8">
        <f>E1070*60/F1070</f>
        <v>28.952380952380953</v>
      </c>
    </row>
    <row r="1071" spans="1:7" x14ac:dyDescent="0.25">
      <c r="A1071" s="5">
        <v>45808.71875</v>
      </c>
      <c r="B1071">
        <v>26</v>
      </c>
      <c r="C1071" t="s">
        <v>32</v>
      </c>
      <c r="D1071" t="s">
        <v>33</v>
      </c>
      <c r="E1071">
        <v>1.49</v>
      </c>
      <c r="F1071">
        <v>3.67</v>
      </c>
      <c r="G1071" s="8">
        <f>E1071*60/F1071</f>
        <v>24.359673024523161</v>
      </c>
    </row>
    <row r="1072" spans="1:7" x14ac:dyDescent="0.25">
      <c r="A1072" s="5">
        <v>45808.71875</v>
      </c>
      <c r="B1072">
        <v>27</v>
      </c>
      <c r="C1072" t="s">
        <v>33</v>
      </c>
      <c r="D1072" t="s">
        <v>34</v>
      </c>
      <c r="E1072">
        <v>1.53</v>
      </c>
      <c r="F1072">
        <v>5.23</v>
      </c>
      <c r="G1072" s="8">
        <f>E1072*60/F1072</f>
        <v>17.552581261950284</v>
      </c>
    </row>
    <row r="1073" spans="1:7" x14ac:dyDescent="0.25">
      <c r="A1073" s="5">
        <v>45808.71875</v>
      </c>
      <c r="B1073">
        <v>28</v>
      </c>
      <c r="C1073" t="s">
        <v>34</v>
      </c>
      <c r="D1073" t="s">
        <v>35</v>
      </c>
      <c r="E1073">
        <v>1.51</v>
      </c>
      <c r="F1073">
        <v>4.0199999999999996</v>
      </c>
      <c r="G1073" s="8">
        <f>E1073*60/F1073</f>
        <v>22.537313432835823</v>
      </c>
    </row>
    <row r="1074" spans="1:7" x14ac:dyDescent="0.25">
      <c r="A1074" s="5">
        <v>45808.71875</v>
      </c>
      <c r="B1074">
        <v>29</v>
      </c>
      <c r="C1074" t="s">
        <v>36</v>
      </c>
      <c r="D1074" t="s">
        <v>37</v>
      </c>
      <c r="E1074">
        <v>1.57</v>
      </c>
      <c r="F1074">
        <v>3.7</v>
      </c>
      <c r="G1074" s="8">
        <f>E1074*60/F1074</f>
        <v>25.45945945945946</v>
      </c>
    </row>
    <row r="1075" spans="1:7" x14ac:dyDescent="0.25">
      <c r="A1075" s="5">
        <v>45808.71875</v>
      </c>
      <c r="B1075">
        <v>30</v>
      </c>
      <c r="C1075" t="s">
        <v>37</v>
      </c>
      <c r="D1075" t="s">
        <v>38</v>
      </c>
      <c r="E1075">
        <v>1.57</v>
      </c>
      <c r="F1075">
        <v>4.05</v>
      </c>
      <c r="G1075" s="8">
        <f>E1075*60/F1075</f>
        <v>23.25925925925926</v>
      </c>
    </row>
    <row r="1076" spans="1:7" x14ac:dyDescent="0.25">
      <c r="A1076" s="5">
        <v>45808.71875</v>
      </c>
      <c r="B1076">
        <v>31</v>
      </c>
      <c r="C1076" t="s">
        <v>38</v>
      </c>
      <c r="D1076" t="s">
        <v>39</v>
      </c>
      <c r="E1076">
        <v>1.52</v>
      </c>
      <c r="F1076">
        <v>2.72</v>
      </c>
      <c r="G1076" s="8">
        <f>E1076*60/F1076</f>
        <v>33.529411764705884</v>
      </c>
    </row>
    <row r="1077" spans="1:7" x14ac:dyDescent="0.25">
      <c r="A1077" s="5">
        <v>45808.71875</v>
      </c>
      <c r="B1077">
        <v>32</v>
      </c>
      <c r="C1077" t="s">
        <v>39</v>
      </c>
      <c r="D1077" t="s">
        <v>40</v>
      </c>
      <c r="E1077">
        <v>1.5</v>
      </c>
      <c r="F1077">
        <v>1.87</v>
      </c>
      <c r="G1077" s="8">
        <f>E1077*60/F1077</f>
        <v>48.128342245989302</v>
      </c>
    </row>
    <row r="1078" spans="1:7" x14ac:dyDescent="0.25">
      <c r="A1078" s="5">
        <v>45808.71875</v>
      </c>
      <c r="B1078">
        <v>33</v>
      </c>
      <c r="C1078" t="s">
        <v>40</v>
      </c>
      <c r="D1078" t="s">
        <v>41</v>
      </c>
      <c r="E1078">
        <v>1.51</v>
      </c>
      <c r="F1078">
        <v>1.82</v>
      </c>
      <c r="G1078" s="8">
        <f>E1078*60/F1078</f>
        <v>49.780219780219774</v>
      </c>
    </row>
    <row r="1079" spans="1:7" x14ac:dyDescent="0.25">
      <c r="A1079" s="5">
        <v>45808.71875</v>
      </c>
      <c r="B1079">
        <v>34</v>
      </c>
      <c r="C1079" t="s">
        <v>41</v>
      </c>
      <c r="D1079" t="s">
        <v>42</v>
      </c>
      <c r="E1079">
        <v>1.5</v>
      </c>
      <c r="F1079">
        <v>2.2200000000000002</v>
      </c>
      <c r="G1079" s="8">
        <f>E1079*60/F1079</f>
        <v>40.54054054054054</v>
      </c>
    </row>
    <row r="1080" spans="1:7" x14ac:dyDescent="0.25">
      <c r="A1080" s="5">
        <v>45808.71875</v>
      </c>
      <c r="B1080">
        <v>35</v>
      </c>
      <c r="C1080" t="s">
        <v>43</v>
      </c>
      <c r="D1080" t="s">
        <v>44</v>
      </c>
      <c r="E1080">
        <v>1.55</v>
      </c>
      <c r="F1080">
        <v>3.33</v>
      </c>
      <c r="G1080" s="8">
        <f>E1080*60/F1080</f>
        <v>27.927927927927929</v>
      </c>
    </row>
    <row r="1081" spans="1:7" x14ac:dyDescent="0.25">
      <c r="A1081" s="5">
        <v>45808.71875</v>
      </c>
      <c r="B1081">
        <v>36</v>
      </c>
      <c r="C1081" t="s">
        <v>44</v>
      </c>
      <c r="D1081" t="s">
        <v>45</v>
      </c>
      <c r="E1081">
        <v>1.5</v>
      </c>
      <c r="F1081">
        <v>3.02</v>
      </c>
      <c r="G1081" s="8">
        <f>E1081*60/F1081</f>
        <v>29.801324503311257</v>
      </c>
    </row>
    <row r="1082" spans="1:7" x14ac:dyDescent="0.25">
      <c r="A1082" s="5">
        <v>45808.71875</v>
      </c>
      <c r="B1082">
        <v>37</v>
      </c>
      <c r="C1082" t="s">
        <v>45</v>
      </c>
      <c r="D1082" t="s">
        <v>46</v>
      </c>
      <c r="E1082">
        <v>1.38</v>
      </c>
      <c r="F1082">
        <v>3.78</v>
      </c>
      <c r="G1082" s="8">
        <f>E1082*60/F1082</f>
        <v>21.904761904761905</v>
      </c>
    </row>
    <row r="1083" spans="1:7" x14ac:dyDescent="0.25">
      <c r="A1083" s="5">
        <v>45808.71875</v>
      </c>
      <c r="B1083">
        <v>38</v>
      </c>
      <c r="C1083" t="s">
        <v>46</v>
      </c>
      <c r="D1083" t="s">
        <v>47</v>
      </c>
      <c r="E1083">
        <v>1.61</v>
      </c>
      <c r="F1083">
        <v>4.1500000000000004</v>
      </c>
      <c r="G1083" s="8">
        <f>E1083*60/F1083</f>
        <v>23.277108433734941</v>
      </c>
    </row>
    <row r="1084" spans="1:7" x14ac:dyDescent="0.25">
      <c r="A1084" s="5">
        <v>45808.71875</v>
      </c>
      <c r="B1084">
        <v>39</v>
      </c>
      <c r="C1084" t="s">
        <v>47</v>
      </c>
      <c r="D1084" t="s">
        <v>48</v>
      </c>
      <c r="E1084">
        <v>1.55</v>
      </c>
      <c r="F1084">
        <v>3.58</v>
      </c>
      <c r="G1084" s="8">
        <f>E1084*60/F1084</f>
        <v>25.977653631284916</v>
      </c>
    </row>
    <row r="1085" spans="1:7" x14ac:dyDescent="0.25">
      <c r="A1085" s="5">
        <v>45808.71875</v>
      </c>
      <c r="B1085">
        <v>40</v>
      </c>
      <c r="C1085" t="s">
        <v>48</v>
      </c>
      <c r="D1085" t="s">
        <v>49</v>
      </c>
      <c r="E1085">
        <v>1.39</v>
      </c>
      <c r="F1085">
        <v>3.02</v>
      </c>
      <c r="G1085" s="8">
        <f>E1085*60/F1085</f>
        <v>27.615894039735096</v>
      </c>
    </row>
    <row r="1086" spans="1:7" x14ac:dyDescent="0.25">
      <c r="A1086" s="5">
        <v>45808.71875</v>
      </c>
      <c r="B1086">
        <v>41</v>
      </c>
      <c r="C1086" t="s">
        <v>50</v>
      </c>
      <c r="D1086" t="s">
        <v>51</v>
      </c>
      <c r="E1086">
        <v>1.56</v>
      </c>
      <c r="F1086">
        <v>4.68</v>
      </c>
      <c r="G1086" s="8">
        <f>E1086*60/F1086</f>
        <v>20.000000000000004</v>
      </c>
    </row>
    <row r="1087" spans="1:7" x14ac:dyDescent="0.25">
      <c r="A1087" s="5">
        <v>45808.71875</v>
      </c>
      <c r="B1087">
        <v>42</v>
      </c>
      <c r="C1087" t="s">
        <v>51</v>
      </c>
      <c r="D1087" t="s">
        <v>52</v>
      </c>
      <c r="E1087">
        <v>1.56</v>
      </c>
      <c r="F1087">
        <v>3.9</v>
      </c>
      <c r="G1087" s="8">
        <f>E1087*60/F1087</f>
        <v>24.000000000000004</v>
      </c>
    </row>
    <row r="1088" spans="1:7" x14ac:dyDescent="0.25">
      <c r="A1088" s="5">
        <v>45808.71875</v>
      </c>
      <c r="B1088">
        <v>43</v>
      </c>
      <c r="C1088" t="s">
        <v>52</v>
      </c>
      <c r="D1088" t="s">
        <v>53</v>
      </c>
      <c r="E1088">
        <v>1.51</v>
      </c>
      <c r="F1088">
        <v>3.38</v>
      </c>
      <c r="G1088" s="8">
        <f>E1088*60/F1088</f>
        <v>26.80473372781065</v>
      </c>
    </row>
    <row r="1089" spans="1:7" x14ac:dyDescent="0.25">
      <c r="A1089" s="5">
        <v>45808.71875</v>
      </c>
      <c r="B1089">
        <v>44</v>
      </c>
      <c r="C1089" t="s">
        <v>54</v>
      </c>
      <c r="D1089" t="s">
        <v>55</v>
      </c>
      <c r="E1089">
        <v>1.51</v>
      </c>
      <c r="F1089">
        <v>3.95</v>
      </c>
      <c r="G1089" s="8">
        <f>E1089*60/F1089</f>
        <v>22.936708860759492</v>
      </c>
    </row>
    <row r="1090" spans="1:7" x14ac:dyDescent="0.25">
      <c r="A1090" s="5">
        <v>45808.71875</v>
      </c>
      <c r="B1090">
        <v>45</v>
      </c>
      <c r="C1090" t="s">
        <v>55</v>
      </c>
      <c r="D1090" t="s">
        <v>56</v>
      </c>
      <c r="E1090">
        <v>1.49</v>
      </c>
      <c r="F1090">
        <v>3.55</v>
      </c>
      <c r="G1090" s="8">
        <f>E1090*60/F1090</f>
        <v>25.1830985915493</v>
      </c>
    </row>
    <row r="1091" spans="1:7" x14ac:dyDescent="0.25">
      <c r="A1091" s="5">
        <v>45808.71875</v>
      </c>
      <c r="B1091">
        <v>46</v>
      </c>
      <c r="C1091" t="s">
        <v>56</v>
      </c>
      <c r="D1091" t="s">
        <v>57</v>
      </c>
      <c r="E1091">
        <v>1.52</v>
      </c>
      <c r="F1091">
        <v>3.57</v>
      </c>
      <c r="G1091" s="8">
        <f>E1091*60/F1091</f>
        <v>25.54621848739496</v>
      </c>
    </row>
    <row r="1092" spans="1:7" x14ac:dyDescent="0.25">
      <c r="A1092" s="5">
        <v>45808.71875</v>
      </c>
      <c r="B1092">
        <v>47</v>
      </c>
      <c r="C1092" t="s">
        <v>58</v>
      </c>
      <c r="D1092" t="s">
        <v>59</v>
      </c>
      <c r="E1092">
        <v>1.52</v>
      </c>
      <c r="F1092">
        <v>3.98</v>
      </c>
      <c r="G1092" s="8">
        <f>E1092*60/F1092</f>
        <v>22.91457286432161</v>
      </c>
    </row>
    <row r="1093" spans="1:7" x14ac:dyDescent="0.25">
      <c r="A1093" s="5">
        <v>45808.71875</v>
      </c>
      <c r="B1093">
        <v>48</v>
      </c>
      <c r="C1093" t="s">
        <v>59</v>
      </c>
      <c r="D1093" t="s">
        <v>60</v>
      </c>
      <c r="E1093">
        <v>1.5</v>
      </c>
      <c r="F1093">
        <v>3.58</v>
      </c>
      <c r="G1093" s="8">
        <f>E1093*60/F1093</f>
        <v>25.139664804469273</v>
      </c>
    </row>
    <row r="1094" spans="1:7" x14ac:dyDescent="0.25">
      <c r="A1094" s="5">
        <v>45808.71875</v>
      </c>
      <c r="B1094">
        <v>49</v>
      </c>
      <c r="C1094" t="s">
        <v>60</v>
      </c>
      <c r="D1094" t="s">
        <v>61</v>
      </c>
      <c r="E1094">
        <v>1.54</v>
      </c>
      <c r="F1094">
        <v>4.5199999999999996</v>
      </c>
      <c r="G1094" s="8">
        <f>E1094*60/F1094</f>
        <v>20.442477876106199</v>
      </c>
    </row>
    <row r="1095" spans="1:7" x14ac:dyDescent="0.25">
      <c r="A1095" s="5">
        <v>45808.71875</v>
      </c>
      <c r="B1095">
        <v>50</v>
      </c>
      <c r="C1095" t="s">
        <v>62</v>
      </c>
      <c r="D1095" t="s">
        <v>63</v>
      </c>
      <c r="E1095">
        <v>1.38</v>
      </c>
      <c r="F1095">
        <v>3.1</v>
      </c>
      <c r="G1095" s="8">
        <f>E1095*60/F1095</f>
        <v>26.709677419354836</v>
      </c>
    </row>
    <row r="1096" spans="1:7" x14ac:dyDescent="0.25">
      <c r="A1096" s="5">
        <v>45808.71875</v>
      </c>
      <c r="B1096">
        <v>51</v>
      </c>
      <c r="C1096" t="s">
        <v>63</v>
      </c>
      <c r="D1096" t="s">
        <v>64</v>
      </c>
      <c r="E1096">
        <v>2.79</v>
      </c>
      <c r="F1096">
        <v>5.83</v>
      </c>
      <c r="G1096" s="8">
        <f>E1096*60/F1096</f>
        <v>28.713550600343055</v>
      </c>
    </row>
    <row r="1097" spans="1:7" x14ac:dyDescent="0.25">
      <c r="A1097" s="5">
        <v>45808.71875</v>
      </c>
      <c r="B1097">
        <v>52</v>
      </c>
      <c r="C1097" t="s">
        <v>64</v>
      </c>
      <c r="D1097" t="s">
        <v>65</v>
      </c>
      <c r="E1097">
        <v>1.5</v>
      </c>
      <c r="F1097">
        <v>2.73</v>
      </c>
      <c r="G1097" s="8">
        <f>E1097*60/F1097</f>
        <v>32.967032967032971</v>
      </c>
    </row>
    <row r="1098" spans="1:7" x14ac:dyDescent="0.25">
      <c r="A1098" s="5">
        <v>45808.71875</v>
      </c>
      <c r="B1098">
        <v>53</v>
      </c>
      <c r="C1098" t="s">
        <v>65</v>
      </c>
      <c r="D1098" t="s">
        <v>66</v>
      </c>
      <c r="E1098">
        <v>1.46</v>
      </c>
      <c r="F1098">
        <v>3.63</v>
      </c>
      <c r="G1098" s="8">
        <f>E1098*60/F1098</f>
        <v>24.132231404958677</v>
      </c>
    </row>
    <row r="1099" spans="1:7" x14ac:dyDescent="0.25">
      <c r="A1099" s="5">
        <v>45808.71875</v>
      </c>
      <c r="B1099">
        <v>54</v>
      </c>
      <c r="C1099" t="s">
        <v>67</v>
      </c>
      <c r="D1099" t="s">
        <v>68</v>
      </c>
      <c r="E1099">
        <v>1.46</v>
      </c>
      <c r="F1099">
        <v>2.75</v>
      </c>
      <c r="G1099" s="8">
        <f>E1099*60/F1099</f>
        <v>31.854545454545452</v>
      </c>
    </row>
    <row r="1100" spans="1:7" x14ac:dyDescent="0.25">
      <c r="A1100" s="5">
        <v>45808.71875</v>
      </c>
      <c r="B1100">
        <v>55</v>
      </c>
      <c r="C1100" t="s">
        <v>68</v>
      </c>
      <c r="D1100" t="s">
        <v>69</v>
      </c>
      <c r="E1100">
        <v>1.5</v>
      </c>
      <c r="F1100">
        <v>2.1800000000000002</v>
      </c>
      <c r="G1100" s="8">
        <f>E1100*60/F1100</f>
        <v>41.284403669724767</v>
      </c>
    </row>
    <row r="1101" spans="1:7" x14ac:dyDescent="0.25">
      <c r="A1101" s="5">
        <v>45808.71875</v>
      </c>
      <c r="B1101">
        <v>56</v>
      </c>
      <c r="C1101" t="s">
        <v>70</v>
      </c>
      <c r="D1101" t="s">
        <v>71</v>
      </c>
      <c r="E1101">
        <v>1.51</v>
      </c>
      <c r="F1101">
        <v>4.2699999999999996</v>
      </c>
      <c r="G1101" s="8">
        <f>E1101*60/F1101</f>
        <v>21.217798594847775</v>
      </c>
    </row>
    <row r="1102" spans="1:7" x14ac:dyDescent="0.25">
      <c r="A1102" s="5">
        <v>45808.71875</v>
      </c>
      <c r="B1102">
        <v>57</v>
      </c>
      <c r="C1102" t="s">
        <v>71</v>
      </c>
      <c r="D1102" t="s">
        <v>72</v>
      </c>
      <c r="E1102">
        <v>1.52</v>
      </c>
      <c r="F1102">
        <v>3.97</v>
      </c>
      <c r="G1102" s="8">
        <f>E1102*60/F1102</f>
        <v>22.972292191435766</v>
      </c>
    </row>
    <row r="1103" spans="1:7" x14ac:dyDescent="0.25">
      <c r="A1103" s="5">
        <v>45808.71875</v>
      </c>
      <c r="B1103">
        <v>58</v>
      </c>
      <c r="C1103" t="s">
        <v>72</v>
      </c>
      <c r="D1103" t="s">
        <v>73</v>
      </c>
      <c r="E1103">
        <v>1.5</v>
      </c>
      <c r="F1103">
        <v>3.9</v>
      </c>
      <c r="G1103" s="8">
        <f>E1103*60/F1103</f>
        <v>23.076923076923077</v>
      </c>
    </row>
    <row r="1104" spans="1:7" x14ac:dyDescent="0.25">
      <c r="A1104" s="5">
        <v>45808.729166666664</v>
      </c>
      <c r="B1104">
        <v>1</v>
      </c>
      <c r="C1104" t="s">
        <v>6</v>
      </c>
      <c r="D1104" t="s">
        <v>7</v>
      </c>
      <c r="E1104">
        <v>1.53</v>
      </c>
      <c r="F1104">
        <v>3.27</v>
      </c>
      <c r="G1104" s="8">
        <f>E1104*60/F1104</f>
        <v>28.073394495412842</v>
      </c>
    </row>
    <row r="1105" spans="1:7" x14ac:dyDescent="0.25">
      <c r="A1105" s="5">
        <v>45808.729166666664</v>
      </c>
      <c r="B1105">
        <v>2</v>
      </c>
      <c r="C1105" t="s">
        <v>7</v>
      </c>
      <c r="D1105" t="s">
        <v>8</v>
      </c>
      <c r="E1105">
        <v>1.57</v>
      </c>
      <c r="F1105">
        <v>4.82</v>
      </c>
      <c r="G1105" s="8">
        <f>E1105*60/F1105</f>
        <v>19.543568464730289</v>
      </c>
    </row>
    <row r="1106" spans="1:7" x14ac:dyDescent="0.25">
      <c r="A1106" s="5">
        <v>45808.729166666664</v>
      </c>
      <c r="B1106">
        <v>3</v>
      </c>
      <c r="C1106" t="s">
        <v>8</v>
      </c>
      <c r="D1106" t="s">
        <v>9</v>
      </c>
      <c r="E1106">
        <v>1.5</v>
      </c>
      <c r="F1106">
        <v>3.07</v>
      </c>
      <c r="G1106" s="8">
        <f>E1106*60/F1106</f>
        <v>29.31596091205212</v>
      </c>
    </row>
    <row r="1107" spans="1:7" x14ac:dyDescent="0.25">
      <c r="A1107" s="5">
        <v>45808.729166666664</v>
      </c>
      <c r="B1107">
        <v>4</v>
      </c>
      <c r="C1107" t="s">
        <v>9</v>
      </c>
      <c r="D1107" t="s">
        <v>10</v>
      </c>
      <c r="E1107">
        <v>1.5</v>
      </c>
      <c r="F1107">
        <v>2.93</v>
      </c>
      <c r="G1107" s="8">
        <f>E1107*60/F1107</f>
        <v>30.716723549488052</v>
      </c>
    </row>
    <row r="1108" spans="1:7" x14ac:dyDescent="0.25">
      <c r="A1108" s="5">
        <v>45808.729166666664</v>
      </c>
      <c r="B1108">
        <v>5</v>
      </c>
      <c r="C1108" t="s">
        <v>10</v>
      </c>
      <c r="D1108" t="s">
        <v>11</v>
      </c>
      <c r="E1108">
        <v>1.52</v>
      </c>
      <c r="F1108">
        <v>3.73</v>
      </c>
      <c r="G1108" s="8">
        <f>E1108*60/F1108</f>
        <v>24.45040214477212</v>
      </c>
    </row>
    <row r="1109" spans="1:7" x14ac:dyDescent="0.25">
      <c r="A1109" s="5">
        <v>45808.729166666664</v>
      </c>
      <c r="B1109">
        <v>6</v>
      </c>
      <c r="C1109" t="s">
        <v>11</v>
      </c>
      <c r="D1109" t="s">
        <v>12</v>
      </c>
      <c r="E1109">
        <v>1.5</v>
      </c>
      <c r="F1109">
        <v>2.63</v>
      </c>
      <c r="G1109" s="8">
        <f>E1109*60/F1109</f>
        <v>34.220532319391637</v>
      </c>
    </row>
    <row r="1110" spans="1:7" x14ac:dyDescent="0.25">
      <c r="A1110" s="5">
        <v>45808.729166666664</v>
      </c>
      <c r="B1110">
        <v>7</v>
      </c>
      <c r="C1110" t="s">
        <v>12</v>
      </c>
      <c r="D1110" t="s">
        <v>13</v>
      </c>
      <c r="E1110">
        <v>1.54</v>
      </c>
      <c r="F1110">
        <v>2.68</v>
      </c>
      <c r="G1110" s="8">
        <f>E1110*60/F1110</f>
        <v>34.477611940298509</v>
      </c>
    </row>
    <row r="1111" spans="1:7" x14ac:dyDescent="0.25">
      <c r="A1111" s="5">
        <v>45808.729166666664</v>
      </c>
      <c r="B1111">
        <v>8</v>
      </c>
      <c r="C1111" t="s">
        <v>13</v>
      </c>
      <c r="D1111" t="s">
        <v>14</v>
      </c>
      <c r="E1111">
        <v>1.54</v>
      </c>
      <c r="F1111">
        <v>3.23</v>
      </c>
      <c r="G1111" s="8">
        <f>E1111*60/F1111</f>
        <v>28.606811145510839</v>
      </c>
    </row>
    <row r="1112" spans="1:7" x14ac:dyDescent="0.25">
      <c r="A1112" s="5">
        <v>45808.729166666664</v>
      </c>
      <c r="B1112">
        <v>9</v>
      </c>
      <c r="C1112" t="s">
        <v>14</v>
      </c>
      <c r="D1112" t="s">
        <v>15</v>
      </c>
      <c r="E1112">
        <v>1.52</v>
      </c>
      <c r="F1112">
        <v>4.05</v>
      </c>
      <c r="G1112" s="8">
        <f>E1112*60/F1112</f>
        <v>22.518518518518519</v>
      </c>
    </row>
    <row r="1113" spans="1:7" x14ac:dyDescent="0.25">
      <c r="A1113" s="5">
        <v>45808.729166666664</v>
      </c>
      <c r="B1113">
        <v>10</v>
      </c>
      <c r="C1113" t="s">
        <v>15</v>
      </c>
      <c r="D1113" t="s">
        <v>16</v>
      </c>
      <c r="E1113">
        <v>1.5</v>
      </c>
      <c r="F1113">
        <v>4.22</v>
      </c>
      <c r="G1113" s="8">
        <f>E1113*60/F1113</f>
        <v>21.327014218009481</v>
      </c>
    </row>
    <row r="1114" spans="1:7" x14ac:dyDescent="0.25">
      <c r="A1114" s="5">
        <v>45808.729166666664</v>
      </c>
      <c r="B1114">
        <v>11</v>
      </c>
      <c r="C1114" t="s">
        <v>16</v>
      </c>
      <c r="D1114" t="s">
        <v>17</v>
      </c>
      <c r="E1114">
        <v>1.48</v>
      </c>
      <c r="F1114">
        <v>2.4500000000000002</v>
      </c>
      <c r="G1114" s="8">
        <f>E1114*60/F1114</f>
        <v>36.244897959183668</v>
      </c>
    </row>
    <row r="1115" spans="1:7" x14ac:dyDescent="0.25">
      <c r="A1115" s="5">
        <v>45808.729166666664</v>
      </c>
      <c r="B1115">
        <v>12</v>
      </c>
      <c r="C1115" t="s">
        <v>17</v>
      </c>
      <c r="D1115" t="s">
        <v>18</v>
      </c>
      <c r="E1115">
        <v>1.46</v>
      </c>
      <c r="F1115">
        <v>3.48</v>
      </c>
      <c r="G1115" s="8">
        <f>E1115*60/F1115</f>
        <v>25.172413793103448</v>
      </c>
    </row>
    <row r="1116" spans="1:7" x14ac:dyDescent="0.25">
      <c r="A1116" s="5">
        <v>45808.729166666664</v>
      </c>
      <c r="B1116">
        <v>13</v>
      </c>
      <c r="C1116" t="s">
        <v>18</v>
      </c>
      <c r="D1116" t="s">
        <v>19</v>
      </c>
      <c r="E1116">
        <v>1.52</v>
      </c>
      <c r="F1116">
        <v>3.43</v>
      </c>
      <c r="G1116" s="8">
        <f>E1116*60/F1116</f>
        <v>26.588921282798832</v>
      </c>
    </row>
    <row r="1117" spans="1:7" x14ac:dyDescent="0.25">
      <c r="A1117" s="5">
        <v>45808.729166666664</v>
      </c>
      <c r="B1117">
        <v>14</v>
      </c>
      <c r="C1117" t="s">
        <v>19</v>
      </c>
      <c r="D1117" t="s">
        <v>20</v>
      </c>
      <c r="E1117">
        <v>1.51</v>
      </c>
      <c r="F1117">
        <v>3.47</v>
      </c>
      <c r="G1117" s="8">
        <f>E1117*60/F1117</f>
        <v>26.109510086455327</v>
      </c>
    </row>
    <row r="1118" spans="1:7" x14ac:dyDescent="0.25">
      <c r="A1118" s="5">
        <v>45808.729166666664</v>
      </c>
      <c r="B1118">
        <v>15</v>
      </c>
      <c r="C1118" t="s">
        <v>20</v>
      </c>
      <c r="D1118" t="s">
        <v>21</v>
      </c>
      <c r="E1118">
        <v>1.47</v>
      </c>
      <c r="F1118">
        <v>2.2799999999999998</v>
      </c>
      <c r="G1118" s="8">
        <f>E1118*60/F1118</f>
        <v>38.684210526315795</v>
      </c>
    </row>
    <row r="1119" spans="1:7" x14ac:dyDescent="0.25">
      <c r="A1119" s="5">
        <v>45808.729166666664</v>
      </c>
      <c r="B1119">
        <v>16</v>
      </c>
      <c r="C1119" t="s">
        <v>21</v>
      </c>
      <c r="D1119" t="s">
        <v>22</v>
      </c>
      <c r="E1119">
        <v>1.5</v>
      </c>
      <c r="F1119">
        <v>1.75</v>
      </c>
      <c r="G1119" s="8">
        <f>E1119*60/F1119</f>
        <v>51.428571428571431</v>
      </c>
    </row>
    <row r="1120" spans="1:7" x14ac:dyDescent="0.25">
      <c r="A1120" s="5">
        <v>45808.729166666664</v>
      </c>
      <c r="B1120">
        <v>17</v>
      </c>
      <c r="C1120" t="s">
        <v>22</v>
      </c>
      <c r="D1120" t="s">
        <v>23</v>
      </c>
      <c r="E1120">
        <v>1.51</v>
      </c>
      <c r="F1120">
        <v>2.7</v>
      </c>
      <c r="G1120" s="8">
        <f>E1120*60/F1120</f>
        <v>33.55555555555555</v>
      </c>
    </row>
    <row r="1121" spans="1:7" x14ac:dyDescent="0.25">
      <c r="A1121" s="5">
        <v>45808.729166666664</v>
      </c>
      <c r="B1121">
        <v>18</v>
      </c>
      <c r="C1121" t="s">
        <v>23</v>
      </c>
      <c r="D1121" t="s">
        <v>24</v>
      </c>
      <c r="E1121">
        <v>1.51</v>
      </c>
      <c r="F1121">
        <v>2.98</v>
      </c>
      <c r="G1121" s="8">
        <f>E1121*60/F1121</f>
        <v>30.402684563758388</v>
      </c>
    </row>
    <row r="1122" spans="1:7" x14ac:dyDescent="0.25">
      <c r="A1122" s="5">
        <v>45808.729166666664</v>
      </c>
      <c r="B1122">
        <v>19</v>
      </c>
      <c r="C1122" t="s">
        <v>25</v>
      </c>
      <c r="D1122" t="s">
        <v>26</v>
      </c>
      <c r="E1122">
        <v>1.5</v>
      </c>
      <c r="F1122">
        <v>3.55</v>
      </c>
      <c r="G1122" s="8">
        <f>E1122*60/F1122</f>
        <v>25.35211267605634</v>
      </c>
    </row>
    <row r="1123" spans="1:7" x14ac:dyDescent="0.25">
      <c r="A1123" s="5">
        <v>45808.729166666664</v>
      </c>
      <c r="B1123">
        <v>20</v>
      </c>
      <c r="C1123" t="s">
        <v>26</v>
      </c>
      <c r="D1123" t="s">
        <v>27</v>
      </c>
      <c r="E1123">
        <v>1.48</v>
      </c>
      <c r="F1123">
        <v>3.32</v>
      </c>
      <c r="G1123" s="8">
        <f>E1123*60/F1123</f>
        <v>26.746987951807231</v>
      </c>
    </row>
    <row r="1124" spans="1:7" x14ac:dyDescent="0.25">
      <c r="A1124" s="5">
        <v>45808.729166666664</v>
      </c>
      <c r="B1124">
        <v>21</v>
      </c>
      <c r="C1124" t="s">
        <v>27</v>
      </c>
      <c r="D1124" t="s">
        <v>28</v>
      </c>
      <c r="E1124">
        <v>1.51</v>
      </c>
      <c r="F1124">
        <v>3.2</v>
      </c>
      <c r="G1124" s="8">
        <f>E1124*60/F1124</f>
        <v>28.312499999999996</v>
      </c>
    </row>
    <row r="1125" spans="1:7" x14ac:dyDescent="0.25">
      <c r="A1125" s="5">
        <v>45808.729166666664</v>
      </c>
      <c r="B1125">
        <v>22</v>
      </c>
      <c r="C1125" t="s">
        <v>28</v>
      </c>
      <c r="D1125" t="s">
        <v>29</v>
      </c>
      <c r="E1125">
        <v>1.57</v>
      </c>
      <c r="F1125">
        <v>3.28</v>
      </c>
      <c r="G1125" s="8">
        <f>E1125*60/F1125</f>
        <v>28.719512195121954</v>
      </c>
    </row>
    <row r="1126" spans="1:7" x14ac:dyDescent="0.25">
      <c r="A1126" s="5">
        <v>45808.729166666664</v>
      </c>
      <c r="B1126">
        <v>23</v>
      </c>
      <c r="C1126" t="s">
        <v>29</v>
      </c>
      <c r="D1126" t="s">
        <v>30</v>
      </c>
      <c r="E1126">
        <v>1.43</v>
      </c>
      <c r="F1126">
        <v>3.68</v>
      </c>
      <c r="G1126" s="8">
        <f>E1126*60/F1126</f>
        <v>23.315217391304348</v>
      </c>
    </row>
    <row r="1127" spans="1:7" x14ac:dyDescent="0.25">
      <c r="A1127" s="5">
        <v>45808.729166666664</v>
      </c>
      <c r="B1127">
        <v>24</v>
      </c>
      <c r="C1127" t="s">
        <v>30</v>
      </c>
      <c r="D1127" t="s">
        <v>31</v>
      </c>
      <c r="E1127">
        <v>1.52</v>
      </c>
      <c r="F1127">
        <v>3.42</v>
      </c>
      <c r="G1127" s="8">
        <f>E1127*60/F1127</f>
        <v>26.666666666666668</v>
      </c>
    </row>
    <row r="1128" spans="1:7" x14ac:dyDescent="0.25">
      <c r="A1128" s="5">
        <v>45808.729166666664</v>
      </c>
      <c r="B1128">
        <v>25</v>
      </c>
      <c r="C1128" t="s">
        <v>31</v>
      </c>
      <c r="D1128" t="s">
        <v>32</v>
      </c>
      <c r="E1128">
        <v>1.52</v>
      </c>
      <c r="F1128">
        <v>3.2</v>
      </c>
      <c r="G1128" s="8">
        <f>E1128*60/F1128</f>
        <v>28.5</v>
      </c>
    </row>
    <row r="1129" spans="1:7" x14ac:dyDescent="0.25">
      <c r="A1129" s="5">
        <v>45808.729166666664</v>
      </c>
      <c r="B1129">
        <v>26</v>
      </c>
      <c r="C1129" t="s">
        <v>32</v>
      </c>
      <c r="D1129" t="s">
        <v>33</v>
      </c>
      <c r="E1129">
        <v>1.49</v>
      </c>
      <c r="F1129">
        <v>4.42</v>
      </c>
      <c r="G1129" s="8">
        <f>E1129*60/F1129</f>
        <v>20.226244343891405</v>
      </c>
    </row>
    <row r="1130" spans="1:7" x14ac:dyDescent="0.25">
      <c r="A1130" s="5">
        <v>45808.729166666664</v>
      </c>
      <c r="B1130">
        <v>27</v>
      </c>
      <c r="C1130" t="s">
        <v>33</v>
      </c>
      <c r="D1130" t="s">
        <v>34</v>
      </c>
      <c r="E1130">
        <v>1.53</v>
      </c>
      <c r="F1130">
        <v>5.35</v>
      </c>
      <c r="G1130" s="8">
        <f>E1130*60/F1130</f>
        <v>17.158878504672899</v>
      </c>
    </row>
    <row r="1131" spans="1:7" x14ac:dyDescent="0.25">
      <c r="A1131" s="5">
        <v>45808.729166666664</v>
      </c>
      <c r="B1131">
        <v>28</v>
      </c>
      <c r="C1131" t="s">
        <v>34</v>
      </c>
      <c r="D1131" t="s">
        <v>35</v>
      </c>
      <c r="E1131">
        <v>1.51</v>
      </c>
      <c r="F1131">
        <v>4.1500000000000004</v>
      </c>
      <c r="G1131" s="8">
        <f>E1131*60/F1131</f>
        <v>21.831325301204817</v>
      </c>
    </row>
    <row r="1132" spans="1:7" x14ac:dyDescent="0.25">
      <c r="A1132" s="5">
        <v>45808.729166666664</v>
      </c>
      <c r="B1132">
        <v>29</v>
      </c>
      <c r="C1132" t="s">
        <v>36</v>
      </c>
      <c r="D1132" t="s">
        <v>37</v>
      </c>
      <c r="E1132">
        <v>1.57</v>
      </c>
      <c r="F1132">
        <v>3.62</v>
      </c>
      <c r="G1132" s="8">
        <f>E1132*60/F1132</f>
        <v>26.022099447513813</v>
      </c>
    </row>
    <row r="1133" spans="1:7" x14ac:dyDescent="0.25">
      <c r="A1133" s="5">
        <v>45808.729166666664</v>
      </c>
      <c r="B1133">
        <v>30</v>
      </c>
      <c r="C1133" t="s">
        <v>37</v>
      </c>
      <c r="D1133" t="s">
        <v>38</v>
      </c>
      <c r="E1133">
        <v>1.57</v>
      </c>
      <c r="F1133">
        <v>3.97</v>
      </c>
      <c r="G1133" s="8">
        <f>E1133*60/F1133</f>
        <v>23.727959697732999</v>
      </c>
    </row>
    <row r="1134" spans="1:7" x14ac:dyDescent="0.25">
      <c r="A1134" s="5">
        <v>45808.729166666664</v>
      </c>
      <c r="B1134">
        <v>31</v>
      </c>
      <c r="C1134" t="s">
        <v>38</v>
      </c>
      <c r="D1134" t="s">
        <v>39</v>
      </c>
      <c r="E1134">
        <v>1.52</v>
      </c>
      <c r="F1134">
        <v>2.75</v>
      </c>
      <c r="G1134" s="8">
        <f>E1134*60/F1134</f>
        <v>33.163636363636364</v>
      </c>
    </row>
    <row r="1135" spans="1:7" x14ac:dyDescent="0.25">
      <c r="A1135" s="5">
        <v>45808.729166666664</v>
      </c>
      <c r="B1135">
        <v>32</v>
      </c>
      <c r="C1135" t="s">
        <v>39</v>
      </c>
      <c r="D1135" t="s">
        <v>40</v>
      </c>
      <c r="E1135">
        <v>1.5</v>
      </c>
      <c r="F1135">
        <v>1.87</v>
      </c>
      <c r="G1135" s="8">
        <f>E1135*60/F1135</f>
        <v>48.128342245989302</v>
      </c>
    </row>
    <row r="1136" spans="1:7" x14ac:dyDescent="0.25">
      <c r="A1136" s="5">
        <v>45808.729166666664</v>
      </c>
      <c r="B1136">
        <v>33</v>
      </c>
      <c r="C1136" t="s">
        <v>40</v>
      </c>
      <c r="D1136" t="s">
        <v>41</v>
      </c>
      <c r="E1136">
        <v>1.51</v>
      </c>
      <c r="F1136">
        <v>2.2200000000000002</v>
      </c>
      <c r="G1136" s="8">
        <f>E1136*60/F1136</f>
        <v>40.810810810810807</v>
      </c>
    </row>
    <row r="1137" spans="1:7" x14ac:dyDescent="0.25">
      <c r="A1137" s="5">
        <v>45808.729166666664</v>
      </c>
      <c r="B1137">
        <v>34</v>
      </c>
      <c r="C1137" t="s">
        <v>41</v>
      </c>
      <c r="D1137" t="s">
        <v>42</v>
      </c>
      <c r="E1137">
        <v>1.5</v>
      </c>
      <c r="F1137">
        <v>1.83</v>
      </c>
      <c r="G1137" s="8">
        <f>E1137*60/F1137</f>
        <v>49.180327868852459</v>
      </c>
    </row>
    <row r="1138" spans="1:7" x14ac:dyDescent="0.25">
      <c r="A1138" s="5">
        <v>45808.729166666664</v>
      </c>
      <c r="B1138">
        <v>35</v>
      </c>
      <c r="C1138" t="s">
        <v>43</v>
      </c>
      <c r="D1138" t="s">
        <v>44</v>
      </c>
      <c r="E1138">
        <v>1.55</v>
      </c>
      <c r="F1138">
        <v>3.7</v>
      </c>
      <c r="G1138" s="8">
        <f>E1138*60/F1138</f>
        <v>25.135135135135133</v>
      </c>
    </row>
    <row r="1139" spans="1:7" x14ac:dyDescent="0.25">
      <c r="A1139" s="5">
        <v>45808.729166666664</v>
      </c>
      <c r="B1139">
        <v>36</v>
      </c>
      <c r="C1139" t="s">
        <v>44</v>
      </c>
      <c r="D1139" t="s">
        <v>45</v>
      </c>
      <c r="E1139">
        <v>1.5</v>
      </c>
      <c r="F1139">
        <v>3.22</v>
      </c>
      <c r="G1139" s="8">
        <f>E1139*60/F1139</f>
        <v>27.950310559006208</v>
      </c>
    </row>
    <row r="1140" spans="1:7" x14ac:dyDescent="0.25">
      <c r="A1140" s="5">
        <v>45808.729166666664</v>
      </c>
      <c r="B1140">
        <v>37</v>
      </c>
      <c r="C1140" t="s">
        <v>45</v>
      </c>
      <c r="D1140" t="s">
        <v>46</v>
      </c>
      <c r="E1140">
        <v>1.38</v>
      </c>
      <c r="F1140">
        <v>4.07</v>
      </c>
      <c r="G1140" s="8">
        <f>E1140*60/F1140</f>
        <v>20.343980343980341</v>
      </c>
    </row>
    <row r="1141" spans="1:7" x14ac:dyDescent="0.25">
      <c r="A1141" s="5">
        <v>45808.729166666664</v>
      </c>
      <c r="B1141">
        <v>38</v>
      </c>
      <c r="C1141" t="s">
        <v>46</v>
      </c>
      <c r="D1141" t="s">
        <v>47</v>
      </c>
      <c r="E1141">
        <v>1.61</v>
      </c>
      <c r="F1141">
        <v>4.1500000000000004</v>
      </c>
      <c r="G1141" s="8">
        <f>E1141*60/F1141</f>
        <v>23.277108433734941</v>
      </c>
    </row>
    <row r="1142" spans="1:7" x14ac:dyDescent="0.25">
      <c r="A1142" s="5">
        <v>45808.729166666664</v>
      </c>
      <c r="B1142">
        <v>39</v>
      </c>
      <c r="C1142" t="s">
        <v>47</v>
      </c>
      <c r="D1142" t="s">
        <v>48</v>
      </c>
      <c r="E1142">
        <v>1.55</v>
      </c>
      <c r="F1142">
        <v>3.55</v>
      </c>
      <c r="G1142" s="8">
        <f>E1142*60/F1142</f>
        <v>26.197183098591552</v>
      </c>
    </row>
    <row r="1143" spans="1:7" x14ac:dyDescent="0.25">
      <c r="A1143" s="5">
        <v>45808.729166666664</v>
      </c>
      <c r="B1143">
        <v>40</v>
      </c>
      <c r="C1143" t="s">
        <v>48</v>
      </c>
      <c r="D1143" t="s">
        <v>49</v>
      </c>
      <c r="E1143">
        <v>1.39</v>
      </c>
      <c r="F1143">
        <v>2.98</v>
      </c>
      <c r="G1143" s="8">
        <f>E1143*60/F1143</f>
        <v>27.986577181208052</v>
      </c>
    </row>
    <row r="1144" spans="1:7" x14ac:dyDescent="0.25">
      <c r="A1144" s="5">
        <v>45808.729166666664</v>
      </c>
      <c r="B1144">
        <v>41</v>
      </c>
      <c r="C1144" t="s">
        <v>50</v>
      </c>
      <c r="D1144" t="s">
        <v>51</v>
      </c>
      <c r="E1144">
        <v>1.56</v>
      </c>
      <c r="F1144">
        <v>3.82</v>
      </c>
      <c r="G1144" s="8">
        <f>E1144*60/F1144</f>
        <v>24.502617801047123</v>
      </c>
    </row>
    <row r="1145" spans="1:7" x14ac:dyDescent="0.25">
      <c r="A1145" s="5">
        <v>45808.729166666664</v>
      </c>
      <c r="B1145">
        <v>42</v>
      </c>
      <c r="C1145" t="s">
        <v>51</v>
      </c>
      <c r="D1145" t="s">
        <v>52</v>
      </c>
      <c r="E1145">
        <v>1.56</v>
      </c>
      <c r="F1145">
        <v>4.03</v>
      </c>
      <c r="G1145" s="8">
        <f>E1145*60/F1145</f>
        <v>23.225806451612904</v>
      </c>
    </row>
    <row r="1146" spans="1:7" x14ac:dyDescent="0.25">
      <c r="A1146" s="5">
        <v>45808.729166666664</v>
      </c>
      <c r="B1146">
        <v>43</v>
      </c>
      <c r="C1146" t="s">
        <v>52</v>
      </c>
      <c r="D1146" t="s">
        <v>53</v>
      </c>
      <c r="E1146">
        <v>1.51</v>
      </c>
      <c r="F1146">
        <v>3.43</v>
      </c>
      <c r="G1146" s="8">
        <f>E1146*60/F1146</f>
        <v>26.413994169096206</v>
      </c>
    </row>
    <row r="1147" spans="1:7" x14ac:dyDescent="0.25">
      <c r="A1147" s="5">
        <v>45808.729166666664</v>
      </c>
      <c r="B1147">
        <v>44</v>
      </c>
      <c r="C1147" t="s">
        <v>54</v>
      </c>
      <c r="D1147" t="s">
        <v>55</v>
      </c>
      <c r="E1147">
        <v>1.51</v>
      </c>
      <c r="F1147">
        <v>4</v>
      </c>
      <c r="G1147" s="8">
        <f>E1147*60/F1147</f>
        <v>22.65</v>
      </c>
    </row>
    <row r="1148" spans="1:7" x14ac:dyDescent="0.25">
      <c r="A1148" s="5">
        <v>45808.729166666664</v>
      </c>
      <c r="B1148">
        <v>45</v>
      </c>
      <c r="C1148" t="s">
        <v>55</v>
      </c>
      <c r="D1148" t="s">
        <v>56</v>
      </c>
      <c r="E1148">
        <v>1.49</v>
      </c>
      <c r="F1148">
        <v>3.35</v>
      </c>
      <c r="G1148" s="8">
        <f>E1148*60/F1148</f>
        <v>26.686567164179106</v>
      </c>
    </row>
    <row r="1149" spans="1:7" x14ac:dyDescent="0.25">
      <c r="A1149" s="5">
        <v>45808.729166666664</v>
      </c>
      <c r="B1149">
        <v>46</v>
      </c>
      <c r="C1149" t="s">
        <v>56</v>
      </c>
      <c r="D1149" t="s">
        <v>57</v>
      </c>
      <c r="E1149">
        <v>1.52</v>
      </c>
      <c r="F1149">
        <v>3.73</v>
      </c>
      <c r="G1149" s="8">
        <f>E1149*60/F1149</f>
        <v>24.45040214477212</v>
      </c>
    </row>
    <row r="1150" spans="1:7" x14ac:dyDescent="0.25">
      <c r="A1150" s="5">
        <v>45808.729166666664</v>
      </c>
      <c r="B1150">
        <v>47</v>
      </c>
      <c r="C1150" t="s">
        <v>58</v>
      </c>
      <c r="D1150" t="s">
        <v>59</v>
      </c>
      <c r="E1150">
        <v>1.52</v>
      </c>
      <c r="F1150">
        <v>4.03</v>
      </c>
      <c r="G1150" s="8">
        <f>E1150*60/F1150</f>
        <v>22.630272952853598</v>
      </c>
    </row>
    <row r="1151" spans="1:7" x14ac:dyDescent="0.25">
      <c r="A1151" s="5">
        <v>45808.729166666664</v>
      </c>
      <c r="B1151">
        <v>48</v>
      </c>
      <c r="C1151" t="s">
        <v>59</v>
      </c>
      <c r="D1151" t="s">
        <v>60</v>
      </c>
      <c r="E1151">
        <v>1.5</v>
      </c>
      <c r="F1151">
        <v>3.78</v>
      </c>
      <c r="G1151" s="8">
        <f>E1151*60/F1151</f>
        <v>23.80952380952381</v>
      </c>
    </row>
    <row r="1152" spans="1:7" x14ac:dyDescent="0.25">
      <c r="A1152" s="5">
        <v>45808.729166666664</v>
      </c>
      <c r="B1152">
        <v>49</v>
      </c>
      <c r="C1152" t="s">
        <v>60</v>
      </c>
      <c r="D1152" t="s">
        <v>61</v>
      </c>
      <c r="E1152">
        <v>1.54</v>
      </c>
      <c r="F1152">
        <v>4.17</v>
      </c>
      <c r="G1152" s="8">
        <f>E1152*60/F1152</f>
        <v>22.158273381294965</v>
      </c>
    </row>
    <row r="1153" spans="1:7" x14ac:dyDescent="0.25">
      <c r="A1153" s="5">
        <v>45808.729166666664</v>
      </c>
      <c r="B1153">
        <v>50</v>
      </c>
      <c r="C1153" t="s">
        <v>62</v>
      </c>
      <c r="D1153" t="s">
        <v>63</v>
      </c>
      <c r="E1153">
        <v>1.38</v>
      </c>
      <c r="F1153">
        <v>3.17</v>
      </c>
      <c r="G1153" s="8">
        <f>E1153*60/F1153</f>
        <v>26.119873817034701</v>
      </c>
    </row>
    <row r="1154" spans="1:7" x14ac:dyDescent="0.25">
      <c r="A1154" s="5">
        <v>45808.729166666664</v>
      </c>
      <c r="B1154">
        <v>51</v>
      </c>
      <c r="C1154" t="s">
        <v>63</v>
      </c>
      <c r="D1154" t="s">
        <v>64</v>
      </c>
      <c r="E1154">
        <v>2.79</v>
      </c>
      <c r="F1154">
        <v>5.6</v>
      </c>
      <c r="G1154" s="8">
        <f>E1154*60/F1154</f>
        <v>29.892857142857146</v>
      </c>
    </row>
    <row r="1155" spans="1:7" x14ac:dyDescent="0.25">
      <c r="A1155" s="5">
        <v>45808.729166666664</v>
      </c>
      <c r="B1155">
        <v>52</v>
      </c>
      <c r="C1155" t="s">
        <v>64</v>
      </c>
      <c r="D1155" t="s">
        <v>65</v>
      </c>
      <c r="E1155">
        <v>1.5</v>
      </c>
      <c r="F1155">
        <v>2.78</v>
      </c>
      <c r="G1155" s="8">
        <f>E1155*60/F1155</f>
        <v>32.374100719424462</v>
      </c>
    </row>
    <row r="1156" spans="1:7" x14ac:dyDescent="0.25">
      <c r="A1156" s="5">
        <v>45808.729166666664</v>
      </c>
      <c r="B1156">
        <v>53</v>
      </c>
      <c r="C1156" t="s">
        <v>65</v>
      </c>
      <c r="D1156" t="s">
        <v>66</v>
      </c>
      <c r="E1156">
        <v>1.46</v>
      </c>
      <c r="F1156">
        <v>3.6</v>
      </c>
      <c r="G1156" s="8">
        <f>E1156*60/F1156</f>
        <v>24.333333333333332</v>
      </c>
    </row>
    <row r="1157" spans="1:7" x14ac:dyDescent="0.25">
      <c r="A1157" s="5">
        <v>45808.729166666664</v>
      </c>
      <c r="B1157">
        <v>54</v>
      </c>
      <c r="C1157" t="s">
        <v>67</v>
      </c>
      <c r="D1157" t="s">
        <v>68</v>
      </c>
      <c r="E1157">
        <v>1.46</v>
      </c>
      <c r="F1157">
        <v>2.83</v>
      </c>
      <c r="G1157" s="8">
        <f>E1157*60/F1157</f>
        <v>30.954063604240279</v>
      </c>
    </row>
    <row r="1158" spans="1:7" x14ac:dyDescent="0.25">
      <c r="A1158" s="5">
        <v>45808.729166666664</v>
      </c>
      <c r="B1158">
        <v>55</v>
      </c>
      <c r="C1158" t="s">
        <v>68</v>
      </c>
      <c r="D1158" t="s">
        <v>69</v>
      </c>
      <c r="E1158">
        <v>1.5</v>
      </c>
      <c r="F1158">
        <v>1.97</v>
      </c>
      <c r="G1158" s="8">
        <f>E1158*60/F1158</f>
        <v>45.685279187817258</v>
      </c>
    </row>
    <row r="1159" spans="1:7" x14ac:dyDescent="0.25">
      <c r="A1159" s="5">
        <v>45808.729166666664</v>
      </c>
      <c r="B1159">
        <v>56</v>
      </c>
      <c r="C1159" t="s">
        <v>70</v>
      </c>
      <c r="D1159" t="s">
        <v>71</v>
      </c>
      <c r="E1159">
        <v>1.51</v>
      </c>
      <c r="F1159">
        <v>4.03</v>
      </c>
      <c r="G1159" s="8">
        <f>E1159*60/F1159</f>
        <v>22.481389578163768</v>
      </c>
    </row>
    <row r="1160" spans="1:7" x14ac:dyDescent="0.25">
      <c r="A1160" s="5">
        <v>45808.729166666664</v>
      </c>
      <c r="B1160">
        <v>57</v>
      </c>
      <c r="C1160" t="s">
        <v>71</v>
      </c>
      <c r="D1160" t="s">
        <v>72</v>
      </c>
      <c r="E1160">
        <v>1.52</v>
      </c>
      <c r="F1160">
        <v>3.95</v>
      </c>
      <c r="G1160" s="8">
        <f>E1160*60/F1160</f>
        <v>23.088607594936708</v>
      </c>
    </row>
    <row r="1161" spans="1:7" x14ac:dyDescent="0.25">
      <c r="A1161" s="5">
        <v>45808.729166666664</v>
      </c>
      <c r="B1161">
        <v>58</v>
      </c>
      <c r="C1161" t="s">
        <v>72</v>
      </c>
      <c r="D1161" t="s">
        <v>73</v>
      </c>
      <c r="E1161">
        <v>1.5</v>
      </c>
      <c r="F1161">
        <v>3.88</v>
      </c>
      <c r="G1161" s="8">
        <f>E1161*60/F1161</f>
        <v>23.195876288659793</v>
      </c>
    </row>
    <row r="1162" spans="1:7" x14ac:dyDescent="0.25">
      <c r="A1162" s="5">
        <v>45808.739583333336</v>
      </c>
      <c r="B1162">
        <v>1</v>
      </c>
      <c r="C1162" t="s">
        <v>6</v>
      </c>
      <c r="D1162" t="s">
        <v>7</v>
      </c>
      <c r="E1162">
        <v>1.53</v>
      </c>
      <c r="F1162">
        <v>3.03</v>
      </c>
      <c r="G1162" s="8">
        <f>E1162*60/F1162</f>
        <v>30.297029702970299</v>
      </c>
    </row>
    <row r="1163" spans="1:7" x14ac:dyDescent="0.25">
      <c r="A1163" s="5">
        <v>45808.739583333336</v>
      </c>
      <c r="B1163">
        <v>2</v>
      </c>
      <c r="C1163" t="s">
        <v>7</v>
      </c>
      <c r="D1163" t="s">
        <v>8</v>
      </c>
      <c r="E1163">
        <v>1.57</v>
      </c>
      <c r="F1163">
        <v>5.07</v>
      </c>
      <c r="G1163" s="8">
        <f>E1163*60/F1163</f>
        <v>18.579881656804734</v>
      </c>
    </row>
    <row r="1164" spans="1:7" x14ac:dyDescent="0.25">
      <c r="A1164" s="5">
        <v>45808.739583333336</v>
      </c>
      <c r="B1164">
        <v>3</v>
      </c>
      <c r="C1164" t="s">
        <v>8</v>
      </c>
      <c r="D1164" t="s">
        <v>9</v>
      </c>
      <c r="E1164">
        <v>1.5</v>
      </c>
      <c r="F1164">
        <v>3.02</v>
      </c>
      <c r="G1164" s="8">
        <f>E1164*60/F1164</f>
        <v>29.801324503311257</v>
      </c>
    </row>
    <row r="1165" spans="1:7" x14ac:dyDescent="0.25">
      <c r="A1165" s="5">
        <v>45808.739583333336</v>
      </c>
      <c r="B1165">
        <v>4</v>
      </c>
      <c r="C1165" t="s">
        <v>9</v>
      </c>
      <c r="D1165" t="s">
        <v>10</v>
      </c>
      <c r="E1165">
        <v>1.5</v>
      </c>
      <c r="F1165">
        <v>3.08</v>
      </c>
      <c r="G1165" s="8">
        <f>E1165*60/F1165</f>
        <v>29.220779220779221</v>
      </c>
    </row>
    <row r="1166" spans="1:7" x14ac:dyDescent="0.25">
      <c r="A1166" s="5">
        <v>45808.739583333336</v>
      </c>
      <c r="B1166">
        <v>5</v>
      </c>
      <c r="C1166" t="s">
        <v>10</v>
      </c>
      <c r="D1166" t="s">
        <v>11</v>
      </c>
      <c r="E1166">
        <v>1.52</v>
      </c>
      <c r="F1166">
        <v>3.1</v>
      </c>
      <c r="G1166" s="8">
        <f>E1166*60/F1166</f>
        <v>29.419354838709676</v>
      </c>
    </row>
    <row r="1167" spans="1:7" x14ac:dyDescent="0.25">
      <c r="A1167" s="5">
        <v>45808.739583333336</v>
      </c>
      <c r="B1167">
        <v>6</v>
      </c>
      <c r="C1167" t="s">
        <v>11</v>
      </c>
      <c r="D1167" t="s">
        <v>12</v>
      </c>
      <c r="E1167">
        <v>1.5</v>
      </c>
      <c r="F1167">
        <v>2.62</v>
      </c>
      <c r="G1167" s="8">
        <f>E1167*60/F1167</f>
        <v>34.351145038167935</v>
      </c>
    </row>
    <row r="1168" spans="1:7" x14ac:dyDescent="0.25">
      <c r="A1168" s="5">
        <v>45808.739583333336</v>
      </c>
      <c r="B1168">
        <v>7</v>
      </c>
      <c r="C1168" t="s">
        <v>12</v>
      </c>
      <c r="D1168" t="s">
        <v>13</v>
      </c>
      <c r="E1168">
        <v>1.54</v>
      </c>
      <c r="F1168">
        <v>2.65</v>
      </c>
      <c r="G1168" s="8">
        <f>E1168*60/F1168</f>
        <v>34.867924528301891</v>
      </c>
    </row>
    <row r="1169" spans="1:7" x14ac:dyDescent="0.25">
      <c r="A1169" s="5">
        <v>45808.739583333336</v>
      </c>
      <c r="B1169">
        <v>8</v>
      </c>
      <c r="C1169" t="s">
        <v>13</v>
      </c>
      <c r="D1169" t="s">
        <v>14</v>
      </c>
      <c r="E1169">
        <v>1.54</v>
      </c>
      <c r="F1169">
        <v>3.03</v>
      </c>
      <c r="G1169" s="8">
        <f>E1169*60/F1169</f>
        <v>30.495049504950497</v>
      </c>
    </row>
    <row r="1170" spans="1:7" x14ac:dyDescent="0.25">
      <c r="A1170" s="5">
        <v>45808.739583333336</v>
      </c>
      <c r="B1170">
        <v>9</v>
      </c>
      <c r="C1170" t="s">
        <v>14</v>
      </c>
      <c r="D1170" t="s">
        <v>15</v>
      </c>
      <c r="E1170">
        <v>1.52</v>
      </c>
      <c r="F1170">
        <v>3.75</v>
      </c>
      <c r="G1170" s="8">
        <f>E1170*60/F1170</f>
        <v>24.32</v>
      </c>
    </row>
    <row r="1171" spans="1:7" x14ac:dyDescent="0.25">
      <c r="A1171" s="5">
        <v>45808.739583333336</v>
      </c>
      <c r="B1171">
        <v>10</v>
      </c>
      <c r="C1171" t="s">
        <v>15</v>
      </c>
      <c r="D1171" t="s">
        <v>16</v>
      </c>
      <c r="E1171">
        <v>1.5</v>
      </c>
      <c r="F1171">
        <v>3.93</v>
      </c>
      <c r="G1171" s="8">
        <f>E1171*60/F1171</f>
        <v>22.900763358778626</v>
      </c>
    </row>
    <row r="1172" spans="1:7" x14ac:dyDescent="0.25">
      <c r="A1172" s="5">
        <v>45808.739583333336</v>
      </c>
      <c r="B1172">
        <v>11</v>
      </c>
      <c r="C1172" t="s">
        <v>16</v>
      </c>
      <c r="D1172" t="s">
        <v>17</v>
      </c>
      <c r="E1172">
        <v>1.48</v>
      </c>
      <c r="F1172">
        <v>2.4700000000000002</v>
      </c>
      <c r="G1172" s="8">
        <f>E1172*60/F1172</f>
        <v>35.951417004048579</v>
      </c>
    </row>
    <row r="1173" spans="1:7" x14ac:dyDescent="0.25">
      <c r="A1173" s="5">
        <v>45808.739583333336</v>
      </c>
      <c r="B1173">
        <v>12</v>
      </c>
      <c r="C1173" t="s">
        <v>17</v>
      </c>
      <c r="D1173" t="s">
        <v>18</v>
      </c>
      <c r="E1173">
        <v>1.46</v>
      </c>
      <c r="F1173">
        <v>3.72</v>
      </c>
      <c r="G1173" s="8">
        <f>E1173*60/F1173</f>
        <v>23.548387096774192</v>
      </c>
    </row>
    <row r="1174" spans="1:7" x14ac:dyDescent="0.25">
      <c r="A1174" s="5">
        <v>45808.739583333336</v>
      </c>
      <c r="B1174">
        <v>13</v>
      </c>
      <c r="C1174" t="s">
        <v>18</v>
      </c>
      <c r="D1174" t="s">
        <v>19</v>
      </c>
      <c r="E1174">
        <v>1.52</v>
      </c>
      <c r="F1174">
        <v>3.68</v>
      </c>
      <c r="G1174" s="8">
        <f>E1174*60/F1174</f>
        <v>24.782608695652172</v>
      </c>
    </row>
    <row r="1175" spans="1:7" x14ac:dyDescent="0.25">
      <c r="A1175" s="5">
        <v>45808.739583333336</v>
      </c>
      <c r="B1175">
        <v>14</v>
      </c>
      <c r="C1175" t="s">
        <v>19</v>
      </c>
      <c r="D1175" t="s">
        <v>20</v>
      </c>
      <c r="E1175">
        <v>1.51</v>
      </c>
      <c r="F1175">
        <v>3.32</v>
      </c>
      <c r="G1175" s="8">
        <f>E1175*60/F1175</f>
        <v>27.289156626506024</v>
      </c>
    </row>
    <row r="1176" spans="1:7" x14ac:dyDescent="0.25">
      <c r="A1176" s="5">
        <v>45808.739583333336</v>
      </c>
      <c r="B1176">
        <v>15</v>
      </c>
      <c r="C1176" t="s">
        <v>20</v>
      </c>
      <c r="D1176" t="s">
        <v>21</v>
      </c>
      <c r="E1176">
        <v>1.47</v>
      </c>
      <c r="F1176">
        <v>2.2799999999999998</v>
      </c>
      <c r="G1176" s="8">
        <f>E1176*60/F1176</f>
        <v>38.684210526315795</v>
      </c>
    </row>
    <row r="1177" spans="1:7" x14ac:dyDescent="0.25">
      <c r="A1177" s="5">
        <v>45808.739583333336</v>
      </c>
      <c r="B1177">
        <v>16</v>
      </c>
      <c r="C1177" t="s">
        <v>21</v>
      </c>
      <c r="D1177" t="s">
        <v>22</v>
      </c>
      <c r="E1177">
        <v>1.5</v>
      </c>
      <c r="F1177">
        <v>1.93</v>
      </c>
      <c r="G1177" s="8">
        <f>E1177*60/F1177</f>
        <v>46.632124352331608</v>
      </c>
    </row>
    <row r="1178" spans="1:7" x14ac:dyDescent="0.25">
      <c r="A1178" s="5">
        <v>45808.739583333336</v>
      </c>
      <c r="B1178">
        <v>17</v>
      </c>
      <c r="C1178" t="s">
        <v>22</v>
      </c>
      <c r="D1178" t="s">
        <v>23</v>
      </c>
      <c r="E1178">
        <v>1.51</v>
      </c>
      <c r="F1178">
        <v>3.02</v>
      </c>
      <c r="G1178" s="8">
        <f>E1178*60/F1178</f>
        <v>29.999999999999996</v>
      </c>
    </row>
    <row r="1179" spans="1:7" x14ac:dyDescent="0.25">
      <c r="A1179" s="5">
        <v>45808.739583333336</v>
      </c>
      <c r="B1179">
        <v>18</v>
      </c>
      <c r="C1179" t="s">
        <v>23</v>
      </c>
      <c r="D1179" t="s">
        <v>24</v>
      </c>
      <c r="E1179">
        <v>1.51</v>
      </c>
      <c r="F1179">
        <v>3</v>
      </c>
      <c r="G1179" s="8">
        <f>E1179*60/F1179</f>
        <v>30.2</v>
      </c>
    </row>
    <row r="1180" spans="1:7" x14ac:dyDescent="0.25">
      <c r="A1180" s="5">
        <v>45808.739583333336</v>
      </c>
      <c r="B1180">
        <v>19</v>
      </c>
      <c r="C1180" t="s">
        <v>25</v>
      </c>
      <c r="D1180" t="s">
        <v>26</v>
      </c>
      <c r="E1180">
        <v>1.5</v>
      </c>
      <c r="F1180">
        <v>3.63</v>
      </c>
      <c r="G1180" s="8">
        <f>E1180*60/F1180</f>
        <v>24.793388429752067</v>
      </c>
    </row>
    <row r="1181" spans="1:7" x14ac:dyDescent="0.25">
      <c r="A1181" s="5">
        <v>45808.739583333336</v>
      </c>
      <c r="B1181">
        <v>20</v>
      </c>
      <c r="C1181" t="s">
        <v>26</v>
      </c>
      <c r="D1181" t="s">
        <v>27</v>
      </c>
      <c r="E1181">
        <v>1.48</v>
      </c>
      <c r="F1181">
        <v>3.22</v>
      </c>
      <c r="G1181" s="8">
        <f>E1181*60/F1181</f>
        <v>27.577639751552791</v>
      </c>
    </row>
    <row r="1182" spans="1:7" x14ac:dyDescent="0.25">
      <c r="A1182" s="5">
        <v>45808.739583333336</v>
      </c>
      <c r="B1182">
        <v>21</v>
      </c>
      <c r="C1182" t="s">
        <v>27</v>
      </c>
      <c r="D1182" t="s">
        <v>28</v>
      </c>
      <c r="E1182">
        <v>1.51</v>
      </c>
      <c r="F1182">
        <v>3.02</v>
      </c>
      <c r="G1182" s="8">
        <f>E1182*60/F1182</f>
        <v>29.999999999999996</v>
      </c>
    </row>
    <row r="1183" spans="1:7" x14ac:dyDescent="0.25">
      <c r="A1183" s="5">
        <v>45808.739583333336</v>
      </c>
      <c r="B1183">
        <v>22</v>
      </c>
      <c r="C1183" t="s">
        <v>28</v>
      </c>
      <c r="D1183" t="s">
        <v>29</v>
      </c>
      <c r="E1183">
        <v>1.57</v>
      </c>
      <c r="F1183">
        <v>3.25</v>
      </c>
      <c r="G1183" s="8">
        <f>E1183*60/F1183</f>
        <v>28.984615384615385</v>
      </c>
    </row>
    <row r="1184" spans="1:7" x14ac:dyDescent="0.25">
      <c r="A1184" s="5">
        <v>45808.739583333336</v>
      </c>
      <c r="B1184">
        <v>23</v>
      </c>
      <c r="C1184" t="s">
        <v>29</v>
      </c>
      <c r="D1184" t="s">
        <v>30</v>
      </c>
      <c r="E1184">
        <v>1.43</v>
      </c>
      <c r="F1184">
        <v>3.65</v>
      </c>
      <c r="G1184" s="8">
        <f>E1184*60/F1184</f>
        <v>23.506849315068493</v>
      </c>
    </row>
    <row r="1185" spans="1:7" x14ac:dyDescent="0.25">
      <c r="A1185" s="5">
        <v>45808.739583333336</v>
      </c>
      <c r="B1185">
        <v>24</v>
      </c>
      <c r="C1185" t="s">
        <v>30</v>
      </c>
      <c r="D1185" t="s">
        <v>31</v>
      </c>
      <c r="E1185">
        <v>1.52</v>
      </c>
      <c r="F1185">
        <v>3.28</v>
      </c>
      <c r="G1185" s="8">
        <f>E1185*60/F1185</f>
        <v>27.804878048780491</v>
      </c>
    </row>
    <row r="1186" spans="1:7" x14ac:dyDescent="0.25">
      <c r="A1186" s="5">
        <v>45808.739583333336</v>
      </c>
      <c r="B1186">
        <v>25</v>
      </c>
      <c r="C1186" t="s">
        <v>31</v>
      </c>
      <c r="D1186" t="s">
        <v>32</v>
      </c>
      <c r="E1186">
        <v>1.52</v>
      </c>
      <c r="F1186">
        <v>3.4</v>
      </c>
      <c r="G1186" s="8">
        <f>E1186*60/F1186</f>
        <v>26.823529411764707</v>
      </c>
    </row>
    <row r="1187" spans="1:7" x14ac:dyDescent="0.25">
      <c r="A1187" s="5">
        <v>45808.739583333336</v>
      </c>
      <c r="B1187">
        <v>26</v>
      </c>
      <c r="C1187" t="s">
        <v>32</v>
      </c>
      <c r="D1187" t="s">
        <v>33</v>
      </c>
      <c r="E1187">
        <v>1.49</v>
      </c>
      <c r="F1187">
        <v>3.67</v>
      </c>
      <c r="G1187" s="8">
        <f>E1187*60/F1187</f>
        <v>24.359673024523161</v>
      </c>
    </row>
    <row r="1188" spans="1:7" x14ac:dyDescent="0.25">
      <c r="A1188" s="5">
        <v>45808.739583333336</v>
      </c>
      <c r="B1188">
        <v>27</v>
      </c>
      <c r="C1188" t="s">
        <v>33</v>
      </c>
      <c r="D1188" t="s">
        <v>34</v>
      </c>
      <c r="E1188">
        <v>1.53</v>
      </c>
      <c r="F1188">
        <v>5.07</v>
      </c>
      <c r="G1188" s="8">
        <f>E1188*60/F1188</f>
        <v>18.106508875739642</v>
      </c>
    </row>
    <row r="1189" spans="1:7" x14ac:dyDescent="0.25">
      <c r="A1189" s="5">
        <v>45808.739583333336</v>
      </c>
      <c r="B1189">
        <v>28</v>
      </c>
      <c r="C1189" t="s">
        <v>34</v>
      </c>
      <c r="D1189" t="s">
        <v>35</v>
      </c>
      <c r="E1189">
        <v>1.51</v>
      </c>
      <c r="F1189">
        <v>4.2</v>
      </c>
      <c r="G1189" s="8">
        <f>E1189*60/F1189</f>
        <v>21.571428571428569</v>
      </c>
    </row>
    <row r="1190" spans="1:7" x14ac:dyDescent="0.25">
      <c r="A1190" s="5">
        <v>45808.739583333336</v>
      </c>
      <c r="B1190">
        <v>29</v>
      </c>
      <c r="C1190" t="s">
        <v>36</v>
      </c>
      <c r="D1190" t="s">
        <v>37</v>
      </c>
      <c r="E1190">
        <v>1.57</v>
      </c>
      <c r="F1190">
        <v>3.97</v>
      </c>
      <c r="G1190" s="8">
        <f>E1190*60/F1190</f>
        <v>23.727959697732999</v>
      </c>
    </row>
    <row r="1191" spans="1:7" x14ac:dyDescent="0.25">
      <c r="A1191" s="5">
        <v>45808.739583333336</v>
      </c>
      <c r="B1191">
        <v>30</v>
      </c>
      <c r="C1191" t="s">
        <v>37</v>
      </c>
      <c r="D1191" t="s">
        <v>38</v>
      </c>
      <c r="E1191">
        <v>1.57</v>
      </c>
      <c r="F1191">
        <v>4.17</v>
      </c>
      <c r="G1191" s="8">
        <f>E1191*60/F1191</f>
        <v>22.589928057553958</v>
      </c>
    </row>
    <row r="1192" spans="1:7" x14ac:dyDescent="0.25">
      <c r="A1192" s="5">
        <v>45808.739583333336</v>
      </c>
      <c r="B1192">
        <v>31</v>
      </c>
      <c r="C1192" t="s">
        <v>38</v>
      </c>
      <c r="D1192" t="s">
        <v>39</v>
      </c>
      <c r="E1192">
        <v>1.52</v>
      </c>
      <c r="F1192">
        <v>2.88</v>
      </c>
      <c r="G1192" s="8">
        <f>E1192*60/F1192</f>
        <v>31.666666666666668</v>
      </c>
    </row>
    <row r="1193" spans="1:7" x14ac:dyDescent="0.25">
      <c r="A1193" s="5">
        <v>45808.739583333336</v>
      </c>
      <c r="B1193">
        <v>32</v>
      </c>
      <c r="C1193" t="s">
        <v>39</v>
      </c>
      <c r="D1193" t="s">
        <v>40</v>
      </c>
      <c r="E1193">
        <v>1.5</v>
      </c>
      <c r="F1193">
        <v>1.8</v>
      </c>
      <c r="G1193" s="8">
        <f>E1193*60/F1193</f>
        <v>50</v>
      </c>
    </row>
    <row r="1194" spans="1:7" x14ac:dyDescent="0.25">
      <c r="A1194" s="5">
        <v>45808.739583333336</v>
      </c>
      <c r="B1194">
        <v>33</v>
      </c>
      <c r="C1194" t="s">
        <v>40</v>
      </c>
      <c r="D1194" t="s">
        <v>41</v>
      </c>
      <c r="E1194">
        <v>1.51</v>
      </c>
      <c r="F1194">
        <v>1.87</v>
      </c>
      <c r="G1194" s="8">
        <f>E1194*60/F1194</f>
        <v>48.449197860962563</v>
      </c>
    </row>
    <row r="1195" spans="1:7" x14ac:dyDescent="0.25">
      <c r="A1195" s="5">
        <v>45808.739583333336</v>
      </c>
      <c r="B1195">
        <v>34</v>
      </c>
      <c r="C1195" t="s">
        <v>41</v>
      </c>
      <c r="D1195" t="s">
        <v>42</v>
      </c>
      <c r="E1195">
        <v>1.5</v>
      </c>
      <c r="F1195">
        <v>1.95</v>
      </c>
      <c r="G1195" s="8">
        <f>E1195*60/F1195</f>
        <v>46.153846153846153</v>
      </c>
    </row>
    <row r="1196" spans="1:7" x14ac:dyDescent="0.25">
      <c r="A1196" s="5">
        <v>45808.739583333336</v>
      </c>
      <c r="B1196">
        <v>35</v>
      </c>
      <c r="C1196" t="s">
        <v>43</v>
      </c>
      <c r="D1196" t="s">
        <v>44</v>
      </c>
      <c r="E1196">
        <v>1.55</v>
      </c>
      <c r="F1196">
        <v>3.62</v>
      </c>
      <c r="G1196" s="8">
        <f>E1196*60/F1196</f>
        <v>25.69060773480663</v>
      </c>
    </row>
    <row r="1197" spans="1:7" x14ac:dyDescent="0.25">
      <c r="A1197" s="5">
        <v>45808.739583333336</v>
      </c>
      <c r="B1197">
        <v>36</v>
      </c>
      <c r="C1197" t="s">
        <v>44</v>
      </c>
      <c r="D1197" t="s">
        <v>45</v>
      </c>
      <c r="E1197">
        <v>1.5</v>
      </c>
      <c r="F1197">
        <v>3.1</v>
      </c>
      <c r="G1197" s="8">
        <f>E1197*60/F1197</f>
        <v>29.032258064516128</v>
      </c>
    </row>
    <row r="1198" spans="1:7" x14ac:dyDescent="0.25">
      <c r="A1198" s="5">
        <v>45808.739583333336</v>
      </c>
      <c r="B1198">
        <v>37</v>
      </c>
      <c r="C1198" t="s">
        <v>45</v>
      </c>
      <c r="D1198" t="s">
        <v>46</v>
      </c>
      <c r="E1198">
        <v>1.38</v>
      </c>
      <c r="F1198">
        <v>4.17</v>
      </c>
      <c r="G1198" s="8">
        <f>E1198*60/F1198</f>
        <v>19.85611510791367</v>
      </c>
    </row>
    <row r="1199" spans="1:7" x14ac:dyDescent="0.25">
      <c r="A1199" s="5">
        <v>45808.739583333336</v>
      </c>
      <c r="B1199">
        <v>38</v>
      </c>
      <c r="C1199" t="s">
        <v>46</v>
      </c>
      <c r="D1199" t="s">
        <v>47</v>
      </c>
      <c r="E1199">
        <v>1.61</v>
      </c>
      <c r="F1199">
        <v>4.2699999999999996</v>
      </c>
      <c r="G1199" s="8">
        <f>E1199*60/F1199</f>
        <v>22.622950819672134</v>
      </c>
    </row>
    <row r="1200" spans="1:7" x14ac:dyDescent="0.25">
      <c r="A1200" s="5">
        <v>45808.739583333336</v>
      </c>
      <c r="B1200">
        <v>39</v>
      </c>
      <c r="C1200" t="s">
        <v>47</v>
      </c>
      <c r="D1200" t="s">
        <v>48</v>
      </c>
      <c r="E1200">
        <v>1.55</v>
      </c>
      <c r="F1200">
        <v>3.6</v>
      </c>
      <c r="G1200" s="8">
        <f>E1200*60/F1200</f>
        <v>25.833333333333332</v>
      </c>
    </row>
    <row r="1201" spans="1:7" x14ac:dyDescent="0.25">
      <c r="A1201" s="5">
        <v>45808.739583333336</v>
      </c>
      <c r="B1201">
        <v>40</v>
      </c>
      <c r="C1201" t="s">
        <v>48</v>
      </c>
      <c r="D1201" t="s">
        <v>49</v>
      </c>
      <c r="E1201">
        <v>1.39</v>
      </c>
      <c r="F1201">
        <v>3.05</v>
      </c>
      <c r="G1201" s="8">
        <f>E1201*60/F1201</f>
        <v>27.344262295081965</v>
      </c>
    </row>
    <row r="1202" spans="1:7" x14ac:dyDescent="0.25">
      <c r="A1202" s="5">
        <v>45808.739583333336</v>
      </c>
      <c r="B1202">
        <v>41</v>
      </c>
      <c r="C1202" t="s">
        <v>50</v>
      </c>
      <c r="D1202" t="s">
        <v>51</v>
      </c>
      <c r="E1202">
        <v>1.56</v>
      </c>
      <c r="F1202">
        <v>4.12</v>
      </c>
      <c r="G1202" s="8">
        <f>E1202*60/F1202</f>
        <v>22.71844660194175</v>
      </c>
    </row>
    <row r="1203" spans="1:7" x14ac:dyDescent="0.25">
      <c r="A1203" s="5">
        <v>45808.739583333336</v>
      </c>
      <c r="B1203">
        <v>42</v>
      </c>
      <c r="C1203" t="s">
        <v>51</v>
      </c>
      <c r="D1203" t="s">
        <v>52</v>
      </c>
      <c r="E1203">
        <v>1.56</v>
      </c>
      <c r="F1203">
        <v>4.58</v>
      </c>
      <c r="G1203" s="8">
        <f>E1203*60/F1203</f>
        <v>20.436681222707424</v>
      </c>
    </row>
    <row r="1204" spans="1:7" x14ac:dyDescent="0.25">
      <c r="A1204" s="5">
        <v>45808.739583333336</v>
      </c>
      <c r="B1204">
        <v>43</v>
      </c>
      <c r="C1204" t="s">
        <v>52</v>
      </c>
      <c r="D1204" t="s">
        <v>53</v>
      </c>
      <c r="E1204">
        <v>1.51</v>
      </c>
      <c r="F1204">
        <v>3.5</v>
      </c>
      <c r="G1204" s="8">
        <f>E1204*60/F1204</f>
        <v>25.885714285714283</v>
      </c>
    </row>
    <row r="1205" spans="1:7" x14ac:dyDescent="0.25">
      <c r="A1205" s="5">
        <v>45808.739583333336</v>
      </c>
      <c r="B1205">
        <v>44</v>
      </c>
      <c r="C1205" t="s">
        <v>54</v>
      </c>
      <c r="D1205" t="s">
        <v>55</v>
      </c>
      <c r="E1205">
        <v>1.51</v>
      </c>
      <c r="F1205">
        <v>4.22</v>
      </c>
      <c r="G1205" s="8">
        <f>E1205*60/F1205</f>
        <v>21.469194312796208</v>
      </c>
    </row>
    <row r="1206" spans="1:7" x14ac:dyDescent="0.25">
      <c r="A1206" s="5">
        <v>45808.739583333336</v>
      </c>
      <c r="B1206">
        <v>45</v>
      </c>
      <c r="C1206" t="s">
        <v>55</v>
      </c>
      <c r="D1206" t="s">
        <v>56</v>
      </c>
      <c r="E1206">
        <v>1.49</v>
      </c>
      <c r="F1206">
        <v>3.63</v>
      </c>
      <c r="G1206" s="8">
        <f>E1206*60/F1206</f>
        <v>24.628099173553721</v>
      </c>
    </row>
    <row r="1207" spans="1:7" x14ac:dyDescent="0.25">
      <c r="A1207" s="5">
        <v>45808.739583333336</v>
      </c>
      <c r="B1207">
        <v>46</v>
      </c>
      <c r="C1207" t="s">
        <v>56</v>
      </c>
      <c r="D1207" t="s">
        <v>57</v>
      </c>
      <c r="E1207">
        <v>1.52</v>
      </c>
      <c r="F1207">
        <v>3.72</v>
      </c>
      <c r="G1207" s="8">
        <f>E1207*60/F1207</f>
        <v>24.516129032258064</v>
      </c>
    </row>
    <row r="1208" spans="1:7" x14ac:dyDescent="0.25">
      <c r="A1208" s="5">
        <v>45808.739583333336</v>
      </c>
      <c r="B1208">
        <v>47</v>
      </c>
      <c r="C1208" t="s">
        <v>58</v>
      </c>
      <c r="D1208" t="s">
        <v>59</v>
      </c>
      <c r="E1208">
        <v>1.52</v>
      </c>
      <c r="F1208">
        <v>3.83</v>
      </c>
      <c r="G1208" s="8">
        <f>E1208*60/F1208</f>
        <v>23.812010443864231</v>
      </c>
    </row>
    <row r="1209" spans="1:7" x14ac:dyDescent="0.25">
      <c r="A1209" s="5">
        <v>45808.739583333336</v>
      </c>
      <c r="B1209">
        <v>48</v>
      </c>
      <c r="C1209" t="s">
        <v>59</v>
      </c>
      <c r="D1209" t="s">
        <v>60</v>
      </c>
      <c r="E1209">
        <v>1.5</v>
      </c>
      <c r="F1209">
        <v>3.97</v>
      </c>
      <c r="G1209" s="8">
        <f>E1209*60/F1209</f>
        <v>22.670025188916874</v>
      </c>
    </row>
    <row r="1210" spans="1:7" x14ac:dyDescent="0.25">
      <c r="A1210" s="5">
        <v>45808.739583333336</v>
      </c>
      <c r="B1210">
        <v>49</v>
      </c>
      <c r="C1210" t="s">
        <v>60</v>
      </c>
      <c r="D1210" t="s">
        <v>61</v>
      </c>
      <c r="E1210">
        <v>1.54</v>
      </c>
      <c r="F1210">
        <v>4.3</v>
      </c>
      <c r="G1210" s="8">
        <f>E1210*60/F1210</f>
        <v>21.488372093023258</v>
      </c>
    </row>
    <row r="1211" spans="1:7" x14ac:dyDescent="0.25">
      <c r="A1211" s="5">
        <v>45808.739583333336</v>
      </c>
      <c r="B1211">
        <v>50</v>
      </c>
      <c r="C1211" t="s">
        <v>62</v>
      </c>
      <c r="D1211" t="s">
        <v>63</v>
      </c>
      <c r="E1211">
        <v>1.38</v>
      </c>
      <c r="F1211">
        <v>3.27</v>
      </c>
      <c r="G1211" s="8">
        <f>E1211*60/F1211</f>
        <v>25.321100917431192</v>
      </c>
    </row>
    <row r="1212" spans="1:7" x14ac:dyDescent="0.25">
      <c r="A1212" s="5">
        <v>45808.739583333336</v>
      </c>
      <c r="B1212">
        <v>51</v>
      </c>
      <c r="C1212" t="s">
        <v>63</v>
      </c>
      <c r="D1212" t="s">
        <v>64</v>
      </c>
      <c r="E1212">
        <v>2.79</v>
      </c>
      <c r="F1212">
        <v>5.63</v>
      </c>
      <c r="G1212" s="8">
        <f>E1212*60/F1212</f>
        <v>29.733570159857905</v>
      </c>
    </row>
    <row r="1213" spans="1:7" x14ac:dyDescent="0.25">
      <c r="A1213" s="5">
        <v>45808.739583333336</v>
      </c>
      <c r="B1213">
        <v>52</v>
      </c>
      <c r="C1213" t="s">
        <v>64</v>
      </c>
      <c r="D1213" t="s">
        <v>65</v>
      </c>
      <c r="E1213">
        <v>1.5</v>
      </c>
      <c r="F1213">
        <v>2.85</v>
      </c>
      <c r="G1213" s="8">
        <f>E1213*60/F1213</f>
        <v>31.578947368421051</v>
      </c>
    </row>
    <row r="1214" spans="1:7" x14ac:dyDescent="0.25">
      <c r="A1214" s="5">
        <v>45808.739583333336</v>
      </c>
      <c r="B1214">
        <v>53</v>
      </c>
      <c r="C1214" t="s">
        <v>65</v>
      </c>
      <c r="D1214" t="s">
        <v>66</v>
      </c>
      <c r="E1214">
        <v>1.46</v>
      </c>
      <c r="F1214">
        <v>3.65</v>
      </c>
      <c r="G1214" s="8">
        <f>E1214*60/F1214</f>
        <v>24</v>
      </c>
    </row>
    <row r="1215" spans="1:7" x14ac:dyDescent="0.25">
      <c r="A1215" s="5">
        <v>45808.739583333336</v>
      </c>
      <c r="B1215">
        <v>54</v>
      </c>
      <c r="C1215" t="s">
        <v>67</v>
      </c>
      <c r="D1215" t="s">
        <v>68</v>
      </c>
      <c r="E1215">
        <v>1.46</v>
      </c>
      <c r="F1215">
        <v>3.17</v>
      </c>
      <c r="G1215" s="8">
        <f>E1215*60/F1215</f>
        <v>27.634069400630914</v>
      </c>
    </row>
    <row r="1216" spans="1:7" x14ac:dyDescent="0.25">
      <c r="A1216" s="5">
        <v>45808.739583333336</v>
      </c>
      <c r="B1216">
        <v>55</v>
      </c>
      <c r="C1216" t="s">
        <v>68</v>
      </c>
      <c r="D1216" t="s">
        <v>69</v>
      </c>
      <c r="E1216">
        <v>1.5</v>
      </c>
      <c r="F1216">
        <v>2.35</v>
      </c>
      <c r="G1216" s="8">
        <f>E1216*60/F1216</f>
        <v>38.297872340425528</v>
      </c>
    </row>
    <row r="1217" spans="1:7" x14ac:dyDescent="0.25">
      <c r="A1217" s="5">
        <v>45808.739583333336</v>
      </c>
      <c r="B1217">
        <v>56</v>
      </c>
      <c r="C1217" t="s">
        <v>70</v>
      </c>
      <c r="D1217" t="s">
        <v>71</v>
      </c>
      <c r="E1217">
        <v>1.51</v>
      </c>
      <c r="F1217">
        <v>4.25</v>
      </c>
      <c r="G1217" s="8">
        <f>E1217*60/F1217</f>
        <v>21.317647058823528</v>
      </c>
    </row>
    <row r="1218" spans="1:7" x14ac:dyDescent="0.25">
      <c r="A1218" s="5">
        <v>45808.739583333336</v>
      </c>
      <c r="B1218">
        <v>57</v>
      </c>
      <c r="C1218" t="s">
        <v>71</v>
      </c>
      <c r="D1218" t="s">
        <v>72</v>
      </c>
      <c r="E1218">
        <v>1.52</v>
      </c>
      <c r="F1218">
        <v>4.0199999999999996</v>
      </c>
      <c r="G1218" s="8">
        <f>E1218*60/F1218</f>
        <v>22.686567164179106</v>
      </c>
    </row>
    <row r="1219" spans="1:7" x14ac:dyDescent="0.25">
      <c r="A1219" s="5">
        <v>45808.739583333336</v>
      </c>
      <c r="B1219">
        <v>58</v>
      </c>
      <c r="C1219" t="s">
        <v>72</v>
      </c>
      <c r="D1219" t="s">
        <v>73</v>
      </c>
      <c r="E1219">
        <v>1.5</v>
      </c>
      <c r="F1219">
        <v>3.93</v>
      </c>
      <c r="G1219" s="8">
        <f>E1219*60/F1219</f>
        <v>22.900763358778626</v>
      </c>
    </row>
    <row r="1220" spans="1:7" x14ac:dyDescent="0.25">
      <c r="A1220" s="5">
        <v>45808.75</v>
      </c>
      <c r="B1220">
        <v>1</v>
      </c>
      <c r="C1220" t="s">
        <v>6</v>
      </c>
      <c r="D1220" t="s">
        <v>7</v>
      </c>
      <c r="E1220">
        <v>1.53</v>
      </c>
      <c r="F1220">
        <v>3.05</v>
      </c>
      <c r="G1220" s="8">
        <f>E1220*60/F1220</f>
        <v>30.098360655737707</v>
      </c>
    </row>
    <row r="1221" spans="1:7" x14ac:dyDescent="0.25">
      <c r="A1221" s="5">
        <v>45808.75</v>
      </c>
      <c r="B1221">
        <v>2</v>
      </c>
      <c r="C1221" t="s">
        <v>7</v>
      </c>
      <c r="D1221" t="s">
        <v>8</v>
      </c>
      <c r="E1221">
        <v>1.57</v>
      </c>
      <c r="F1221">
        <v>5.25</v>
      </c>
      <c r="G1221" s="8">
        <f>E1221*60/F1221</f>
        <v>17.942857142857143</v>
      </c>
    </row>
    <row r="1222" spans="1:7" x14ac:dyDescent="0.25">
      <c r="A1222" s="5">
        <v>45808.75</v>
      </c>
      <c r="B1222">
        <v>3</v>
      </c>
      <c r="C1222" t="s">
        <v>8</v>
      </c>
      <c r="D1222" t="s">
        <v>9</v>
      </c>
      <c r="E1222">
        <v>1.5</v>
      </c>
      <c r="F1222">
        <v>3.18</v>
      </c>
      <c r="G1222" s="8">
        <f>E1222*60/F1222</f>
        <v>28.30188679245283</v>
      </c>
    </row>
    <row r="1223" spans="1:7" x14ac:dyDescent="0.25">
      <c r="A1223" s="5">
        <v>45808.75</v>
      </c>
      <c r="B1223">
        <v>4</v>
      </c>
      <c r="C1223" t="s">
        <v>9</v>
      </c>
      <c r="D1223" t="s">
        <v>10</v>
      </c>
      <c r="E1223">
        <v>1.5</v>
      </c>
      <c r="F1223">
        <v>3.23</v>
      </c>
      <c r="G1223" s="8">
        <f>E1223*60/F1223</f>
        <v>27.86377708978328</v>
      </c>
    </row>
    <row r="1224" spans="1:7" x14ac:dyDescent="0.25">
      <c r="A1224" s="5">
        <v>45808.75</v>
      </c>
      <c r="B1224">
        <v>5</v>
      </c>
      <c r="C1224" t="s">
        <v>10</v>
      </c>
      <c r="D1224" t="s">
        <v>11</v>
      </c>
      <c r="E1224">
        <v>1.52</v>
      </c>
      <c r="F1224">
        <v>3.87</v>
      </c>
      <c r="G1224" s="8">
        <f>E1224*60/F1224</f>
        <v>23.565891472868216</v>
      </c>
    </row>
    <row r="1225" spans="1:7" x14ac:dyDescent="0.25">
      <c r="A1225" s="5">
        <v>45808.75</v>
      </c>
      <c r="B1225">
        <v>6</v>
      </c>
      <c r="C1225" t="s">
        <v>11</v>
      </c>
      <c r="D1225" t="s">
        <v>12</v>
      </c>
      <c r="E1225">
        <v>1.5</v>
      </c>
      <c r="F1225">
        <v>2.5499999999999998</v>
      </c>
      <c r="G1225" s="8">
        <f>E1225*60/F1225</f>
        <v>35.294117647058826</v>
      </c>
    </row>
    <row r="1226" spans="1:7" x14ac:dyDescent="0.25">
      <c r="A1226" s="5">
        <v>45808.75</v>
      </c>
      <c r="B1226">
        <v>7</v>
      </c>
      <c r="C1226" t="s">
        <v>12</v>
      </c>
      <c r="D1226" t="s">
        <v>13</v>
      </c>
      <c r="E1226">
        <v>1.54</v>
      </c>
      <c r="F1226">
        <v>2.75</v>
      </c>
      <c r="G1226" s="8">
        <f>E1226*60/F1226</f>
        <v>33.6</v>
      </c>
    </row>
    <row r="1227" spans="1:7" x14ac:dyDescent="0.25">
      <c r="A1227" s="5">
        <v>45808.75</v>
      </c>
      <c r="B1227">
        <v>8</v>
      </c>
      <c r="C1227" t="s">
        <v>13</v>
      </c>
      <c r="D1227" t="s">
        <v>14</v>
      </c>
      <c r="E1227">
        <v>1.54</v>
      </c>
      <c r="F1227">
        <v>3.15</v>
      </c>
      <c r="G1227" s="8">
        <f>E1227*60/F1227</f>
        <v>29.333333333333336</v>
      </c>
    </row>
    <row r="1228" spans="1:7" x14ac:dyDescent="0.25">
      <c r="A1228" s="5">
        <v>45808.75</v>
      </c>
      <c r="B1228">
        <v>9</v>
      </c>
      <c r="C1228" t="s">
        <v>14</v>
      </c>
      <c r="D1228" t="s">
        <v>15</v>
      </c>
      <c r="E1228">
        <v>1.52</v>
      </c>
      <c r="F1228">
        <v>3.58</v>
      </c>
      <c r="G1228" s="8">
        <f>E1228*60/F1228</f>
        <v>25.47486033519553</v>
      </c>
    </row>
    <row r="1229" spans="1:7" x14ac:dyDescent="0.25">
      <c r="A1229" s="5">
        <v>45808.75</v>
      </c>
      <c r="B1229">
        <v>10</v>
      </c>
      <c r="C1229" t="s">
        <v>15</v>
      </c>
      <c r="D1229" t="s">
        <v>16</v>
      </c>
      <c r="E1229">
        <v>1.5</v>
      </c>
      <c r="F1229">
        <v>3.92</v>
      </c>
      <c r="G1229" s="8">
        <f>E1229*60/F1229</f>
        <v>22.95918367346939</v>
      </c>
    </row>
    <row r="1230" spans="1:7" x14ac:dyDescent="0.25">
      <c r="A1230" s="5">
        <v>45808.75</v>
      </c>
      <c r="B1230">
        <v>11</v>
      </c>
      <c r="C1230" t="s">
        <v>16</v>
      </c>
      <c r="D1230" t="s">
        <v>17</v>
      </c>
      <c r="E1230">
        <v>1.48</v>
      </c>
      <c r="F1230">
        <v>2.52</v>
      </c>
      <c r="G1230" s="8">
        <f>E1230*60/F1230</f>
        <v>35.238095238095234</v>
      </c>
    </row>
    <row r="1231" spans="1:7" x14ac:dyDescent="0.25">
      <c r="A1231" s="5">
        <v>45808.75</v>
      </c>
      <c r="B1231">
        <v>12</v>
      </c>
      <c r="C1231" t="s">
        <v>17</v>
      </c>
      <c r="D1231" t="s">
        <v>18</v>
      </c>
      <c r="E1231">
        <v>1.46</v>
      </c>
      <c r="F1231">
        <v>3.83</v>
      </c>
      <c r="G1231" s="8">
        <f>E1231*60/F1231</f>
        <v>22.872062663185378</v>
      </c>
    </row>
    <row r="1232" spans="1:7" x14ac:dyDescent="0.25">
      <c r="A1232" s="5">
        <v>45808.75</v>
      </c>
      <c r="B1232">
        <v>13</v>
      </c>
      <c r="C1232" t="s">
        <v>18</v>
      </c>
      <c r="D1232" t="s">
        <v>19</v>
      </c>
      <c r="E1232">
        <v>1.52</v>
      </c>
      <c r="F1232">
        <v>3.6</v>
      </c>
      <c r="G1232" s="8">
        <f>E1232*60/F1232</f>
        <v>25.333333333333332</v>
      </c>
    </row>
    <row r="1233" spans="1:7" x14ac:dyDescent="0.25">
      <c r="A1233" s="5">
        <v>45808.75</v>
      </c>
      <c r="B1233">
        <v>14</v>
      </c>
      <c r="C1233" t="s">
        <v>19</v>
      </c>
      <c r="D1233" t="s">
        <v>20</v>
      </c>
      <c r="E1233">
        <v>1.51</v>
      </c>
      <c r="F1233">
        <v>3.65</v>
      </c>
      <c r="G1233" s="8">
        <f>E1233*60/F1233</f>
        <v>24.821917808219176</v>
      </c>
    </row>
    <row r="1234" spans="1:7" x14ac:dyDescent="0.25">
      <c r="A1234" s="5">
        <v>45808.75</v>
      </c>
      <c r="B1234">
        <v>15</v>
      </c>
      <c r="C1234" t="s">
        <v>20</v>
      </c>
      <c r="D1234" t="s">
        <v>21</v>
      </c>
      <c r="E1234">
        <v>1.47</v>
      </c>
      <c r="F1234">
        <v>2.7</v>
      </c>
      <c r="G1234" s="8">
        <f>E1234*60/F1234</f>
        <v>32.666666666666664</v>
      </c>
    </row>
    <row r="1235" spans="1:7" x14ac:dyDescent="0.25">
      <c r="A1235" s="5">
        <v>45808.75</v>
      </c>
      <c r="B1235">
        <v>16</v>
      </c>
      <c r="C1235" t="s">
        <v>21</v>
      </c>
      <c r="D1235" t="s">
        <v>22</v>
      </c>
      <c r="E1235">
        <v>1.5</v>
      </c>
      <c r="F1235">
        <v>2.08</v>
      </c>
      <c r="G1235" s="8">
        <f>E1235*60/F1235</f>
        <v>43.269230769230766</v>
      </c>
    </row>
    <row r="1236" spans="1:7" x14ac:dyDescent="0.25">
      <c r="A1236" s="5">
        <v>45808.75</v>
      </c>
      <c r="B1236">
        <v>17</v>
      </c>
      <c r="C1236" t="s">
        <v>22</v>
      </c>
      <c r="D1236" t="s">
        <v>23</v>
      </c>
      <c r="E1236">
        <v>1.51</v>
      </c>
      <c r="F1236">
        <v>3.15</v>
      </c>
      <c r="G1236" s="8">
        <f>E1236*60/F1236</f>
        <v>28.761904761904759</v>
      </c>
    </row>
    <row r="1237" spans="1:7" x14ac:dyDescent="0.25">
      <c r="A1237" s="5">
        <v>45808.75</v>
      </c>
      <c r="B1237">
        <v>18</v>
      </c>
      <c r="C1237" t="s">
        <v>23</v>
      </c>
      <c r="D1237" t="s">
        <v>24</v>
      </c>
      <c r="E1237">
        <v>1.51</v>
      </c>
      <c r="F1237">
        <v>3.23</v>
      </c>
      <c r="G1237" s="8">
        <f>E1237*60/F1237</f>
        <v>28.049535603715167</v>
      </c>
    </row>
    <row r="1238" spans="1:7" x14ac:dyDescent="0.25">
      <c r="A1238" s="5">
        <v>45808.75</v>
      </c>
      <c r="B1238">
        <v>19</v>
      </c>
      <c r="C1238" t="s">
        <v>25</v>
      </c>
      <c r="D1238" t="s">
        <v>26</v>
      </c>
      <c r="E1238">
        <v>1.5</v>
      </c>
      <c r="F1238">
        <v>3.58</v>
      </c>
      <c r="G1238" s="8">
        <f>E1238*60/F1238</f>
        <v>25.139664804469273</v>
      </c>
    </row>
    <row r="1239" spans="1:7" x14ac:dyDescent="0.25">
      <c r="A1239" s="5">
        <v>45808.75</v>
      </c>
      <c r="B1239">
        <v>20</v>
      </c>
      <c r="C1239" t="s">
        <v>26</v>
      </c>
      <c r="D1239" t="s">
        <v>27</v>
      </c>
      <c r="E1239">
        <v>1.48</v>
      </c>
      <c r="F1239">
        <v>3.5</v>
      </c>
      <c r="G1239" s="8">
        <f>E1239*60/F1239</f>
        <v>25.37142857142857</v>
      </c>
    </row>
    <row r="1240" spans="1:7" x14ac:dyDescent="0.25">
      <c r="A1240" s="5">
        <v>45808.75</v>
      </c>
      <c r="B1240">
        <v>21</v>
      </c>
      <c r="C1240" t="s">
        <v>27</v>
      </c>
      <c r="D1240" t="s">
        <v>28</v>
      </c>
      <c r="E1240">
        <v>1.51</v>
      </c>
      <c r="F1240">
        <v>3.18</v>
      </c>
      <c r="G1240" s="8">
        <f>E1240*60/F1240</f>
        <v>28.490566037735846</v>
      </c>
    </row>
    <row r="1241" spans="1:7" x14ac:dyDescent="0.25">
      <c r="A1241" s="5">
        <v>45808.75</v>
      </c>
      <c r="B1241">
        <v>22</v>
      </c>
      <c r="C1241" t="s">
        <v>28</v>
      </c>
      <c r="D1241" t="s">
        <v>29</v>
      </c>
      <c r="E1241">
        <v>1.57</v>
      </c>
      <c r="F1241">
        <v>3.25</v>
      </c>
      <c r="G1241" s="8">
        <f>E1241*60/F1241</f>
        <v>28.984615384615385</v>
      </c>
    </row>
    <row r="1242" spans="1:7" x14ac:dyDescent="0.25">
      <c r="A1242" s="5">
        <v>45808.75</v>
      </c>
      <c r="B1242">
        <v>23</v>
      </c>
      <c r="C1242" t="s">
        <v>29</v>
      </c>
      <c r="D1242" t="s">
        <v>30</v>
      </c>
      <c r="E1242">
        <v>1.43</v>
      </c>
      <c r="F1242">
        <v>4.3</v>
      </c>
      <c r="G1242" s="8">
        <f>E1242*60/F1242</f>
        <v>19.953488372093023</v>
      </c>
    </row>
    <row r="1243" spans="1:7" x14ac:dyDescent="0.25">
      <c r="A1243" s="5">
        <v>45808.75</v>
      </c>
      <c r="B1243">
        <v>24</v>
      </c>
      <c r="C1243" t="s">
        <v>30</v>
      </c>
      <c r="D1243" t="s">
        <v>31</v>
      </c>
      <c r="E1243">
        <v>1.52</v>
      </c>
      <c r="F1243">
        <v>3.32</v>
      </c>
      <c r="G1243" s="8">
        <f>E1243*60/F1243</f>
        <v>27.46987951807229</v>
      </c>
    </row>
    <row r="1244" spans="1:7" x14ac:dyDescent="0.25">
      <c r="A1244" s="5">
        <v>45808.75</v>
      </c>
      <c r="B1244">
        <v>25</v>
      </c>
      <c r="C1244" t="s">
        <v>31</v>
      </c>
      <c r="D1244" t="s">
        <v>32</v>
      </c>
      <c r="E1244">
        <v>1.52</v>
      </c>
      <c r="F1244">
        <v>3.4</v>
      </c>
      <c r="G1244" s="8">
        <f>E1244*60/F1244</f>
        <v>26.823529411764707</v>
      </c>
    </row>
    <row r="1245" spans="1:7" x14ac:dyDescent="0.25">
      <c r="A1245" s="5">
        <v>45808.75</v>
      </c>
      <c r="B1245">
        <v>26</v>
      </c>
      <c r="C1245" t="s">
        <v>32</v>
      </c>
      <c r="D1245" t="s">
        <v>33</v>
      </c>
      <c r="E1245">
        <v>1.49</v>
      </c>
      <c r="F1245">
        <v>3.95</v>
      </c>
      <c r="G1245" s="8">
        <f>E1245*60/F1245</f>
        <v>22.632911392405063</v>
      </c>
    </row>
    <row r="1246" spans="1:7" x14ac:dyDescent="0.25">
      <c r="A1246" s="5">
        <v>45808.75</v>
      </c>
      <c r="B1246">
        <v>27</v>
      </c>
      <c r="C1246" t="s">
        <v>33</v>
      </c>
      <c r="D1246" t="s">
        <v>34</v>
      </c>
      <c r="E1246">
        <v>1.53</v>
      </c>
      <c r="F1246">
        <v>5.42</v>
      </c>
      <c r="G1246" s="8">
        <f>E1246*60/F1246</f>
        <v>16.937269372693727</v>
      </c>
    </row>
    <row r="1247" spans="1:7" x14ac:dyDescent="0.25">
      <c r="A1247" s="5">
        <v>45808.75</v>
      </c>
      <c r="B1247">
        <v>28</v>
      </c>
      <c r="C1247" t="s">
        <v>34</v>
      </c>
      <c r="D1247" t="s">
        <v>35</v>
      </c>
      <c r="E1247">
        <v>1.51</v>
      </c>
      <c r="F1247">
        <v>4.1500000000000004</v>
      </c>
      <c r="G1247" s="8">
        <f>E1247*60/F1247</f>
        <v>21.831325301204817</v>
      </c>
    </row>
    <row r="1248" spans="1:7" x14ac:dyDescent="0.25">
      <c r="A1248" s="5">
        <v>45808.75</v>
      </c>
      <c r="B1248">
        <v>29</v>
      </c>
      <c r="C1248" t="s">
        <v>36</v>
      </c>
      <c r="D1248" t="s">
        <v>37</v>
      </c>
      <c r="E1248">
        <v>1.57</v>
      </c>
      <c r="F1248">
        <v>4.05</v>
      </c>
      <c r="G1248" s="8">
        <f>E1248*60/F1248</f>
        <v>23.25925925925926</v>
      </c>
    </row>
    <row r="1249" spans="1:7" x14ac:dyDescent="0.25">
      <c r="A1249" s="5">
        <v>45808.75</v>
      </c>
      <c r="B1249">
        <v>30</v>
      </c>
      <c r="C1249" t="s">
        <v>37</v>
      </c>
      <c r="D1249" t="s">
        <v>38</v>
      </c>
      <c r="E1249">
        <v>1.57</v>
      </c>
      <c r="F1249">
        <v>4.08</v>
      </c>
      <c r="G1249" s="8">
        <f>E1249*60/F1249</f>
        <v>23.088235294117649</v>
      </c>
    </row>
    <row r="1250" spans="1:7" x14ac:dyDescent="0.25">
      <c r="A1250" s="5">
        <v>45808.75</v>
      </c>
      <c r="B1250">
        <v>31</v>
      </c>
      <c r="C1250" t="s">
        <v>38</v>
      </c>
      <c r="D1250" t="s">
        <v>39</v>
      </c>
      <c r="E1250">
        <v>1.52</v>
      </c>
      <c r="F1250">
        <v>2.82</v>
      </c>
      <c r="G1250" s="8">
        <f>E1250*60/F1250</f>
        <v>32.340425531914896</v>
      </c>
    </row>
    <row r="1251" spans="1:7" x14ac:dyDescent="0.25">
      <c r="A1251" s="5">
        <v>45808.75</v>
      </c>
      <c r="B1251">
        <v>32</v>
      </c>
      <c r="C1251" t="s">
        <v>39</v>
      </c>
      <c r="D1251" t="s">
        <v>40</v>
      </c>
      <c r="E1251">
        <v>1.5</v>
      </c>
      <c r="F1251">
        <v>1.83</v>
      </c>
      <c r="G1251" s="8">
        <f>E1251*60/F1251</f>
        <v>49.180327868852459</v>
      </c>
    </row>
    <row r="1252" spans="1:7" x14ac:dyDescent="0.25">
      <c r="A1252" s="5">
        <v>45808.75</v>
      </c>
      <c r="B1252">
        <v>33</v>
      </c>
      <c r="C1252" t="s">
        <v>40</v>
      </c>
      <c r="D1252" t="s">
        <v>41</v>
      </c>
      <c r="E1252">
        <v>1.51</v>
      </c>
      <c r="F1252">
        <v>1.83</v>
      </c>
      <c r="G1252" s="8">
        <f>E1252*60/F1252</f>
        <v>49.508196721311471</v>
      </c>
    </row>
    <row r="1253" spans="1:7" x14ac:dyDescent="0.25">
      <c r="A1253" s="5">
        <v>45808.75</v>
      </c>
      <c r="B1253">
        <v>34</v>
      </c>
      <c r="C1253" t="s">
        <v>41</v>
      </c>
      <c r="D1253" t="s">
        <v>42</v>
      </c>
      <c r="E1253">
        <v>1.5</v>
      </c>
      <c r="F1253">
        <v>1.93</v>
      </c>
      <c r="G1253" s="8">
        <f>E1253*60/F1253</f>
        <v>46.632124352331608</v>
      </c>
    </row>
    <row r="1254" spans="1:7" x14ac:dyDescent="0.25">
      <c r="A1254" s="5">
        <v>45808.75</v>
      </c>
      <c r="B1254">
        <v>35</v>
      </c>
      <c r="C1254" t="s">
        <v>43</v>
      </c>
      <c r="D1254" t="s">
        <v>44</v>
      </c>
      <c r="E1254">
        <v>1.55</v>
      </c>
      <c r="F1254">
        <v>3.45</v>
      </c>
      <c r="G1254" s="8">
        <f>E1254*60/F1254</f>
        <v>26.956521739130434</v>
      </c>
    </row>
    <row r="1255" spans="1:7" x14ac:dyDescent="0.25">
      <c r="A1255" s="5">
        <v>45808.75</v>
      </c>
      <c r="B1255">
        <v>36</v>
      </c>
      <c r="C1255" t="s">
        <v>44</v>
      </c>
      <c r="D1255" t="s">
        <v>45</v>
      </c>
      <c r="E1255">
        <v>1.5</v>
      </c>
      <c r="F1255">
        <v>3.32</v>
      </c>
      <c r="G1255" s="8">
        <f>E1255*60/F1255</f>
        <v>27.108433734939759</v>
      </c>
    </row>
    <row r="1256" spans="1:7" x14ac:dyDescent="0.25">
      <c r="A1256" s="5">
        <v>45808.75</v>
      </c>
      <c r="B1256">
        <v>37</v>
      </c>
      <c r="C1256" t="s">
        <v>45</v>
      </c>
      <c r="D1256" t="s">
        <v>46</v>
      </c>
      <c r="E1256">
        <v>1.38</v>
      </c>
      <c r="F1256">
        <v>4.2699999999999996</v>
      </c>
      <c r="G1256" s="8">
        <f>E1256*60/F1256</f>
        <v>19.391100702576114</v>
      </c>
    </row>
    <row r="1257" spans="1:7" x14ac:dyDescent="0.25">
      <c r="A1257" s="5">
        <v>45808.75</v>
      </c>
      <c r="B1257">
        <v>38</v>
      </c>
      <c r="C1257" t="s">
        <v>46</v>
      </c>
      <c r="D1257" t="s">
        <v>47</v>
      </c>
      <c r="E1257">
        <v>1.61</v>
      </c>
      <c r="F1257">
        <v>4.2699999999999996</v>
      </c>
      <c r="G1257" s="8">
        <f>E1257*60/F1257</f>
        <v>22.622950819672134</v>
      </c>
    </row>
    <row r="1258" spans="1:7" x14ac:dyDescent="0.25">
      <c r="A1258" s="5">
        <v>45808.75</v>
      </c>
      <c r="B1258">
        <v>39</v>
      </c>
      <c r="C1258" t="s">
        <v>47</v>
      </c>
      <c r="D1258" t="s">
        <v>48</v>
      </c>
      <c r="E1258">
        <v>1.55</v>
      </c>
      <c r="F1258">
        <v>3.62</v>
      </c>
      <c r="G1258" s="8">
        <f>E1258*60/F1258</f>
        <v>25.69060773480663</v>
      </c>
    </row>
    <row r="1259" spans="1:7" x14ac:dyDescent="0.25">
      <c r="A1259" s="5">
        <v>45808.75</v>
      </c>
      <c r="B1259">
        <v>40</v>
      </c>
      <c r="C1259" t="s">
        <v>48</v>
      </c>
      <c r="D1259" t="s">
        <v>49</v>
      </c>
      <c r="E1259">
        <v>1.39</v>
      </c>
      <c r="F1259">
        <v>3.13</v>
      </c>
      <c r="G1259" s="8">
        <f>E1259*60/F1259</f>
        <v>26.645367412140573</v>
      </c>
    </row>
    <row r="1260" spans="1:7" x14ac:dyDescent="0.25">
      <c r="A1260" s="5">
        <v>45808.75</v>
      </c>
      <c r="B1260">
        <v>41</v>
      </c>
      <c r="C1260" t="s">
        <v>50</v>
      </c>
      <c r="D1260" t="s">
        <v>51</v>
      </c>
      <c r="E1260">
        <v>1.56</v>
      </c>
      <c r="F1260">
        <v>4.28</v>
      </c>
      <c r="G1260" s="8">
        <f>E1260*60/F1260</f>
        <v>21.869158878504674</v>
      </c>
    </row>
    <row r="1261" spans="1:7" x14ac:dyDescent="0.25">
      <c r="A1261" s="5">
        <v>45808.75</v>
      </c>
      <c r="B1261">
        <v>42</v>
      </c>
      <c r="C1261" t="s">
        <v>51</v>
      </c>
      <c r="D1261" t="s">
        <v>52</v>
      </c>
      <c r="E1261">
        <v>1.56</v>
      </c>
      <c r="F1261">
        <v>4.2</v>
      </c>
      <c r="G1261" s="8">
        <f>E1261*60/F1261</f>
        <v>22.285714285714288</v>
      </c>
    </row>
    <row r="1262" spans="1:7" x14ac:dyDescent="0.25">
      <c r="A1262" s="5">
        <v>45808.75</v>
      </c>
      <c r="B1262">
        <v>43</v>
      </c>
      <c r="C1262" t="s">
        <v>52</v>
      </c>
      <c r="D1262" t="s">
        <v>53</v>
      </c>
      <c r="E1262">
        <v>1.51</v>
      </c>
      <c r="F1262">
        <v>3.45</v>
      </c>
      <c r="G1262" s="8">
        <f>E1262*60/F1262</f>
        <v>26.260869565217387</v>
      </c>
    </row>
    <row r="1263" spans="1:7" x14ac:dyDescent="0.25">
      <c r="A1263" s="5">
        <v>45808.75</v>
      </c>
      <c r="B1263">
        <v>44</v>
      </c>
      <c r="C1263" t="s">
        <v>54</v>
      </c>
      <c r="D1263" t="s">
        <v>55</v>
      </c>
      <c r="E1263">
        <v>1.51</v>
      </c>
      <c r="F1263">
        <v>4.17</v>
      </c>
      <c r="G1263" s="8">
        <f>E1263*60/F1263</f>
        <v>21.726618705035971</v>
      </c>
    </row>
    <row r="1264" spans="1:7" x14ac:dyDescent="0.25">
      <c r="A1264" s="5">
        <v>45808.75</v>
      </c>
      <c r="B1264">
        <v>45</v>
      </c>
      <c r="C1264" t="s">
        <v>55</v>
      </c>
      <c r="D1264" t="s">
        <v>56</v>
      </c>
      <c r="E1264">
        <v>1.49</v>
      </c>
      <c r="F1264">
        <v>3.52</v>
      </c>
      <c r="G1264" s="8">
        <f>E1264*60/F1264</f>
        <v>25.397727272727273</v>
      </c>
    </row>
    <row r="1265" spans="1:7" x14ac:dyDescent="0.25">
      <c r="A1265" s="5">
        <v>45808.75</v>
      </c>
      <c r="B1265">
        <v>46</v>
      </c>
      <c r="C1265" t="s">
        <v>56</v>
      </c>
      <c r="D1265" t="s">
        <v>57</v>
      </c>
      <c r="E1265">
        <v>1.52</v>
      </c>
      <c r="F1265">
        <v>3.62</v>
      </c>
      <c r="G1265" s="8">
        <f>E1265*60/F1265</f>
        <v>25.193370165745858</v>
      </c>
    </row>
    <row r="1266" spans="1:7" x14ac:dyDescent="0.25">
      <c r="A1266" s="5">
        <v>45808.75</v>
      </c>
      <c r="B1266">
        <v>47</v>
      </c>
      <c r="C1266" t="s">
        <v>58</v>
      </c>
      <c r="D1266" t="s">
        <v>59</v>
      </c>
      <c r="E1266">
        <v>1.52</v>
      </c>
      <c r="F1266">
        <v>4.0199999999999996</v>
      </c>
      <c r="G1266" s="8">
        <f>E1266*60/F1266</f>
        <v>22.686567164179106</v>
      </c>
    </row>
    <row r="1267" spans="1:7" x14ac:dyDescent="0.25">
      <c r="A1267" s="5">
        <v>45808.75</v>
      </c>
      <c r="B1267">
        <v>48</v>
      </c>
      <c r="C1267" t="s">
        <v>59</v>
      </c>
      <c r="D1267" t="s">
        <v>60</v>
      </c>
      <c r="E1267">
        <v>1.5</v>
      </c>
      <c r="F1267">
        <v>3.4</v>
      </c>
      <c r="G1267" s="8">
        <f>E1267*60/F1267</f>
        <v>26.47058823529412</v>
      </c>
    </row>
    <row r="1268" spans="1:7" x14ac:dyDescent="0.25">
      <c r="A1268" s="5">
        <v>45808.75</v>
      </c>
      <c r="B1268">
        <v>49</v>
      </c>
      <c r="C1268" t="s">
        <v>60</v>
      </c>
      <c r="D1268" t="s">
        <v>61</v>
      </c>
      <c r="E1268">
        <v>1.54</v>
      </c>
      <c r="F1268">
        <v>6.08</v>
      </c>
      <c r="G1268" s="8">
        <f>E1268*60/F1268</f>
        <v>15.197368421052632</v>
      </c>
    </row>
    <row r="1269" spans="1:7" x14ac:dyDescent="0.25">
      <c r="A1269" s="5">
        <v>45808.75</v>
      </c>
      <c r="B1269">
        <v>50</v>
      </c>
      <c r="C1269" t="s">
        <v>62</v>
      </c>
      <c r="D1269" t="s">
        <v>63</v>
      </c>
      <c r="E1269">
        <v>1.38</v>
      </c>
      <c r="F1269">
        <v>3.17</v>
      </c>
      <c r="G1269" s="8">
        <f>E1269*60/F1269</f>
        <v>26.119873817034701</v>
      </c>
    </row>
    <row r="1270" spans="1:7" x14ac:dyDescent="0.25">
      <c r="A1270" s="5">
        <v>45808.75</v>
      </c>
      <c r="B1270">
        <v>51</v>
      </c>
      <c r="C1270" t="s">
        <v>63</v>
      </c>
      <c r="D1270" t="s">
        <v>64</v>
      </c>
      <c r="E1270">
        <v>2.79</v>
      </c>
      <c r="F1270">
        <v>5.57</v>
      </c>
      <c r="G1270" s="8">
        <f>E1270*60/F1270</f>
        <v>30.053859964093355</v>
      </c>
    </row>
    <row r="1271" spans="1:7" x14ac:dyDescent="0.25">
      <c r="A1271" s="5">
        <v>45808.75</v>
      </c>
      <c r="B1271">
        <v>52</v>
      </c>
      <c r="C1271" t="s">
        <v>64</v>
      </c>
      <c r="D1271" t="s">
        <v>65</v>
      </c>
      <c r="E1271">
        <v>1.5</v>
      </c>
      <c r="F1271">
        <v>2.77</v>
      </c>
      <c r="G1271" s="8">
        <f>E1271*60/F1271</f>
        <v>32.490974729241877</v>
      </c>
    </row>
    <row r="1272" spans="1:7" x14ac:dyDescent="0.25">
      <c r="A1272" s="5">
        <v>45808.75</v>
      </c>
      <c r="B1272">
        <v>53</v>
      </c>
      <c r="C1272" t="s">
        <v>65</v>
      </c>
      <c r="D1272" t="s">
        <v>66</v>
      </c>
      <c r="E1272">
        <v>1.46</v>
      </c>
      <c r="F1272">
        <v>3.72</v>
      </c>
      <c r="G1272" s="8">
        <f>E1272*60/F1272</f>
        <v>23.548387096774192</v>
      </c>
    </row>
    <row r="1273" spans="1:7" x14ac:dyDescent="0.25">
      <c r="A1273" s="5">
        <v>45808.75</v>
      </c>
      <c r="B1273">
        <v>54</v>
      </c>
      <c r="C1273" t="s">
        <v>67</v>
      </c>
      <c r="D1273" t="s">
        <v>68</v>
      </c>
      <c r="E1273">
        <v>1.46</v>
      </c>
      <c r="F1273">
        <v>2.87</v>
      </c>
      <c r="G1273" s="8">
        <f>E1273*60/F1273</f>
        <v>30.52264808362369</v>
      </c>
    </row>
    <row r="1274" spans="1:7" x14ac:dyDescent="0.25">
      <c r="A1274" s="5">
        <v>45808.75</v>
      </c>
      <c r="B1274">
        <v>55</v>
      </c>
      <c r="C1274" t="s">
        <v>68</v>
      </c>
      <c r="D1274" t="s">
        <v>69</v>
      </c>
      <c r="E1274">
        <v>1.5</v>
      </c>
      <c r="F1274">
        <v>1.95</v>
      </c>
      <c r="G1274" s="8">
        <f>E1274*60/F1274</f>
        <v>46.153846153846153</v>
      </c>
    </row>
    <row r="1275" spans="1:7" x14ac:dyDescent="0.25">
      <c r="A1275" s="5">
        <v>45808.75</v>
      </c>
      <c r="B1275">
        <v>56</v>
      </c>
      <c r="C1275" t="s">
        <v>70</v>
      </c>
      <c r="D1275" t="s">
        <v>71</v>
      </c>
      <c r="E1275">
        <v>1.51</v>
      </c>
      <c r="F1275">
        <v>4.32</v>
      </c>
      <c r="G1275" s="8">
        <f>E1275*60/F1275</f>
        <v>20.972222222222218</v>
      </c>
    </row>
    <row r="1276" spans="1:7" x14ac:dyDescent="0.25">
      <c r="A1276" s="5">
        <v>45808.75</v>
      </c>
      <c r="B1276">
        <v>57</v>
      </c>
      <c r="C1276" t="s">
        <v>71</v>
      </c>
      <c r="D1276" t="s">
        <v>72</v>
      </c>
      <c r="E1276">
        <v>1.52</v>
      </c>
      <c r="F1276">
        <v>3.78</v>
      </c>
      <c r="G1276" s="8">
        <f>E1276*60/F1276</f>
        <v>24.12698412698413</v>
      </c>
    </row>
    <row r="1277" spans="1:7" x14ac:dyDescent="0.25">
      <c r="A1277" s="5">
        <v>45808.75</v>
      </c>
      <c r="B1277">
        <v>58</v>
      </c>
      <c r="C1277" t="s">
        <v>72</v>
      </c>
      <c r="D1277" t="s">
        <v>73</v>
      </c>
      <c r="E1277">
        <v>1.5</v>
      </c>
      <c r="F1277">
        <v>3.8</v>
      </c>
      <c r="G1277" s="8">
        <f>E1277*60/F1277</f>
        <v>23.684210526315791</v>
      </c>
    </row>
    <row r="1278" spans="1:7" x14ac:dyDescent="0.25">
      <c r="A1278" s="5">
        <v>45808.760416666664</v>
      </c>
      <c r="B1278">
        <v>1</v>
      </c>
      <c r="C1278" t="s">
        <v>6</v>
      </c>
      <c r="D1278" t="s">
        <v>7</v>
      </c>
      <c r="E1278">
        <v>1.53</v>
      </c>
      <c r="F1278">
        <v>3</v>
      </c>
      <c r="G1278" s="8">
        <f>E1278*60/F1278</f>
        <v>30.599999999999998</v>
      </c>
    </row>
    <row r="1279" spans="1:7" x14ac:dyDescent="0.25">
      <c r="A1279" s="5">
        <v>45808.760416666664</v>
      </c>
      <c r="B1279">
        <v>2</v>
      </c>
      <c r="C1279" t="s">
        <v>7</v>
      </c>
      <c r="D1279" t="s">
        <v>8</v>
      </c>
      <c r="E1279">
        <v>1.57</v>
      </c>
      <c r="F1279">
        <v>4.67</v>
      </c>
      <c r="G1279" s="8">
        <f>E1279*60/F1279</f>
        <v>20.171306209850108</v>
      </c>
    </row>
    <row r="1280" spans="1:7" x14ac:dyDescent="0.25">
      <c r="A1280" s="5">
        <v>45808.760416666664</v>
      </c>
      <c r="B1280">
        <v>3</v>
      </c>
      <c r="C1280" t="s">
        <v>8</v>
      </c>
      <c r="D1280" t="s">
        <v>9</v>
      </c>
      <c r="E1280">
        <v>1.5</v>
      </c>
      <c r="F1280">
        <v>3.23</v>
      </c>
      <c r="G1280" s="8">
        <f>E1280*60/F1280</f>
        <v>27.86377708978328</v>
      </c>
    </row>
    <row r="1281" spans="1:7" x14ac:dyDescent="0.25">
      <c r="A1281" s="5">
        <v>45808.760416666664</v>
      </c>
      <c r="B1281">
        <v>4</v>
      </c>
      <c r="C1281" t="s">
        <v>9</v>
      </c>
      <c r="D1281" t="s">
        <v>10</v>
      </c>
      <c r="E1281">
        <v>1.5</v>
      </c>
      <c r="F1281">
        <v>3.33</v>
      </c>
      <c r="G1281" s="8">
        <f>E1281*60/F1281</f>
        <v>27.027027027027028</v>
      </c>
    </row>
    <row r="1282" spans="1:7" x14ac:dyDescent="0.25">
      <c r="A1282" s="5">
        <v>45808.760416666664</v>
      </c>
      <c r="B1282">
        <v>5</v>
      </c>
      <c r="C1282" t="s">
        <v>10</v>
      </c>
      <c r="D1282" t="s">
        <v>11</v>
      </c>
      <c r="E1282">
        <v>1.52</v>
      </c>
      <c r="F1282">
        <v>3.98</v>
      </c>
      <c r="G1282" s="8">
        <f>E1282*60/F1282</f>
        <v>22.91457286432161</v>
      </c>
    </row>
    <row r="1283" spans="1:7" x14ac:dyDescent="0.25">
      <c r="A1283" s="5">
        <v>45808.760416666664</v>
      </c>
      <c r="B1283">
        <v>6</v>
      </c>
      <c r="C1283" t="s">
        <v>11</v>
      </c>
      <c r="D1283" t="s">
        <v>12</v>
      </c>
      <c r="E1283">
        <v>1.5</v>
      </c>
      <c r="F1283">
        <v>2.83</v>
      </c>
      <c r="G1283" s="8">
        <f>E1283*60/F1283</f>
        <v>31.802120141342755</v>
      </c>
    </row>
    <row r="1284" spans="1:7" x14ac:dyDescent="0.25">
      <c r="A1284" s="5">
        <v>45808.760416666664</v>
      </c>
      <c r="B1284">
        <v>7</v>
      </c>
      <c r="C1284" t="s">
        <v>12</v>
      </c>
      <c r="D1284" t="s">
        <v>13</v>
      </c>
      <c r="E1284">
        <v>1.54</v>
      </c>
      <c r="F1284">
        <v>2.8</v>
      </c>
      <c r="G1284" s="8">
        <f>E1284*60/F1284</f>
        <v>33.000000000000007</v>
      </c>
    </row>
    <row r="1285" spans="1:7" x14ac:dyDescent="0.25">
      <c r="A1285" s="5">
        <v>45808.760416666664</v>
      </c>
      <c r="B1285">
        <v>8</v>
      </c>
      <c r="C1285" t="s">
        <v>13</v>
      </c>
      <c r="D1285" t="s">
        <v>14</v>
      </c>
      <c r="E1285">
        <v>1.54</v>
      </c>
      <c r="F1285">
        <v>3.18</v>
      </c>
      <c r="G1285" s="8">
        <f>E1285*60/F1285</f>
        <v>29.056603773584907</v>
      </c>
    </row>
    <row r="1286" spans="1:7" x14ac:dyDescent="0.25">
      <c r="A1286" s="5">
        <v>45808.760416666664</v>
      </c>
      <c r="B1286">
        <v>9</v>
      </c>
      <c r="C1286" t="s">
        <v>14</v>
      </c>
      <c r="D1286" t="s">
        <v>15</v>
      </c>
      <c r="E1286">
        <v>1.52</v>
      </c>
      <c r="F1286">
        <v>4.2300000000000004</v>
      </c>
      <c r="G1286" s="8">
        <f>E1286*60/F1286</f>
        <v>21.560283687943262</v>
      </c>
    </row>
    <row r="1287" spans="1:7" x14ac:dyDescent="0.25">
      <c r="A1287" s="5">
        <v>45808.760416666664</v>
      </c>
      <c r="B1287">
        <v>10</v>
      </c>
      <c r="C1287" t="s">
        <v>15</v>
      </c>
      <c r="D1287" t="s">
        <v>16</v>
      </c>
      <c r="E1287">
        <v>1.5</v>
      </c>
      <c r="F1287">
        <v>4.07</v>
      </c>
      <c r="G1287" s="8">
        <f>E1287*60/F1287</f>
        <v>22.113022113022112</v>
      </c>
    </row>
    <row r="1288" spans="1:7" x14ac:dyDescent="0.25">
      <c r="A1288" s="5">
        <v>45808.760416666664</v>
      </c>
      <c r="B1288">
        <v>11</v>
      </c>
      <c r="C1288" t="s">
        <v>16</v>
      </c>
      <c r="D1288" t="s">
        <v>17</v>
      </c>
      <c r="E1288">
        <v>1.48</v>
      </c>
      <c r="F1288">
        <v>2.5299999999999998</v>
      </c>
      <c r="G1288" s="8">
        <f>E1288*60/F1288</f>
        <v>35.098814229249015</v>
      </c>
    </row>
    <row r="1289" spans="1:7" x14ac:dyDescent="0.25">
      <c r="A1289" s="5">
        <v>45808.760416666664</v>
      </c>
      <c r="B1289">
        <v>12</v>
      </c>
      <c r="C1289" t="s">
        <v>17</v>
      </c>
      <c r="D1289" t="s">
        <v>18</v>
      </c>
      <c r="E1289">
        <v>1.46</v>
      </c>
      <c r="F1289">
        <v>3.62</v>
      </c>
      <c r="G1289" s="8">
        <f>E1289*60/F1289</f>
        <v>24.198895027624307</v>
      </c>
    </row>
    <row r="1290" spans="1:7" x14ac:dyDescent="0.25">
      <c r="A1290" s="5">
        <v>45808.760416666664</v>
      </c>
      <c r="B1290">
        <v>13</v>
      </c>
      <c r="C1290" t="s">
        <v>18</v>
      </c>
      <c r="D1290" t="s">
        <v>19</v>
      </c>
      <c r="E1290">
        <v>1.52</v>
      </c>
      <c r="F1290">
        <v>3.73</v>
      </c>
      <c r="G1290" s="8">
        <f>E1290*60/F1290</f>
        <v>24.45040214477212</v>
      </c>
    </row>
    <row r="1291" spans="1:7" x14ac:dyDescent="0.25">
      <c r="A1291" s="5">
        <v>45808.760416666664</v>
      </c>
      <c r="B1291">
        <v>14</v>
      </c>
      <c r="C1291" t="s">
        <v>19</v>
      </c>
      <c r="D1291" t="s">
        <v>20</v>
      </c>
      <c r="E1291">
        <v>1.51</v>
      </c>
      <c r="F1291">
        <v>3.6</v>
      </c>
      <c r="G1291" s="8">
        <f>E1291*60/F1291</f>
        <v>25.166666666666664</v>
      </c>
    </row>
    <row r="1292" spans="1:7" x14ac:dyDescent="0.25">
      <c r="A1292" s="5">
        <v>45808.760416666664</v>
      </c>
      <c r="B1292">
        <v>15</v>
      </c>
      <c r="C1292" t="s">
        <v>20</v>
      </c>
      <c r="D1292" t="s">
        <v>21</v>
      </c>
      <c r="E1292">
        <v>1.47</v>
      </c>
      <c r="F1292">
        <v>2.57</v>
      </c>
      <c r="G1292" s="8">
        <f>E1292*60/F1292</f>
        <v>34.319066147859928</v>
      </c>
    </row>
    <row r="1293" spans="1:7" x14ac:dyDescent="0.25">
      <c r="A1293" s="5">
        <v>45808.760416666664</v>
      </c>
      <c r="B1293">
        <v>16</v>
      </c>
      <c r="C1293" t="s">
        <v>21</v>
      </c>
      <c r="D1293" t="s">
        <v>22</v>
      </c>
      <c r="E1293">
        <v>1.5</v>
      </c>
      <c r="F1293">
        <v>1.85</v>
      </c>
      <c r="G1293" s="8">
        <f>E1293*60/F1293</f>
        <v>48.648648648648646</v>
      </c>
    </row>
    <row r="1294" spans="1:7" x14ac:dyDescent="0.25">
      <c r="A1294" s="5">
        <v>45808.760416666664</v>
      </c>
      <c r="B1294">
        <v>17</v>
      </c>
      <c r="C1294" t="s">
        <v>22</v>
      </c>
      <c r="D1294" t="s">
        <v>23</v>
      </c>
      <c r="E1294">
        <v>1.51</v>
      </c>
      <c r="F1294">
        <v>3.33</v>
      </c>
      <c r="G1294" s="8">
        <f>E1294*60/F1294</f>
        <v>27.207207207207205</v>
      </c>
    </row>
    <row r="1295" spans="1:7" x14ac:dyDescent="0.25">
      <c r="A1295" s="5">
        <v>45808.760416666664</v>
      </c>
      <c r="B1295">
        <v>18</v>
      </c>
      <c r="C1295" t="s">
        <v>23</v>
      </c>
      <c r="D1295" t="s">
        <v>24</v>
      </c>
      <c r="E1295">
        <v>1.51</v>
      </c>
      <c r="F1295">
        <v>3.37</v>
      </c>
      <c r="G1295" s="8">
        <f>E1295*60/F1295</f>
        <v>26.884272997032639</v>
      </c>
    </row>
    <row r="1296" spans="1:7" x14ac:dyDescent="0.25">
      <c r="A1296" s="5">
        <v>45808.760416666664</v>
      </c>
      <c r="B1296">
        <v>19</v>
      </c>
      <c r="C1296" t="s">
        <v>25</v>
      </c>
      <c r="D1296" t="s">
        <v>26</v>
      </c>
      <c r="E1296">
        <v>1.5</v>
      </c>
      <c r="F1296">
        <v>3.85</v>
      </c>
      <c r="G1296" s="8">
        <f>E1296*60/F1296</f>
        <v>23.376623376623375</v>
      </c>
    </row>
    <row r="1297" spans="1:7" x14ac:dyDescent="0.25">
      <c r="A1297" s="5">
        <v>45808.760416666664</v>
      </c>
      <c r="B1297">
        <v>20</v>
      </c>
      <c r="C1297" t="s">
        <v>26</v>
      </c>
      <c r="D1297" t="s">
        <v>27</v>
      </c>
      <c r="E1297">
        <v>1.48</v>
      </c>
      <c r="F1297">
        <v>3.55</v>
      </c>
      <c r="G1297" s="8">
        <f>E1297*60/F1297</f>
        <v>25.014084507042256</v>
      </c>
    </row>
    <row r="1298" spans="1:7" x14ac:dyDescent="0.25">
      <c r="A1298" s="5">
        <v>45808.760416666664</v>
      </c>
      <c r="B1298">
        <v>21</v>
      </c>
      <c r="C1298" t="s">
        <v>27</v>
      </c>
      <c r="D1298" t="s">
        <v>28</v>
      </c>
      <c r="E1298">
        <v>1.51</v>
      </c>
      <c r="F1298">
        <v>3.25</v>
      </c>
      <c r="G1298" s="8">
        <f>E1298*60/F1298</f>
        <v>27.876923076923074</v>
      </c>
    </row>
    <row r="1299" spans="1:7" x14ac:dyDescent="0.25">
      <c r="A1299" s="5">
        <v>45808.760416666664</v>
      </c>
      <c r="B1299">
        <v>22</v>
      </c>
      <c r="C1299" t="s">
        <v>28</v>
      </c>
      <c r="D1299" t="s">
        <v>29</v>
      </c>
      <c r="E1299">
        <v>1.57</v>
      </c>
      <c r="F1299">
        <v>3.23</v>
      </c>
      <c r="G1299" s="8">
        <f>E1299*60/F1299</f>
        <v>29.164086687306504</v>
      </c>
    </row>
    <row r="1300" spans="1:7" x14ac:dyDescent="0.25">
      <c r="A1300" s="5">
        <v>45808.760416666664</v>
      </c>
      <c r="B1300">
        <v>23</v>
      </c>
      <c r="C1300" t="s">
        <v>29</v>
      </c>
      <c r="D1300" t="s">
        <v>30</v>
      </c>
      <c r="E1300">
        <v>1.43</v>
      </c>
      <c r="F1300">
        <v>3.87</v>
      </c>
      <c r="G1300" s="8">
        <f>E1300*60/F1300</f>
        <v>22.170542635658915</v>
      </c>
    </row>
    <row r="1301" spans="1:7" x14ac:dyDescent="0.25">
      <c r="A1301" s="5">
        <v>45808.760416666664</v>
      </c>
      <c r="B1301">
        <v>24</v>
      </c>
      <c r="C1301" t="s">
        <v>30</v>
      </c>
      <c r="D1301" t="s">
        <v>31</v>
      </c>
      <c r="E1301">
        <v>1.52</v>
      </c>
      <c r="F1301">
        <v>3.38</v>
      </c>
      <c r="G1301" s="8">
        <f>E1301*60/F1301</f>
        <v>26.982248520710062</v>
      </c>
    </row>
    <row r="1302" spans="1:7" x14ac:dyDescent="0.25">
      <c r="A1302" s="5">
        <v>45808.760416666664</v>
      </c>
      <c r="B1302">
        <v>25</v>
      </c>
      <c r="C1302" t="s">
        <v>31</v>
      </c>
      <c r="D1302" t="s">
        <v>32</v>
      </c>
      <c r="E1302">
        <v>1.52</v>
      </c>
      <c r="F1302">
        <v>3.18</v>
      </c>
      <c r="G1302" s="8">
        <f>E1302*60/F1302</f>
        <v>28.679245283018869</v>
      </c>
    </row>
    <row r="1303" spans="1:7" x14ac:dyDescent="0.25">
      <c r="A1303" s="5">
        <v>45808.760416666664</v>
      </c>
      <c r="B1303">
        <v>26</v>
      </c>
      <c r="C1303" t="s">
        <v>32</v>
      </c>
      <c r="D1303" t="s">
        <v>33</v>
      </c>
      <c r="E1303">
        <v>1.49</v>
      </c>
      <c r="F1303">
        <v>3.65</v>
      </c>
      <c r="G1303" s="8">
        <f>E1303*60/F1303</f>
        <v>24.493150684931511</v>
      </c>
    </row>
    <row r="1304" spans="1:7" x14ac:dyDescent="0.25">
      <c r="A1304" s="5">
        <v>45808.760416666664</v>
      </c>
      <c r="B1304">
        <v>27</v>
      </c>
      <c r="C1304" t="s">
        <v>33</v>
      </c>
      <c r="D1304" t="s">
        <v>34</v>
      </c>
      <c r="E1304">
        <v>1.53</v>
      </c>
      <c r="F1304">
        <v>5.73</v>
      </c>
      <c r="G1304" s="8">
        <f>E1304*60/F1304</f>
        <v>16.02094240837696</v>
      </c>
    </row>
    <row r="1305" spans="1:7" x14ac:dyDescent="0.25">
      <c r="A1305" s="5">
        <v>45808.760416666664</v>
      </c>
      <c r="B1305">
        <v>28</v>
      </c>
      <c r="C1305" t="s">
        <v>34</v>
      </c>
      <c r="D1305" t="s">
        <v>35</v>
      </c>
      <c r="E1305">
        <v>1.51</v>
      </c>
      <c r="F1305">
        <v>4.05</v>
      </c>
      <c r="G1305" s="8">
        <f>E1305*60/F1305</f>
        <v>22.37037037037037</v>
      </c>
    </row>
    <row r="1306" spans="1:7" x14ac:dyDescent="0.25">
      <c r="A1306" s="5">
        <v>45808.760416666664</v>
      </c>
      <c r="B1306">
        <v>29</v>
      </c>
      <c r="C1306" t="s">
        <v>36</v>
      </c>
      <c r="D1306" t="s">
        <v>37</v>
      </c>
      <c r="E1306">
        <v>1.57</v>
      </c>
      <c r="F1306">
        <v>3.75</v>
      </c>
      <c r="G1306" s="8">
        <f>E1306*60/F1306</f>
        <v>25.12</v>
      </c>
    </row>
    <row r="1307" spans="1:7" x14ac:dyDescent="0.25">
      <c r="A1307" s="5">
        <v>45808.760416666664</v>
      </c>
      <c r="B1307">
        <v>30</v>
      </c>
      <c r="C1307" t="s">
        <v>37</v>
      </c>
      <c r="D1307" t="s">
        <v>38</v>
      </c>
      <c r="E1307">
        <v>1.57</v>
      </c>
      <c r="F1307">
        <v>4.32</v>
      </c>
      <c r="G1307" s="8">
        <f>E1307*60/F1307</f>
        <v>21.805555555555554</v>
      </c>
    </row>
    <row r="1308" spans="1:7" x14ac:dyDescent="0.25">
      <c r="A1308" s="5">
        <v>45808.760416666664</v>
      </c>
      <c r="B1308">
        <v>31</v>
      </c>
      <c r="C1308" t="s">
        <v>38</v>
      </c>
      <c r="D1308" t="s">
        <v>39</v>
      </c>
      <c r="E1308">
        <v>1.52</v>
      </c>
      <c r="F1308">
        <v>2.85</v>
      </c>
      <c r="G1308" s="8">
        <f>E1308*60/F1308</f>
        <v>32</v>
      </c>
    </row>
    <row r="1309" spans="1:7" x14ac:dyDescent="0.25">
      <c r="A1309" s="5">
        <v>45808.760416666664</v>
      </c>
      <c r="B1309">
        <v>32</v>
      </c>
      <c r="C1309" t="s">
        <v>39</v>
      </c>
      <c r="D1309" t="s">
        <v>40</v>
      </c>
      <c r="E1309">
        <v>1.5</v>
      </c>
      <c r="F1309">
        <v>1.82</v>
      </c>
      <c r="G1309" s="8">
        <f>E1309*60/F1309</f>
        <v>49.450549450549445</v>
      </c>
    </row>
    <row r="1310" spans="1:7" x14ac:dyDescent="0.25">
      <c r="A1310" s="5">
        <v>45808.760416666664</v>
      </c>
      <c r="B1310">
        <v>33</v>
      </c>
      <c r="C1310" t="s">
        <v>40</v>
      </c>
      <c r="D1310" t="s">
        <v>41</v>
      </c>
      <c r="E1310">
        <v>1.51</v>
      </c>
      <c r="F1310">
        <v>1.78</v>
      </c>
      <c r="G1310" s="8">
        <f>E1310*60/F1310</f>
        <v>50.898876404494381</v>
      </c>
    </row>
    <row r="1311" spans="1:7" x14ac:dyDescent="0.25">
      <c r="A1311" s="5">
        <v>45808.760416666664</v>
      </c>
      <c r="B1311">
        <v>34</v>
      </c>
      <c r="C1311" t="s">
        <v>41</v>
      </c>
      <c r="D1311" t="s">
        <v>42</v>
      </c>
      <c r="E1311">
        <v>1.5</v>
      </c>
      <c r="F1311">
        <v>1.95</v>
      </c>
      <c r="G1311" s="8">
        <f>E1311*60/F1311</f>
        <v>46.153846153846153</v>
      </c>
    </row>
    <row r="1312" spans="1:7" x14ac:dyDescent="0.25">
      <c r="A1312" s="5">
        <v>45808.760416666664</v>
      </c>
      <c r="B1312">
        <v>35</v>
      </c>
      <c r="C1312" t="s">
        <v>43</v>
      </c>
      <c r="D1312" t="s">
        <v>44</v>
      </c>
      <c r="E1312">
        <v>1.55</v>
      </c>
      <c r="F1312">
        <v>3.57</v>
      </c>
      <c r="G1312" s="8">
        <f>E1312*60/F1312</f>
        <v>26.050420168067227</v>
      </c>
    </row>
    <row r="1313" spans="1:7" x14ac:dyDescent="0.25">
      <c r="A1313" s="5">
        <v>45808.760416666664</v>
      </c>
      <c r="B1313">
        <v>36</v>
      </c>
      <c r="C1313" t="s">
        <v>44</v>
      </c>
      <c r="D1313" t="s">
        <v>45</v>
      </c>
      <c r="E1313">
        <v>1.5</v>
      </c>
      <c r="F1313">
        <v>3.33</v>
      </c>
      <c r="G1313" s="8">
        <f>E1313*60/F1313</f>
        <v>27.027027027027028</v>
      </c>
    </row>
    <row r="1314" spans="1:7" x14ac:dyDescent="0.25">
      <c r="A1314" s="5">
        <v>45808.760416666664</v>
      </c>
      <c r="B1314">
        <v>37</v>
      </c>
      <c r="C1314" t="s">
        <v>45</v>
      </c>
      <c r="D1314" t="s">
        <v>46</v>
      </c>
      <c r="E1314">
        <v>1.38</v>
      </c>
      <c r="F1314">
        <v>4.95</v>
      </c>
      <c r="G1314" s="8">
        <f>E1314*60/F1314</f>
        <v>16.727272727272727</v>
      </c>
    </row>
    <row r="1315" spans="1:7" x14ac:dyDescent="0.25">
      <c r="A1315" s="5">
        <v>45808.760416666664</v>
      </c>
      <c r="B1315">
        <v>38</v>
      </c>
      <c r="C1315" t="s">
        <v>46</v>
      </c>
      <c r="D1315" t="s">
        <v>47</v>
      </c>
      <c r="E1315">
        <v>1.61</v>
      </c>
      <c r="F1315">
        <v>4.4000000000000004</v>
      </c>
      <c r="G1315" s="8">
        <f>E1315*60/F1315</f>
        <v>21.954545454545453</v>
      </c>
    </row>
    <row r="1316" spans="1:7" x14ac:dyDescent="0.25">
      <c r="A1316" s="5">
        <v>45808.760416666664</v>
      </c>
      <c r="B1316">
        <v>39</v>
      </c>
      <c r="C1316" t="s">
        <v>47</v>
      </c>
      <c r="D1316" t="s">
        <v>48</v>
      </c>
      <c r="E1316">
        <v>1.55</v>
      </c>
      <c r="F1316">
        <v>3.8</v>
      </c>
      <c r="G1316" s="8">
        <f>E1316*60/F1316</f>
        <v>24.473684210526319</v>
      </c>
    </row>
    <row r="1317" spans="1:7" x14ac:dyDescent="0.25">
      <c r="A1317" s="5">
        <v>45808.760416666664</v>
      </c>
      <c r="B1317">
        <v>40</v>
      </c>
      <c r="C1317" t="s">
        <v>48</v>
      </c>
      <c r="D1317" t="s">
        <v>49</v>
      </c>
      <c r="E1317">
        <v>1.39</v>
      </c>
      <c r="F1317">
        <v>3.12</v>
      </c>
      <c r="G1317" s="8">
        <f>E1317*60/F1317</f>
        <v>26.730769230769226</v>
      </c>
    </row>
    <row r="1318" spans="1:7" x14ac:dyDescent="0.25">
      <c r="A1318" s="5">
        <v>45808.760416666664</v>
      </c>
      <c r="B1318">
        <v>41</v>
      </c>
      <c r="C1318" t="s">
        <v>50</v>
      </c>
      <c r="D1318" t="s">
        <v>51</v>
      </c>
      <c r="E1318">
        <v>1.56</v>
      </c>
      <c r="F1318">
        <v>4.07</v>
      </c>
      <c r="G1318" s="8">
        <f>E1318*60/F1318</f>
        <v>22.997542997542997</v>
      </c>
    </row>
    <row r="1319" spans="1:7" x14ac:dyDescent="0.25">
      <c r="A1319" s="5">
        <v>45808.760416666664</v>
      </c>
      <c r="B1319">
        <v>42</v>
      </c>
      <c r="C1319" t="s">
        <v>51</v>
      </c>
      <c r="D1319" t="s">
        <v>52</v>
      </c>
      <c r="E1319">
        <v>1.56</v>
      </c>
      <c r="F1319">
        <v>4.5199999999999996</v>
      </c>
      <c r="G1319" s="8">
        <f>E1319*60/F1319</f>
        <v>20.707964601769916</v>
      </c>
    </row>
    <row r="1320" spans="1:7" x14ac:dyDescent="0.25">
      <c r="A1320" s="5">
        <v>45808.760416666664</v>
      </c>
      <c r="B1320">
        <v>43</v>
      </c>
      <c r="C1320" t="s">
        <v>52</v>
      </c>
      <c r="D1320" t="s">
        <v>53</v>
      </c>
      <c r="E1320">
        <v>1.51</v>
      </c>
      <c r="F1320">
        <v>3.52</v>
      </c>
      <c r="G1320" s="8">
        <f>E1320*60/F1320</f>
        <v>25.738636363636363</v>
      </c>
    </row>
    <row r="1321" spans="1:7" x14ac:dyDescent="0.25">
      <c r="A1321" s="5">
        <v>45808.760416666664</v>
      </c>
      <c r="B1321">
        <v>44</v>
      </c>
      <c r="C1321" t="s">
        <v>54</v>
      </c>
      <c r="D1321" t="s">
        <v>55</v>
      </c>
      <c r="E1321">
        <v>1.51</v>
      </c>
      <c r="F1321">
        <v>4.55</v>
      </c>
      <c r="G1321" s="8">
        <f>E1321*60/F1321</f>
        <v>19.912087912087912</v>
      </c>
    </row>
    <row r="1322" spans="1:7" x14ac:dyDescent="0.25">
      <c r="A1322" s="5">
        <v>45808.760416666664</v>
      </c>
      <c r="B1322">
        <v>45</v>
      </c>
      <c r="C1322" t="s">
        <v>55</v>
      </c>
      <c r="D1322" t="s">
        <v>56</v>
      </c>
      <c r="E1322">
        <v>1.49</v>
      </c>
      <c r="F1322">
        <v>3.65</v>
      </c>
      <c r="G1322" s="8">
        <f>E1322*60/F1322</f>
        <v>24.493150684931511</v>
      </c>
    </row>
    <row r="1323" spans="1:7" x14ac:dyDescent="0.25">
      <c r="A1323" s="5">
        <v>45808.760416666664</v>
      </c>
      <c r="B1323">
        <v>46</v>
      </c>
      <c r="C1323" t="s">
        <v>56</v>
      </c>
      <c r="D1323" t="s">
        <v>57</v>
      </c>
      <c r="E1323">
        <v>1.52</v>
      </c>
      <c r="F1323">
        <v>3.72</v>
      </c>
      <c r="G1323" s="8">
        <f>E1323*60/F1323</f>
        <v>24.516129032258064</v>
      </c>
    </row>
    <row r="1324" spans="1:7" x14ac:dyDescent="0.25">
      <c r="A1324" s="5">
        <v>45808.760416666664</v>
      </c>
      <c r="B1324">
        <v>47</v>
      </c>
      <c r="C1324" t="s">
        <v>58</v>
      </c>
      <c r="D1324" t="s">
        <v>59</v>
      </c>
      <c r="E1324">
        <v>1.52</v>
      </c>
      <c r="F1324">
        <v>4.0999999999999996</v>
      </c>
      <c r="G1324" s="8">
        <f>E1324*60/F1324</f>
        <v>22.243902439024392</v>
      </c>
    </row>
    <row r="1325" spans="1:7" x14ac:dyDescent="0.25">
      <c r="A1325" s="5">
        <v>45808.760416666664</v>
      </c>
      <c r="B1325">
        <v>48</v>
      </c>
      <c r="C1325" t="s">
        <v>59</v>
      </c>
      <c r="D1325" t="s">
        <v>60</v>
      </c>
      <c r="E1325">
        <v>1.5</v>
      </c>
      <c r="F1325">
        <v>3.85</v>
      </c>
      <c r="G1325" s="8">
        <f>E1325*60/F1325</f>
        <v>23.376623376623375</v>
      </c>
    </row>
    <row r="1326" spans="1:7" x14ac:dyDescent="0.25">
      <c r="A1326" s="5">
        <v>45808.760416666664</v>
      </c>
      <c r="B1326">
        <v>49</v>
      </c>
      <c r="C1326" t="s">
        <v>60</v>
      </c>
      <c r="D1326" t="s">
        <v>61</v>
      </c>
      <c r="E1326">
        <v>1.54</v>
      </c>
      <c r="F1326">
        <v>5.05</v>
      </c>
      <c r="G1326" s="8">
        <f>E1326*60/F1326</f>
        <v>18.297029702970299</v>
      </c>
    </row>
    <row r="1327" spans="1:7" x14ac:dyDescent="0.25">
      <c r="A1327" s="5">
        <v>45808.760416666664</v>
      </c>
      <c r="B1327">
        <v>50</v>
      </c>
      <c r="C1327" t="s">
        <v>62</v>
      </c>
      <c r="D1327" t="s">
        <v>63</v>
      </c>
      <c r="E1327">
        <v>1.38</v>
      </c>
      <c r="F1327">
        <v>3.18</v>
      </c>
      <c r="G1327" s="8">
        <f>E1327*60/F1327</f>
        <v>26.037735849056602</v>
      </c>
    </row>
    <row r="1328" spans="1:7" x14ac:dyDescent="0.25">
      <c r="A1328" s="5">
        <v>45808.760416666664</v>
      </c>
      <c r="B1328">
        <v>51</v>
      </c>
      <c r="C1328" t="s">
        <v>63</v>
      </c>
      <c r="D1328" t="s">
        <v>64</v>
      </c>
      <c r="E1328">
        <v>2.79</v>
      </c>
      <c r="F1328">
        <v>5.73</v>
      </c>
      <c r="G1328" s="8">
        <f>E1328*60/F1328</f>
        <v>29.214659685863872</v>
      </c>
    </row>
    <row r="1329" spans="1:7" x14ac:dyDescent="0.25">
      <c r="A1329" s="5">
        <v>45808.760416666664</v>
      </c>
      <c r="B1329">
        <v>52</v>
      </c>
      <c r="C1329" t="s">
        <v>64</v>
      </c>
      <c r="D1329" t="s">
        <v>65</v>
      </c>
      <c r="E1329">
        <v>1.5</v>
      </c>
      <c r="F1329">
        <v>2.92</v>
      </c>
      <c r="G1329" s="8">
        <f>E1329*60/F1329</f>
        <v>30.82191780821918</v>
      </c>
    </row>
    <row r="1330" spans="1:7" x14ac:dyDescent="0.25">
      <c r="A1330" s="5">
        <v>45808.760416666664</v>
      </c>
      <c r="B1330">
        <v>53</v>
      </c>
      <c r="C1330" t="s">
        <v>65</v>
      </c>
      <c r="D1330" t="s">
        <v>66</v>
      </c>
      <c r="E1330">
        <v>1.46</v>
      </c>
      <c r="F1330">
        <v>3.72</v>
      </c>
      <c r="G1330" s="8">
        <f>E1330*60/F1330</f>
        <v>23.548387096774192</v>
      </c>
    </row>
    <row r="1331" spans="1:7" x14ac:dyDescent="0.25">
      <c r="A1331" s="5">
        <v>45808.760416666664</v>
      </c>
      <c r="B1331">
        <v>54</v>
      </c>
      <c r="C1331" t="s">
        <v>67</v>
      </c>
      <c r="D1331" t="s">
        <v>68</v>
      </c>
      <c r="E1331">
        <v>1.46</v>
      </c>
      <c r="F1331">
        <v>3.27</v>
      </c>
      <c r="G1331" s="8">
        <f>E1331*60/F1331</f>
        <v>26.788990825688071</v>
      </c>
    </row>
    <row r="1332" spans="1:7" x14ac:dyDescent="0.25">
      <c r="A1332" s="5">
        <v>45808.760416666664</v>
      </c>
      <c r="B1332">
        <v>55</v>
      </c>
      <c r="C1332" t="s">
        <v>68</v>
      </c>
      <c r="D1332" t="s">
        <v>69</v>
      </c>
      <c r="E1332">
        <v>1.5</v>
      </c>
      <c r="F1332">
        <v>2.4300000000000002</v>
      </c>
      <c r="G1332" s="8">
        <f>E1332*60/F1332</f>
        <v>37.037037037037038</v>
      </c>
    </row>
    <row r="1333" spans="1:7" x14ac:dyDescent="0.25">
      <c r="A1333" s="5">
        <v>45808.760416666664</v>
      </c>
      <c r="B1333">
        <v>56</v>
      </c>
      <c r="C1333" t="s">
        <v>70</v>
      </c>
      <c r="D1333" t="s">
        <v>71</v>
      </c>
      <c r="E1333">
        <v>1.51</v>
      </c>
      <c r="F1333">
        <v>5.58</v>
      </c>
      <c r="G1333" s="8">
        <f>E1333*60/F1333</f>
        <v>16.236559139784944</v>
      </c>
    </row>
    <row r="1334" spans="1:7" x14ac:dyDescent="0.25">
      <c r="A1334" s="5">
        <v>45808.760416666664</v>
      </c>
      <c r="B1334">
        <v>57</v>
      </c>
      <c r="C1334" t="s">
        <v>71</v>
      </c>
      <c r="D1334" t="s">
        <v>72</v>
      </c>
      <c r="E1334">
        <v>1.52</v>
      </c>
      <c r="F1334">
        <v>4.03</v>
      </c>
      <c r="G1334" s="8">
        <f>E1334*60/F1334</f>
        <v>22.630272952853598</v>
      </c>
    </row>
    <row r="1335" spans="1:7" x14ac:dyDescent="0.25">
      <c r="A1335" s="5">
        <v>45808.760416666664</v>
      </c>
      <c r="B1335">
        <v>58</v>
      </c>
      <c r="C1335" t="s">
        <v>72</v>
      </c>
      <c r="D1335" t="s">
        <v>73</v>
      </c>
      <c r="E1335">
        <v>1.5</v>
      </c>
      <c r="F1335">
        <v>3.73</v>
      </c>
      <c r="G1335" s="8">
        <f>E1335*60/F1335</f>
        <v>24.128686327077748</v>
      </c>
    </row>
    <row r="1336" spans="1:7" x14ac:dyDescent="0.25">
      <c r="A1336" s="5">
        <v>45808.770833333336</v>
      </c>
      <c r="B1336">
        <v>1</v>
      </c>
      <c r="C1336" t="s">
        <v>6</v>
      </c>
      <c r="D1336" t="s">
        <v>7</v>
      </c>
      <c r="E1336">
        <v>1.53</v>
      </c>
      <c r="F1336">
        <v>2.85</v>
      </c>
      <c r="G1336" s="8">
        <f>E1336*60/F1336</f>
        <v>32.210526315789473</v>
      </c>
    </row>
    <row r="1337" spans="1:7" x14ac:dyDescent="0.25">
      <c r="A1337" s="5">
        <v>45808.770833333336</v>
      </c>
      <c r="B1337">
        <v>2</v>
      </c>
      <c r="C1337" t="s">
        <v>7</v>
      </c>
      <c r="D1337" t="s">
        <v>8</v>
      </c>
      <c r="E1337">
        <v>1.57</v>
      </c>
      <c r="F1337">
        <v>4.5999999999999996</v>
      </c>
      <c r="G1337" s="8">
        <f>E1337*60/F1337</f>
        <v>20.478260869565219</v>
      </c>
    </row>
    <row r="1338" spans="1:7" x14ac:dyDescent="0.25">
      <c r="A1338" s="5">
        <v>45808.770833333336</v>
      </c>
      <c r="B1338">
        <v>3</v>
      </c>
      <c r="C1338" t="s">
        <v>8</v>
      </c>
      <c r="D1338" t="s">
        <v>9</v>
      </c>
      <c r="E1338">
        <v>1.5</v>
      </c>
      <c r="F1338">
        <v>3.23</v>
      </c>
      <c r="G1338" s="8">
        <f>E1338*60/F1338</f>
        <v>27.86377708978328</v>
      </c>
    </row>
    <row r="1339" spans="1:7" x14ac:dyDescent="0.25">
      <c r="A1339" s="5">
        <v>45808.770833333336</v>
      </c>
      <c r="B1339">
        <v>4</v>
      </c>
      <c r="C1339" t="s">
        <v>9</v>
      </c>
      <c r="D1339" t="s">
        <v>10</v>
      </c>
      <c r="E1339">
        <v>1.5</v>
      </c>
      <c r="F1339">
        <v>3.12</v>
      </c>
      <c r="G1339" s="8">
        <f>E1339*60/F1339</f>
        <v>28.846153846153847</v>
      </c>
    </row>
    <row r="1340" spans="1:7" x14ac:dyDescent="0.25">
      <c r="A1340" s="5">
        <v>45808.770833333336</v>
      </c>
      <c r="B1340">
        <v>5</v>
      </c>
      <c r="C1340" t="s">
        <v>10</v>
      </c>
      <c r="D1340" t="s">
        <v>11</v>
      </c>
      <c r="E1340">
        <v>1.52</v>
      </c>
      <c r="F1340">
        <v>4.57</v>
      </c>
      <c r="G1340" s="8">
        <f>E1340*60/F1340</f>
        <v>19.956236323851204</v>
      </c>
    </row>
    <row r="1341" spans="1:7" x14ac:dyDescent="0.25">
      <c r="A1341" s="5">
        <v>45808.770833333336</v>
      </c>
      <c r="B1341">
        <v>6</v>
      </c>
      <c r="C1341" t="s">
        <v>11</v>
      </c>
      <c r="D1341" t="s">
        <v>12</v>
      </c>
      <c r="E1341">
        <v>1.5</v>
      </c>
      <c r="F1341">
        <v>2.82</v>
      </c>
      <c r="G1341" s="8">
        <f>E1341*60/F1341</f>
        <v>31.914893617021278</v>
      </c>
    </row>
    <row r="1342" spans="1:7" x14ac:dyDescent="0.25">
      <c r="A1342" s="5">
        <v>45808.770833333336</v>
      </c>
      <c r="B1342">
        <v>7</v>
      </c>
      <c r="C1342" t="s">
        <v>12</v>
      </c>
      <c r="D1342" t="s">
        <v>13</v>
      </c>
      <c r="E1342">
        <v>1.54</v>
      </c>
      <c r="F1342">
        <v>2.67</v>
      </c>
      <c r="G1342" s="8">
        <f>E1342*60/F1342</f>
        <v>34.606741573033709</v>
      </c>
    </row>
    <row r="1343" spans="1:7" x14ac:dyDescent="0.25">
      <c r="A1343" s="5">
        <v>45808.770833333336</v>
      </c>
      <c r="B1343">
        <v>8</v>
      </c>
      <c r="C1343" t="s">
        <v>13</v>
      </c>
      <c r="D1343" t="s">
        <v>14</v>
      </c>
      <c r="E1343">
        <v>1.54</v>
      </c>
      <c r="F1343">
        <v>3.15</v>
      </c>
      <c r="G1343" s="8">
        <f>E1343*60/F1343</f>
        <v>29.333333333333336</v>
      </c>
    </row>
    <row r="1344" spans="1:7" x14ac:dyDescent="0.25">
      <c r="A1344" s="5">
        <v>45808.770833333336</v>
      </c>
      <c r="B1344">
        <v>9</v>
      </c>
      <c r="C1344" t="s">
        <v>14</v>
      </c>
      <c r="D1344" t="s">
        <v>15</v>
      </c>
      <c r="E1344">
        <v>1.52</v>
      </c>
      <c r="F1344">
        <v>4.03</v>
      </c>
      <c r="G1344" s="8">
        <f>E1344*60/F1344</f>
        <v>22.630272952853598</v>
      </c>
    </row>
    <row r="1345" spans="1:7" x14ac:dyDescent="0.25">
      <c r="A1345" s="5">
        <v>45808.770833333336</v>
      </c>
      <c r="B1345">
        <v>10</v>
      </c>
      <c r="C1345" t="s">
        <v>15</v>
      </c>
      <c r="D1345" t="s">
        <v>16</v>
      </c>
      <c r="E1345">
        <v>1.5</v>
      </c>
      <c r="F1345">
        <v>4.22</v>
      </c>
      <c r="G1345" s="8">
        <f>E1345*60/F1345</f>
        <v>21.327014218009481</v>
      </c>
    </row>
    <row r="1346" spans="1:7" x14ac:dyDescent="0.25">
      <c r="A1346" s="5">
        <v>45808.770833333336</v>
      </c>
      <c r="B1346">
        <v>11</v>
      </c>
      <c r="C1346" t="s">
        <v>16</v>
      </c>
      <c r="D1346" t="s">
        <v>17</v>
      </c>
      <c r="E1346">
        <v>1.48</v>
      </c>
      <c r="F1346">
        <v>2.4500000000000002</v>
      </c>
      <c r="G1346" s="8">
        <f>E1346*60/F1346</f>
        <v>36.244897959183668</v>
      </c>
    </row>
    <row r="1347" spans="1:7" x14ac:dyDescent="0.25">
      <c r="A1347" s="5">
        <v>45808.770833333336</v>
      </c>
      <c r="B1347">
        <v>12</v>
      </c>
      <c r="C1347" t="s">
        <v>17</v>
      </c>
      <c r="D1347" t="s">
        <v>18</v>
      </c>
      <c r="E1347">
        <v>1.46</v>
      </c>
      <c r="F1347">
        <v>3.52</v>
      </c>
      <c r="G1347" s="8">
        <f>E1347*60/F1347</f>
        <v>24.886363636363633</v>
      </c>
    </row>
    <row r="1348" spans="1:7" x14ac:dyDescent="0.25">
      <c r="A1348" s="5">
        <v>45808.770833333336</v>
      </c>
      <c r="B1348">
        <v>13</v>
      </c>
      <c r="C1348" t="s">
        <v>18</v>
      </c>
      <c r="D1348" t="s">
        <v>19</v>
      </c>
      <c r="E1348">
        <v>1.52</v>
      </c>
      <c r="F1348">
        <v>3.72</v>
      </c>
      <c r="G1348" s="8">
        <f>E1348*60/F1348</f>
        <v>24.516129032258064</v>
      </c>
    </row>
    <row r="1349" spans="1:7" x14ac:dyDescent="0.25">
      <c r="A1349" s="5">
        <v>45808.770833333336</v>
      </c>
      <c r="B1349">
        <v>14</v>
      </c>
      <c r="C1349" t="s">
        <v>19</v>
      </c>
      <c r="D1349" t="s">
        <v>20</v>
      </c>
      <c r="E1349">
        <v>1.51</v>
      </c>
      <c r="F1349">
        <v>3.73</v>
      </c>
      <c r="G1349" s="8">
        <f>E1349*60/F1349</f>
        <v>24.289544235924932</v>
      </c>
    </row>
    <row r="1350" spans="1:7" x14ac:dyDescent="0.25">
      <c r="A1350" s="5">
        <v>45808.770833333336</v>
      </c>
      <c r="B1350">
        <v>15</v>
      </c>
      <c r="C1350" t="s">
        <v>20</v>
      </c>
      <c r="D1350" t="s">
        <v>21</v>
      </c>
      <c r="E1350">
        <v>1.47</v>
      </c>
      <c r="F1350">
        <v>2.42</v>
      </c>
      <c r="G1350" s="8">
        <f>E1350*60/F1350</f>
        <v>36.446280991735541</v>
      </c>
    </row>
    <row r="1351" spans="1:7" x14ac:dyDescent="0.25">
      <c r="A1351" s="5">
        <v>45808.770833333336</v>
      </c>
      <c r="B1351">
        <v>16</v>
      </c>
      <c r="C1351" t="s">
        <v>21</v>
      </c>
      <c r="D1351" t="s">
        <v>22</v>
      </c>
      <c r="E1351">
        <v>1.5</v>
      </c>
      <c r="F1351">
        <v>1.83</v>
      </c>
      <c r="G1351" s="8">
        <f>E1351*60/F1351</f>
        <v>49.180327868852459</v>
      </c>
    </row>
    <row r="1352" spans="1:7" x14ac:dyDescent="0.25">
      <c r="A1352" s="5">
        <v>45808.770833333336</v>
      </c>
      <c r="B1352">
        <v>17</v>
      </c>
      <c r="C1352" t="s">
        <v>22</v>
      </c>
      <c r="D1352" t="s">
        <v>23</v>
      </c>
      <c r="E1352">
        <v>1.51</v>
      </c>
      <c r="F1352">
        <v>3.17</v>
      </c>
      <c r="G1352" s="8">
        <f>E1352*60/F1352</f>
        <v>28.580441640378549</v>
      </c>
    </row>
    <row r="1353" spans="1:7" x14ac:dyDescent="0.25">
      <c r="A1353" s="5">
        <v>45808.770833333336</v>
      </c>
      <c r="B1353">
        <v>18</v>
      </c>
      <c r="C1353" t="s">
        <v>23</v>
      </c>
      <c r="D1353" t="s">
        <v>24</v>
      </c>
      <c r="E1353">
        <v>1.51</v>
      </c>
      <c r="F1353">
        <v>3.47</v>
      </c>
      <c r="G1353" s="8">
        <f>E1353*60/F1353</f>
        <v>26.109510086455327</v>
      </c>
    </row>
    <row r="1354" spans="1:7" x14ac:dyDescent="0.25">
      <c r="A1354" s="5">
        <v>45808.770833333336</v>
      </c>
      <c r="B1354">
        <v>19</v>
      </c>
      <c r="C1354" t="s">
        <v>25</v>
      </c>
      <c r="D1354" t="s">
        <v>26</v>
      </c>
      <c r="E1354">
        <v>1.5</v>
      </c>
      <c r="F1354">
        <v>3.48</v>
      </c>
      <c r="G1354" s="8">
        <f>E1354*60/F1354</f>
        <v>25.862068965517242</v>
      </c>
    </row>
    <row r="1355" spans="1:7" x14ac:dyDescent="0.25">
      <c r="A1355" s="5">
        <v>45808.770833333336</v>
      </c>
      <c r="B1355">
        <v>20</v>
      </c>
      <c r="C1355" t="s">
        <v>26</v>
      </c>
      <c r="D1355" t="s">
        <v>27</v>
      </c>
      <c r="E1355">
        <v>1.48</v>
      </c>
      <c r="F1355">
        <v>3.28</v>
      </c>
      <c r="G1355" s="8">
        <f>E1355*60/F1355</f>
        <v>27.073170731707318</v>
      </c>
    </row>
    <row r="1356" spans="1:7" x14ac:dyDescent="0.25">
      <c r="A1356" s="5">
        <v>45808.770833333336</v>
      </c>
      <c r="B1356">
        <v>21</v>
      </c>
      <c r="C1356" t="s">
        <v>27</v>
      </c>
      <c r="D1356" t="s">
        <v>28</v>
      </c>
      <c r="E1356">
        <v>1.51</v>
      </c>
      <c r="F1356">
        <v>3.43</v>
      </c>
      <c r="G1356" s="8">
        <f>E1356*60/F1356</f>
        <v>26.413994169096206</v>
      </c>
    </row>
    <row r="1357" spans="1:7" x14ac:dyDescent="0.25">
      <c r="A1357" s="5">
        <v>45808.770833333336</v>
      </c>
      <c r="B1357">
        <v>22</v>
      </c>
      <c r="C1357" t="s">
        <v>28</v>
      </c>
      <c r="D1357" t="s">
        <v>29</v>
      </c>
      <c r="E1357">
        <v>1.57</v>
      </c>
      <c r="F1357">
        <v>3.42</v>
      </c>
      <c r="G1357" s="8">
        <f>E1357*60/F1357</f>
        <v>27.543859649122808</v>
      </c>
    </row>
    <row r="1358" spans="1:7" x14ac:dyDescent="0.25">
      <c r="A1358" s="5">
        <v>45808.770833333336</v>
      </c>
      <c r="B1358">
        <v>23</v>
      </c>
      <c r="C1358" t="s">
        <v>29</v>
      </c>
      <c r="D1358" t="s">
        <v>30</v>
      </c>
      <c r="E1358">
        <v>1.43</v>
      </c>
      <c r="F1358">
        <v>4.2</v>
      </c>
      <c r="G1358" s="8">
        <f>E1358*60/F1358</f>
        <v>20.428571428571427</v>
      </c>
    </row>
    <row r="1359" spans="1:7" x14ac:dyDescent="0.25">
      <c r="A1359" s="5">
        <v>45808.770833333336</v>
      </c>
      <c r="B1359">
        <v>24</v>
      </c>
      <c r="C1359" t="s">
        <v>30</v>
      </c>
      <c r="D1359" t="s">
        <v>31</v>
      </c>
      <c r="E1359">
        <v>1.52</v>
      </c>
      <c r="F1359">
        <v>3.32</v>
      </c>
      <c r="G1359" s="8">
        <f>E1359*60/F1359</f>
        <v>27.46987951807229</v>
      </c>
    </row>
    <row r="1360" spans="1:7" x14ac:dyDescent="0.25">
      <c r="A1360" s="5">
        <v>45808.770833333336</v>
      </c>
      <c r="B1360">
        <v>25</v>
      </c>
      <c r="C1360" t="s">
        <v>31</v>
      </c>
      <c r="D1360" t="s">
        <v>32</v>
      </c>
      <c r="E1360">
        <v>1.52</v>
      </c>
      <c r="F1360">
        <v>3.38</v>
      </c>
      <c r="G1360" s="8">
        <f>E1360*60/F1360</f>
        <v>26.982248520710062</v>
      </c>
    </row>
    <row r="1361" spans="1:7" x14ac:dyDescent="0.25">
      <c r="A1361" s="5">
        <v>45808.770833333336</v>
      </c>
      <c r="B1361">
        <v>26</v>
      </c>
      <c r="C1361" t="s">
        <v>32</v>
      </c>
      <c r="D1361" t="s">
        <v>33</v>
      </c>
      <c r="E1361">
        <v>1.49</v>
      </c>
      <c r="F1361">
        <v>4.93</v>
      </c>
      <c r="G1361" s="8">
        <f>E1361*60/F1361</f>
        <v>18.133874239350916</v>
      </c>
    </row>
    <row r="1362" spans="1:7" x14ac:dyDescent="0.25">
      <c r="A1362" s="5">
        <v>45808.770833333336</v>
      </c>
      <c r="B1362">
        <v>27</v>
      </c>
      <c r="C1362" t="s">
        <v>33</v>
      </c>
      <c r="D1362" t="s">
        <v>34</v>
      </c>
      <c r="E1362">
        <v>1.53</v>
      </c>
      <c r="F1362">
        <v>5.98</v>
      </c>
      <c r="G1362" s="8">
        <f>E1362*60/F1362</f>
        <v>15.351170568561871</v>
      </c>
    </row>
    <row r="1363" spans="1:7" x14ac:dyDescent="0.25">
      <c r="A1363" s="5">
        <v>45808.770833333336</v>
      </c>
      <c r="B1363">
        <v>28</v>
      </c>
      <c r="C1363" t="s">
        <v>34</v>
      </c>
      <c r="D1363" t="s">
        <v>35</v>
      </c>
      <c r="E1363">
        <v>1.51</v>
      </c>
      <c r="F1363">
        <v>4.37</v>
      </c>
      <c r="G1363" s="8">
        <f>E1363*60/F1363</f>
        <v>20.732265446224254</v>
      </c>
    </row>
    <row r="1364" spans="1:7" x14ac:dyDescent="0.25">
      <c r="A1364" s="5">
        <v>45808.770833333336</v>
      </c>
      <c r="B1364">
        <v>29</v>
      </c>
      <c r="C1364" t="s">
        <v>36</v>
      </c>
      <c r="D1364" t="s">
        <v>37</v>
      </c>
      <c r="E1364">
        <v>1.57</v>
      </c>
      <c r="F1364">
        <v>4.03</v>
      </c>
      <c r="G1364" s="8">
        <f>E1364*60/F1364</f>
        <v>23.374689826302728</v>
      </c>
    </row>
    <row r="1365" spans="1:7" x14ac:dyDescent="0.25">
      <c r="A1365" s="5">
        <v>45808.770833333336</v>
      </c>
      <c r="B1365">
        <v>30</v>
      </c>
      <c r="C1365" t="s">
        <v>37</v>
      </c>
      <c r="D1365" t="s">
        <v>38</v>
      </c>
      <c r="E1365">
        <v>1.57</v>
      </c>
      <c r="F1365">
        <v>3.87</v>
      </c>
      <c r="G1365" s="8">
        <f>E1365*60/F1365</f>
        <v>24.34108527131783</v>
      </c>
    </row>
    <row r="1366" spans="1:7" x14ac:dyDescent="0.25">
      <c r="A1366" s="5">
        <v>45808.770833333336</v>
      </c>
      <c r="B1366">
        <v>31</v>
      </c>
      <c r="C1366" t="s">
        <v>38</v>
      </c>
      <c r="D1366" t="s">
        <v>39</v>
      </c>
      <c r="E1366">
        <v>1.52</v>
      </c>
      <c r="F1366">
        <v>2.88</v>
      </c>
      <c r="G1366" s="8">
        <f>E1366*60/F1366</f>
        <v>31.666666666666668</v>
      </c>
    </row>
    <row r="1367" spans="1:7" x14ac:dyDescent="0.25">
      <c r="A1367" s="5">
        <v>45808.770833333336</v>
      </c>
      <c r="B1367">
        <v>32</v>
      </c>
      <c r="C1367" t="s">
        <v>39</v>
      </c>
      <c r="D1367" t="s">
        <v>40</v>
      </c>
      <c r="E1367">
        <v>1.5</v>
      </c>
      <c r="F1367">
        <v>1.85</v>
      </c>
      <c r="G1367" s="8">
        <f>E1367*60/F1367</f>
        <v>48.648648648648646</v>
      </c>
    </row>
    <row r="1368" spans="1:7" x14ac:dyDescent="0.25">
      <c r="A1368" s="5">
        <v>45808.770833333336</v>
      </c>
      <c r="B1368">
        <v>33</v>
      </c>
      <c r="C1368" t="s">
        <v>40</v>
      </c>
      <c r="D1368" t="s">
        <v>41</v>
      </c>
      <c r="E1368">
        <v>1.51</v>
      </c>
      <c r="F1368">
        <v>1.83</v>
      </c>
      <c r="G1368" s="8">
        <f>E1368*60/F1368</f>
        <v>49.508196721311471</v>
      </c>
    </row>
    <row r="1369" spans="1:7" x14ac:dyDescent="0.25">
      <c r="A1369" s="5">
        <v>45808.770833333336</v>
      </c>
      <c r="B1369">
        <v>34</v>
      </c>
      <c r="C1369" t="s">
        <v>41</v>
      </c>
      <c r="D1369" t="s">
        <v>42</v>
      </c>
      <c r="E1369">
        <v>1.5</v>
      </c>
      <c r="F1369">
        <v>1.97</v>
      </c>
      <c r="G1369" s="8">
        <f>E1369*60/F1369</f>
        <v>45.685279187817258</v>
      </c>
    </row>
    <row r="1370" spans="1:7" x14ac:dyDescent="0.25">
      <c r="A1370" s="5">
        <v>45808.770833333336</v>
      </c>
      <c r="B1370">
        <v>35</v>
      </c>
      <c r="C1370" t="s">
        <v>43</v>
      </c>
      <c r="D1370" t="s">
        <v>44</v>
      </c>
      <c r="E1370">
        <v>1.55</v>
      </c>
      <c r="F1370">
        <v>3.47</v>
      </c>
      <c r="G1370" s="8">
        <f>E1370*60/F1370</f>
        <v>26.801152737752158</v>
      </c>
    </row>
    <row r="1371" spans="1:7" x14ac:dyDescent="0.25">
      <c r="A1371" s="5">
        <v>45808.770833333336</v>
      </c>
      <c r="B1371">
        <v>36</v>
      </c>
      <c r="C1371" t="s">
        <v>44</v>
      </c>
      <c r="D1371" t="s">
        <v>45</v>
      </c>
      <c r="E1371">
        <v>1.5</v>
      </c>
      <c r="F1371">
        <v>3.28</v>
      </c>
      <c r="G1371" s="8">
        <f>E1371*60/F1371</f>
        <v>27.439024390243905</v>
      </c>
    </row>
    <row r="1372" spans="1:7" x14ac:dyDescent="0.25">
      <c r="A1372" s="5">
        <v>45808.770833333336</v>
      </c>
      <c r="B1372">
        <v>37</v>
      </c>
      <c r="C1372" t="s">
        <v>45</v>
      </c>
      <c r="D1372" t="s">
        <v>46</v>
      </c>
      <c r="E1372">
        <v>1.38</v>
      </c>
      <c r="F1372">
        <v>4.67</v>
      </c>
      <c r="G1372" s="8">
        <f>E1372*60/F1372</f>
        <v>17.73019271948608</v>
      </c>
    </row>
    <row r="1373" spans="1:7" x14ac:dyDescent="0.25">
      <c r="A1373" s="5">
        <v>45808.770833333336</v>
      </c>
      <c r="B1373">
        <v>38</v>
      </c>
      <c r="C1373" t="s">
        <v>46</v>
      </c>
      <c r="D1373" t="s">
        <v>47</v>
      </c>
      <c r="E1373">
        <v>1.61</v>
      </c>
      <c r="F1373">
        <v>4.5199999999999996</v>
      </c>
      <c r="G1373" s="8">
        <f>E1373*60/F1373</f>
        <v>21.371681415929206</v>
      </c>
    </row>
    <row r="1374" spans="1:7" x14ac:dyDescent="0.25">
      <c r="A1374" s="5">
        <v>45808.770833333336</v>
      </c>
      <c r="B1374">
        <v>39</v>
      </c>
      <c r="C1374" t="s">
        <v>47</v>
      </c>
      <c r="D1374" t="s">
        <v>48</v>
      </c>
      <c r="E1374">
        <v>1.55</v>
      </c>
      <c r="F1374">
        <v>3.92</v>
      </c>
      <c r="G1374" s="8">
        <f>E1374*60/F1374</f>
        <v>23.724489795918366</v>
      </c>
    </row>
    <row r="1375" spans="1:7" x14ac:dyDescent="0.25">
      <c r="A1375" s="5">
        <v>45808.770833333336</v>
      </c>
      <c r="B1375">
        <v>40</v>
      </c>
      <c r="C1375" t="s">
        <v>48</v>
      </c>
      <c r="D1375" t="s">
        <v>49</v>
      </c>
      <c r="E1375">
        <v>1.39</v>
      </c>
      <c r="F1375">
        <v>3.23</v>
      </c>
      <c r="G1375" s="8">
        <f>E1375*60/F1375</f>
        <v>25.820433436532504</v>
      </c>
    </row>
    <row r="1376" spans="1:7" x14ac:dyDescent="0.25">
      <c r="A1376" s="5">
        <v>45808.770833333336</v>
      </c>
      <c r="B1376">
        <v>41</v>
      </c>
      <c r="C1376" t="s">
        <v>50</v>
      </c>
      <c r="D1376" t="s">
        <v>51</v>
      </c>
      <c r="E1376">
        <v>1.56</v>
      </c>
      <c r="F1376">
        <v>3.88</v>
      </c>
      <c r="G1376" s="8">
        <f>E1376*60/F1376</f>
        <v>24.123711340206189</v>
      </c>
    </row>
    <row r="1377" spans="1:7" x14ac:dyDescent="0.25">
      <c r="A1377" s="5">
        <v>45808.770833333336</v>
      </c>
      <c r="B1377">
        <v>42</v>
      </c>
      <c r="C1377" t="s">
        <v>51</v>
      </c>
      <c r="D1377" t="s">
        <v>52</v>
      </c>
      <c r="E1377">
        <v>1.56</v>
      </c>
      <c r="F1377">
        <v>4.7699999999999996</v>
      </c>
      <c r="G1377" s="8">
        <f>E1377*60/F1377</f>
        <v>19.622641509433965</v>
      </c>
    </row>
    <row r="1378" spans="1:7" x14ac:dyDescent="0.25">
      <c r="A1378" s="5">
        <v>45808.770833333336</v>
      </c>
      <c r="B1378">
        <v>43</v>
      </c>
      <c r="C1378" t="s">
        <v>52</v>
      </c>
      <c r="D1378" t="s">
        <v>53</v>
      </c>
      <c r="E1378">
        <v>1.51</v>
      </c>
      <c r="F1378">
        <v>3.45</v>
      </c>
      <c r="G1378" s="8">
        <f>E1378*60/F1378</f>
        <v>26.260869565217387</v>
      </c>
    </row>
    <row r="1379" spans="1:7" x14ac:dyDescent="0.25">
      <c r="A1379" s="5">
        <v>45808.770833333336</v>
      </c>
      <c r="B1379">
        <v>44</v>
      </c>
      <c r="C1379" t="s">
        <v>54</v>
      </c>
      <c r="D1379" t="s">
        <v>55</v>
      </c>
      <c r="E1379">
        <v>1.51</v>
      </c>
      <c r="F1379">
        <v>4.12</v>
      </c>
      <c r="G1379" s="8">
        <f>E1379*60/F1379</f>
        <v>21.990291262135919</v>
      </c>
    </row>
    <row r="1380" spans="1:7" x14ac:dyDescent="0.25">
      <c r="A1380" s="5">
        <v>45808.770833333336</v>
      </c>
      <c r="B1380">
        <v>45</v>
      </c>
      <c r="C1380" t="s">
        <v>55</v>
      </c>
      <c r="D1380" t="s">
        <v>56</v>
      </c>
      <c r="E1380">
        <v>1.49</v>
      </c>
      <c r="F1380">
        <v>3.68</v>
      </c>
      <c r="G1380" s="8">
        <f>E1380*60/F1380</f>
        <v>24.293478260869566</v>
      </c>
    </row>
    <row r="1381" spans="1:7" x14ac:dyDescent="0.25">
      <c r="A1381" s="5">
        <v>45808.770833333336</v>
      </c>
      <c r="B1381">
        <v>46</v>
      </c>
      <c r="C1381" t="s">
        <v>56</v>
      </c>
      <c r="D1381" t="s">
        <v>57</v>
      </c>
      <c r="E1381">
        <v>1.52</v>
      </c>
      <c r="F1381">
        <v>3.77</v>
      </c>
      <c r="G1381" s="8">
        <f>E1381*60/F1381</f>
        <v>24.190981432360743</v>
      </c>
    </row>
    <row r="1382" spans="1:7" x14ac:dyDescent="0.25">
      <c r="A1382" s="5">
        <v>45808.770833333336</v>
      </c>
      <c r="B1382">
        <v>47</v>
      </c>
      <c r="C1382" t="s">
        <v>58</v>
      </c>
      <c r="D1382" t="s">
        <v>59</v>
      </c>
      <c r="E1382">
        <v>1.52</v>
      </c>
      <c r="F1382">
        <v>4.25</v>
      </c>
      <c r="G1382" s="8">
        <f>E1382*60/F1382</f>
        <v>21.458823529411767</v>
      </c>
    </row>
    <row r="1383" spans="1:7" x14ac:dyDescent="0.25">
      <c r="A1383" s="5">
        <v>45808.770833333336</v>
      </c>
      <c r="B1383">
        <v>48</v>
      </c>
      <c r="C1383" t="s">
        <v>59</v>
      </c>
      <c r="D1383" t="s">
        <v>60</v>
      </c>
      <c r="E1383">
        <v>1.5</v>
      </c>
      <c r="F1383">
        <v>3.87</v>
      </c>
      <c r="G1383" s="8">
        <f>E1383*60/F1383</f>
        <v>23.255813953488371</v>
      </c>
    </row>
    <row r="1384" spans="1:7" x14ac:dyDescent="0.25">
      <c r="A1384" s="5">
        <v>45808.770833333336</v>
      </c>
      <c r="B1384">
        <v>49</v>
      </c>
      <c r="C1384" t="s">
        <v>60</v>
      </c>
      <c r="D1384" t="s">
        <v>61</v>
      </c>
      <c r="E1384">
        <v>1.54</v>
      </c>
      <c r="F1384">
        <v>4.08</v>
      </c>
      <c r="G1384" s="8">
        <f>E1384*60/F1384</f>
        <v>22.647058823529413</v>
      </c>
    </row>
    <row r="1385" spans="1:7" x14ac:dyDescent="0.25">
      <c r="A1385" s="5">
        <v>45808.770833333336</v>
      </c>
      <c r="B1385">
        <v>50</v>
      </c>
      <c r="C1385" t="s">
        <v>62</v>
      </c>
      <c r="D1385" t="s">
        <v>63</v>
      </c>
      <c r="E1385">
        <v>1.38</v>
      </c>
      <c r="F1385">
        <v>3.32</v>
      </c>
      <c r="G1385" s="8">
        <f>E1385*60/F1385</f>
        <v>24.939759036144579</v>
      </c>
    </row>
    <row r="1386" spans="1:7" x14ac:dyDescent="0.25">
      <c r="A1386" s="5">
        <v>45808.770833333336</v>
      </c>
      <c r="B1386">
        <v>51</v>
      </c>
      <c r="C1386" t="s">
        <v>63</v>
      </c>
      <c r="D1386" t="s">
        <v>64</v>
      </c>
      <c r="E1386">
        <v>2.79</v>
      </c>
      <c r="F1386">
        <v>5.9</v>
      </c>
      <c r="G1386" s="8">
        <f>E1386*60/F1386</f>
        <v>28.372881355932204</v>
      </c>
    </row>
    <row r="1387" spans="1:7" x14ac:dyDescent="0.25">
      <c r="A1387" s="5">
        <v>45808.770833333336</v>
      </c>
      <c r="B1387">
        <v>52</v>
      </c>
      <c r="C1387" t="s">
        <v>64</v>
      </c>
      <c r="D1387" t="s">
        <v>65</v>
      </c>
      <c r="E1387">
        <v>1.5</v>
      </c>
      <c r="F1387">
        <v>2.78</v>
      </c>
      <c r="G1387" s="8">
        <f>E1387*60/F1387</f>
        <v>32.374100719424462</v>
      </c>
    </row>
    <row r="1388" spans="1:7" x14ac:dyDescent="0.25">
      <c r="A1388" s="5">
        <v>45808.770833333336</v>
      </c>
      <c r="B1388">
        <v>53</v>
      </c>
      <c r="C1388" t="s">
        <v>65</v>
      </c>
      <c r="D1388" t="s">
        <v>66</v>
      </c>
      <c r="E1388">
        <v>1.46</v>
      </c>
      <c r="F1388">
        <v>3.72</v>
      </c>
      <c r="G1388" s="8">
        <f>E1388*60/F1388</f>
        <v>23.548387096774192</v>
      </c>
    </row>
    <row r="1389" spans="1:7" x14ac:dyDescent="0.25">
      <c r="A1389" s="5">
        <v>45808.770833333336</v>
      </c>
      <c r="B1389">
        <v>54</v>
      </c>
      <c r="C1389" t="s">
        <v>67</v>
      </c>
      <c r="D1389" t="s">
        <v>68</v>
      </c>
      <c r="E1389">
        <v>1.46</v>
      </c>
      <c r="F1389">
        <v>3.57</v>
      </c>
      <c r="G1389" s="8">
        <f>E1389*60/F1389</f>
        <v>24.537815126050418</v>
      </c>
    </row>
    <row r="1390" spans="1:7" x14ac:dyDescent="0.25">
      <c r="A1390" s="5">
        <v>45808.770833333336</v>
      </c>
      <c r="B1390">
        <v>55</v>
      </c>
      <c r="C1390" t="s">
        <v>68</v>
      </c>
      <c r="D1390" t="s">
        <v>69</v>
      </c>
      <c r="E1390">
        <v>1.5</v>
      </c>
      <c r="F1390">
        <v>2.2200000000000002</v>
      </c>
      <c r="G1390" s="8">
        <f>E1390*60/F1390</f>
        <v>40.54054054054054</v>
      </c>
    </row>
    <row r="1391" spans="1:7" x14ac:dyDescent="0.25">
      <c r="A1391" s="5">
        <v>45808.770833333336</v>
      </c>
      <c r="B1391">
        <v>56</v>
      </c>
      <c r="C1391" t="s">
        <v>70</v>
      </c>
      <c r="D1391" t="s">
        <v>71</v>
      </c>
      <c r="E1391">
        <v>1.51</v>
      </c>
      <c r="F1391">
        <v>5.52</v>
      </c>
      <c r="G1391" s="8">
        <f>E1391*60/F1391</f>
        <v>16.413043478260871</v>
      </c>
    </row>
    <row r="1392" spans="1:7" x14ac:dyDescent="0.25">
      <c r="A1392" s="5">
        <v>45808.770833333336</v>
      </c>
      <c r="B1392">
        <v>57</v>
      </c>
      <c r="C1392" t="s">
        <v>71</v>
      </c>
      <c r="D1392" t="s">
        <v>72</v>
      </c>
      <c r="E1392">
        <v>1.52</v>
      </c>
      <c r="F1392">
        <v>4</v>
      </c>
      <c r="G1392" s="8">
        <f>E1392*60/F1392</f>
        <v>22.8</v>
      </c>
    </row>
    <row r="1393" spans="1:7" x14ac:dyDescent="0.25">
      <c r="A1393" s="5">
        <v>45808.770833333336</v>
      </c>
      <c r="B1393">
        <v>58</v>
      </c>
      <c r="C1393" t="s">
        <v>72</v>
      </c>
      <c r="D1393" t="s">
        <v>73</v>
      </c>
      <c r="E1393">
        <v>1.5</v>
      </c>
      <c r="F1393">
        <v>3.77</v>
      </c>
      <c r="G1393" s="8">
        <f>E1393*60/F1393</f>
        <v>23.872679045092838</v>
      </c>
    </row>
    <row r="1394" spans="1:7" x14ac:dyDescent="0.25">
      <c r="A1394" s="5">
        <v>45808.78125</v>
      </c>
      <c r="B1394">
        <v>1</v>
      </c>
      <c r="C1394" t="s">
        <v>6</v>
      </c>
      <c r="D1394" t="s">
        <v>7</v>
      </c>
      <c r="E1394">
        <v>1.53</v>
      </c>
      <c r="F1394">
        <v>3.27</v>
      </c>
      <c r="G1394" s="8">
        <f>E1394*60/F1394</f>
        <v>28.073394495412842</v>
      </c>
    </row>
    <row r="1395" spans="1:7" x14ac:dyDescent="0.25">
      <c r="A1395" s="5">
        <v>45808.78125</v>
      </c>
      <c r="B1395">
        <v>2</v>
      </c>
      <c r="C1395" t="s">
        <v>7</v>
      </c>
      <c r="D1395" t="s">
        <v>8</v>
      </c>
      <c r="E1395">
        <v>1.57</v>
      </c>
      <c r="F1395">
        <v>4.7</v>
      </c>
      <c r="G1395" s="8">
        <f>E1395*60/F1395</f>
        <v>20.042553191489361</v>
      </c>
    </row>
    <row r="1396" spans="1:7" x14ac:dyDescent="0.25">
      <c r="A1396" s="5">
        <v>45808.78125</v>
      </c>
      <c r="B1396">
        <v>3</v>
      </c>
      <c r="C1396" t="s">
        <v>8</v>
      </c>
      <c r="D1396" t="s">
        <v>9</v>
      </c>
      <c r="E1396">
        <v>1.5</v>
      </c>
      <c r="F1396">
        <v>3.17</v>
      </c>
      <c r="G1396" s="8">
        <f>E1396*60/F1396</f>
        <v>28.391167192429023</v>
      </c>
    </row>
    <row r="1397" spans="1:7" x14ac:dyDescent="0.25">
      <c r="A1397" s="5">
        <v>45808.78125</v>
      </c>
      <c r="B1397">
        <v>4</v>
      </c>
      <c r="C1397" t="s">
        <v>9</v>
      </c>
      <c r="D1397" t="s">
        <v>10</v>
      </c>
      <c r="E1397">
        <v>1.5</v>
      </c>
      <c r="F1397">
        <v>3.07</v>
      </c>
      <c r="G1397" s="8">
        <f>E1397*60/F1397</f>
        <v>29.31596091205212</v>
      </c>
    </row>
    <row r="1398" spans="1:7" x14ac:dyDescent="0.25">
      <c r="A1398" s="5">
        <v>45808.78125</v>
      </c>
      <c r="B1398">
        <v>5</v>
      </c>
      <c r="C1398" t="s">
        <v>10</v>
      </c>
      <c r="D1398" t="s">
        <v>11</v>
      </c>
      <c r="E1398">
        <v>1.52</v>
      </c>
      <c r="F1398">
        <v>4.05</v>
      </c>
      <c r="G1398" s="8">
        <f>E1398*60/F1398</f>
        <v>22.518518518518519</v>
      </c>
    </row>
    <row r="1399" spans="1:7" x14ac:dyDescent="0.25">
      <c r="A1399" s="5">
        <v>45808.78125</v>
      </c>
      <c r="B1399">
        <v>6</v>
      </c>
      <c r="C1399" t="s">
        <v>11</v>
      </c>
      <c r="D1399" t="s">
        <v>12</v>
      </c>
      <c r="E1399">
        <v>1.5</v>
      </c>
      <c r="F1399">
        <v>2.85</v>
      </c>
      <c r="G1399" s="8">
        <f>E1399*60/F1399</f>
        <v>31.578947368421051</v>
      </c>
    </row>
    <row r="1400" spans="1:7" x14ac:dyDescent="0.25">
      <c r="A1400" s="5">
        <v>45808.78125</v>
      </c>
      <c r="B1400">
        <v>7</v>
      </c>
      <c r="C1400" t="s">
        <v>12</v>
      </c>
      <c r="D1400" t="s">
        <v>13</v>
      </c>
      <c r="E1400">
        <v>1.54</v>
      </c>
      <c r="F1400">
        <v>2.85</v>
      </c>
      <c r="G1400" s="8">
        <f>E1400*60/F1400</f>
        <v>32.421052631578945</v>
      </c>
    </row>
    <row r="1401" spans="1:7" x14ac:dyDescent="0.25">
      <c r="A1401" s="5">
        <v>45808.78125</v>
      </c>
      <c r="B1401">
        <v>8</v>
      </c>
      <c r="C1401" t="s">
        <v>13</v>
      </c>
      <c r="D1401" t="s">
        <v>14</v>
      </c>
      <c r="E1401">
        <v>1.54</v>
      </c>
      <c r="F1401">
        <v>3.37</v>
      </c>
      <c r="G1401" s="8">
        <f>E1401*60/F1401</f>
        <v>27.41839762611276</v>
      </c>
    </row>
    <row r="1402" spans="1:7" x14ac:dyDescent="0.25">
      <c r="A1402" s="5">
        <v>45808.78125</v>
      </c>
      <c r="B1402">
        <v>9</v>
      </c>
      <c r="C1402" t="s">
        <v>14</v>
      </c>
      <c r="D1402" t="s">
        <v>15</v>
      </c>
      <c r="E1402">
        <v>1.52</v>
      </c>
      <c r="F1402">
        <v>4.05</v>
      </c>
      <c r="G1402" s="8">
        <f>E1402*60/F1402</f>
        <v>22.518518518518519</v>
      </c>
    </row>
    <row r="1403" spans="1:7" x14ac:dyDescent="0.25">
      <c r="A1403" s="5">
        <v>45808.78125</v>
      </c>
      <c r="B1403">
        <v>10</v>
      </c>
      <c r="C1403" t="s">
        <v>15</v>
      </c>
      <c r="D1403" t="s">
        <v>16</v>
      </c>
      <c r="E1403">
        <v>1.5</v>
      </c>
      <c r="F1403">
        <v>4.25</v>
      </c>
      <c r="G1403" s="8">
        <f>E1403*60/F1403</f>
        <v>21.176470588235293</v>
      </c>
    </row>
    <row r="1404" spans="1:7" x14ac:dyDescent="0.25">
      <c r="A1404" s="5">
        <v>45808.78125</v>
      </c>
      <c r="B1404">
        <v>11</v>
      </c>
      <c r="C1404" t="s">
        <v>16</v>
      </c>
      <c r="D1404" t="s">
        <v>17</v>
      </c>
      <c r="E1404">
        <v>1.48</v>
      </c>
      <c r="F1404">
        <v>2.42</v>
      </c>
      <c r="G1404" s="8">
        <f>E1404*60/F1404</f>
        <v>36.694214876033058</v>
      </c>
    </row>
    <row r="1405" spans="1:7" x14ac:dyDescent="0.25">
      <c r="A1405" s="5">
        <v>45808.78125</v>
      </c>
      <c r="B1405">
        <v>12</v>
      </c>
      <c r="C1405" t="s">
        <v>17</v>
      </c>
      <c r="D1405" t="s">
        <v>18</v>
      </c>
      <c r="E1405">
        <v>1.46</v>
      </c>
      <c r="F1405">
        <v>3.6</v>
      </c>
      <c r="G1405" s="8">
        <f>E1405*60/F1405</f>
        <v>24.333333333333332</v>
      </c>
    </row>
    <row r="1406" spans="1:7" x14ac:dyDescent="0.25">
      <c r="A1406" s="5">
        <v>45808.78125</v>
      </c>
      <c r="B1406">
        <v>13</v>
      </c>
      <c r="C1406" t="s">
        <v>18</v>
      </c>
      <c r="D1406" t="s">
        <v>19</v>
      </c>
      <c r="E1406">
        <v>1.52</v>
      </c>
      <c r="F1406">
        <v>3.48</v>
      </c>
      <c r="G1406" s="8">
        <f>E1406*60/F1406</f>
        <v>26.206896551724139</v>
      </c>
    </row>
    <row r="1407" spans="1:7" x14ac:dyDescent="0.25">
      <c r="A1407" s="5">
        <v>45808.78125</v>
      </c>
      <c r="B1407">
        <v>14</v>
      </c>
      <c r="C1407" t="s">
        <v>19</v>
      </c>
      <c r="D1407" t="s">
        <v>20</v>
      </c>
      <c r="E1407">
        <v>1.51</v>
      </c>
      <c r="F1407">
        <v>3.55</v>
      </c>
      <c r="G1407" s="8">
        <f>E1407*60/F1407</f>
        <v>25.52112676056338</v>
      </c>
    </row>
    <row r="1408" spans="1:7" x14ac:dyDescent="0.25">
      <c r="A1408" s="5">
        <v>45808.78125</v>
      </c>
      <c r="B1408">
        <v>15</v>
      </c>
      <c r="C1408" t="s">
        <v>20</v>
      </c>
      <c r="D1408" t="s">
        <v>21</v>
      </c>
      <c r="E1408">
        <v>1.47</v>
      </c>
      <c r="F1408">
        <v>2.63</v>
      </c>
      <c r="G1408" s="8">
        <f>E1408*60/F1408</f>
        <v>33.536121673003805</v>
      </c>
    </row>
    <row r="1409" spans="1:7" x14ac:dyDescent="0.25">
      <c r="A1409" s="5">
        <v>45808.78125</v>
      </c>
      <c r="B1409">
        <v>16</v>
      </c>
      <c r="C1409" t="s">
        <v>21</v>
      </c>
      <c r="D1409" t="s">
        <v>22</v>
      </c>
      <c r="E1409">
        <v>1.5</v>
      </c>
      <c r="F1409">
        <v>1.77</v>
      </c>
      <c r="G1409" s="8">
        <f>E1409*60/F1409</f>
        <v>50.847457627118644</v>
      </c>
    </row>
    <row r="1410" spans="1:7" x14ac:dyDescent="0.25">
      <c r="A1410" s="5">
        <v>45808.78125</v>
      </c>
      <c r="B1410">
        <v>17</v>
      </c>
      <c r="C1410" t="s">
        <v>22</v>
      </c>
      <c r="D1410" t="s">
        <v>23</v>
      </c>
      <c r="E1410">
        <v>1.51</v>
      </c>
      <c r="F1410">
        <v>2.9</v>
      </c>
      <c r="G1410" s="8">
        <f>E1410*60/F1410</f>
        <v>31.241379310344826</v>
      </c>
    </row>
    <row r="1411" spans="1:7" x14ac:dyDescent="0.25">
      <c r="A1411" s="5">
        <v>45808.78125</v>
      </c>
      <c r="B1411">
        <v>18</v>
      </c>
      <c r="C1411" t="s">
        <v>23</v>
      </c>
      <c r="D1411" t="s">
        <v>24</v>
      </c>
      <c r="E1411">
        <v>1.51</v>
      </c>
      <c r="F1411">
        <v>3.13</v>
      </c>
      <c r="G1411" s="8">
        <f>E1411*60/F1411</f>
        <v>28.945686900958467</v>
      </c>
    </row>
    <row r="1412" spans="1:7" x14ac:dyDescent="0.25">
      <c r="A1412" s="5">
        <v>45808.78125</v>
      </c>
      <c r="B1412">
        <v>19</v>
      </c>
      <c r="C1412" t="s">
        <v>25</v>
      </c>
      <c r="D1412" t="s">
        <v>26</v>
      </c>
      <c r="E1412">
        <v>1.5</v>
      </c>
      <c r="F1412">
        <v>3.77</v>
      </c>
      <c r="G1412" s="8">
        <f>E1412*60/F1412</f>
        <v>23.872679045092838</v>
      </c>
    </row>
    <row r="1413" spans="1:7" x14ac:dyDescent="0.25">
      <c r="A1413" s="5">
        <v>45808.78125</v>
      </c>
      <c r="B1413">
        <v>20</v>
      </c>
      <c r="C1413" t="s">
        <v>26</v>
      </c>
      <c r="D1413" t="s">
        <v>27</v>
      </c>
      <c r="E1413">
        <v>1.48</v>
      </c>
      <c r="F1413">
        <v>3.32</v>
      </c>
      <c r="G1413" s="8">
        <f>E1413*60/F1413</f>
        <v>26.746987951807231</v>
      </c>
    </row>
    <row r="1414" spans="1:7" x14ac:dyDescent="0.25">
      <c r="A1414" s="5">
        <v>45808.78125</v>
      </c>
      <c r="B1414">
        <v>21</v>
      </c>
      <c r="C1414" t="s">
        <v>27</v>
      </c>
      <c r="D1414" t="s">
        <v>28</v>
      </c>
      <c r="E1414">
        <v>1.51</v>
      </c>
      <c r="F1414">
        <v>3.27</v>
      </c>
      <c r="G1414" s="8">
        <f>E1414*60/F1414</f>
        <v>27.706422018348622</v>
      </c>
    </row>
    <row r="1415" spans="1:7" x14ac:dyDescent="0.25">
      <c r="A1415" s="5">
        <v>45808.78125</v>
      </c>
      <c r="B1415">
        <v>22</v>
      </c>
      <c r="C1415" t="s">
        <v>28</v>
      </c>
      <c r="D1415" t="s">
        <v>29</v>
      </c>
      <c r="E1415">
        <v>1.57</v>
      </c>
      <c r="F1415">
        <v>3.32</v>
      </c>
      <c r="G1415" s="8">
        <f>E1415*60/F1415</f>
        <v>28.373493975903617</v>
      </c>
    </row>
    <row r="1416" spans="1:7" x14ac:dyDescent="0.25">
      <c r="A1416" s="5">
        <v>45808.78125</v>
      </c>
      <c r="B1416">
        <v>23</v>
      </c>
      <c r="C1416" t="s">
        <v>29</v>
      </c>
      <c r="D1416" t="s">
        <v>30</v>
      </c>
      <c r="E1416">
        <v>1.43</v>
      </c>
      <c r="F1416">
        <v>3.78</v>
      </c>
      <c r="G1416" s="8">
        <f>E1416*60/F1416</f>
        <v>22.698412698412699</v>
      </c>
    </row>
    <row r="1417" spans="1:7" x14ac:dyDescent="0.25">
      <c r="A1417" s="5">
        <v>45808.78125</v>
      </c>
      <c r="B1417">
        <v>24</v>
      </c>
      <c r="C1417" t="s">
        <v>30</v>
      </c>
      <c r="D1417" t="s">
        <v>31</v>
      </c>
      <c r="E1417">
        <v>1.52</v>
      </c>
      <c r="F1417">
        <v>3.17</v>
      </c>
      <c r="G1417" s="8">
        <f>E1417*60/F1417</f>
        <v>28.769716088328078</v>
      </c>
    </row>
    <row r="1418" spans="1:7" x14ac:dyDescent="0.25">
      <c r="A1418" s="5">
        <v>45808.78125</v>
      </c>
      <c r="B1418">
        <v>25</v>
      </c>
      <c r="C1418" t="s">
        <v>31</v>
      </c>
      <c r="D1418" t="s">
        <v>32</v>
      </c>
      <c r="E1418">
        <v>1.52</v>
      </c>
      <c r="F1418">
        <v>3.25</v>
      </c>
      <c r="G1418" s="8">
        <f>E1418*60/F1418</f>
        <v>28.061538461538461</v>
      </c>
    </row>
    <row r="1419" spans="1:7" x14ac:dyDescent="0.25">
      <c r="A1419" s="5">
        <v>45808.78125</v>
      </c>
      <c r="B1419">
        <v>26</v>
      </c>
      <c r="C1419" t="s">
        <v>32</v>
      </c>
      <c r="D1419" t="s">
        <v>33</v>
      </c>
      <c r="E1419">
        <v>1.49</v>
      </c>
      <c r="F1419">
        <v>4.12</v>
      </c>
      <c r="G1419" s="8">
        <f>E1419*60/F1419</f>
        <v>21.699029126213592</v>
      </c>
    </row>
    <row r="1420" spans="1:7" x14ac:dyDescent="0.25">
      <c r="A1420" s="5">
        <v>45808.78125</v>
      </c>
      <c r="B1420">
        <v>27</v>
      </c>
      <c r="C1420" t="s">
        <v>33</v>
      </c>
      <c r="D1420" t="s">
        <v>34</v>
      </c>
      <c r="E1420">
        <v>1.53</v>
      </c>
      <c r="F1420">
        <v>6.58</v>
      </c>
      <c r="G1420" s="8">
        <f>E1420*60/F1420</f>
        <v>13.951367781155014</v>
      </c>
    </row>
    <row r="1421" spans="1:7" x14ac:dyDescent="0.25">
      <c r="A1421" s="5">
        <v>45808.78125</v>
      </c>
      <c r="B1421">
        <v>28</v>
      </c>
      <c r="C1421" t="s">
        <v>34</v>
      </c>
      <c r="D1421" t="s">
        <v>35</v>
      </c>
      <c r="E1421">
        <v>1.51</v>
      </c>
      <c r="F1421">
        <v>4.47</v>
      </c>
      <c r="G1421" s="8">
        <f>E1421*60/F1421</f>
        <v>20.268456375838927</v>
      </c>
    </row>
    <row r="1422" spans="1:7" x14ac:dyDescent="0.25">
      <c r="A1422" s="5">
        <v>45808.78125</v>
      </c>
      <c r="B1422">
        <v>29</v>
      </c>
      <c r="C1422" t="s">
        <v>36</v>
      </c>
      <c r="D1422" t="s">
        <v>37</v>
      </c>
      <c r="E1422">
        <v>1.57</v>
      </c>
      <c r="F1422">
        <v>3.75</v>
      </c>
      <c r="G1422" s="8">
        <f>E1422*60/F1422</f>
        <v>25.12</v>
      </c>
    </row>
    <row r="1423" spans="1:7" x14ac:dyDescent="0.25">
      <c r="A1423" s="5">
        <v>45808.78125</v>
      </c>
      <c r="B1423">
        <v>30</v>
      </c>
      <c r="C1423" t="s">
        <v>37</v>
      </c>
      <c r="D1423" t="s">
        <v>38</v>
      </c>
      <c r="E1423">
        <v>1.57</v>
      </c>
      <c r="F1423">
        <v>3.87</v>
      </c>
      <c r="G1423" s="8">
        <f>E1423*60/F1423</f>
        <v>24.34108527131783</v>
      </c>
    </row>
    <row r="1424" spans="1:7" x14ac:dyDescent="0.25">
      <c r="A1424" s="5">
        <v>45808.78125</v>
      </c>
      <c r="B1424">
        <v>31</v>
      </c>
      <c r="C1424" t="s">
        <v>38</v>
      </c>
      <c r="D1424" t="s">
        <v>39</v>
      </c>
      <c r="E1424">
        <v>1.52</v>
      </c>
      <c r="F1424">
        <v>2.77</v>
      </c>
      <c r="G1424" s="8">
        <f>E1424*60/F1424</f>
        <v>32.924187725631768</v>
      </c>
    </row>
    <row r="1425" spans="1:7" x14ac:dyDescent="0.25">
      <c r="A1425" s="5">
        <v>45808.78125</v>
      </c>
      <c r="B1425">
        <v>32</v>
      </c>
      <c r="C1425" t="s">
        <v>39</v>
      </c>
      <c r="D1425" t="s">
        <v>40</v>
      </c>
      <c r="E1425">
        <v>1.5</v>
      </c>
      <c r="F1425">
        <v>1.9</v>
      </c>
      <c r="G1425" s="8">
        <f>E1425*60/F1425</f>
        <v>47.368421052631582</v>
      </c>
    </row>
    <row r="1426" spans="1:7" x14ac:dyDescent="0.25">
      <c r="A1426" s="5">
        <v>45808.78125</v>
      </c>
      <c r="B1426">
        <v>33</v>
      </c>
      <c r="C1426" t="s">
        <v>40</v>
      </c>
      <c r="D1426" t="s">
        <v>41</v>
      </c>
      <c r="E1426">
        <v>1.51</v>
      </c>
      <c r="F1426">
        <v>1.93</v>
      </c>
      <c r="G1426" s="8">
        <f>E1426*60/F1426</f>
        <v>46.943005181347147</v>
      </c>
    </row>
    <row r="1427" spans="1:7" x14ac:dyDescent="0.25">
      <c r="A1427" s="5">
        <v>45808.78125</v>
      </c>
      <c r="B1427">
        <v>34</v>
      </c>
      <c r="C1427" t="s">
        <v>41</v>
      </c>
      <c r="D1427" t="s">
        <v>42</v>
      </c>
      <c r="E1427">
        <v>1.5</v>
      </c>
      <c r="F1427">
        <v>1.82</v>
      </c>
      <c r="G1427" s="8">
        <f>E1427*60/F1427</f>
        <v>49.450549450549445</v>
      </c>
    </row>
    <row r="1428" spans="1:7" x14ac:dyDescent="0.25">
      <c r="A1428" s="5">
        <v>45808.78125</v>
      </c>
      <c r="B1428">
        <v>35</v>
      </c>
      <c r="C1428" t="s">
        <v>43</v>
      </c>
      <c r="D1428" t="s">
        <v>44</v>
      </c>
      <c r="E1428">
        <v>1.55</v>
      </c>
      <c r="F1428">
        <v>3.48</v>
      </c>
      <c r="G1428" s="8">
        <f>E1428*60/F1428</f>
        <v>26.724137931034484</v>
      </c>
    </row>
    <row r="1429" spans="1:7" x14ac:dyDescent="0.25">
      <c r="A1429" s="5">
        <v>45808.78125</v>
      </c>
      <c r="B1429">
        <v>36</v>
      </c>
      <c r="C1429" t="s">
        <v>44</v>
      </c>
      <c r="D1429" t="s">
        <v>45</v>
      </c>
      <c r="E1429">
        <v>1.5</v>
      </c>
      <c r="F1429">
        <v>3.15</v>
      </c>
      <c r="G1429" s="8">
        <f>E1429*60/F1429</f>
        <v>28.571428571428573</v>
      </c>
    </row>
    <row r="1430" spans="1:7" x14ac:dyDescent="0.25">
      <c r="A1430" s="5">
        <v>45808.78125</v>
      </c>
      <c r="B1430">
        <v>37</v>
      </c>
      <c r="C1430" t="s">
        <v>45</v>
      </c>
      <c r="D1430" t="s">
        <v>46</v>
      </c>
      <c r="E1430">
        <v>1.38</v>
      </c>
      <c r="F1430">
        <v>4.38</v>
      </c>
      <c r="G1430" s="8">
        <f>E1430*60/F1430</f>
        <v>18.904109589041095</v>
      </c>
    </row>
    <row r="1431" spans="1:7" x14ac:dyDescent="0.25">
      <c r="A1431" s="5">
        <v>45808.78125</v>
      </c>
      <c r="B1431">
        <v>38</v>
      </c>
      <c r="C1431" t="s">
        <v>46</v>
      </c>
      <c r="D1431" t="s">
        <v>47</v>
      </c>
      <c r="E1431">
        <v>1.61</v>
      </c>
      <c r="F1431">
        <v>4.45</v>
      </c>
      <c r="G1431" s="8">
        <f>E1431*60/F1431</f>
        <v>21.707865168539328</v>
      </c>
    </row>
    <row r="1432" spans="1:7" x14ac:dyDescent="0.25">
      <c r="A1432" s="5">
        <v>45808.78125</v>
      </c>
      <c r="B1432">
        <v>39</v>
      </c>
      <c r="C1432" t="s">
        <v>47</v>
      </c>
      <c r="D1432" t="s">
        <v>48</v>
      </c>
      <c r="E1432">
        <v>1.55</v>
      </c>
      <c r="F1432">
        <v>3.75</v>
      </c>
      <c r="G1432" s="8">
        <f>E1432*60/F1432</f>
        <v>24.8</v>
      </c>
    </row>
    <row r="1433" spans="1:7" x14ac:dyDescent="0.25">
      <c r="A1433" s="5">
        <v>45808.78125</v>
      </c>
      <c r="B1433">
        <v>40</v>
      </c>
      <c r="C1433" t="s">
        <v>48</v>
      </c>
      <c r="D1433" t="s">
        <v>49</v>
      </c>
      <c r="E1433">
        <v>1.39</v>
      </c>
      <c r="F1433">
        <v>3.17</v>
      </c>
      <c r="G1433" s="8">
        <f>E1433*60/F1433</f>
        <v>26.309148264984223</v>
      </c>
    </row>
    <row r="1434" spans="1:7" x14ac:dyDescent="0.25">
      <c r="A1434" s="5">
        <v>45808.78125</v>
      </c>
      <c r="B1434">
        <v>41</v>
      </c>
      <c r="C1434" t="s">
        <v>50</v>
      </c>
      <c r="D1434" t="s">
        <v>51</v>
      </c>
      <c r="E1434">
        <v>1.56</v>
      </c>
      <c r="F1434">
        <v>3.87</v>
      </c>
      <c r="G1434" s="8">
        <f>E1434*60/F1434</f>
        <v>24.186046511627907</v>
      </c>
    </row>
    <row r="1435" spans="1:7" x14ac:dyDescent="0.25">
      <c r="A1435" s="5">
        <v>45808.78125</v>
      </c>
      <c r="B1435">
        <v>42</v>
      </c>
      <c r="C1435" t="s">
        <v>51</v>
      </c>
      <c r="D1435" t="s">
        <v>52</v>
      </c>
      <c r="E1435">
        <v>1.56</v>
      </c>
      <c r="F1435">
        <v>4.82</v>
      </c>
      <c r="G1435" s="8">
        <f>E1435*60/F1435</f>
        <v>19.419087136929463</v>
      </c>
    </row>
    <row r="1436" spans="1:7" x14ac:dyDescent="0.25">
      <c r="A1436" s="5">
        <v>45808.78125</v>
      </c>
      <c r="B1436">
        <v>43</v>
      </c>
      <c r="C1436" t="s">
        <v>52</v>
      </c>
      <c r="D1436" t="s">
        <v>53</v>
      </c>
      <c r="E1436">
        <v>1.51</v>
      </c>
      <c r="F1436">
        <v>3.55</v>
      </c>
      <c r="G1436" s="8">
        <f>E1436*60/F1436</f>
        <v>25.52112676056338</v>
      </c>
    </row>
    <row r="1437" spans="1:7" x14ac:dyDescent="0.25">
      <c r="A1437" s="5">
        <v>45808.78125</v>
      </c>
      <c r="B1437">
        <v>44</v>
      </c>
      <c r="C1437" t="s">
        <v>54</v>
      </c>
      <c r="D1437" t="s">
        <v>55</v>
      </c>
      <c r="E1437">
        <v>1.51</v>
      </c>
      <c r="F1437">
        <v>4</v>
      </c>
      <c r="G1437" s="8">
        <f>E1437*60/F1437</f>
        <v>22.65</v>
      </c>
    </row>
    <row r="1438" spans="1:7" x14ac:dyDescent="0.25">
      <c r="A1438" s="5">
        <v>45808.78125</v>
      </c>
      <c r="B1438">
        <v>45</v>
      </c>
      <c r="C1438" t="s">
        <v>55</v>
      </c>
      <c r="D1438" t="s">
        <v>56</v>
      </c>
      <c r="E1438">
        <v>1.49</v>
      </c>
      <c r="F1438">
        <v>4.0199999999999996</v>
      </c>
      <c r="G1438" s="8">
        <f>E1438*60/F1438</f>
        <v>22.238805970149258</v>
      </c>
    </row>
    <row r="1439" spans="1:7" x14ac:dyDescent="0.25">
      <c r="A1439" s="5">
        <v>45808.78125</v>
      </c>
      <c r="B1439">
        <v>46</v>
      </c>
      <c r="C1439" t="s">
        <v>56</v>
      </c>
      <c r="D1439" t="s">
        <v>57</v>
      </c>
      <c r="E1439">
        <v>1.52</v>
      </c>
      <c r="F1439">
        <v>3.85</v>
      </c>
      <c r="G1439" s="8">
        <f>E1439*60/F1439</f>
        <v>23.688311688311689</v>
      </c>
    </row>
    <row r="1440" spans="1:7" x14ac:dyDescent="0.25">
      <c r="A1440" s="5">
        <v>45808.78125</v>
      </c>
      <c r="B1440">
        <v>47</v>
      </c>
      <c r="C1440" t="s">
        <v>58</v>
      </c>
      <c r="D1440" t="s">
        <v>59</v>
      </c>
      <c r="E1440">
        <v>1.52</v>
      </c>
      <c r="F1440">
        <v>3.97</v>
      </c>
      <c r="G1440" s="8">
        <f>E1440*60/F1440</f>
        <v>22.972292191435766</v>
      </c>
    </row>
    <row r="1441" spans="1:7" x14ac:dyDescent="0.25">
      <c r="A1441" s="5">
        <v>45808.78125</v>
      </c>
      <c r="B1441">
        <v>48</v>
      </c>
      <c r="C1441" t="s">
        <v>59</v>
      </c>
      <c r="D1441" t="s">
        <v>60</v>
      </c>
      <c r="E1441">
        <v>1.5</v>
      </c>
      <c r="F1441">
        <v>3.8</v>
      </c>
      <c r="G1441" s="8">
        <f>E1441*60/F1441</f>
        <v>23.684210526315791</v>
      </c>
    </row>
    <row r="1442" spans="1:7" x14ac:dyDescent="0.25">
      <c r="A1442" s="5">
        <v>45808.78125</v>
      </c>
      <c r="B1442">
        <v>49</v>
      </c>
      <c r="C1442" t="s">
        <v>60</v>
      </c>
      <c r="D1442" t="s">
        <v>61</v>
      </c>
      <c r="E1442">
        <v>1.54</v>
      </c>
      <c r="F1442">
        <v>4.3499999999999996</v>
      </c>
      <c r="G1442" s="8">
        <f>E1442*60/F1442</f>
        <v>21.241379310344829</v>
      </c>
    </row>
    <row r="1443" spans="1:7" x14ac:dyDescent="0.25">
      <c r="A1443" s="5">
        <v>45808.78125</v>
      </c>
      <c r="B1443">
        <v>50</v>
      </c>
      <c r="C1443" t="s">
        <v>62</v>
      </c>
      <c r="D1443" t="s">
        <v>63</v>
      </c>
      <c r="E1443">
        <v>1.38</v>
      </c>
      <c r="F1443">
        <v>3.27</v>
      </c>
      <c r="G1443" s="8">
        <f>E1443*60/F1443</f>
        <v>25.321100917431192</v>
      </c>
    </row>
    <row r="1444" spans="1:7" x14ac:dyDescent="0.25">
      <c r="A1444" s="5">
        <v>45808.78125</v>
      </c>
      <c r="B1444">
        <v>51</v>
      </c>
      <c r="C1444" t="s">
        <v>63</v>
      </c>
      <c r="D1444" t="s">
        <v>64</v>
      </c>
      <c r="E1444">
        <v>2.79</v>
      </c>
      <c r="F1444">
        <v>5.98</v>
      </c>
      <c r="G1444" s="8">
        <f>E1444*60/F1444</f>
        <v>27.993311036789297</v>
      </c>
    </row>
    <row r="1445" spans="1:7" x14ac:dyDescent="0.25">
      <c r="A1445" s="5">
        <v>45808.78125</v>
      </c>
      <c r="B1445">
        <v>52</v>
      </c>
      <c r="C1445" t="s">
        <v>64</v>
      </c>
      <c r="D1445" t="s">
        <v>65</v>
      </c>
      <c r="E1445">
        <v>1.5</v>
      </c>
      <c r="F1445">
        <v>2.78</v>
      </c>
      <c r="G1445" s="8">
        <f>E1445*60/F1445</f>
        <v>32.374100719424462</v>
      </c>
    </row>
    <row r="1446" spans="1:7" x14ac:dyDescent="0.25">
      <c r="A1446" s="5">
        <v>45808.78125</v>
      </c>
      <c r="B1446">
        <v>53</v>
      </c>
      <c r="C1446" t="s">
        <v>65</v>
      </c>
      <c r="D1446" t="s">
        <v>66</v>
      </c>
      <c r="E1446">
        <v>1.46</v>
      </c>
      <c r="F1446">
        <v>3.87</v>
      </c>
      <c r="G1446" s="8">
        <f>E1446*60/F1446</f>
        <v>22.63565891472868</v>
      </c>
    </row>
    <row r="1447" spans="1:7" x14ac:dyDescent="0.25">
      <c r="A1447" s="5">
        <v>45808.78125</v>
      </c>
      <c r="B1447">
        <v>54</v>
      </c>
      <c r="C1447" t="s">
        <v>67</v>
      </c>
      <c r="D1447" t="s">
        <v>68</v>
      </c>
      <c r="E1447">
        <v>1.46</v>
      </c>
      <c r="F1447">
        <v>2.88</v>
      </c>
      <c r="G1447" s="8">
        <f>E1447*60/F1447</f>
        <v>30.416666666666664</v>
      </c>
    </row>
    <row r="1448" spans="1:7" x14ac:dyDescent="0.25">
      <c r="A1448" s="5">
        <v>45808.78125</v>
      </c>
      <c r="B1448">
        <v>55</v>
      </c>
      <c r="C1448" t="s">
        <v>68</v>
      </c>
      <c r="D1448" t="s">
        <v>69</v>
      </c>
      <c r="E1448">
        <v>1.5</v>
      </c>
      <c r="F1448">
        <v>2.12</v>
      </c>
      <c r="G1448" s="8">
        <f>E1448*60/F1448</f>
        <v>42.452830188679243</v>
      </c>
    </row>
    <row r="1449" spans="1:7" x14ac:dyDescent="0.25">
      <c r="A1449" s="5">
        <v>45808.78125</v>
      </c>
      <c r="B1449">
        <v>56</v>
      </c>
      <c r="C1449" t="s">
        <v>70</v>
      </c>
      <c r="D1449" t="s">
        <v>71</v>
      </c>
      <c r="E1449">
        <v>1.51</v>
      </c>
      <c r="F1449">
        <v>4.7699999999999996</v>
      </c>
      <c r="G1449" s="8">
        <f>E1449*60/F1449</f>
        <v>18.9937106918239</v>
      </c>
    </row>
    <row r="1450" spans="1:7" x14ac:dyDescent="0.25">
      <c r="A1450" s="5">
        <v>45808.78125</v>
      </c>
      <c r="B1450">
        <v>57</v>
      </c>
      <c r="C1450" t="s">
        <v>71</v>
      </c>
      <c r="D1450" t="s">
        <v>72</v>
      </c>
      <c r="E1450">
        <v>1.52</v>
      </c>
      <c r="F1450">
        <v>3.97</v>
      </c>
      <c r="G1450" s="8">
        <f>E1450*60/F1450</f>
        <v>22.972292191435766</v>
      </c>
    </row>
    <row r="1451" spans="1:7" x14ac:dyDescent="0.25">
      <c r="A1451" s="5">
        <v>45808.78125</v>
      </c>
      <c r="B1451">
        <v>58</v>
      </c>
      <c r="C1451" t="s">
        <v>72</v>
      </c>
      <c r="D1451" t="s">
        <v>73</v>
      </c>
      <c r="E1451">
        <v>1.5</v>
      </c>
      <c r="F1451">
        <v>4.03</v>
      </c>
      <c r="G1451" s="8">
        <f>E1451*60/F1451</f>
        <v>22.332506203473944</v>
      </c>
    </row>
    <row r="1452" spans="1:7" x14ac:dyDescent="0.25">
      <c r="A1452" s="5">
        <v>45808.791666666664</v>
      </c>
      <c r="B1452">
        <v>1</v>
      </c>
      <c r="C1452" t="s">
        <v>6</v>
      </c>
      <c r="D1452" t="s">
        <v>7</v>
      </c>
      <c r="E1452">
        <v>1.53</v>
      </c>
      <c r="F1452">
        <v>3.15</v>
      </c>
      <c r="G1452" s="8">
        <f>E1452*60/F1452</f>
        <v>29.142857142857142</v>
      </c>
    </row>
    <row r="1453" spans="1:7" x14ac:dyDescent="0.25">
      <c r="A1453" s="5">
        <v>45808.791666666664</v>
      </c>
      <c r="B1453">
        <v>2</v>
      </c>
      <c r="C1453" t="s">
        <v>7</v>
      </c>
      <c r="D1453" t="s">
        <v>8</v>
      </c>
      <c r="E1453">
        <v>1.57</v>
      </c>
      <c r="F1453">
        <v>4.57</v>
      </c>
      <c r="G1453" s="8">
        <f>E1453*60/F1453</f>
        <v>20.612691466083149</v>
      </c>
    </row>
    <row r="1454" spans="1:7" x14ac:dyDescent="0.25">
      <c r="A1454" s="5">
        <v>45808.791666666664</v>
      </c>
      <c r="B1454">
        <v>3</v>
      </c>
      <c r="C1454" t="s">
        <v>8</v>
      </c>
      <c r="D1454" t="s">
        <v>9</v>
      </c>
      <c r="E1454">
        <v>1.5</v>
      </c>
      <c r="F1454">
        <v>3.27</v>
      </c>
      <c r="G1454" s="8">
        <f>E1454*60/F1454</f>
        <v>27.522935779816514</v>
      </c>
    </row>
    <row r="1455" spans="1:7" x14ac:dyDescent="0.25">
      <c r="A1455" s="5">
        <v>45808.791666666664</v>
      </c>
      <c r="B1455">
        <v>4</v>
      </c>
      <c r="C1455" t="s">
        <v>9</v>
      </c>
      <c r="D1455" t="s">
        <v>10</v>
      </c>
      <c r="E1455">
        <v>1.5</v>
      </c>
      <c r="F1455">
        <v>3.2</v>
      </c>
      <c r="G1455" s="8">
        <f>E1455*60/F1455</f>
        <v>28.125</v>
      </c>
    </row>
    <row r="1456" spans="1:7" x14ac:dyDescent="0.25">
      <c r="A1456" s="5">
        <v>45808.791666666664</v>
      </c>
      <c r="B1456">
        <v>5</v>
      </c>
      <c r="C1456" t="s">
        <v>10</v>
      </c>
      <c r="D1456" t="s">
        <v>11</v>
      </c>
      <c r="E1456">
        <v>1.52</v>
      </c>
      <c r="F1456">
        <v>4.08</v>
      </c>
      <c r="G1456" s="8">
        <f>E1456*60/F1456</f>
        <v>22.352941176470587</v>
      </c>
    </row>
    <row r="1457" spans="1:7" x14ac:dyDescent="0.25">
      <c r="A1457" s="5">
        <v>45808.791666666664</v>
      </c>
      <c r="B1457">
        <v>6</v>
      </c>
      <c r="C1457" t="s">
        <v>11</v>
      </c>
      <c r="D1457" t="s">
        <v>12</v>
      </c>
      <c r="E1457">
        <v>1.5</v>
      </c>
      <c r="F1457">
        <v>2.63</v>
      </c>
      <c r="G1457" s="8">
        <f>E1457*60/F1457</f>
        <v>34.220532319391637</v>
      </c>
    </row>
    <row r="1458" spans="1:7" x14ac:dyDescent="0.25">
      <c r="A1458" s="5">
        <v>45808.791666666664</v>
      </c>
      <c r="B1458">
        <v>7</v>
      </c>
      <c r="C1458" t="s">
        <v>12</v>
      </c>
      <c r="D1458" t="s">
        <v>13</v>
      </c>
      <c r="E1458">
        <v>1.54</v>
      </c>
      <c r="F1458">
        <v>2.9</v>
      </c>
      <c r="G1458" s="8">
        <f>E1458*60/F1458</f>
        <v>31.862068965517246</v>
      </c>
    </row>
    <row r="1459" spans="1:7" x14ac:dyDescent="0.25">
      <c r="A1459" s="5">
        <v>45808.791666666664</v>
      </c>
      <c r="B1459">
        <v>8</v>
      </c>
      <c r="C1459" t="s">
        <v>13</v>
      </c>
      <c r="D1459" t="s">
        <v>14</v>
      </c>
      <c r="E1459">
        <v>1.54</v>
      </c>
      <c r="F1459">
        <v>3.18</v>
      </c>
      <c r="G1459" s="8">
        <f>E1459*60/F1459</f>
        <v>29.056603773584907</v>
      </c>
    </row>
    <row r="1460" spans="1:7" x14ac:dyDescent="0.25">
      <c r="A1460" s="5">
        <v>45808.791666666664</v>
      </c>
      <c r="B1460">
        <v>9</v>
      </c>
      <c r="C1460" t="s">
        <v>14</v>
      </c>
      <c r="D1460" t="s">
        <v>15</v>
      </c>
      <c r="E1460">
        <v>1.52</v>
      </c>
      <c r="F1460">
        <v>3.72</v>
      </c>
      <c r="G1460" s="8">
        <f>E1460*60/F1460</f>
        <v>24.516129032258064</v>
      </c>
    </row>
    <row r="1461" spans="1:7" x14ac:dyDescent="0.25">
      <c r="A1461" s="5">
        <v>45808.791666666664</v>
      </c>
      <c r="B1461">
        <v>10</v>
      </c>
      <c r="C1461" t="s">
        <v>15</v>
      </c>
      <c r="D1461" t="s">
        <v>16</v>
      </c>
      <c r="E1461">
        <v>1.5</v>
      </c>
      <c r="F1461">
        <v>4.13</v>
      </c>
      <c r="G1461" s="8">
        <f>E1461*60/F1461</f>
        <v>21.791767554479421</v>
      </c>
    </row>
    <row r="1462" spans="1:7" x14ac:dyDescent="0.25">
      <c r="A1462" s="5">
        <v>45808.791666666664</v>
      </c>
      <c r="B1462">
        <v>11</v>
      </c>
      <c r="C1462" t="s">
        <v>16</v>
      </c>
      <c r="D1462" t="s">
        <v>17</v>
      </c>
      <c r="E1462">
        <v>1.48</v>
      </c>
      <c r="F1462">
        <v>2.4700000000000002</v>
      </c>
      <c r="G1462" s="8">
        <f>E1462*60/F1462</f>
        <v>35.951417004048579</v>
      </c>
    </row>
    <row r="1463" spans="1:7" x14ac:dyDescent="0.25">
      <c r="A1463" s="5">
        <v>45808.791666666664</v>
      </c>
      <c r="B1463">
        <v>12</v>
      </c>
      <c r="C1463" t="s">
        <v>17</v>
      </c>
      <c r="D1463" t="s">
        <v>18</v>
      </c>
      <c r="E1463">
        <v>1.46</v>
      </c>
      <c r="F1463">
        <v>3.62</v>
      </c>
      <c r="G1463" s="8">
        <f>E1463*60/F1463</f>
        <v>24.198895027624307</v>
      </c>
    </row>
    <row r="1464" spans="1:7" x14ac:dyDescent="0.25">
      <c r="A1464" s="5">
        <v>45808.791666666664</v>
      </c>
      <c r="B1464">
        <v>13</v>
      </c>
      <c r="C1464" t="s">
        <v>18</v>
      </c>
      <c r="D1464" t="s">
        <v>19</v>
      </c>
      <c r="E1464">
        <v>1.52</v>
      </c>
      <c r="F1464">
        <v>3.58</v>
      </c>
      <c r="G1464" s="8">
        <f>E1464*60/F1464</f>
        <v>25.47486033519553</v>
      </c>
    </row>
    <row r="1465" spans="1:7" x14ac:dyDescent="0.25">
      <c r="A1465" s="5">
        <v>45808.791666666664</v>
      </c>
      <c r="B1465">
        <v>14</v>
      </c>
      <c r="C1465" t="s">
        <v>19</v>
      </c>
      <c r="D1465" t="s">
        <v>20</v>
      </c>
      <c r="E1465">
        <v>1.51</v>
      </c>
      <c r="F1465">
        <v>3.73</v>
      </c>
      <c r="G1465" s="8">
        <f>E1465*60/F1465</f>
        <v>24.289544235924932</v>
      </c>
    </row>
    <row r="1466" spans="1:7" x14ac:dyDescent="0.25">
      <c r="A1466" s="5">
        <v>45808.791666666664</v>
      </c>
      <c r="B1466">
        <v>15</v>
      </c>
      <c r="C1466" t="s">
        <v>20</v>
      </c>
      <c r="D1466" t="s">
        <v>21</v>
      </c>
      <c r="E1466">
        <v>1.47</v>
      </c>
      <c r="F1466">
        <v>2.68</v>
      </c>
      <c r="G1466" s="8">
        <f>E1466*60/F1466</f>
        <v>32.910447761194028</v>
      </c>
    </row>
    <row r="1467" spans="1:7" x14ac:dyDescent="0.25">
      <c r="A1467" s="5">
        <v>45808.791666666664</v>
      </c>
      <c r="B1467">
        <v>16</v>
      </c>
      <c r="C1467" t="s">
        <v>21</v>
      </c>
      <c r="D1467" t="s">
        <v>22</v>
      </c>
      <c r="E1467">
        <v>1.5</v>
      </c>
      <c r="F1467">
        <v>1.93</v>
      </c>
      <c r="G1467" s="8">
        <f>E1467*60/F1467</f>
        <v>46.632124352331608</v>
      </c>
    </row>
    <row r="1468" spans="1:7" x14ac:dyDescent="0.25">
      <c r="A1468" s="5">
        <v>45808.791666666664</v>
      </c>
      <c r="B1468">
        <v>17</v>
      </c>
      <c r="C1468" t="s">
        <v>22</v>
      </c>
      <c r="D1468" t="s">
        <v>23</v>
      </c>
      <c r="E1468">
        <v>1.51</v>
      </c>
      <c r="F1468">
        <v>3.22</v>
      </c>
      <c r="G1468" s="8">
        <f>E1468*60/F1468</f>
        <v>28.136645962732917</v>
      </c>
    </row>
    <row r="1469" spans="1:7" x14ac:dyDescent="0.25">
      <c r="A1469" s="5">
        <v>45808.791666666664</v>
      </c>
      <c r="B1469">
        <v>18</v>
      </c>
      <c r="C1469" t="s">
        <v>23</v>
      </c>
      <c r="D1469" t="s">
        <v>24</v>
      </c>
      <c r="E1469">
        <v>1.51</v>
      </c>
      <c r="F1469">
        <v>3.33</v>
      </c>
      <c r="G1469" s="8">
        <f>E1469*60/F1469</f>
        <v>27.207207207207205</v>
      </c>
    </row>
    <row r="1470" spans="1:7" x14ac:dyDescent="0.25">
      <c r="A1470" s="5">
        <v>45808.791666666664</v>
      </c>
      <c r="B1470">
        <v>19</v>
      </c>
      <c r="C1470" t="s">
        <v>25</v>
      </c>
      <c r="D1470" t="s">
        <v>26</v>
      </c>
      <c r="E1470">
        <v>1.5</v>
      </c>
      <c r="F1470">
        <v>3.58</v>
      </c>
      <c r="G1470" s="8">
        <f>E1470*60/F1470</f>
        <v>25.139664804469273</v>
      </c>
    </row>
    <row r="1471" spans="1:7" x14ac:dyDescent="0.25">
      <c r="A1471" s="5">
        <v>45808.791666666664</v>
      </c>
      <c r="B1471">
        <v>20</v>
      </c>
      <c r="C1471" t="s">
        <v>26</v>
      </c>
      <c r="D1471" t="s">
        <v>27</v>
      </c>
      <c r="E1471">
        <v>1.48</v>
      </c>
      <c r="F1471">
        <v>3.4</v>
      </c>
      <c r="G1471" s="8">
        <f>E1471*60/F1471</f>
        <v>26.117647058823529</v>
      </c>
    </row>
    <row r="1472" spans="1:7" x14ac:dyDescent="0.25">
      <c r="A1472" s="5">
        <v>45808.791666666664</v>
      </c>
      <c r="B1472">
        <v>21</v>
      </c>
      <c r="C1472" t="s">
        <v>27</v>
      </c>
      <c r="D1472" t="s">
        <v>28</v>
      </c>
      <c r="E1472">
        <v>1.51</v>
      </c>
      <c r="F1472">
        <v>3.12</v>
      </c>
      <c r="G1472" s="8">
        <f>E1472*60/F1472</f>
        <v>29.038461538461537</v>
      </c>
    </row>
    <row r="1473" spans="1:7" x14ac:dyDescent="0.25">
      <c r="A1473" s="5">
        <v>45808.791666666664</v>
      </c>
      <c r="B1473">
        <v>22</v>
      </c>
      <c r="C1473" t="s">
        <v>28</v>
      </c>
      <c r="D1473" t="s">
        <v>29</v>
      </c>
      <c r="E1473">
        <v>1.57</v>
      </c>
      <c r="F1473">
        <v>3.33</v>
      </c>
      <c r="G1473" s="8">
        <f>E1473*60/F1473</f>
        <v>28.288288288288289</v>
      </c>
    </row>
    <row r="1474" spans="1:7" x14ac:dyDescent="0.25">
      <c r="A1474" s="5">
        <v>45808.791666666664</v>
      </c>
      <c r="B1474">
        <v>23</v>
      </c>
      <c r="C1474" t="s">
        <v>29</v>
      </c>
      <c r="D1474" t="s">
        <v>30</v>
      </c>
      <c r="E1474">
        <v>1.43</v>
      </c>
      <c r="F1474">
        <v>3.88</v>
      </c>
      <c r="G1474" s="8">
        <f>E1474*60/F1474</f>
        <v>22.11340206185567</v>
      </c>
    </row>
    <row r="1475" spans="1:7" x14ac:dyDescent="0.25">
      <c r="A1475" s="5">
        <v>45808.791666666664</v>
      </c>
      <c r="B1475">
        <v>24</v>
      </c>
      <c r="C1475" t="s">
        <v>30</v>
      </c>
      <c r="D1475" t="s">
        <v>31</v>
      </c>
      <c r="E1475">
        <v>1.52</v>
      </c>
      <c r="F1475">
        <v>3.38</v>
      </c>
      <c r="G1475" s="8">
        <f>E1475*60/F1475</f>
        <v>26.982248520710062</v>
      </c>
    </row>
    <row r="1476" spans="1:7" x14ac:dyDescent="0.25">
      <c r="A1476" s="5">
        <v>45808.791666666664</v>
      </c>
      <c r="B1476">
        <v>25</v>
      </c>
      <c r="C1476" t="s">
        <v>31</v>
      </c>
      <c r="D1476" t="s">
        <v>32</v>
      </c>
      <c r="E1476">
        <v>1.52</v>
      </c>
      <c r="F1476">
        <v>3.42</v>
      </c>
      <c r="G1476" s="8">
        <f>E1476*60/F1476</f>
        <v>26.666666666666668</v>
      </c>
    </row>
    <row r="1477" spans="1:7" x14ac:dyDescent="0.25">
      <c r="A1477" s="5">
        <v>45808.791666666664</v>
      </c>
      <c r="B1477">
        <v>26</v>
      </c>
      <c r="C1477" t="s">
        <v>32</v>
      </c>
      <c r="D1477" t="s">
        <v>33</v>
      </c>
      <c r="E1477">
        <v>1.49</v>
      </c>
      <c r="F1477">
        <v>3.9</v>
      </c>
      <c r="G1477" s="8">
        <f>E1477*60/F1477</f>
        <v>22.923076923076923</v>
      </c>
    </row>
    <row r="1478" spans="1:7" x14ac:dyDescent="0.25">
      <c r="A1478" s="5">
        <v>45808.791666666664</v>
      </c>
      <c r="B1478">
        <v>27</v>
      </c>
      <c r="C1478" t="s">
        <v>33</v>
      </c>
      <c r="D1478" t="s">
        <v>34</v>
      </c>
      <c r="E1478">
        <v>1.53</v>
      </c>
      <c r="F1478">
        <v>6.73</v>
      </c>
      <c r="G1478" s="8">
        <f>E1478*60/F1478</f>
        <v>13.640416047548291</v>
      </c>
    </row>
    <row r="1479" spans="1:7" x14ac:dyDescent="0.25">
      <c r="A1479" s="5">
        <v>45808.791666666664</v>
      </c>
      <c r="B1479">
        <v>28</v>
      </c>
      <c r="C1479" t="s">
        <v>34</v>
      </c>
      <c r="D1479" t="s">
        <v>35</v>
      </c>
      <c r="E1479">
        <v>1.51</v>
      </c>
      <c r="F1479">
        <v>4.25</v>
      </c>
      <c r="G1479" s="8">
        <f>E1479*60/F1479</f>
        <v>21.317647058823528</v>
      </c>
    </row>
    <row r="1480" spans="1:7" x14ac:dyDescent="0.25">
      <c r="A1480" s="5">
        <v>45808.791666666664</v>
      </c>
      <c r="B1480">
        <v>29</v>
      </c>
      <c r="C1480" t="s">
        <v>36</v>
      </c>
      <c r="D1480" t="s">
        <v>37</v>
      </c>
      <c r="E1480">
        <v>1.57</v>
      </c>
      <c r="F1480">
        <v>3.67</v>
      </c>
      <c r="G1480" s="8">
        <f>E1480*60/F1480</f>
        <v>25.667574931880111</v>
      </c>
    </row>
    <row r="1481" spans="1:7" x14ac:dyDescent="0.25">
      <c r="A1481" s="5">
        <v>45808.791666666664</v>
      </c>
      <c r="B1481">
        <v>30</v>
      </c>
      <c r="C1481" t="s">
        <v>37</v>
      </c>
      <c r="D1481" t="s">
        <v>38</v>
      </c>
      <c r="E1481">
        <v>1.57</v>
      </c>
      <c r="F1481">
        <v>3.63</v>
      </c>
      <c r="G1481" s="8">
        <f>E1481*60/F1481</f>
        <v>25.950413223140497</v>
      </c>
    </row>
    <row r="1482" spans="1:7" x14ac:dyDescent="0.25">
      <c r="A1482" s="5">
        <v>45808.791666666664</v>
      </c>
      <c r="B1482">
        <v>31</v>
      </c>
      <c r="C1482" t="s">
        <v>38</v>
      </c>
      <c r="D1482" t="s">
        <v>39</v>
      </c>
      <c r="E1482">
        <v>1.52</v>
      </c>
      <c r="F1482">
        <v>2.75</v>
      </c>
      <c r="G1482" s="8">
        <f>E1482*60/F1482</f>
        <v>33.163636363636364</v>
      </c>
    </row>
    <row r="1483" spans="1:7" x14ac:dyDescent="0.25">
      <c r="A1483" s="5">
        <v>45808.791666666664</v>
      </c>
      <c r="B1483">
        <v>32</v>
      </c>
      <c r="C1483" t="s">
        <v>39</v>
      </c>
      <c r="D1483" t="s">
        <v>40</v>
      </c>
      <c r="E1483">
        <v>1.5</v>
      </c>
      <c r="F1483">
        <v>1.8</v>
      </c>
      <c r="G1483" s="8">
        <f>E1483*60/F1483</f>
        <v>50</v>
      </c>
    </row>
    <row r="1484" spans="1:7" x14ac:dyDescent="0.25">
      <c r="A1484" s="5">
        <v>45808.791666666664</v>
      </c>
      <c r="B1484">
        <v>33</v>
      </c>
      <c r="C1484" t="s">
        <v>40</v>
      </c>
      <c r="D1484" t="s">
        <v>41</v>
      </c>
      <c r="E1484">
        <v>1.51</v>
      </c>
      <c r="F1484">
        <v>1.82</v>
      </c>
      <c r="G1484" s="8">
        <f>E1484*60/F1484</f>
        <v>49.780219780219774</v>
      </c>
    </row>
    <row r="1485" spans="1:7" x14ac:dyDescent="0.25">
      <c r="A1485" s="5">
        <v>45808.791666666664</v>
      </c>
      <c r="B1485">
        <v>34</v>
      </c>
      <c r="C1485" t="s">
        <v>41</v>
      </c>
      <c r="D1485" t="s">
        <v>42</v>
      </c>
      <c r="E1485">
        <v>1.5</v>
      </c>
      <c r="F1485">
        <v>2.17</v>
      </c>
      <c r="G1485" s="8">
        <f>E1485*60/F1485</f>
        <v>41.474654377880185</v>
      </c>
    </row>
    <row r="1486" spans="1:7" x14ac:dyDescent="0.25">
      <c r="A1486" s="5">
        <v>45808.791666666664</v>
      </c>
      <c r="B1486">
        <v>35</v>
      </c>
      <c r="C1486" t="s">
        <v>43</v>
      </c>
      <c r="D1486" t="s">
        <v>44</v>
      </c>
      <c r="E1486">
        <v>1.55</v>
      </c>
      <c r="F1486">
        <v>3.48</v>
      </c>
      <c r="G1486" s="8">
        <f>E1486*60/F1486</f>
        <v>26.724137931034484</v>
      </c>
    </row>
    <row r="1487" spans="1:7" x14ac:dyDescent="0.25">
      <c r="A1487" s="5">
        <v>45808.791666666664</v>
      </c>
      <c r="B1487">
        <v>36</v>
      </c>
      <c r="C1487" t="s">
        <v>44</v>
      </c>
      <c r="D1487" t="s">
        <v>45</v>
      </c>
      <c r="E1487">
        <v>1.5</v>
      </c>
      <c r="F1487">
        <v>3.27</v>
      </c>
      <c r="G1487" s="8">
        <f>E1487*60/F1487</f>
        <v>27.522935779816514</v>
      </c>
    </row>
    <row r="1488" spans="1:7" x14ac:dyDescent="0.25">
      <c r="A1488" s="5">
        <v>45808.791666666664</v>
      </c>
      <c r="B1488">
        <v>37</v>
      </c>
      <c r="C1488" t="s">
        <v>45</v>
      </c>
      <c r="D1488" t="s">
        <v>46</v>
      </c>
      <c r="E1488">
        <v>1.38</v>
      </c>
      <c r="F1488">
        <v>4.4000000000000004</v>
      </c>
      <c r="G1488" s="8">
        <f>E1488*60/F1488</f>
        <v>18.818181818181817</v>
      </c>
    </row>
    <row r="1489" spans="1:7" x14ac:dyDescent="0.25">
      <c r="A1489" s="5">
        <v>45808.791666666664</v>
      </c>
      <c r="B1489">
        <v>38</v>
      </c>
      <c r="C1489" t="s">
        <v>46</v>
      </c>
      <c r="D1489" t="s">
        <v>47</v>
      </c>
      <c r="E1489">
        <v>1.61</v>
      </c>
      <c r="F1489">
        <v>4.37</v>
      </c>
      <c r="G1489" s="8">
        <f>E1489*60/F1489</f>
        <v>22.10526315789474</v>
      </c>
    </row>
    <row r="1490" spans="1:7" x14ac:dyDescent="0.25">
      <c r="A1490" s="5">
        <v>45808.791666666664</v>
      </c>
      <c r="B1490">
        <v>39</v>
      </c>
      <c r="C1490" t="s">
        <v>47</v>
      </c>
      <c r="D1490" t="s">
        <v>48</v>
      </c>
      <c r="E1490">
        <v>1.55</v>
      </c>
      <c r="F1490">
        <v>3.85</v>
      </c>
      <c r="G1490" s="8">
        <f>E1490*60/F1490</f>
        <v>24.155844155844154</v>
      </c>
    </row>
    <row r="1491" spans="1:7" x14ac:dyDescent="0.25">
      <c r="A1491" s="5">
        <v>45808.791666666664</v>
      </c>
      <c r="B1491">
        <v>40</v>
      </c>
      <c r="C1491" t="s">
        <v>48</v>
      </c>
      <c r="D1491" t="s">
        <v>49</v>
      </c>
      <c r="E1491">
        <v>1.39</v>
      </c>
      <c r="F1491">
        <v>3.22</v>
      </c>
      <c r="G1491" s="8">
        <f>E1491*60/F1491</f>
        <v>25.900621118012417</v>
      </c>
    </row>
    <row r="1492" spans="1:7" x14ac:dyDescent="0.25">
      <c r="A1492" s="5">
        <v>45808.791666666664</v>
      </c>
      <c r="B1492">
        <v>41</v>
      </c>
      <c r="C1492" t="s">
        <v>50</v>
      </c>
      <c r="D1492" t="s">
        <v>51</v>
      </c>
      <c r="E1492">
        <v>1.56</v>
      </c>
      <c r="F1492">
        <v>4.3</v>
      </c>
      <c r="G1492" s="8">
        <f>E1492*60/F1492</f>
        <v>21.767441860465119</v>
      </c>
    </row>
    <row r="1493" spans="1:7" x14ac:dyDescent="0.25">
      <c r="A1493" s="5">
        <v>45808.791666666664</v>
      </c>
      <c r="B1493">
        <v>42</v>
      </c>
      <c r="C1493" t="s">
        <v>51</v>
      </c>
      <c r="D1493" t="s">
        <v>52</v>
      </c>
      <c r="E1493">
        <v>1.56</v>
      </c>
      <c r="F1493">
        <v>4.53</v>
      </c>
      <c r="G1493" s="8">
        <f>E1493*60/F1493</f>
        <v>20.662251655629142</v>
      </c>
    </row>
    <row r="1494" spans="1:7" x14ac:dyDescent="0.25">
      <c r="A1494" s="5">
        <v>45808.791666666664</v>
      </c>
      <c r="B1494">
        <v>43</v>
      </c>
      <c r="C1494" t="s">
        <v>52</v>
      </c>
      <c r="D1494" t="s">
        <v>53</v>
      </c>
      <c r="E1494">
        <v>1.51</v>
      </c>
      <c r="F1494">
        <v>3.35</v>
      </c>
      <c r="G1494" s="8">
        <f>E1494*60/F1494</f>
        <v>27.044776119402982</v>
      </c>
    </row>
    <row r="1495" spans="1:7" x14ac:dyDescent="0.25">
      <c r="A1495" s="5">
        <v>45808.791666666664</v>
      </c>
      <c r="B1495">
        <v>44</v>
      </c>
      <c r="C1495" t="s">
        <v>54</v>
      </c>
      <c r="D1495" t="s">
        <v>55</v>
      </c>
      <c r="E1495">
        <v>1.51</v>
      </c>
      <c r="F1495">
        <v>4.13</v>
      </c>
      <c r="G1495" s="8">
        <f>E1495*60/F1495</f>
        <v>21.937046004842614</v>
      </c>
    </row>
    <row r="1496" spans="1:7" x14ac:dyDescent="0.25">
      <c r="A1496" s="5">
        <v>45808.791666666664</v>
      </c>
      <c r="B1496">
        <v>45</v>
      </c>
      <c r="C1496" t="s">
        <v>55</v>
      </c>
      <c r="D1496" t="s">
        <v>56</v>
      </c>
      <c r="E1496">
        <v>1.49</v>
      </c>
      <c r="F1496">
        <v>3.72</v>
      </c>
      <c r="G1496" s="8">
        <f>E1496*60/F1496</f>
        <v>24.032258064516128</v>
      </c>
    </row>
    <row r="1497" spans="1:7" x14ac:dyDescent="0.25">
      <c r="A1497" s="5">
        <v>45808.791666666664</v>
      </c>
      <c r="B1497">
        <v>46</v>
      </c>
      <c r="C1497" t="s">
        <v>56</v>
      </c>
      <c r="D1497" t="s">
        <v>57</v>
      </c>
      <c r="E1497">
        <v>1.52</v>
      </c>
      <c r="F1497">
        <v>3.83</v>
      </c>
      <c r="G1497" s="8">
        <f>E1497*60/F1497</f>
        <v>23.812010443864231</v>
      </c>
    </row>
    <row r="1498" spans="1:7" x14ac:dyDescent="0.25">
      <c r="A1498" s="5">
        <v>45808.791666666664</v>
      </c>
      <c r="B1498">
        <v>47</v>
      </c>
      <c r="C1498" t="s">
        <v>58</v>
      </c>
      <c r="D1498" t="s">
        <v>59</v>
      </c>
      <c r="E1498">
        <v>1.52</v>
      </c>
      <c r="F1498">
        <v>3.87</v>
      </c>
      <c r="G1498" s="8">
        <f>E1498*60/F1498</f>
        <v>23.565891472868216</v>
      </c>
    </row>
    <row r="1499" spans="1:7" x14ac:dyDescent="0.25">
      <c r="A1499" s="5">
        <v>45808.791666666664</v>
      </c>
      <c r="B1499">
        <v>48</v>
      </c>
      <c r="C1499" t="s">
        <v>59</v>
      </c>
      <c r="D1499" t="s">
        <v>60</v>
      </c>
      <c r="E1499">
        <v>1.5</v>
      </c>
      <c r="F1499">
        <v>3.78</v>
      </c>
      <c r="G1499" s="8">
        <f>E1499*60/F1499</f>
        <v>23.80952380952381</v>
      </c>
    </row>
    <row r="1500" spans="1:7" x14ac:dyDescent="0.25">
      <c r="A1500" s="5">
        <v>45808.791666666664</v>
      </c>
      <c r="B1500">
        <v>49</v>
      </c>
      <c r="C1500" t="s">
        <v>60</v>
      </c>
      <c r="D1500" t="s">
        <v>61</v>
      </c>
      <c r="E1500">
        <v>1.54</v>
      </c>
      <c r="F1500">
        <v>4.13</v>
      </c>
      <c r="G1500" s="8">
        <f>E1500*60/F1500</f>
        <v>22.372881355932204</v>
      </c>
    </row>
    <row r="1501" spans="1:7" x14ac:dyDescent="0.25">
      <c r="A1501" s="5">
        <v>45808.791666666664</v>
      </c>
      <c r="B1501">
        <v>50</v>
      </c>
      <c r="C1501" t="s">
        <v>62</v>
      </c>
      <c r="D1501" t="s">
        <v>63</v>
      </c>
      <c r="E1501">
        <v>1.38</v>
      </c>
      <c r="F1501">
        <v>3</v>
      </c>
      <c r="G1501" s="8">
        <f>E1501*60/F1501</f>
        <v>27.599999999999998</v>
      </c>
    </row>
    <row r="1502" spans="1:7" x14ac:dyDescent="0.25">
      <c r="A1502" s="5">
        <v>45808.791666666664</v>
      </c>
      <c r="B1502">
        <v>51</v>
      </c>
      <c r="C1502" t="s">
        <v>63</v>
      </c>
      <c r="D1502" t="s">
        <v>64</v>
      </c>
      <c r="E1502">
        <v>2.79</v>
      </c>
      <c r="F1502">
        <v>5.62</v>
      </c>
      <c r="G1502" s="8">
        <f>E1502*60/F1502</f>
        <v>29.786476868327401</v>
      </c>
    </row>
    <row r="1503" spans="1:7" x14ac:dyDescent="0.25">
      <c r="A1503" s="5">
        <v>45808.791666666664</v>
      </c>
      <c r="B1503">
        <v>52</v>
      </c>
      <c r="C1503" t="s">
        <v>64</v>
      </c>
      <c r="D1503" t="s">
        <v>65</v>
      </c>
      <c r="E1503">
        <v>1.5</v>
      </c>
      <c r="F1503">
        <v>2.85</v>
      </c>
      <c r="G1503" s="8">
        <f>E1503*60/F1503</f>
        <v>31.578947368421051</v>
      </c>
    </row>
    <row r="1504" spans="1:7" x14ac:dyDescent="0.25">
      <c r="A1504" s="5">
        <v>45808.791666666664</v>
      </c>
      <c r="B1504">
        <v>53</v>
      </c>
      <c r="C1504" t="s">
        <v>65</v>
      </c>
      <c r="D1504" t="s">
        <v>66</v>
      </c>
      <c r="E1504">
        <v>1.46</v>
      </c>
      <c r="F1504">
        <v>3.87</v>
      </c>
      <c r="G1504" s="8">
        <f>E1504*60/F1504</f>
        <v>22.63565891472868</v>
      </c>
    </row>
    <row r="1505" spans="1:7" x14ac:dyDescent="0.25">
      <c r="A1505" s="5">
        <v>45808.791666666664</v>
      </c>
      <c r="B1505">
        <v>54</v>
      </c>
      <c r="C1505" t="s">
        <v>67</v>
      </c>
      <c r="D1505" t="s">
        <v>68</v>
      </c>
      <c r="E1505">
        <v>1.46</v>
      </c>
      <c r="F1505">
        <v>3.02</v>
      </c>
      <c r="G1505" s="8">
        <f>E1505*60/F1505</f>
        <v>29.006622516556288</v>
      </c>
    </row>
    <row r="1506" spans="1:7" x14ac:dyDescent="0.25">
      <c r="A1506" s="5">
        <v>45808.791666666664</v>
      </c>
      <c r="B1506">
        <v>55</v>
      </c>
      <c r="C1506" t="s">
        <v>68</v>
      </c>
      <c r="D1506" t="s">
        <v>69</v>
      </c>
      <c r="E1506">
        <v>1.5</v>
      </c>
      <c r="F1506">
        <v>2.15</v>
      </c>
      <c r="G1506" s="8">
        <f>E1506*60/F1506</f>
        <v>41.860465116279073</v>
      </c>
    </row>
    <row r="1507" spans="1:7" x14ac:dyDescent="0.25">
      <c r="A1507" s="5">
        <v>45808.791666666664</v>
      </c>
      <c r="B1507">
        <v>56</v>
      </c>
      <c r="C1507" t="s">
        <v>70</v>
      </c>
      <c r="D1507" t="s">
        <v>71</v>
      </c>
      <c r="E1507">
        <v>1.51</v>
      </c>
      <c r="F1507">
        <v>5.43</v>
      </c>
      <c r="G1507" s="8">
        <f>E1507*60/F1507</f>
        <v>16.685082872928177</v>
      </c>
    </row>
    <row r="1508" spans="1:7" x14ac:dyDescent="0.25">
      <c r="A1508" s="5">
        <v>45808.791666666664</v>
      </c>
      <c r="B1508">
        <v>57</v>
      </c>
      <c r="C1508" t="s">
        <v>71</v>
      </c>
      <c r="D1508" t="s">
        <v>72</v>
      </c>
      <c r="E1508">
        <v>1.52</v>
      </c>
      <c r="F1508">
        <v>3.82</v>
      </c>
      <c r="G1508" s="8">
        <f>E1508*60/F1508</f>
        <v>23.874345549738223</v>
      </c>
    </row>
    <row r="1509" spans="1:7" x14ac:dyDescent="0.25">
      <c r="A1509" s="5">
        <v>45808.791666666664</v>
      </c>
      <c r="B1509">
        <v>58</v>
      </c>
      <c r="C1509" t="s">
        <v>72</v>
      </c>
      <c r="D1509" t="s">
        <v>73</v>
      </c>
      <c r="E1509">
        <v>1.5</v>
      </c>
      <c r="F1509">
        <v>3.78</v>
      </c>
      <c r="G1509" s="8">
        <f>E1509*60/F1509</f>
        <v>23.80952380952381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9"/>
  <sheetViews>
    <sheetView topLeftCell="A1376" workbookViewId="0">
      <selection activeCell="A1376" sqref="A1376"/>
    </sheetView>
  </sheetViews>
  <sheetFormatPr defaultRowHeight="15" x14ac:dyDescent="0.25"/>
  <cols>
    <col min="1" max="1" width="11.28515625" style="5" customWidth="1"/>
    <col min="3" max="3" width="37" customWidth="1"/>
    <col min="4" max="4" width="37.140625" customWidth="1"/>
    <col min="5" max="5" width="16.85546875" customWidth="1"/>
    <col min="6" max="6" width="21.5703125" customWidth="1"/>
    <col min="7" max="7" width="12.7109375" customWidth="1"/>
  </cols>
  <sheetData>
    <row r="1" spans="1:7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74</v>
      </c>
    </row>
    <row r="2" spans="1:7" x14ac:dyDescent="0.25">
      <c r="A2" s="5">
        <v>45809.291666666664</v>
      </c>
      <c r="B2">
        <v>1</v>
      </c>
      <c r="C2" t="s">
        <v>6</v>
      </c>
      <c r="D2" t="s">
        <v>7</v>
      </c>
      <c r="E2">
        <v>1.53</v>
      </c>
      <c r="F2">
        <v>2.75</v>
      </c>
      <c r="G2" s="8">
        <f>E2*60/F2</f>
        <v>33.381818181818183</v>
      </c>
    </row>
    <row r="3" spans="1:7" x14ac:dyDescent="0.25">
      <c r="A3" s="5">
        <v>45809.291666666664</v>
      </c>
      <c r="B3">
        <v>2</v>
      </c>
      <c r="C3" t="s">
        <v>7</v>
      </c>
      <c r="D3" t="s">
        <v>8</v>
      </c>
      <c r="E3">
        <v>1.57</v>
      </c>
      <c r="F3">
        <v>3.57</v>
      </c>
      <c r="G3" s="8">
        <f t="shared" ref="G3:G66" si="0">E3*60/F3</f>
        <v>26.386554621848742</v>
      </c>
    </row>
    <row r="4" spans="1:7" x14ac:dyDescent="0.25">
      <c r="A4" s="5">
        <v>45809.291666666664</v>
      </c>
      <c r="B4">
        <v>3</v>
      </c>
      <c r="C4" t="s">
        <v>8</v>
      </c>
      <c r="D4" t="s">
        <v>9</v>
      </c>
      <c r="E4">
        <v>1.5</v>
      </c>
      <c r="F4">
        <v>2.5499999999999998</v>
      </c>
      <c r="G4" s="8">
        <f t="shared" si="0"/>
        <v>35.294117647058826</v>
      </c>
    </row>
    <row r="5" spans="1:7" x14ac:dyDescent="0.25">
      <c r="A5" s="5">
        <v>45809.291666666664</v>
      </c>
      <c r="B5">
        <v>4</v>
      </c>
      <c r="C5" t="s">
        <v>9</v>
      </c>
      <c r="D5" t="s">
        <v>10</v>
      </c>
      <c r="E5">
        <v>1.5</v>
      </c>
      <c r="F5">
        <v>2.2200000000000002</v>
      </c>
      <c r="G5" s="8">
        <f t="shared" si="0"/>
        <v>40.54054054054054</v>
      </c>
    </row>
    <row r="6" spans="1:7" x14ac:dyDescent="0.25">
      <c r="A6" s="5">
        <v>45809.291666666664</v>
      </c>
      <c r="B6">
        <v>5</v>
      </c>
      <c r="C6" t="s">
        <v>10</v>
      </c>
      <c r="D6" t="s">
        <v>11</v>
      </c>
      <c r="E6">
        <v>1.52</v>
      </c>
      <c r="F6">
        <v>2.48</v>
      </c>
      <c r="G6" s="8">
        <f t="shared" si="0"/>
        <v>36.774193548387096</v>
      </c>
    </row>
    <row r="7" spans="1:7" x14ac:dyDescent="0.25">
      <c r="A7" s="5">
        <v>45809.291666666664</v>
      </c>
      <c r="B7">
        <v>6</v>
      </c>
      <c r="C7" t="s">
        <v>11</v>
      </c>
      <c r="D7" t="s">
        <v>12</v>
      </c>
      <c r="E7">
        <v>1.5</v>
      </c>
      <c r="F7">
        <v>2.1800000000000002</v>
      </c>
      <c r="G7" s="8">
        <f t="shared" si="0"/>
        <v>41.284403669724767</v>
      </c>
    </row>
    <row r="8" spans="1:7" x14ac:dyDescent="0.25">
      <c r="A8" s="5">
        <v>45809.291666666664</v>
      </c>
      <c r="B8">
        <v>7</v>
      </c>
      <c r="C8" t="s">
        <v>12</v>
      </c>
      <c r="D8" t="s">
        <v>13</v>
      </c>
      <c r="E8">
        <v>1.54</v>
      </c>
      <c r="F8">
        <v>2.42</v>
      </c>
      <c r="G8" s="8">
        <f t="shared" si="0"/>
        <v>38.181818181818187</v>
      </c>
    </row>
    <row r="9" spans="1:7" x14ac:dyDescent="0.25">
      <c r="A9" s="5">
        <v>45809.291666666664</v>
      </c>
      <c r="B9">
        <v>8</v>
      </c>
      <c r="C9" t="s">
        <v>13</v>
      </c>
      <c r="D9" t="s">
        <v>14</v>
      </c>
      <c r="E9">
        <v>1.54</v>
      </c>
      <c r="F9">
        <v>2.67</v>
      </c>
      <c r="G9" s="8">
        <f t="shared" si="0"/>
        <v>34.606741573033709</v>
      </c>
    </row>
    <row r="10" spans="1:7" x14ac:dyDescent="0.25">
      <c r="A10" s="5">
        <v>45809.291666666664</v>
      </c>
      <c r="B10">
        <v>9</v>
      </c>
      <c r="C10" t="s">
        <v>14</v>
      </c>
      <c r="D10" t="s">
        <v>15</v>
      </c>
      <c r="E10">
        <v>1.52</v>
      </c>
      <c r="F10">
        <v>2.5499999999999998</v>
      </c>
      <c r="G10" s="8">
        <f t="shared" si="0"/>
        <v>35.764705882352942</v>
      </c>
    </row>
    <row r="11" spans="1:7" x14ac:dyDescent="0.25">
      <c r="A11" s="5">
        <v>45809.291666666664</v>
      </c>
      <c r="B11">
        <v>10</v>
      </c>
      <c r="C11" t="s">
        <v>15</v>
      </c>
      <c r="D11" t="s">
        <v>16</v>
      </c>
      <c r="E11">
        <v>1.5</v>
      </c>
      <c r="F11">
        <v>2.5499999999999998</v>
      </c>
      <c r="G11" s="8">
        <f t="shared" si="0"/>
        <v>35.294117647058826</v>
      </c>
    </row>
    <row r="12" spans="1:7" x14ac:dyDescent="0.25">
      <c r="A12" s="5">
        <v>45809.291666666664</v>
      </c>
      <c r="B12">
        <v>11</v>
      </c>
      <c r="C12" t="s">
        <v>16</v>
      </c>
      <c r="D12" t="s">
        <v>17</v>
      </c>
      <c r="E12">
        <v>1.48</v>
      </c>
      <c r="F12">
        <v>2.1</v>
      </c>
      <c r="G12" s="8">
        <f t="shared" si="0"/>
        <v>42.285714285714285</v>
      </c>
    </row>
    <row r="13" spans="1:7" x14ac:dyDescent="0.25">
      <c r="A13" s="5">
        <v>45809.291666666664</v>
      </c>
      <c r="B13">
        <v>12</v>
      </c>
      <c r="C13" t="s">
        <v>17</v>
      </c>
      <c r="D13" t="s">
        <v>18</v>
      </c>
      <c r="E13">
        <v>1.46</v>
      </c>
      <c r="F13">
        <v>2.38</v>
      </c>
      <c r="G13" s="8">
        <f t="shared" si="0"/>
        <v>36.806722689075627</v>
      </c>
    </row>
    <row r="14" spans="1:7" x14ac:dyDescent="0.25">
      <c r="A14" s="5">
        <v>45809.291666666664</v>
      </c>
      <c r="B14">
        <v>13</v>
      </c>
      <c r="C14" t="s">
        <v>18</v>
      </c>
      <c r="D14" t="s">
        <v>19</v>
      </c>
      <c r="E14">
        <v>1.52</v>
      </c>
      <c r="F14">
        <v>2.58</v>
      </c>
      <c r="G14" s="8">
        <f t="shared" si="0"/>
        <v>35.348837209302324</v>
      </c>
    </row>
    <row r="15" spans="1:7" x14ac:dyDescent="0.25">
      <c r="A15" s="5">
        <v>45809.291666666664</v>
      </c>
      <c r="B15">
        <v>14</v>
      </c>
      <c r="C15" t="s">
        <v>19</v>
      </c>
      <c r="D15" t="s">
        <v>20</v>
      </c>
      <c r="E15">
        <v>1.51</v>
      </c>
      <c r="F15">
        <v>2.65</v>
      </c>
      <c r="G15" s="8">
        <f t="shared" si="0"/>
        <v>34.188679245283019</v>
      </c>
    </row>
    <row r="16" spans="1:7" x14ac:dyDescent="0.25">
      <c r="A16" s="5">
        <v>45809.291666666664</v>
      </c>
      <c r="B16">
        <v>15</v>
      </c>
      <c r="C16" t="s">
        <v>20</v>
      </c>
      <c r="D16" t="s">
        <v>21</v>
      </c>
      <c r="E16">
        <v>1.47</v>
      </c>
      <c r="F16">
        <v>2.13</v>
      </c>
      <c r="G16" s="8">
        <f t="shared" si="0"/>
        <v>41.408450704225352</v>
      </c>
    </row>
    <row r="17" spans="1:7" x14ac:dyDescent="0.25">
      <c r="A17" s="5">
        <v>45809.291666666664</v>
      </c>
      <c r="B17">
        <v>16</v>
      </c>
      <c r="C17" t="s">
        <v>21</v>
      </c>
      <c r="D17" t="s">
        <v>22</v>
      </c>
      <c r="E17">
        <v>1.5</v>
      </c>
      <c r="F17">
        <v>1.78</v>
      </c>
      <c r="G17" s="8">
        <f t="shared" si="0"/>
        <v>50.561797752808985</v>
      </c>
    </row>
    <row r="18" spans="1:7" x14ac:dyDescent="0.25">
      <c r="A18" s="5">
        <v>45809.291666666664</v>
      </c>
      <c r="B18">
        <v>17</v>
      </c>
      <c r="C18" t="s">
        <v>22</v>
      </c>
      <c r="D18" t="s">
        <v>23</v>
      </c>
      <c r="E18">
        <v>1.51</v>
      </c>
      <c r="F18">
        <v>2.1800000000000002</v>
      </c>
      <c r="G18" s="8">
        <f t="shared" si="0"/>
        <v>41.559633027522928</v>
      </c>
    </row>
    <row r="19" spans="1:7" x14ac:dyDescent="0.25">
      <c r="A19" s="5">
        <v>45809.291666666664</v>
      </c>
      <c r="B19">
        <v>18</v>
      </c>
      <c r="C19" t="s">
        <v>23</v>
      </c>
      <c r="D19" t="s">
        <v>24</v>
      </c>
      <c r="E19">
        <v>1.51</v>
      </c>
      <c r="F19">
        <v>2.38</v>
      </c>
      <c r="G19" s="8">
        <f t="shared" si="0"/>
        <v>38.067226890756302</v>
      </c>
    </row>
    <row r="20" spans="1:7" x14ac:dyDescent="0.25">
      <c r="A20" s="5">
        <v>45809.291666666664</v>
      </c>
      <c r="B20">
        <v>19</v>
      </c>
      <c r="C20" t="s">
        <v>25</v>
      </c>
      <c r="D20" t="s">
        <v>26</v>
      </c>
      <c r="E20">
        <v>1.5</v>
      </c>
      <c r="F20">
        <v>2.82</v>
      </c>
      <c r="G20" s="8">
        <f t="shared" si="0"/>
        <v>31.914893617021278</v>
      </c>
    </row>
    <row r="21" spans="1:7" x14ac:dyDescent="0.25">
      <c r="A21" s="5">
        <v>45809.291666666664</v>
      </c>
      <c r="B21">
        <v>20</v>
      </c>
      <c r="C21" t="s">
        <v>26</v>
      </c>
      <c r="D21" t="s">
        <v>27</v>
      </c>
      <c r="E21">
        <v>1.48</v>
      </c>
      <c r="F21">
        <v>2.97</v>
      </c>
      <c r="G21" s="8">
        <f t="shared" si="0"/>
        <v>29.898989898989896</v>
      </c>
    </row>
    <row r="22" spans="1:7" x14ac:dyDescent="0.25">
      <c r="A22" s="5">
        <v>45809.291666666664</v>
      </c>
      <c r="B22">
        <v>21</v>
      </c>
      <c r="C22" t="s">
        <v>27</v>
      </c>
      <c r="D22" t="s">
        <v>28</v>
      </c>
      <c r="E22">
        <v>1.51</v>
      </c>
      <c r="F22">
        <v>2.52</v>
      </c>
      <c r="G22" s="8">
        <f t="shared" si="0"/>
        <v>35.952380952380949</v>
      </c>
    </row>
    <row r="23" spans="1:7" x14ac:dyDescent="0.25">
      <c r="A23" s="5">
        <v>45809.291666666664</v>
      </c>
      <c r="B23">
        <v>22</v>
      </c>
      <c r="C23" t="s">
        <v>28</v>
      </c>
      <c r="D23" t="s">
        <v>29</v>
      </c>
      <c r="E23">
        <v>1.57</v>
      </c>
      <c r="F23">
        <v>2.5</v>
      </c>
      <c r="G23" s="8">
        <f t="shared" si="0"/>
        <v>37.68</v>
      </c>
    </row>
    <row r="24" spans="1:7" x14ac:dyDescent="0.25">
      <c r="A24" s="5">
        <v>45809.291666666664</v>
      </c>
      <c r="B24">
        <v>23</v>
      </c>
      <c r="C24" t="s">
        <v>29</v>
      </c>
      <c r="D24" t="s">
        <v>30</v>
      </c>
      <c r="E24">
        <v>1.43</v>
      </c>
      <c r="F24">
        <v>2.67</v>
      </c>
      <c r="G24" s="8">
        <f t="shared" si="0"/>
        <v>32.134831460674157</v>
      </c>
    </row>
    <row r="25" spans="1:7" x14ac:dyDescent="0.25">
      <c r="A25" s="5">
        <v>45809.291666666664</v>
      </c>
      <c r="B25">
        <v>24</v>
      </c>
      <c r="C25" t="s">
        <v>30</v>
      </c>
      <c r="D25" t="s">
        <v>31</v>
      </c>
      <c r="E25">
        <v>1.52</v>
      </c>
      <c r="F25">
        <v>2.88</v>
      </c>
      <c r="G25" s="8">
        <f t="shared" si="0"/>
        <v>31.666666666666668</v>
      </c>
    </row>
    <row r="26" spans="1:7" x14ac:dyDescent="0.25">
      <c r="A26" s="5">
        <v>45809.291666666664</v>
      </c>
      <c r="B26">
        <v>25</v>
      </c>
      <c r="C26" t="s">
        <v>31</v>
      </c>
      <c r="D26" t="s">
        <v>32</v>
      </c>
      <c r="E26">
        <v>1.52</v>
      </c>
      <c r="F26">
        <v>2.9</v>
      </c>
      <c r="G26" s="8">
        <f t="shared" si="0"/>
        <v>31.448275862068968</v>
      </c>
    </row>
    <row r="27" spans="1:7" x14ac:dyDescent="0.25">
      <c r="A27" s="5">
        <v>45809.291666666664</v>
      </c>
      <c r="B27">
        <v>26</v>
      </c>
      <c r="C27" t="s">
        <v>32</v>
      </c>
      <c r="D27" t="s">
        <v>33</v>
      </c>
      <c r="E27">
        <v>1.49</v>
      </c>
      <c r="F27">
        <v>2.73</v>
      </c>
      <c r="G27" s="8">
        <f t="shared" si="0"/>
        <v>32.747252747252752</v>
      </c>
    </row>
    <row r="28" spans="1:7" x14ac:dyDescent="0.25">
      <c r="A28" s="5">
        <v>45809.291666666664</v>
      </c>
      <c r="B28">
        <v>27</v>
      </c>
      <c r="C28" t="s">
        <v>33</v>
      </c>
      <c r="D28" t="s">
        <v>34</v>
      </c>
      <c r="E28">
        <v>1.53</v>
      </c>
      <c r="F28">
        <v>2.68</v>
      </c>
      <c r="G28" s="8">
        <f t="shared" si="0"/>
        <v>34.253731343283576</v>
      </c>
    </row>
    <row r="29" spans="1:7" x14ac:dyDescent="0.25">
      <c r="A29" s="5">
        <v>45809.291666666664</v>
      </c>
      <c r="B29">
        <v>28</v>
      </c>
      <c r="C29" t="s">
        <v>34</v>
      </c>
      <c r="D29" t="s">
        <v>35</v>
      </c>
      <c r="E29">
        <v>1.51</v>
      </c>
      <c r="F29">
        <v>3.17</v>
      </c>
      <c r="G29" s="8">
        <f t="shared" si="0"/>
        <v>28.580441640378549</v>
      </c>
    </row>
    <row r="30" spans="1:7" x14ac:dyDescent="0.25">
      <c r="A30" s="5">
        <v>45809.291666666664</v>
      </c>
      <c r="B30">
        <v>29</v>
      </c>
      <c r="C30" t="s">
        <v>36</v>
      </c>
      <c r="D30" t="s">
        <v>37</v>
      </c>
      <c r="E30">
        <v>1.57</v>
      </c>
      <c r="F30">
        <v>2.57</v>
      </c>
      <c r="G30" s="8">
        <f t="shared" si="0"/>
        <v>36.653696498054479</v>
      </c>
    </row>
    <row r="31" spans="1:7" x14ac:dyDescent="0.25">
      <c r="A31" s="5">
        <v>45809.291666666664</v>
      </c>
      <c r="B31">
        <v>30</v>
      </c>
      <c r="C31" t="s">
        <v>37</v>
      </c>
      <c r="D31" t="s">
        <v>38</v>
      </c>
      <c r="E31">
        <v>1.57</v>
      </c>
      <c r="F31">
        <v>2.85</v>
      </c>
      <c r="G31" s="8">
        <f t="shared" si="0"/>
        <v>33.05263157894737</v>
      </c>
    </row>
    <row r="32" spans="1:7" x14ac:dyDescent="0.25">
      <c r="A32" s="5">
        <v>45809.291666666664</v>
      </c>
      <c r="B32">
        <v>31</v>
      </c>
      <c r="C32" t="s">
        <v>38</v>
      </c>
      <c r="D32" t="s">
        <v>39</v>
      </c>
      <c r="E32">
        <v>1.52</v>
      </c>
      <c r="F32">
        <v>2.4</v>
      </c>
      <c r="G32" s="8">
        <f t="shared" si="0"/>
        <v>38</v>
      </c>
    </row>
    <row r="33" spans="1:7" x14ac:dyDescent="0.25">
      <c r="A33" s="5">
        <v>45809.291666666664</v>
      </c>
      <c r="B33">
        <v>32</v>
      </c>
      <c r="C33" t="s">
        <v>39</v>
      </c>
      <c r="D33" t="s">
        <v>40</v>
      </c>
      <c r="E33">
        <v>1.5</v>
      </c>
      <c r="F33">
        <v>1.65</v>
      </c>
      <c r="G33" s="8">
        <f t="shared" si="0"/>
        <v>54.545454545454547</v>
      </c>
    </row>
    <row r="34" spans="1:7" x14ac:dyDescent="0.25">
      <c r="A34" s="5">
        <v>45809.291666666664</v>
      </c>
      <c r="B34">
        <v>33</v>
      </c>
      <c r="C34" t="s">
        <v>40</v>
      </c>
      <c r="D34" t="s">
        <v>41</v>
      </c>
      <c r="E34">
        <v>1.51</v>
      </c>
      <c r="F34">
        <v>1.65</v>
      </c>
      <c r="G34" s="8">
        <f t="shared" si="0"/>
        <v>54.909090909090907</v>
      </c>
    </row>
    <row r="35" spans="1:7" x14ac:dyDescent="0.25">
      <c r="A35" s="5">
        <v>45809.291666666664</v>
      </c>
      <c r="B35">
        <v>34</v>
      </c>
      <c r="C35" t="s">
        <v>41</v>
      </c>
      <c r="D35" t="s">
        <v>42</v>
      </c>
      <c r="E35">
        <v>1.5</v>
      </c>
      <c r="F35">
        <v>1.6</v>
      </c>
      <c r="G35" s="8">
        <f t="shared" si="0"/>
        <v>56.25</v>
      </c>
    </row>
    <row r="36" spans="1:7" x14ac:dyDescent="0.25">
      <c r="A36" s="5">
        <v>45809.291666666664</v>
      </c>
      <c r="B36">
        <v>35</v>
      </c>
      <c r="C36" t="s">
        <v>43</v>
      </c>
      <c r="D36" t="s">
        <v>44</v>
      </c>
      <c r="E36">
        <v>1.55</v>
      </c>
      <c r="F36">
        <v>2.97</v>
      </c>
      <c r="G36" s="8">
        <f t="shared" si="0"/>
        <v>31.313131313131311</v>
      </c>
    </row>
    <row r="37" spans="1:7" x14ac:dyDescent="0.25">
      <c r="A37" s="5">
        <v>45809.291666666664</v>
      </c>
      <c r="B37">
        <v>36</v>
      </c>
      <c r="C37" t="s">
        <v>44</v>
      </c>
      <c r="D37" t="s">
        <v>45</v>
      </c>
      <c r="E37">
        <v>1.5</v>
      </c>
      <c r="F37">
        <v>2.2799999999999998</v>
      </c>
      <c r="G37" s="8">
        <f t="shared" si="0"/>
        <v>39.473684210526322</v>
      </c>
    </row>
    <row r="38" spans="1:7" x14ac:dyDescent="0.25">
      <c r="A38" s="5">
        <v>45809.291666666664</v>
      </c>
      <c r="B38">
        <v>37</v>
      </c>
      <c r="C38" t="s">
        <v>45</v>
      </c>
      <c r="D38" t="s">
        <v>46</v>
      </c>
      <c r="E38">
        <v>1.38</v>
      </c>
      <c r="F38">
        <v>3.12</v>
      </c>
      <c r="G38" s="8">
        <f t="shared" si="0"/>
        <v>26.538461538461537</v>
      </c>
    </row>
    <row r="39" spans="1:7" x14ac:dyDescent="0.25">
      <c r="A39" s="5">
        <v>45809.291666666664</v>
      </c>
      <c r="B39">
        <v>38</v>
      </c>
      <c r="C39" t="s">
        <v>46</v>
      </c>
      <c r="D39" t="s">
        <v>47</v>
      </c>
      <c r="E39">
        <v>1.61</v>
      </c>
      <c r="F39">
        <v>3.27</v>
      </c>
      <c r="G39" s="8">
        <f t="shared" si="0"/>
        <v>29.541284403669728</v>
      </c>
    </row>
    <row r="40" spans="1:7" x14ac:dyDescent="0.25">
      <c r="A40" s="5">
        <v>45809.291666666664</v>
      </c>
      <c r="B40">
        <v>39</v>
      </c>
      <c r="C40" t="s">
        <v>47</v>
      </c>
      <c r="D40" t="s">
        <v>48</v>
      </c>
      <c r="E40">
        <v>1.55</v>
      </c>
      <c r="F40">
        <v>2.88</v>
      </c>
      <c r="G40" s="8">
        <f t="shared" si="0"/>
        <v>32.291666666666671</v>
      </c>
    </row>
    <row r="41" spans="1:7" x14ac:dyDescent="0.25">
      <c r="A41" s="5">
        <v>45809.291666666664</v>
      </c>
      <c r="B41">
        <v>40</v>
      </c>
      <c r="C41" t="s">
        <v>48</v>
      </c>
      <c r="D41" t="s">
        <v>49</v>
      </c>
      <c r="E41">
        <v>1.39</v>
      </c>
      <c r="F41">
        <v>2.48</v>
      </c>
      <c r="G41" s="8">
        <f t="shared" si="0"/>
        <v>33.629032258064512</v>
      </c>
    </row>
    <row r="42" spans="1:7" x14ac:dyDescent="0.25">
      <c r="A42" s="5">
        <v>45809.291666666664</v>
      </c>
      <c r="B42">
        <v>41</v>
      </c>
      <c r="C42" t="s">
        <v>50</v>
      </c>
      <c r="D42" t="s">
        <v>51</v>
      </c>
      <c r="E42">
        <v>1.56</v>
      </c>
      <c r="F42">
        <v>2.82</v>
      </c>
      <c r="G42" s="8">
        <f t="shared" si="0"/>
        <v>33.191489361702132</v>
      </c>
    </row>
    <row r="43" spans="1:7" x14ac:dyDescent="0.25">
      <c r="A43" s="5">
        <v>45809.291666666664</v>
      </c>
      <c r="B43">
        <v>42</v>
      </c>
      <c r="C43" t="s">
        <v>51</v>
      </c>
      <c r="D43" t="s">
        <v>52</v>
      </c>
      <c r="E43">
        <v>1.56</v>
      </c>
      <c r="F43">
        <v>2.93</v>
      </c>
      <c r="G43" s="8">
        <f t="shared" si="0"/>
        <v>31.94539249146758</v>
      </c>
    </row>
    <row r="44" spans="1:7" x14ac:dyDescent="0.25">
      <c r="A44" s="5">
        <v>45809.291666666664</v>
      </c>
      <c r="B44">
        <v>43</v>
      </c>
      <c r="C44" t="s">
        <v>52</v>
      </c>
      <c r="D44" t="s">
        <v>53</v>
      </c>
      <c r="E44">
        <v>1.51</v>
      </c>
      <c r="F44">
        <v>2.72</v>
      </c>
      <c r="G44" s="8">
        <f t="shared" si="0"/>
        <v>33.308823529411761</v>
      </c>
    </row>
    <row r="45" spans="1:7" x14ac:dyDescent="0.25">
      <c r="A45" s="5">
        <v>45809.291666666664</v>
      </c>
      <c r="B45">
        <v>44</v>
      </c>
      <c r="C45" t="s">
        <v>54</v>
      </c>
      <c r="D45" t="s">
        <v>55</v>
      </c>
      <c r="E45">
        <v>1.51</v>
      </c>
      <c r="F45">
        <v>3.53</v>
      </c>
      <c r="G45" s="8">
        <f t="shared" si="0"/>
        <v>25.665722379603398</v>
      </c>
    </row>
    <row r="46" spans="1:7" x14ac:dyDescent="0.25">
      <c r="A46" s="5">
        <v>45809.291666666664</v>
      </c>
      <c r="B46">
        <v>45</v>
      </c>
      <c r="C46" t="s">
        <v>55</v>
      </c>
      <c r="D46" t="s">
        <v>56</v>
      </c>
      <c r="E46">
        <v>1.49</v>
      </c>
      <c r="F46">
        <v>2.72</v>
      </c>
      <c r="G46" s="8">
        <f t="shared" si="0"/>
        <v>32.867647058823529</v>
      </c>
    </row>
    <row r="47" spans="1:7" x14ac:dyDescent="0.25">
      <c r="A47" s="5">
        <v>45809.291666666664</v>
      </c>
      <c r="B47">
        <v>46</v>
      </c>
      <c r="C47" t="s">
        <v>56</v>
      </c>
      <c r="D47" t="s">
        <v>57</v>
      </c>
      <c r="E47">
        <v>1.52</v>
      </c>
      <c r="F47">
        <v>3.22</v>
      </c>
      <c r="G47" s="8">
        <f t="shared" si="0"/>
        <v>28.322981366459626</v>
      </c>
    </row>
    <row r="48" spans="1:7" x14ac:dyDescent="0.25">
      <c r="A48" s="5">
        <v>45809.291666666664</v>
      </c>
      <c r="B48">
        <v>47</v>
      </c>
      <c r="C48" t="s">
        <v>58</v>
      </c>
      <c r="D48" t="s">
        <v>59</v>
      </c>
      <c r="E48">
        <v>1.52</v>
      </c>
      <c r="F48">
        <v>2.83</v>
      </c>
      <c r="G48" s="8">
        <f t="shared" si="0"/>
        <v>32.226148409893995</v>
      </c>
    </row>
    <row r="49" spans="1:7" x14ac:dyDescent="0.25">
      <c r="A49" s="5">
        <v>45809.291666666664</v>
      </c>
      <c r="B49">
        <v>48</v>
      </c>
      <c r="C49" t="s">
        <v>59</v>
      </c>
      <c r="D49" t="s">
        <v>60</v>
      </c>
      <c r="E49">
        <v>1.5</v>
      </c>
      <c r="F49">
        <v>2.82</v>
      </c>
      <c r="G49" s="8">
        <f t="shared" si="0"/>
        <v>31.914893617021278</v>
      </c>
    </row>
    <row r="50" spans="1:7" x14ac:dyDescent="0.25">
      <c r="A50" s="5">
        <v>45809.291666666664</v>
      </c>
      <c r="B50">
        <v>49</v>
      </c>
      <c r="C50" t="s">
        <v>60</v>
      </c>
      <c r="D50" t="s">
        <v>61</v>
      </c>
      <c r="E50">
        <v>1.54</v>
      </c>
      <c r="F50">
        <v>3.28</v>
      </c>
      <c r="G50" s="8">
        <f t="shared" si="0"/>
        <v>28.170731707317078</v>
      </c>
    </row>
    <row r="51" spans="1:7" x14ac:dyDescent="0.25">
      <c r="A51" s="5">
        <v>45809.291666666664</v>
      </c>
      <c r="B51">
        <v>50</v>
      </c>
      <c r="C51" t="s">
        <v>62</v>
      </c>
      <c r="D51" t="s">
        <v>63</v>
      </c>
      <c r="E51">
        <v>1.38</v>
      </c>
      <c r="F51">
        <v>2.58</v>
      </c>
      <c r="G51" s="8">
        <f t="shared" si="0"/>
        <v>32.093023255813954</v>
      </c>
    </row>
    <row r="52" spans="1:7" x14ac:dyDescent="0.25">
      <c r="A52" s="5">
        <v>45809.291666666664</v>
      </c>
      <c r="B52">
        <v>51</v>
      </c>
      <c r="C52" t="s">
        <v>63</v>
      </c>
      <c r="D52" t="s">
        <v>64</v>
      </c>
      <c r="E52">
        <v>2.79</v>
      </c>
      <c r="F52">
        <v>4.62</v>
      </c>
      <c r="G52" s="8">
        <f t="shared" si="0"/>
        <v>36.233766233766232</v>
      </c>
    </row>
    <row r="53" spans="1:7" x14ac:dyDescent="0.25">
      <c r="A53" s="5">
        <v>45809.291666666664</v>
      </c>
      <c r="B53">
        <v>52</v>
      </c>
      <c r="C53" t="s">
        <v>64</v>
      </c>
      <c r="D53" t="s">
        <v>65</v>
      </c>
      <c r="E53">
        <v>1.5</v>
      </c>
      <c r="F53">
        <v>2.5</v>
      </c>
      <c r="G53" s="8">
        <f t="shared" si="0"/>
        <v>36</v>
      </c>
    </row>
    <row r="54" spans="1:7" x14ac:dyDescent="0.25">
      <c r="A54" s="5">
        <v>45809.291666666664</v>
      </c>
      <c r="B54">
        <v>53</v>
      </c>
      <c r="C54" t="s">
        <v>65</v>
      </c>
      <c r="D54" t="s">
        <v>66</v>
      </c>
      <c r="E54">
        <v>1.46</v>
      </c>
      <c r="F54">
        <v>3.07</v>
      </c>
      <c r="G54" s="8">
        <f t="shared" si="0"/>
        <v>28.534201954397393</v>
      </c>
    </row>
    <row r="55" spans="1:7" x14ac:dyDescent="0.25">
      <c r="A55" s="5">
        <v>45809.291666666664</v>
      </c>
      <c r="B55">
        <v>54</v>
      </c>
      <c r="C55" t="s">
        <v>67</v>
      </c>
      <c r="D55" t="s">
        <v>68</v>
      </c>
      <c r="E55">
        <v>1.46</v>
      </c>
      <c r="F55">
        <v>2.2000000000000002</v>
      </c>
      <c r="G55" s="8">
        <f t="shared" si="0"/>
        <v>39.818181818181813</v>
      </c>
    </row>
    <row r="56" spans="1:7" x14ac:dyDescent="0.25">
      <c r="A56" s="5">
        <v>45809.291666666664</v>
      </c>
      <c r="B56">
        <v>55</v>
      </c>
      <c r="C56" t="s">
        <v>68</v>
      </c>
      <c r="D56" t="s">
        <v>69</v>
      </c>
      <c r="E56">
        <v>1.5</v>
      </c>
      <c r="F56">
        <v>1.75</v>
      </c>
      <c r="G56" s="8">
        <f t="shared" si="0"/>
        <v>51.428571428571431</v>
      </c>
    </row>
    <row r="57" spans="1:7" x14ac:dyDescent="0.25">
      <c r="A57" s="5">
        <v>45809.291666666664</v>
      </c>
      <c r="B57">
        <v>56</v>
      </c>
      <c r="C57" t="s">
        <v>70</v>
      </c>
      <c r="D57" t="s">
        <v>71</v>
      </c>
      <c r="E57">
        <v>1.51</v>
      </c>
      <c r="F57">
        <v>2.93</v>
      </c>
      <c r="G57" s="8">
        <f t="shared" si="0"/>
        <v>30.921501706484637</v>
      </c>
    </row>
    <row r="58" spans="1:7" x14ac:dyDescent="0.25">
      <c r="A58" s="5">
        <v>45809.291666666664</v>
      </c>
      <c r="B58">
        <v>57</v>
      </c>
      <c r="C58" t="s">
        <v>71</v>
      </c>
      <c r="D58" t="s">
        <v>72</v>
      </c>
      <c r="E58">
        <v>1.52</v>
      </c>
      <c r="F58">
        <v>2.82</v>
      </c>
      <c r="G58" s="8">
        <f t="shared" si="0"/>
        <v>32.340425531914896</v>
      </c>
    </row>
    <row r="59" spans="1:7" x14ac:dyDescent="0.25">
      <c r="A59" s="5">
        <v>45809.291666666664</v>
      </c>
      <c r="B59">
        <v>58</v>
      </c>
      <c r="C59" t="s">
        <v>72</v>
      </c>
      <c r="D59" t="s">
        <v>73</v>
      </c>
      <c r="E59">
        <v>1.5</v>
      </c>
      <c r="F59">
        <v>2.85</v>
      </c>
      <c r="G59" s="8">
        <f t="shared" si="0"/>
        <v>31.578947368421051</v>
      </c>
    </row>
    <row r="60" spans="1:7" x14ac:dyDescent="0.25">
      <c r="A60" s="5">
        <v>45809.302083333336</v>
      </c>
      <c r="B60">
        <v>1</v>
      </c>
      <c r="C60" t="s">
        <v>6</v>
      </c>
      <c r="D60" t="s">
        <v>7</v>
      </c>
      <c r="E60">
        <v>1.53</v>
      </c>
      <c r="F60">
        <v>2.57</v>
      </c>
      <c r="G60" s="8">
        <f t="shared" si="0"/>
        <v>35.719844357976655</v>
      </c>
    </row>
    <row r="61" spans="1:7" x14ac:dyDescent="0.25">
      <c r="A61" s="5">
        <v>45809.302083333336</v>
      </c>
      <c r="B61">
        <v>2</v>
      </c>
      <c r="C61" t="s">
        <v>7</v>
      </c>
      <c r="D61" t="s">
        <v>8</v>
      </c>
      <c r="E61">
        <v>1.57</v>
      </c>
      <c r="F61">
        <v>3.68</v>
      </c>
      <c r="G61" s="8">
        <f t="shared" si="0"/>
        <v>25.59782608695652</v>
      </c>
    </row>
    <row r="62" spans="1:7" x14ac:dyDescent="0.25">
      <c r="A62" s="5">
        <v>45809.302083333336</v>
      </c>
      <c r="B62">
        <v>3</v>
      </c>
      <c r="C62" t="s">
        <v>8</v>
      </c>
      <c r="D62" t="s">
        <v>9</v>
      </c>
      <c r="E62">
        <v>1.5</v>
      </c>
      <c r="F62">
        <v>2.6</v>
      </c>
      <c r="G62" s="8">
        <f t="shared" si="0"/>
        <v>34.615384615384613</v>
      </c>
    </row>
    <row r="63" spans="1:7" x14ac:dyDescent="0.25">
      <c r="A63" s="5">
        <v>45809.302083333336</v>
      </c>
      <c r="B63">
        <v>4</v>
      </c>
      <c r="C63" t="s">
        <v>9</v>
      </c>
      <c r="D63" t="s">
        <v>10</v>
      </c>
      <c r="E63">
        <v>1.5</v>
      </c>
      <c r="F63">
        <v>2.2200000000000002</v>
      </c>
      <c r="G63" s="8">
        <f t="shared" si="0"/>
        <v>40.54054054054054</v>
      </c>
    </row>
    <row r="64" spans="1:7" x14ac:dyDescent="0.25">
      <c r="A64" s="5">
        <v>45809.302083333336</v>
      </c>
      <c r="B64">
        <v>5</v>
      </c>
      <c r="C64" t="s">
        <v>10</v>
      </c>
      <c r="D64" t="s">
        <v>11</v>
      </c>
      <c r="E64">
        <v>1.52</v>
      </c>
      <c r="F64">
        <v>2.5299999999999998</v>
      </c>
      <c r="G64" s="8">
        <f t="shared" si="0"/>
        <v>36.047430830039531</v>
      </c>
    </row>
    <row r="65" spans="1:7" x14ac:dyDescent="0.25">
      <c r="A65" s="5">
        <v>45809.302083333336</v>
      </c>
      <c r="B65">
        <v>6</v>
      </c>
      <c r="C65" t="s">
        <v>11</v>
      </c>
      <c r="D65" t="s">
        <v>12</v>
      </c>
      <c r="E65">
        <v>1.5</v>
      </c>
      <c r="F65">
        <v>2.2200000000000002</v>
      </c>
      <c r="G65" s="8">
        <f t="shared" si="0"/>
        <v>40.54054054054054</v>
      </c>
    </row>
    <row r="66" spans="1:7" x14ac:dyDescent="0.25">
      <c r="A66" s="5">
        <v>45809.302083333336</v>
      </c>
      <c r="B66">
        <v>7</v>
      </c>
      <c r="C66" t="s">
        <v>12</v>
      </c>
      <c r="D66" t="s">
        <v>13</v>
      </c>
      <c r="E66">
        <v>1.54</v>
      </c>
      <c r="F66">
        <v>2.3199999999999998</v>
      </c>
      <c r="G66" s="8">
        <f t="shared" si="0"/>
        <v>39.827586206896555</v>
      </c>
    </row>
    <row r="67" spans="1:7" x14ac:dyDescent="0.25">
      <c r="A67" s="5">
        <v>45809.302083333336</v>
      </c>
      <c r="B67">
        <v>8</v>
      </c>
      <c r="C67" t="s">
        <v>13</v>
      </c>
      <c r="D67" t="s">
        <v>14</v>
      </c>
      <c r="E67">
        <v>1.54</v>
      </c>
      <c r="F67">
        <v>2.52</v>
      </c>
      <c r="G67" s="8">
        <f t="shared" ref="G67:G130" si="1">E67*60/F67</f>
        <v>36.666666666666671</v>
      </c>
    </row>
    <row r="68" spans="1:7" x14ac:dyDescent="0.25">
      <c r="A68" s="5">
        <v>45809.302083333336</v>
      </c>
      <c r="B68">
        <v>9</v>
      </c>
      <c r="C68" t="s">
        <v>14</v>
      </c>
      <c r="D68" t="s">
        <v>15</v>
      </c>
      <c r="E68">
        <v>1.52</v>
      </c>
      <c r="F68">
        <v>2.5</v>
      </c>
      <c r="G68" s="8">
        <f t="shared" si="1"/>
        <v>36.480000000000004</v>
      </c>
    </row>
    <row r="69" spans="1:7" x14ac:dyDescent="0.25">
      <c r="A69" s="5">
        <v>45809.302083333336</v>
      </c>
      <c r="B69">
        <v>10</v>
      </c>
      <c r="C69" t="s">
        <v>15</v>
      </c>
      <c r="D69" t="s">
        <v>16</v>
      </c>
      <c r="E69">
        <v>1.5</v>
      </c>
      <c r="F69">
        <v>2.58</v>
      </c>
      <c r="G69" s="8">
        <f t="shared" si="1"/>
        <v>34.883720930232556</v>
      </c>
    </row>
    <row r="70" spans="1:7" x14ac:dyDescent="0.25">
      <c r="A70" s="5">
        <v>45809.302083333336</v>
      </c>
      <c r="B70">
        <v>11</v>
      </c>
      <c r="C70" t="s">
        <v>16</v>
      </c>
      <c r="D70" t="s">
        <v>17</v>
      </c>
      <c r="E70">
        <v>1.48</v>
      </c>
      <c r="F70">
        <v>1.88</v>
      </c>
      <c r="G70" s="8">
        <f t="shared" si="1"/>
        <v>47.234042553191493</v>
      </c>
    </row>
    <row r="71" spans="1:7" x14ac:dyDescent="0.25">
      <c r="A71" s="5">
        <v>45809.302083333336</v>
      </c>
      <c r="B71">
        <v>12</v>
      </c>
      <c r="C71" t="s">
        <v>17</v>
      </c>
      <c r="D71" t="s">
        <v>18</v>
      </c>
      <c r="E71">
        <v>1.46</v>
      </c>
      <c r="F71">
        <v>2.37</v>
      </c>
      <c r="G71" s="8">
        <f t="shared" si="1"/>
        <v>36.962025316455694</v>
      </c>
    </row>
    <row r="72" spans="1:7" x14ac:dyDescent="0.25">
      <c r="A72" s="5">
        <v>45809.302083333336</v>
      </c>
      <c r="B72">
        <v>13</v>
      </c>
      <c r="C72" t="s">
        <v>18</v>
      </c>
      <c r="D72" t="s">
        <v>19</v>
      </c>
      <c r="E72">
        <v>1.52</v>
      </c>
      <c r="F72">
        <v>2.62</v>
      </c>
      <c r="G72" s="8">
        <f t="shared" si="1"/>
        <v>34.809160305343511</v>
      </c>
    </row>
    <row r="73" spans="1:7" x14ac:dyDescent="0.25">
      <c r="A73" s="5">
        <v>45809.302083333336</v>
      </c>
      <c r="B73">
        <v>14</v>
      </c>
      <c r="C73" t="s">
        <v>19</v>
      </c>
      <c r="D73" t="s">
        <v>20</v>
      </c>
      <c r="E73">
        <v>1.51</v>
      </c>
      <c r="F73">
        <v>2.67</v>
      </c>
      <c r="G73" s="8">
        <f t="shared" si="1"/>
        <v>33.932584269662918</v>
      </c>
    </row>
    <row r="74" spans="1:7" x14ac:dyDescent="0.25">
      <c r="A74" s="5">
        <v>45809.302083333336</v>
      </c>
      <c r="B74">
        <v>15</v>
      </c>
      <c r="C74" t="s">
        <v>20</v>
      </c>
      <c r="D74" t="s">
        <v>21</v>
      </c>
      <c r="E74">
        <v>1.47</v>
      </c>
      <c r="F74">
        <v>1.87</v>
      </c>
      <c r="G74" s="8">
        <f t="shared" si="1"/>
        <v>47.165775401069517</v>
      </c>
    </row>
    <row r="75" spans="1:7" x14ac:dyDescent="0.25">
      <c r="A75" s="5">
        <v>45809.302083333336</v>
      </c>
      <c r="B75">
        <v>16</v>
      </c>
      <c r="C75" t="s">
        <v>21</v>
      </c>
      <c r="D75" t="s">
        <v>22</v>
      </c>
      <c r="E75">
        <v>1.5</v>
      </c>
      <c r="F75">
        <v>1.68</v>
      </c>
      <c r="G75" s="8">
        <f t="shared" si="1"/>
        <v>53.571428571428577</v>
      </c>
    </row>
    <row r="76" spans="1:7" x14ac:dyDescent="0.25">
      <c r="A76" s="5">
        <v>45809.302083333336</v>
      </c>
      <c r="B76">
        <v>17</v>
      </c>
      <c r="C76" t="s">
        <v>22</v>
      </c>
      <c r="D76" t="s">
        <v>23</v>
      </c>
      <c r="E76">
        <v>1.51</v>
      </c>
      <c r="F76">
        <v>2.1</v>
      </c>
      <c r="G76" s="8">
        <f t="shared" si="1"/>
        <v>43.142857142857139</v>
      </c>
    </row>
    <row r="77" spans="1:7" x14ac:dyDescent="0.25">
      <c r="A77" s="5">
        <v>45809.302083333336</v>
      </c>
      <c r="B77">
        <v>18</v>
      </c>
      <c r="C77" t="s">
        <v>23</v>
      </c>
      <c r="D77" t="s">
        <v>24</v>
      </c>
      <c r="E77">
        <v>1.51</v>
      </c>
      <c r="F77">
        <v>2.38</v>
      </c>
      <c r="G77" s="8">
        <f t="shared" si="1"/>
        <v>38.067226890756302</v>
      </c>
    </row>
    <row r="78" spans="1:7" x14ac:dyDescent="0.25">
      <c r="A78" s="5">
        <v>45809.302083333336</v>
      </c>
      <c r="B78">
        <v>19</v>
      </c>
      <c r="C78" t="s">
        <v>25</v>
      </c>
      <c r="D78" t="s">
        <v>26</v>
      </c>
      <c r="E78">
        <v>1.5</v>
      </c>
      <c r="F78">
        <v>2.92</v>
      </c>
      <c r="G78" s="8">
        <f t="shared" si="1"/>
        <v>30.82191780821918</v>
      </c>
    </row>
    <row r="79" spans="1:7" x14ac:dyDescent="0.25">
      <c r="A79" s="5">
        <v>45809.302083333336</v>
      </c>
      <c r="B79">
        <v>20</v>
      </c>
      <c r="C79" t="s">
        <v>26</v>
      </c>
      <c r="D79" t="s">
        <v>27</v>
      </c>
      <c r="E79">
        <v>1.48</v>
      </c>
      <c r="F79">
        <v>2.9</v>
      </c>
      <c r="G79" s="8">
        <f t="shared" si="1"/>
        <v>30.620689655172413</v>
      </c>
    </row>
    <row r="80" spans="1:7" x14ac:dyDescent="0.25">
      <c r="A80" s="5">
        <v>45809.302083333336</v>
      </c>
      <c r="B80">
        <v>21</v>
      </c>
      <c r="C80" t="s">
        <v>27</v>
      </c>
      <c r="D80" t="s">
        <v>28</v>
      </c>
      <c r="E80">
        <v>1.51</v>
      </c>
      <c r="F80">
        <v>2.5299999999999998</v>
      </c>
      <c r="G80" s="8">
        <f t="shared" si="1"/>
        <v>35.810276679841898</v>
      </c>
    </row>
    <row r="81" spans="1:7" x14ac:dyDescent="0.25">
      <c r="A81" s="5">
        <v>45809.302083333336</v>
      </c>
      <c r="B81">
        <v>22</v>
      </c>
      <c r="C81" t="s">
        <v>28</v>
      </c>
      <c r="D81" t="s">
        <v>29</v>
      </c>
      <c r="E81">
        <v>1.57</v>
      </c>
      <c r="F81">
        <v>2.62</v>
      </c>
      <c r="G81" s="8">
        <f t="shared" si="1"/>
        <v>35.954198473282439</v>
      </c>
    </row>
    <row r="82" spans="1:7" x14ac:dyDescent="0.25">
      <c r="A82" s="5">
        <v>45809.302083333336</v>
      </c>
      <c r="B82">
        <v>23</v>
      </c>
      <c r="C82" t="s">
        <v>29</v>
      </c>
      <c r="D82" t="s">
        <v>30</v>
      </c>
      <c r="E82">
        <v>1.43</v>
      </c>
      <c r="F82">
        <v>2.58</v>
      </c>
      <c r="G82" s="8">
        <f t="shared" si="1"/>
        <v>33.255813953488371</v>
      </c>
    </row>
    <row r="83" spans="1:7" x14ac:dyDescent="0.25">
      <c r="A83" s="5">
        <v>45809.302083333336</v>
      </c>
      <c r="B83">
        <v>24</v>
      </c>
      <c r="C83" t="s">
        <v>30</v>
      </c>
      <c r="D83" t="s">
        <v>31</v>
      </c>
      <c r="E83">
        <v>1.52</v>
      </c>
      <c r="F83">
        <v>2.88</v>
      </c>
      <c r="G83" s="8">
        <f t="shared" si="1"/>
        <v>31.666666666666668</v>
      </c>
    </row>
    <row r="84" spans="1:7" x14ac:dyDescent="0.25">
      <c r="A84" s="5">
        <v>45809.302083333336</v>
      </c>
      <c r="B84">
        <v>25</v>
      </c>
      <c r="C84" t="s">
        <v>31</v>
      </c>
      <c r="D84" t="s">
        <v>32</v>
      </c>
      <c r="E84">
        <v>1.52</v>
      </c>
      <c r="F84">
        <v>2.87</v>
      </c>
      <c r="G84" s="8">
        <f t="shared" si="1"/>
        <v>31.777003484320556</v>
      </c>
    </row>
    <row r="85" spans="1:7" x14ac:dyDescent="0.25">
      <c r="A85" s="5">
        <v>45809.302083333336</v>
      </c>
      <c r="B85">
        <v>26</v>
      </c>
      <c r="C85" t="s">
        <v>32</v>
      </c>
      <c r="D85" t="s">
        <v>33</v>
      </c>
      <c r="E85">
        <v>1.49</v>
      </c>
      <c r="F85">
        <v>2.85</v>
      </c>
      <c r="G85" s="8">
        <f t="shared" si="1"/>
        <v>31.368421052631579</v>
      </c>
    </row>
    <row r="86" spans="1:7" x14ac:dyDescent="0.25">
      <c r="A86" s="5">
        <v>45809.302083333336</v>
      </c>
      <c r="B86">
        <v>27</v>
      </c>
      <c r="C86" t="s">
        <v>33</v>
      </c>
      <c r="D86" t="s">
        <v>34</v>
      </c>
      <c r="E86">
        <v>1.53</v>
      </c>
      <c r="F86">
        <v>2.65</v>
      </c>
      <c r="G86" s="8">
        <f t="shared" si="1"/>
        <v>34.641509433962263</v>
      </c>
    </row>
    <row r="87" spans="1:7" x14ac:dyDescent="0.25">
      <c r="A87" s="5">
        <v>45809.302083333336</v>
      </c>
      <c r="B87">
        <v>28</v>
      </c>
      <c r="C87" t="s">
        <v>34</v>
      </c>
      <c r="D87" t="s">
        <v>35</v>
      </c>
      <c r="E87">
        <v>1.51</v>
      </c>
      <c r="F87">
        <v>3.13</v>
      </c>
      <c r="G87" s="8">
        <f t="shared" si="1"/>
        <v>28.945686900958467</v>
      </c>
    </row>
    <row r="88" spans="1:7" x14ac:dyDescent="0.25">
      <c r="A88" s="5">
        <v>45809.302083333336</v>
      </c>
      <c r="B88">
        <v>29</v>
      </c>
      <c r="C88" t="s">
        <v>36</v>
      </c>
      <c r="D88" t="s">
        <v>37</v>
      </c>
      <c r="E88">
        <v>1.57</v>
      </c>
      <c r="F88">
        <v>2.5299999999999998</v>
      </c>
      <c r="G88" s="8">
        <f t="shared" si="1"/>
        <v>37.233201581027672</v>
      </c>
    </row>
    <row r="89" spans="1:7" x14ac:dyDescent="0.25">
      <c r="A89" s="5">
        <v>45809.302083333336</v>
      </c>
      <c r="B89">
        <v>30</v>
      </c>
      <c r="C89" t="s">
        <v>37</v>
      </c>
      <c r="D89" t="s">
        <v>38</v>
      </c>
      <c r="E89">
        <v>1.57</v>
      </c>
      <c r="F89">
        <v>2.9</v>
      </c>
      <c r="G89" s="8">
        <f t="shared" si="1"/>
        <v>32.482758620689658</v>
      </c>
    </row>
    <row r="90" spans="1:7" x14ac:dyDescent="0.25">
      <c r="A90" s="5">
        <v>45809.302083333336</v>
      </c>
      <c r="B90">
        <v>31</v>
      </c>
      <c r="C90" t="s">
        <v>38</v>
      </c>
      <c r="D90" t="s">
        <v>39</v>
      </c>
      <c r="E90">
        <v>1.52</v>
      </c>
      <c r="F90">
        <v>2.4</v>
      </c>
      <c r="G90" s="8">
        <f t="shared" si="1"/>
        <v>38</v>
      </c>
    </row>
    <row r="91" spans="1:7" x14ac:dyDescent="0.25">
      <c r="A91" s="5">
        <v>45809.302083333336</v>
      </c>
      <c r="B91">
        <v>32</v>
      </c>
      <c r="C91" t="s">
        <v>39</v>
      </c>
      <c r="D91" t="s">
        <v>40</v>
      </c>
      <c r="E91">
        <v>1.5</v>
      </c>
      <c r="F91">
        <v>1.62</v>
      </c>
      <c r="G91" s="8">
        <f t="shared" si="1"/>
        <v>55.55555555555555</v>
      </c>
    </row>
    <row r="92" spans="1:7" x14ac:dyDescent="0.25">
      <c r="A92" s="5">
        <v>45809.302083333336</v>
      </c>
      <c r="B92">
        <v>33</v>
      </c>
      <c r="C92" t="s">
        <v>40</v>
      </c>
      <c r="D92" t="s">
        <v>41</v>
      </c>
      <c r="E92">
        <v>1.51</v>
      </c>
      <c r="F92">
        <v>1.6</v>
      </c>
      <c r="G92" s="8">
        <f t="shared" si="1"/>
        <v>56.624999999999993</v>
      </c>
    </row>
    <row r="93" spans="1:7" x14ac:dyDescent="0.25">
      <c r="A93" s="5">
        <v>45809.302083333336</v>
      </c>
      <c r="B93">
        <v>34</v>
      </c>
      <c r="C93" t="s">
        <v>41</v>
      </c>
      <c r="D93" t="s">
        <v>42</v>
      </c>
      <c r="E93">
        <v>1.5</v>
      </c>
      <c r="F93">
        <v>1.57</v>
      </c>
      <c r="G93" s="8">
        <f t="shared" si="1"/>
        <v>57.324840764331206</v>
      </c>
    </row>
    <row r="94" spans="1:7" x14ac:dyDescent="0.25">
      <c r="A94" s="5">
        <v>45809.302083333336</v>
      </c>
      <c r="B94">
        <v>35</v>
      </c>
      <c r="C94" t="s">
        <v>43</v>
      </c>
      <c r="D94" t="s">
        <v>44</v>
      </c>
      <c r="E94">
        <v>1.55</v>
      </c>
      <c r="F94">
        <v>3.02</v>
      </c>
      <c r="G94" s="8">
        <f t="shared" si="1"/>
        <v>30.794701986754966</v>
      </c>
    </row>
    <row r="95" spans="1:7" x14ac:dyDescent="0.25">
      <c r="A95" s="5">
        <v>45809.302083333336</v>
      </c>
      <c r="B95">
        <v>36</v>
      </c>
      <c r="C95" t="s">
        <v>44</v>
      </c>
      <c r="D95" t="s">
        <v>45</v>
      </c>
      <c r="E95">
        <v>1.5</v>
      </c>
      <c r="F95">
        <v>2.2799999999999998</v>
      </c>
      <c r="G95" s="8">
        <f t="shared" si="1"/>
        <v>39.473684210526322</v>
      </c>
    </row>
    <row r="96" spans="1:7" x14ac:dyDescent="0.25">
      <c r="A96" s="5">
        <v>45809.302083333336</v>
      </c>
      <c r="B96">
        <v>37</v>
      </c>
      <c r="C96" t="s">
        <v>45</v>
      </c>
      <c r="D96" t="s">
        <v>46</v>
      </c>
      <c r="E96">
        <v>1.38</v>
      </c>
      <c r="F96">
        <v>2.95</v>
      </c>
      <c r="G96" s="8">
        <f t="shared" si="1"/>
        <v>28.067796610169488</v>
      </c>
    </row>
    <row r="97" spans="1:7" x14ac:dyDescent="0.25">
      <c r="A97" s="5">
        <v>45809.302083333336</v>
      </c>
      <c r="B97">
        <v>38</v>
      </c>
      <c r="C97" t="s">
        <v>46</v>
      </c>
      <c r="D97" t="s">
        <v>47</v>
      </c>
      <c r="E97">
        <v>1.61</v>
      </c>
      <c r="F97">
        <v>3.22</v>
      </c>
      <c r="G97" s="8">
        <f t="shared" si="1"/>
        <v>30</v>
      </c>
    </row>
    <row r="98" spans="1:7" x14ac:dyDescent="0.25">
      <c r="A98" s="5">
        <v>45809.302083333336</v>
      </c>
      <c r="B98">
        <v>39</v>
      </c>
      <c r="C98" t="s">
        <v>47</v>
      </c>
      <c r="D98" t="s">
        <v>48</v>
      </c>
      <c r="E98">
        <v>1.55</v>
      </c>
      <c r="F98">
        <v>2.87</v>
      </c>
      <c r="G98" s="8">
        <f t="shared" si="1"/>
        <v>32.404181184668985</v>
      </c>
    </row>
    <row r="99" spans="1:7" x14ac:dyDescent="0.25">
      <c r="A99" s="5">
        <v>45809.302083333336</v>
      </c>
      <c r="B99">
        <v>40</v>
      </c>
      <c r="C99" t="s">
        <v>48</v>
      </c>
      <c r="D99" t="s">
        <v>49</v>
      </c>
      <c r="E99">
        <v>1.39</v>
      </c>
      <c r="F99">
        <v>2.5499999999999998</v>
      </c>
      <c r="G99" s="8">
        <f t="shared" si="1"/>
        <v>32.705882352941174</v>
      </c>
    </row>
    <row r="100" spans="1:7" x14ac:dyDescent="0.25">
      <c r="A100" s="5">
        <v>45809.302083333336</v>
      </c>
      <c r="B100">
        <v>41</v>
      </c>
      <c r="C100" t="s">
        <v>50</v>
      </c>
      <c r="D100" t="s">
        <v>51</v>
      </c>
      <c r="E100">
        <v>1.56</v>
      </c>
      <c r="F100">
        <v>2.75</v>
      </c>
      <c r="G100" s="8">
        <f t="shared" si="1"/>
        <v>34.036363636363639</v>
      </c>
    </row>
    <row r="101" spans="1:7" x14ac:dyDescent="0.25">
      <c r="A101" s="5">
        <v>45809.302083333336</v>
      </c>
      <c r="B101">
        <v>42</v>
      </c>
      <c r="C101" t="s">
        <v>51</v>
      </c>
      <c r="D101" t="s">
        <v>52</v>
      </c>
      <c r="E101">
        <v>1.56</v>
      </c>
      <c r="F101">
        <v>3.03</v>
      </c>
      <c r="G101" s="8">
        <f t="shared" si="1"/>
        <v>30.891089108910897</v>
      </c>
    </row>
    <row r="102" spans="1:7" x14ac:dyDescent="0.25">
      <c r="A102" s="5">
        <v>45809.302083333336</v>
      </c>
      <c r="B102">
        <v>43</v>
      </c>
      <c r="C102" t="s">
        <v>52</v>
      </c>
      <c r="D102" t="s">
        <v>53</v>
      </c>
      <c r="E102">
        <v>1.51</v>
      </c>
      <c r="F102">
        <v>2.83</v>
      </c>
      <c r="G102" s="8">
        <f t="shared" si="1"/>
        <v>32.014134275618375</v>
      </c>
    </row>
    <row r="103" spans="1:7" x14ac:dyDescent="0.25">
      <c r="A103" s="5">
        <v>45809.302083333336</v>
      </c>
      <c r="B103">
        <v>44</v>
      </c>
      <c r="C103" t="s">
        <v>54</v>
      </c>
      <c r="D103" t="s">
        <v>55</v>
      </c>
      <c r="E103">
        <v>1.51</v>
      </c>
      <c r="F103">
        <v>3.5</v>
      </c>
      <c r="G103" s="8">
        <f t="shared" si="1"/>
        <v>25.885714285714283</v>
      </c>
    </row>
    <row r="104" spans="1:7" x14ac:dyDescent="0.25">
      <c r="A104" s="5">
        <v>45809.302083333336</v>
      </c>
      <c r="B104">
        <v>45</v>
      </c>
      <c r="C104" t="s">
        <v>55</v>
      </c>
      <c r="D104" t="s">
        <v>56</v>
      </c>
      <c r="E104">
        <v>1.49</v>
      </c>
      <c r="F104">
        <v>2.88</v>
      </c>
      <c r="G104" s="8">
        <f t="shared" si="1"/>
        <v>31.041666666666671</v>
      </c>
    </row>
    <row r="105" spans="1:7" x14ac:dyDescent="0.25">
      <c r="A105" s="5">
        <v>45809.302083333336</v>
      </c>
      <c r="B105">
        <v>46</v>
      </c>
      <c r="C105" t="s">
        <v>56</v>
      </c>
      <c r="D105" t="s">
        <v>57</v>
      </c>
      <c r="E105">
        <v>1.52</v>
      </c>
      <c r="F105">
        <v>3.13</v>
      </c>
      <c r="G105" s="8">
        <f t="shared" si="1"/>
        <v>29.137380191693293</v>
      </c>
    </row>
    <row r="106" spans="1:7" x14ac:dyDescent="0.25">
      <c r="A106" s="5">
        <v>45809.302083333336</v>
      </c>
      <c r="B106">
        <v>47</v>
      </c>
      <c r="C106" t="s">
        <v>58</v>
      </c>
      <c r="D106" t="s">
        <v>59</v>
      </c>
      <c r="E106">
        <v>1.52</v>
      </c>
      <c r="F106">
        <v>2.92</v>
      </c>
      <c r="G106" s="8">
        <f t="shared" si="1"/>
        <v>31.232876712328768</v>
      </c>
    </row>
    <row r="107" spans="1:7" x14ac:dyDescent="0.25">
      <c r="A107" s="5">
        <v>45809.302083333336</v>
      </c>
      <c r="B107">
        <v>48</v>
      </c>
      <c r="C107" t="s">
        <v>59</v>
      </c>
      <c r="D107" t="s">
        <v>60</v>
      </c>
      <c r="E107">
        <v>1.5</v>
      </c>
      <c r="F107">
        <v>2.87</v>
      </c>
      <c r="G107" s="8">
        <f t="shared" si="1"/>
        <v>31.358885017421603</v>
      </c>
    </row>
    <row r="108" spans="1:7" x14ac:dyDescent="0.25">
      <c r="A108" s="5">
        <v>45809.302083333336</v>
      </c>
      <c r="B108">
        <v>49</v>
      </c>
      <c r="C108" t="s">
        <v>60</v>
      </c>
      <c r="D108" t="s">
        <v>61</v>
      </c>
      <c r="E108">
        <v>1.54</v>
      </c>
      <c r="F108">
        <v>3.08</v>
      </c>
      <c r="G108" s="8">
        <f t="shared" si="1"/>
        <v>30</v>
      </c>
    </row>
    <row r="109" spans="1:7" x14ac:dyDescent="0.25">
      <c r="A109" s="5">
        <v>45809.302083333336</v>
      </c>
      <c r="B109">
        <v>50</v>
      </c>
      <c r="C109" t="s">
        <v>62</v>
      </c>
      <c r="D109" t="s">
        <v>63</v>
      </c>
      <c r="E109">
        <v>1.38</v>
      </c>
      <c r="F109">
        <v>2.65</v>
      </c>
      <c r="G109" s="8">
        <f t="shared" si="1"/>
        <v>31.245283018867923</v>
      </c>
    </row>
    <row r="110" spans="1:7" x14ac:dyDescent="0.25">
      <c r="A110" s="5">
        <v>45809.302083333336</v>
      </c>
      <c r="B110">
        <v>51</v>
      </c>
      <c r="C110" t="s">
        <v>63</v>
      </c>
      <c r="D110" t="s">
        <v>64</v>
      </c>
      <c r="E110">
        <v>2.79</v>
      </c>
      <c r="F110">
        <v>4.62</v>
      </c>
      <c r="G110" s="8">
        <f t="shared" si="1"/>
        <v>36.233766233766232</v>
      </c>
    </row>
    <row r="111" spans="1:7" x14ac:dyDescent="0.25">
      <c r="A111" s="5">
        <v>45809.302083333336</v>
      </c>
      <c r="B111">
        <v>52</v>
      </c>
      <c r="C111" t="s">
        <v>64</v>
      </c>
      <c r="D111" t="s">
        <v>65</v>
      </c>
      <c r="E111">
        <v>1.5</v>
      </c>
      <c r="F111">
        <v>2.4300000000000002</v>
      </c>
      <c r="G111" s="8">
        <f t="shared" si="1"/>
        <v>37.037037037037038</v>
      </c>
    </row>
    <row r="112" spans="1:7" x14ac:dyDescent="0.25">
      <c r="A112" s="5">
        <v>45809.302083333336</v>
      </c>
      <c r="B112">
        <v>53</v>
      </c>
      <c r="C112" t="s">
        <v>65</v>
      </c>
      <c r="D112" t="s">
        <v>66</v>
      </c>
      <c r="E112">
        <v>1.46</v>
      </c>
      <c r="F112">
        <v>3.1</v>
      </c>
      <c r="G112" s="8">
        <f t="shared" si="1"/>
        <v>28.258064516129028</v>
      </c>
    </row>
    <row r="113" spans="1:7" x14ac:dyDescent="0.25">
      <c r="A113" s="5">
        <v>45809.302083333336</v>
      </c>
      <c r="B113">
        <v>54</v>
      </c>
      <c r="C113" t="s">
        <v>67</v>
      </c>
      <c r="D113" t="s">
        <v>68</v>
      </c>
      <c r="E113">
        <v>1.46</v>
      </c>
      <c r="F113">
        <v>1.97</v>
      </c>
      <c r="G113" s="8">
        <f t="shared" si="1"/>
        <v>44.467005076142129</v>
      </c>
    </row>
    <row r="114" spans="1:7" x14ac:dyDescent="0.25">
      <c r="A114" s="5">
        <v>45809.302083333336</v>
      </c>
      <c r="B114">
        <v>55</v>
      </c>
      <c r="C114" t="s">
        <v>68</v>
      </c>
      <c r="D114" t="s">
        <v>69</v>
      </c>
      <c r="E114">
        <v>1.5</v>
      </c>
      <c r="F114">
        <v>1.68</v>
      </c>
      <c r="G114" s="8">
        <f t="shared" si="1"/>
        <v>53.571428571428577</v>
      </c>
    </row>
    <row r="115" spans="1:7" x14ac:dyDescent="0.25">
      <c r="A115" s="5">
        <v>45809.302083333336</v>
      </c>
      <c r="B115">
        <v>56</v>
      </c>
      <c r="C115" t="s">
        <v>70</v>
      </c>
      <c r="D115" t="s">
        <v>71</v>
      </c>
      <c r="E115">
        <v>1.51</v>
      </c>
      <c r="F115">
        <v>2.87</v>
      </c>
      <c r="G115" s="8">
        <f t="shared" si="1"/>
        <v>31.567944250871076</v>
      </c>
    </row>
    <row r="116" spans="1:7" x14ac:dyDescent="0.25">
      <c r="A116" s="5">
        <v>45809.302083333336</v>
      </c>
      <c r="B116">
        <v>57</v>
      </c>
      <c r="C116" t="s">
        <v>71</v>
      </c>
      <c r="D116" t="s">
        <v>72</v>
      </c>
      <c r="E116">
        <v>1.52</v>
      </c>
      <c r="F116">
        <v>3.05</v>
      </c>
      <c r="G116" s="8">
        <f t="shared" si="1"/>
        <v>29.901639344262296</v>
      </c>
    </row>
    <row r="117" spans="1:7" x14ac:dyDescent="0.25">
      <c r="A117" s="5">
        <v>45809.302083333336</v>
      </c>
      <c r="B117">
        <v>58</v>
      </c>
      <c r="C117" t="s">
        <v>72</v>
      </c>
      <c r="D117" t="s">
        <v>73</v>
      </c>
      <c r="E117">
        <v>1.5</v>
      </c>
      <c r="F117">
        <v>2.95</v>
      </c>
      <c r="G117" s="8">
        <f t="shared" si="1"/>
        <v>30.508474576271183</v>
      </c>
    </row>
    <row r="118" spans="1:7" x14ac:dyDescent="0.25">
      <c r="A118" s="5">
        <v>45809.3125</v>
      </c>
      <c r="B118">
        <v>1</v>
      </c>
      <c r="C118" t="s">
        <v>6</v>
      </c>
      <c r="D118" t="s">
        <v>7</v>
      </c>
      <c r="E118">
        <v>1.53</v>
      </c>
      <c r="F118">
        <v>2.7</v>
      </c>
      <c r="G118" s="8">
        <f t="shared" si="1"/>
        <v>34</v>
      </c>
    </row>
    <row r="119" spans="1:7" x14ac:dyDescent="0.25">
      <c r="A119" s="5">
        <v>45809.3125</v>
      </c>
      <c r="B119">
        <v>2</v>
      </c>
      <c r="C119" t="s">
        <v>7</v>
      </c>
      <c r="D119" t="s">
        <v>8</v>
      </c>
      <c r="E119">
        <v>1.57</v>
      </c>
      <c r="F119">
        <v>3.57</v>
      </c>
      <c r="G119" s="8">
        <f t="shared" si="1"/>
        <v>26.386554621848742</v>
      </c>
    </row>
    <row r="120" spans="1:7" x14ac:dyDescent="0.25">
      <c r="A120" s="5">
        <v>45809.3125</v>
      </c>
      <c r="B120">
        <v>3</v>
      </c>
      <c r="C120" t="s">
        <v>8</v>
      </c>
      <c r="D120" t="s">
        <v>9</v>
      </c>
      <c r="E120">
        <v>1.5</v>
      </c>
      <c r="F120">
        <v>2.65</v>
      </c>
      <c r="G120" s="8">
        <f t="shared" si="1"/>
        <v>33.962264150943398</v>
      </c>
    </row>
    <row r="121" spans="1:7" x14ac:dyDescent="0.25">
      <c r="A121" s="5">
        <v>45809.3125</v>
      </c>
      <c r="B121">
        <v>4</v>
      </c>
      <c r="C121" t="s">
        <v>9</v>
      </c>
      <c r="D121" t="s">
        <v>10</v>
      </c>
      <c r="E121">
        <v>1.5</v>
      </c>
      <c r="F121">
        <v>2.2999999999999998</v>
      </c>
      <c r="G121" s="8">
        <f t="shared" si="1"/>
        <v>39.130434782608695</v>
      </c>
    </row>
    <row r="122" spans="1:7" x14ac:dyDescent="0.25">
      <c r="A122" s="5">
        <v>45809.3125</v>
      </c>
      <c r="B122">
        <v>5</v>
      </c>
      <c r="C122" t="s">
        <v>10</v>
      </c>
      <c r="D122" t="s">
        <v>11</v>
      </c>
      <c r="E122">
        <v>1.52</v>
      </c>
      <c r="F122">
        <v>2.5299999999999998</v>
      </c>
      <c r="G122" s="8">
        <f t="shared" si="1"/>
        <v>36.047430830039531</v>
      </c>
    </row>
    <row r="123" spans="1:7" x14ac:dyDescent="0.25">
      <c r="A123" s="5">
        <v>45809.3125</v>
      </c>
      <c r="B123">
        <v>6</v>
      </c>
      <c r="C123" t="s">
        <v>11</v>
      </c>
      <c r="D123" t="s">
        <v>12</v>
      </c>
      <c r="E123">
        <v>1.5</v>
      </c>
      <c r="F123">
        <v>2.2200000000000002</v>
      </c>
      <c r="G123" s="8">
        <f t="shared" si="1"/>
        <v>40.54054054054054</v>
      </c>
    </row>
    <row r="124" spans="1:7" x14ac:dyDescent="0.25">
      <c r="A124" s="5">
        <v>45809.3125</v>
      </c>
      <c r="B124">
        <v>7</v>
      </c>
      <c r="C124" t="s">
        <v>12</v>
      </c>
      <c r="D124" t="s">
        <v>13</v>
      </c>
      <c r="E124">
        <v>1.54</v>
      </c>
      <c r="F124">
        <v>2.37</v>
      </c>
      <c r="G124" s="8">
        <f t="shared" si="1"/>
        <v>38.9873417721519</v>
      </c>
    </row>
    <row r="125" spans="1:7" x14ac:dyDescent="0.25">
      <c r="A125" s="5">
        <v>45809.3125</v>
      </c>
      <c r="B125">
        <v>8</v>
      </c>
      <c r="C125" t="s">
        <v>13</v>
      </c>
      <c r="D125" t="s">
        <v>14</v>
      </c>
      <c r="E125">
        <v>1.54</v>
      </c>
      <c r="F125">
        <v>2.72</v>
      </c>
      <c r="G125" s="8">
        <f t="shared" si="1"/>
        <v>33.970588235294116</v>
      </c>
    </row>
    <row r="126" spans="1:7" x14ac:dyDescent="0.25">
      <c r="A126" s="5">
        <v>45809.3125</v>
      </c>
      <c r="B126">
        <v>9</v>
      </c>
      <c r="C126" t="s">
        <v>14</v>
      </c>
      <c r="D126" t="s">
        <v>15</v>
      </c>
      <c r="E126">
        <v>1.52</v>
      </c>
      <c r="F126">
        <v>2.63</v>
      </c>
      <c r="G126" s="8">
        <f t="shared" si="1"/>
        <v>34.676806083650192</v>
      </c>
    </row>
    <row r="127" spans="1:7" x14ac:dyDescent="0.25">
      <c r="A127" s="5">
        <v>45809.3125</v>
      </c>
      <c r="B127">
        <v>10</v>
      </c>
      <c r="C127" t="s">
        <v>15</v>
      </c>
      <c r="D127" t="s">
        <v>16</v>
      </c>
      <c r="E127">
        <v>1.5</v>
      </c>
      <c r="F127">
        <v>2.68</v>
      </c>
      <c r="G127" s="8">
        <f t="shared" si="1"/>
        <v>33.582089552238806</v>
      </c>
    </row>
    <row r="128" spans="1:7" x14ac:dyDescent="0.25">
      <c r="A128" s="5">
        <v>45809.3125</v>
      </c>
      <c r="B128">
        <v>11</v>
      </c>
      <c r="C128" t="s">
        <v>16</v>
      </c>
      <c r="D128" t="s">
        <v>17</v>
      </c>
      <c r="E128">
        <v>1.48</v>
      </c>
      <c r="F128">
        <v>1.92</v>
      </c>
      <c r="G128" s="8">
        <f t="shared" si="1"/>
        <v>46.25</v>
      </c>
    </row>
    <row r="129" spans="1:7" x14ac:dyDescent="0.25">
      <c r="A129" s="5">
        <v>45809.3125</v>
      </c>
      <c r="B129">
        <v>12</v>
      </c>
      <c r="C129" t="s">
        <v>17</v>
      </c>
      <c r="D129" t="s">
        <v>18</v>
      </c>
      <c r="E129">
        <v>1.46</v>
      </c>
      <c r="F129">
        <v>2.5299999999999998</v>
      </c>
      <c r="G129" s="8">
        <f t="shared" si="1"/>
        <v>34.624505928853758</v>
      </c>
    </row>
    <row r="130" spans="1:7" x14ac:dyDescent="0.25">
      <c r="A130" s="5">
        <v>45809.3125</v>
      </c>
      <c r="B130">
        <v>13</v>
      </c>
      <c r="C130" t="s">
        <v>18</v>
      </c>
      <c r="D130" t="s">
        <v>19</v>
      </c>
      <c r="E130">
        <v>1.52</v>
      </c>
      <c r="F130">
        <v>2.63</v>
      </c>
      <c r="G130" s="8">
        <f t="shared" si="1"/>
        <v>34.676806083650192</v>
      </c>
    </row>
    <row r="131" spans="1:7" x14ac:dyDescent="0.25">
      <c r="A131" s="5">
        <v>45809.3125</v>
      </c>
      <c r="B131">
        <v>14</v>
      </c>
      <c r="C131" t="s">
        <v>19</v>
      </c>
      <c r="D131" t="s">
        <v>20</v>
      </c>
      <c r="E131">
        <v>1.51</v>
      </c>
      <c r="F131">
        <v>2.62</v>
      </c>
      <c r="G131" s="8">
        <f t="shared" ref="G131:G194" si="2">E131*60/F131</f>
        <v>34.580152671755719</v>
      </c>
    </row>
    <row r="132" spans="1:7" x14ac:dyDescent="0.25">
      <c r="A132" s="5">
        <v>45809.3125</v>
      </c>
      <c r="B132">
        <v>15</v>
      </c>
      <c r="C132" t="s">
        <v>20</v>
      </c>
      <c r="D132" t="s">
        <v>21</v>
      </c>
      <c r="E132">
        <v>1.47</v>
      </c>
      <c r="F132">
        <v>1.85</v>
      </c>
      <c r="G132" s="8">
        <f t="shared" si="2"/>
        <v>47.675675675675677</v>
      </c>
    </row>
    <row r="133" spans="1:7" x14ac:dyDescent="0.25">
      <c r="A133" s="5">
        <v>45809.3125</v>
      </c>
      <c r="B133">
        <v>16</v>
      </c>
      <c r="C133" t="s">
        <v>21</v>
      </c>
      <c r="D133" t="s">
        <v>22</v>
      </c>
      <c r="E133">
        <v>1.5</v>
      </c>
      <c r="F133">
        <v>1.63</v>
      </c>
      <c r="G133" s="8">
        <f t="shared" si="2"/>
        <v>55.214723926380373</v>
      </c>
    </row>
    <row r="134" spans="1:7" x14ac:dyDescent="0.25">
      <c r="A134" s="5">
        <v>45809.3125</v>
      </c>
      <c r="B134">
        <v>17</v>
      </c>
      <c r="C134" t="s">
        <v>22</v>
      </c>
      <c r="D134" t="s">
        <v>23</v>
      </c>
      <c r="E134">
        <v>1.51</v>
      </c>
      <c r="F134">
        <v>2.25</v>
      </c>
      <c r="G134" s="8">
        <f t="shared" si="2"/>
        <v>40.266666666666666</v>
      </c>
    </row>
    <row r="135" spans="1:7" x14ac:dyDescent="0.25">
      <c r="A135" s="5">
        <v>45809.3125</v>
      </c>
      <c r="B135">
        <v>18</v>
      </c>
      <c r="C135" t="s">
        <v>23</v>
      </c>
      <c r="D135" t="s">
        <v>24</v>
      </c>
      <c r="E135">
        <v>1.51</v>
      </c>
      <c r="F135">
        <v>2.4300000000000002</v>
      </c>
      <c r="G135" s="8">
        <f t="shared" si="2"/>
        <v>37.283950617283949</v>
      </c>
    </row>
    <row r="136" spans="1:7" x14ac:dyDescent="0.25">
      <c r="A136" s="5">
        <v>45809.3125</v>
      </c>
      <c r="B136">
        <v>19</v>
      </c>
      <c r="C136" t="s">
        <v>25</v>
      </c>
      <c r="D136" t="s">
        <v>26</v>
      </c>
      <c r="E136">
        <v>1.5</v>
      </c>
      <c r="F136">
        <v>2.73</v>
      </c>
      <c r="G136" s="8">
        <f t="shared" si="2"/>
        <v>32.967032967032971</v>
      </c>
    </row>
    <row r="137" spans="1:7" x14ac:dyDescent="0.25">
      <c r="A137" s="5">
        <v>45809.3125</v>
      </c>
      <c r="B137">
        <v>20</v>
      </c>
      <c r="C137" t="s">
        <v>26</v>
      </c>
      <c r="D137" t="s">
        <v>27</v>
      </c>
      <c r="E137">
        <v>1.48</v>
      </c>
      <c r="F137">
        <v>2.77</v>
      </c>
      <c r="G137" s="8">
        <f t="shared" si="2"/>
        <v>32.057761732851986</v>
      </c>
    </row>
    <row r="138" spans="1:7" x14ac:dyDescent="0.25">
      <c r="A138" s="5">
        <v>45809.3125</v>
      </c>
      <c r="B138">
        <v>21</v>
      </c>
      <c r="C138" t="s">
        <v>27</v>
      </c>
      <c r="D138" t="s">
        <v>28</v>
      </c>
      <c r="E138">
        <v>1.51</v>
      </c>
      <c r="F138">
        <v>2.4700000000000002</v>
      </c>
      <c r="G138" s="8">
        <f t="shared" si="2"/>
        <v>36.680161943319831</v>
      </c>
    </row>
    <row r="139" spans="1:7" x14ac:dyDescent="0.25">
      <c r="A139" s="5">
        <v>45809.3125</v>
      </c>
      <c r="B139">
        <v>22</v>
      </c>
      <c r="C139" t="s">
        <v>28</v>
      </c>
      <c r="D139" t="s">
        <v>29</v>
      </c>
      <c r="E139">
        <v>1.57</v>
      </c>
      <c r="F139">
        <v>2.63</v>
      </c>
      <c r="G139" s="8">
        <f t="shared" si="2"/>
        <v>35.817490494296578</v>
      </c>
    </row>
    <row r="140" spans="1:7" x14ac:dyDescent="0.25">
      <c r="A140" s="5">
        <v>45809.3125</v>
      </c>
      <c r="B140">
        <v>23</v>
      </c>
      <c r="C140" t="s">
        <v>29</v>
      </c>
      <c r="D140" t="s">
        <v>30</v>
      </c>
      <c r="E140">
        <v>1.43</v>
      </c>
      <c r="F140">
        <v>2.72</v>
      </c>
      <c r="G140" s="8">
        <f t="shared" si="2"/>
        <v>31.544117647058819</v>
      </c>
    </row>
    <row r="141" spans="1:7" x14ac:dyDescent="0.25">
      <c r="A141" s="5">
        <v>45809.3125</v>
      </c>
      <c r="B141">
        <v>24</v>
      </c>
      <c r="C141" t="s">
        <v>30</v>
      </c>
      <c r="D141" t="s">
        <v>31</v>
      </c>
      <c r="E141">
        <v>1.52</v>
      </c>
      <c r="F141">
        <v>2.82</v>
      </c>
      <c r="G141" s="8">
        <f t="shared" si="2"/>
        <v>32.340425531914896</v>
      </c>
    </row>
    <row r="142" spans="1:7" x14ac:dyDescent="0.25">
      <c r="A142" s="5">
        <v>45809.3125</v>
      </c>
      <c r="B142">
        <v>25</v>
      </c>
      <c r="C142" t="s">
        <v>31</v>
      </c>
      <c r="D142" t="s">
        <v>32</v>
      </c>
      <c r="E142">
        <v>1.52</v>
      </c>
      <c r="F142">
        <v>2.93</v>
      </c>
      <c r="G142" s="8">
        <f t="shared" si="2"/>
        <v>31.126279863481226</v>
      </c>
    </row>
    <row r="143" spans="1:7" x14ac:dyDescent="0.25">
      <c r="A143" s="5">
        <v>45809.3125</v>
      </c>
      <c r="B143">
        <v>26</v>
      </c>
      <c r="C143" t="s">
        <v>32</v>
      </c>
      <c r="D143" t="s">
        <v>33</v>
      </c>
      <c r="E143">
        <v>1.49</v>
      </c>
      <c r="F143">
        <v>2.88</v>
      </c>
      <c r="G143" s="8">
        <f t="shared" si="2"/>
        <v>31.041666666666671</v>
      </c>
    </row>
    <row r="144" spans="1:7" x14ac:dyDescent="0.25">
      <c r="A144" s="5">
        <v>45809.3125</v>
      </c>
      <c r="B144">
        <v>27</v>
      </c>
      <c r="C144" t="s">
        <v>33</v>
      </c>
      <c r="D144" t="s">
        <v>34</v>
      </c>
      <c r="E144">
        <v>1.53</v>
      </c>
      <c r="F144">
        <v>2.75</v>
      </c>
      <c r="G144" s="8">
        <f t="shared" si="2"/>
        <v>33.381818181818183</v>
      </c>
    </row>
    <row r="145" spans="1:7" x14ac:dyDescent="0.25">
      <c r="A145" s="5">
        <v>45809.3125</v>
      </c>
      <c r="B145">
        <v>28</v>
      </c>
      <c r="C145" t="s">
        <v>34</v>
      </c>
      <c r="D145" t="s">
        <v>35</v>
      </c>
      <c r="E145">
        <v>1.51</v>
      </c>
      <c r="F145">
        <v>3.05</v>
      </c>
      <c r="G145" s="8">
        <f t="shared" si="2"/>
        <v>29.704918032786885</v>
      </c>
    </row>
    <row r="146" spans="1:7" x14ac:dyDescent="0.25">
      <c r="A146" s="5">
        <v>45809.3125</v>
      </c>
      <c r="B146">
        <v>29</v>
      </c>
      <c r="C146" t="s">
        <v>36</v>
      </c>
      <c r="D146" t="s">
        <v>37</v>
      </c>
      <c r="E146">
        <v>1.57</v>
      </c>
      <c r="F146">
        <v>2.75</v>
      </c>
      <c r="G146" s="8">
        <f t="shared" si="2"/>
        <v>34.254545454545458</v>
      </c>
    </row>
    <row r="147" spans="1:7" x14ac:dyDescent="0.25">
      <c r="A147" s="5">
        <v>45809.3125</v>
      </c>
      <c r="B147">
        <v>30</v>
      </c>
      <c r="C147" t="s">
        <v>37</v>
      </c>
      <c r="D147" t="s">
        <v>38</v>
      </c>
      <c r="E147">
        <v>1.57</v>
      </c>
      <c r="F147">
        <v>2.9</v>
      </c>
      <c r="G147" s="8">
        <f t="shared" si="2"/>
        <v>32.482758620689658</v>
      </c>
    </row>
    <row r="148" spans="1:7" x14ac:dyDescent="0.25">
      <c r="A148" s="5">
        <v>45809.3125</v>
      </c>
      <c r="B148">
        <v>31</v>
      </c>
      <c r="C148" t="s">
        <v>38</v>
      </c>
      <c r="D148" t="s">
        <v>39</v>
      </c>
      <c r="E148">
        <v>1.52</v>
      </c>
      <c r="F148">
        <v>2.2999999999999998</v>
      </c>
      <c r="G148" s="8">
        <f t="shared" si="2"/>
        <v>39.652173913043484</v>
      </c>
    </row>
    <row r="149" spans="1:7" x14ac:dyDescent="0.25">
      <c r="A149" s="5">
        <v>45809.3125</v>
      </c>
      <c r="B149">
        <v>32</v>
      </c>
      <c r="C149" t="s">
        <v>39</v>
      </c>
      <c r="D149" t="s">
        <v>40</v>
      </c>
      <c r="E149">
        <v>1.5</v>
      </c>
      <c r="F149">
        <v>1.68</v>
      </c>
      <c r="G149" s="8">
        <f t="shared" si="2"/>
        <v>53.571428571428577</v>
      </c>
    </row>
    <row r="150" spans="1:7" x14ac:dyDescent="0.25">
      <c r="A150" s="5">
        <v>45809.3125</v>
      </c>
      <c r="B150">
        <v>33</v>
      </c>
      <c r="C150" t="s">
        <v>40</v>
      </c>
      <c r="D150" t="s">
        <v>41</v>
      </c>
      <c r="E150">
        <v>1.51</v>
      </c>
      <c r="F150">
        <v>1.63</v>
      </c>
      <c r="G150" s="8">
        <f t="shared" si="2"/>
        <v>55.582822085889568</v>
      </c>
    </row>
    <row r="151" spans="1:7" x14ac:dyDescent="0.25">
      <c r="A151" s="5">
        <v>45809.3125</v>
      </c>
      <c r="B151">
        <v>34</v>
      </c>
      <c r="C151" t="s">
        <v>41</v>
      </c>
      <c r="D151" t="s">
        <v>42</v>
      </c>
      <c r="E151">
        <v>1.5</v>
      </c>
      <c r="F151">
        <v>1.65</v>
      </c>
      <c r="G151" s="8">
        <f t="shared" si="2"/>
        <v>54.545454545454547</v>
      </c>
    </row>
    <row r="152" spans="1:7" x14ac:dyDescent="0.25">
      <c r="A152" s="5">
        <v>45809.3125</v>
      </c>
      <c r="B152">
        <v>35</v>
      </c>
      <c r="C152" t="s">
        <v>43</v>
      </c>
      <c r="D152" t="s">
        <v>44</v>
      </c>
      <c r="E152">
        <v>1.55</v>
      </c>
      <c r="F152">
        <v>3.42</v>
      </c>
      <c r="G152" s="8">
        <f t="shared" si="2"/>
        <v>27.192982456140353</v>
      </c>
    </row>
    <row r="153" spans="1:7" x14ac:dyDescent="0.25">
      <c r="A153" s="5">
        <v>45809.3125</v>
      </c>
      <c r="B153">
        <v>36</v>
      </c>
      <c r="C153" t="s">
        <v>44</v>
      </c>
      <c r="D153" t="s">
        <v>45</v>
      </c>
      <c r="E153">
        <v>1.5</v>
      </c>
      <c r="F153">
        <v>2.38</v>
      </c>
      <c r="G153" s="8">
        <f t="shared" si="2"/>
        <v>37.815126050420169</v>
      </c>
    </row>
    <row r="154" spans="1:7" x14ac:dyDescent="0.25">
      <c r="A154" s="5">
        <v>45809.3125</v>
      </c>
      <c r="B154">
        <v>37</v>
      </c>
      <c r="C154" t="s">
        <v>45</v>
      </c>
      <c r="D154" t="s">
        <v>46</v>
      </c>
      <c r="E154">
        <v>1.38</v>
      </c>
      <c r="F154">
        <v>2.92</v>
      </c>
      <c r="G154" s="8">
        <f t="shared" si="2"/>
        <v>28.356164383561644</v>
      </c>
    </row>
    <row r="155" spans="1:7" x14ac:dyDescent="0.25">
      <c r="A155" s="5">
        <v>45809.3125</v>
      </c>
      <c r="B155">
        <v>38</v>
      </c>
      <c r="C155" t="s">
        <v>46</v>
      </c>
      <c r="D155" t="s">
        <v>47</v>
      </c>
      <c r="E155">
        <v>1.61</v>
      </c>
      <c r="F155">
        <v>3.3</v>
      </c>
      <c r="G155" s="8">
        <f t="shared" si="2"/>
        <v>29.272727272727277</v>
      </c>
    </row>
    <row r="156" spans="1:7" x14ac:dyDescent="0.25">
      <c r="A156" s="5">
        <v>45809.3125</v>
      </c>
      <c r="B156">
        <v>39</v>
      </c>
      <c r="C156" t="s">
        <v>47</v>
      </c>
      <c r="D156" t="s">
        <v>48</v>
      </c>
      <c r="E156">
        <v>1.55</v>
      </c>
      <c r="F156">
        <v>2.87</v>
      </c>
      <c r="G156" s="8">
        <f t="shared" si="2"/>
        <v>32.404181184668985</v>
      </c>
    </row>
    <row r="157" spans="1:7" x14ac:dyDescent="0.25">
      <c r="A157" s="5">
        <v>45809.3125</v>
      </c>
      <c r="B157">
        <v>40</v>
      </c>
      <c r="C157" t="s">
        <v>48</v>
      </c>
      <c r="D157" t="s">
        <v>49</v>
      </c>
      <c r="E157">
        <v>1.39</v>
      </c>
      <c r="F157">
        <v>2.52</v>
      </c>
      <c r="G157" s="8">
        <f t="shared" si="2"/>
        <v>33.095238095238095</v>
      </c>
    </row>
    <row r="158" spans="1:7" x14ac:dyDescent="0.25">
      <c r="A158" s="5">
        <v>45809.3125</v>
      </c>
      <c r="B158">
        <v>41</v>
      </c>
      <c r="C158" t="s">
        <v>50</v>
      </c>
      <c r="D158" t="s">
        <v>51</v>
      </c>
      <c r="E158">
        <v>1.56</v>
      </c>
      <c r="F158">
        <v>2.97</v>
      </c>
      <c r="G158" s="8">
        <f t="shared" si="2"/>
        <v>31.515151515151516</v>
      </c>
    </row>
    <row r="159" spans="1:7" x14ac:dyDescent="0.25">
      <c r="A159" s="5">
        <v>45809.3125</v>
      </c>
      <c r="B159">
        <v>42</v>
      </c>
      <c r="C159" t="s">
        <v>51</v>
      </c>
      <c r="D159" t="s">
        <v>52</v>
      </c>
      <c r="E159">
        <v>1.56</v>
      </c>
      <c r="F159">
        <v>2.97</v>
      </c>
      <c r="G159" s="8">
        <f t="shared" si="2"/>
        <v>31.515151515151516</v>
      </c>
    </row>
    <row r="160" spans="1:7" x14ac:dyDescent="0.25">
      <c r="A160" s="5">
        <v>45809.3125</v>
      </c>
      <c r="B160">
        <v>43</v>
      </c>
      <c r="C160" t="s">
        <v>52</v>
      </c>
      <c r="D160" t="s">
        <v>53</v>
      </c>
      <c r="E160">
        <v>1.51</v>
      </c>
      <c r="F160">
        <v>2.93</v>
      </c>
      <c r="G160" s="8">
        <f t="shared" si="2"/>
        <v>30.921501706484637</v>
      </c>
    </row>
    <row r="161" spans="1:7" x14ac:dyDescent="0.25">
      <c r="A161" s="5">
        <v>45809.3125</v>
      </c>
      <c r="B161">
        <v>44</v>
      </c>
      <c r="C161" t="s">
        <v>54</v>
      </c>
      <c r="D161" t="s">
        <v>55</v>
      </c>
      <c r="E161">
        <v>1.51</v>
      </c>
      <c r="F161">
        <v>3.58</v>
      </c>
      <c r="G161" s="8">
        <f t="shared" si="2"/>
        <v>25.3072625698324</v>
      </c>
    </row>
    <row r="162" spans="1:7" x14ac:dyDescent="0.25">
      <c r="A162" s="5">
        <v>45809.3125</v>
      </c>
      <c r="B162">
        <v>45</v>
      </c>
      <c r="C162" t="s">
        <v>55</v>
      </c>
      <c r="D162" t="s">
        <v>56</v>
      </c>
      <c r="E162">
        <v>1.49</v>
      </c>
      <c r="F162">
        <v>2.83</v>
      </c>
      <c r="G162" s="8">
        <f t="shared" si="2"/>
        <v>31.590106007067138</v>
      </c>
    </row>
    <row r="163" spans="1:7" x14ac:dyDescent="0.25">
      <c r="A163" s="5">
        <v>45809.3125</v>
      </c>
      <c r="B163">
        <v>46</v>
      </c>
      <c r="C163" t="s">
        <v>56</v>
      </c>
      <c r="D163" t="s">
        <v>57</v>
      </c>
      <c r="E163">
        <v>1.52</v>
      </c>
      <c r="F163">
        <v>3.2</v>
      </c>
      <c r="G163" s="8">
        <f t="shared" si="2"/>
        <v>28.5</v>
      </c>
    </row>
    <row r="164" spans="1:7" x14ac:dyDescent="0.25">
      <c r="A164" s="5">
        <v>45809.3125</v>
      </c>
      <c r="B164">
        <v>47</v>
      </c>
      <c r="C164" t="s">
        <v>58</v>
      </c>
      <c r="D164" t="s">
        <v>59</v>
      </c>
      <c r="E164">
        <v>1.52</v>
      </c>
      <c r="F164">
        <v>3</v>
      </c>
      <c r="G164" s="8">
        <f t="shared" si="2"/>
        <v>30.400000000000002</v>
      </c>
    </row>
    <row r="165" spans="1:7" x14ac:dyDescent="0.25">
      <c r="A165" s="5">
        <v>45809.3125</v>
      </c>
      <c r="B165">
        <v>48</v>
      </c>
      <c r="C165" t="s">
        <v>59</v>
      </c>
      <c r="D165" t="s">
        <v>60</v>
      </c>
      <c r="E165">
        <v>1.5</v>
      </c>
      <c r="F165">
        <v>2.97</v>
      </c>
      <c r="G165" s="8">
        <f t="shared" si="2"/>
        <v>30.303030303030301</v>
      </c>
    </row>
    <row r="166" spans="1:7" x14ac:dyDescent="0.25">
      <c r="A166" s="5">
        <v>45809.3125</v>
      </c>
      <c r="B166">
        <v>49</v>
      </c>
      <c r="C166" t="s">
        <v>60</v>
      </c>
      <c r="D166" t="s">
        <v>61</v>
      </c>
      <c r="E166">
        <v>1.54</v>
      </c>
      <c r="F166">
        <v>3.08</v>
      </c>
      <c r="G166" s="8">
        <f t="shared" si="2"/>
        <v>30</v>
      </c>
    </row>
    <row r="167" spans="1:7" x14ac:dyDescent="0.25">
      <c r="A167" s="5">
        <v>45809.3125</v>
      </c>
      <c r="B167">
        <v>50</v>
      </c>
      <c r="C167" t="s">
        <v>62</v>
      </c>
      <c r="D167" t="s">
        <v>63</v>
      </c>
      <c r="E167">
        <v>1.38</v>
      </c>
      <c r="F167">
        <v>2.72</v>
      </c>
      <c r="G167" s="8">
        <f t="shared" si="2"/>
        <v>30.441176470588232</v>
      </c>
    </row>
    <row r="168" spans="1:7" x14ac:dyDescent="0.25">
      <c r="A168" s="5">
        <v>45809.3125</v>
      </c>
      <c r="B168">
        <v>51</v>
      </c>
      <c r="C168" t="s">
        <v>63</v>
      </c>
      <c r="D168" t="s">
        <v>64</v>
      </c>
      <c r="E168">
        <v>2.79</v>
      </c>
      <c r="F168">
        <v>4.7699999999999996</v>
      </c>
      <c r="G168" s="8">
        <f t="shared" si="2"/>
        <v>35.094339622641513</v>
      </c>
    </row>
    <row r="169" spans="1:7" x14ac:dyDescent="0.25">
      <c r="A169" s="5">
        <v>45809.3125</v>
      </c>
      <c r="B169">
        <v>52</v>
      </c>
      <c r="C169" t="s">
        <v>64</v>
      </c>
      <c r="D169" t="s">
        <v>65</v>
      </c>
      <c r="E169">
        <v>1.5</v>
      </c>
      <c r="F169">
        <v>2.48</v>
      </c>
      <c r="G169" s="8">
        <f t="shared" si="2"/>
        <v>36.29032258064516</v>
      </c>
    </row>
    <row r="170" spans="1:7" x14ac:dyDescent="0.25">
      <c r="A170" s="5">
        <v>45809.3125</v>
      </c>
      <c r="B170">
        <v>53</v>
      </c>
      <c r="C170" t="s">
        <v>65</v>
      </c>
      <c r="D170" t="s">
        <v>66</v>
      </c>
      <c r="E170">
        <v>1.46</v>
      </c>
      <c r="F170">
        <v>3.17</v>
      </c>
      <c r="G170" s="8">
        <f t="shared" si="2"/>
        <v>27.634069400630914</v>
      </c>
    </row>
    <row r="171" spans="1:7" x14ac:dyDescent="0.25">
      <c r="A171" s="5">
        <v>45809.3125</v>
      </c>
      <c r="B171">
        <v>54</v>
      </c>
      <c r="C171" t="s">
        <v>67</v>
      </c>
      <c r="D171" t="s">
        <v>68</v>
      </c>
      <c r="E171">
        <v>1.46</v>
      </c>
      <c r="F171">
        <v>2.2000000000000002</v>
      </c>
      <c r="G171" s="8">
        <f t="shared" si="2"/>
        <v>39.818181818181813</v>
      </c>
    </row>
    <row r="172" spans="1:7" x14ac:dyDescent="0.25">
      <c r="A172" s="5">
        <v>45809.3125</v>
      </c>
      <c r="B172">
        <v>55</v>
      </c>
      <c r="C172" t="s">
        <v>68</v>
      </c>
      <c r="D172" t="s">
        <v>69</v>
      </c>
      <c r="E172">
        <v>1.5</v>
      </c>
      <c r="F172">
        <v>1.77</v>
      </c>
      <c r="G172" s="8">
        <f t="shared" si="2"/>
        <v>50.847457627118644</v>
      </c>
    </row>
    <row r="173" spans="1:7" x14ac:dyDescent="0.25">
      <c r="A173" s="5">
        <v>45809.3125</v>
      </c>
      <c r="B173">
        <v>56</v>
      </c>
      <c r="C173" t="s">
        <v>70</v>
      </c>
      <c r="D173" t="s">
        <v>71</v>
      </c>
      <c r="E173">
        <v>1.51</v>
      </c>
      <c r="F173">
        <v>2.97</v>
      </c>
      <c r="G173" s="8">
        <f t="shared" si="2"/>
        <v>30.505050505050502</v>
      </c>
    </row>
    <row r="174" spans="1:7" x14ac:dyDescent="0.25">
      <c r="A174" s="5">
        <v>45809.3125</v>
      </c>
      <c r="B174">
        <v>57</v>
      </c>
      <c r="C174" t="s">
        <v>71</v>
      </c>
      <c r="D174" t="s">
        <v>72</v>
      </c>
      <c r="E174">
        <v>1.52</v>
      </c>
      <c r="F174">
        <v>3.07</v>
      </c>
      <c r="G174" s="8">
        <f t="shared" si="2"/>
        <v>29.706840390879481</v>
      </c>
    </row>
    <row r="175" spans="1:7" x14ac:dyDescent="0.25">
      <c r="A175" s="5">
        <v>45809.3125</v>
      </c>
      <c r="B175">
        <v>58</v>
      </c>
      <c r="C175" t="s">
        <v>72</v>
      </c>
      <c r="D175" t="s">
        <v>73</v>
      </c>
      <c r="E175">
        <v>1.5</v>
      </c>
      <c r="F175">
        <v>3.02</v>
      </c>
      <c r="G175" s="8">
        <f t="shared" si="2"/>
        <v>29.801324503311257</v>
      </c>
    </row>
    <row r="176" spans="1:7" x14ac:dyDescent="0.25">
      <c r="A176" s="5">
        <v>45809.322916666664</v>
      </c>
      <c r="B176">
        <v>1</v>
      </c>
      <c r="C176" t="s">
        <v>6</v>
      </c>
      <c r="D176" t="s">
        <v>7</v>
      </c>
      <c r="E176">
        <v>1.53</v>
      </c>
      <c r="F176">
        <v>2.72</v>
      </c>
      <c r="G176" s="8">
        <f t="shared" si="2"/>
        <v>33.75</v>
      </c>
    </row>
    <row r="177" spans="1:7" x14ac:dyDescent="0.25">
      <c r="A177" s="5">
        <v>45809.322916666664</v>
      </c>
      <c r="B177">
        <v>2</v>
      </c>
      <c r="C177" t="s">
        <v>7</v>
      </c>
      <c r="D177" t="s">
        <v>8</v>
      </c>
      <c r="E177">
        <v>1.57</v>
      </c>
      <c r="F177">
        <v>3.65</v>
      </c>
      <c r="G177" s="8">
        <f t="shared" si="2"/>
        <v>25.808219178082194</v>
      </c>
    </row>
    <row r="178" spans="1:7" x14ac:dyDescent="0.25">
      <c r="A178" s="5">
        <v>45809.322916666664</v>
      </c>
      <c r="B178">
        <v>3</v>
      </c>
      <c r="C178" t="s">
        <v>8</v>
      </c>
      <c r="D178" t="s">
        <v>9</v>
      </c>
      <c r="E178">
        <v>1.5</v>
      </c>
      <c r="F178">
        <v>2.58</v>
      </c>
      <c r="G178" s="8">
        <f t="shared" si="2"/>
        <v>34.883720930232556</v>
      </c>
    </row>
    <row r="179" spans="1:7" x14ac:dyDescent="0.25">
      <c r="A179" s="5">
        <v>45809.322916666664</v>
      </c>
      <c r="B179">
        <v>4</v>
      </c>
      <c r="C179" t="s">
        <v>9</v>
      </c>
      <c r="D179" t="s">
        <v>10</v>
      </c>
      <c r="E179">
        <v>1.5</v>
      </c>
      <c r="F179">
        <v>2.37</v>
      </c>
      <c r="G179" s="8">
        <f t="shared" si="2"/>
        <v>37.974683544303794</v>
      </c>
    </row>
    <row r="180" spans="1:7" x14ac:dyDescent="0.25">
      <c r="A180" s="5">
        <v>45809.322916666664</v>
      </c>
      <c r="B180">
        <v>5</v>
      </c>
      <c r="C180" t="s">
        <v>10</v>
      </c>
      <c r="D180" t="s">
        <v>11</v>
      </c>
      <c r="E180">
        <v>1.52</v>
      </c>
      <c r="F180">
        <v>2.65</v>
      </c>
      <c r="G180" s="8">
        <f t="shared" si="2"/>
        <v>34.415094339622641</v>
      </c>
    </row>
    <row r="181" spans="1:7" x14ac:dyDescent="0.25">
      <c r="A181" s="5">
        <v>45809.322916666664</v>
      </c>
      <c r="B181">
        <v>6</v>
      </c>
      <c r="C181" t="s">
        <v>11</v>
      </c>
      <c r="D181" t="s">
        <v>12</v>
      </c>
      <c r="E181">
        <v>1.5</v>
      </c>
      <c r="F181">
        <v>2.2799999999999998</v>
      </c>
      <c r="G181" s="8">
        <f t="shared" si="2"/>
        <v>39.473684210526322</v>
      </c>
    </row>
    <row r="182" spans="1:7" x14ac:dyDescent="0.25">
      <c r="A182" s="5">
        <v>45809.322916666664</v>
      </c>
      <c r="B182">
        <v>7</v>
      </c>
      <c r="C182" t="s">
        <v>12</v>
      </c>
      <c r="D182" t="s">
        <v>13</v>
      </c>
      <c r="E182">
        <v>1.54</v>
      </c>
      <c r="F182">
        <v>2.38</v>
      </c>
      <c r="G182" s="8">
        <f t="shared" si="2"/>
        <v>38.82352941176471</v>
      </c>
    </row>
    <row r="183" spans="1:7" x14ac:dyDescent="0.25">
      <c r="A183" s="5">
        <v>45809.322916666664</v>
      </c>
      <c r="B183">
        <v>8</v>
      </c>
      <c r="C183" t="s">
        <v>13</v>
      </c>
      <c r="D183" t="s">
        <v>14</v>
      </c>
      <c r="E183">
        <v>1.54</v>
      </c>
      <c r="F183">
        <v>2.8</v>
      </c>
      <c r="G183" s="8">
        <f t="shared" si="2"/>
        <v>33.000000000000007</v>
      </c>
    </row>
    <row r="184" spans="1:7" x14ac:dyDescent="0.25">
      <c r="A184" s="5">
        <v>45809.322916666664</v>
      </c>
      <c r="B184">
        <v>9</v>
      </c>
      <c r="C184" t="s">
        <v>14</v>
      </c>
      <c r="D184" t="s">
        <v>15</v>
      </c>
      <c r="E184">
        <v>1.52</v>
      </c>
      <c r="F184">
        <v>2.57</v>
      </c>
      <c r="G184" s="8">
        <f t="shared" si="2"/>
        <v>35.4863813229572</v>
      </c>
    </row>
    <row r="185" spans="1:7" x14ac:dyDescent="0.25">
      <c r="A185" s="5">
        <v>45809.322916666664</v>
      </c>
      <c r="B185">
        <v>10</v>
      </c>
      <c r="C185" t="s">
        <v>15</v>
      </c>
      <c r="D185" t="s">
        <v>16</v>
      </c>
      <c r="E185">
        <v>1.5</v>
      </c>
      <c r="F185">
        <v>2.63</v>
      </c>
      <c r="G185" s="8">
        <f t="shared" si="2"/>
        <v>34.220532319391637</v>
      </c>
    </row>
    <row r="186" spans="1:7" x14ac:dyDescent="0.25">
      <c r="A186" s="5">
        <v>45809.322916666664</v>
      </c>
      <c r="B186">
        <v>11</v>
      </c>
      <c r="C186" t="s">
        <v>16</v>
      </c>
      <c r="D186" t="s">
        <v>17</v>
      </c>
      <c r="E186">
        <v>1.48</v>
      </c>
      <c r="F186">
        <v>2.08</v>
      </c>
      <c r="G186" s="8">
        <f t="shared" si="2"/>
        <v>42.692307692307686</v>
      </c>
    </row>
    <row r="187" spans="1:7" x14ac:dyDescent="0.25">
      <c r="A187" s="5">
        <v>45809.322916666664</v>
      </c>
      <c r="B187">
        <v>12</v>
      </c>
      <c r="C187" t="s">
        <v>17</v>
      </c>
      <c r="D187" t="s">
        <v>18</v>
      </c>
      <c r="E187">
        <v>1.46</v>
      </c>
      <c r="F187">
        <v>2.5499999999999998</v>
      </c>
      <c r="G187" s="8">
        <f t="shared" si="2"/>
        <v>34.352941176470587</v>
      </c>
    </row>
    <row r="188" spans="1:7" x14ac:dyDescent="0.25">
      <c r="A188" s="5">
        <v>45809.322916666664</v>
      </c>
      <c r="B188">
        <v>13</v>
      </c>
      <c r="C188" t="s">
        <v>18</v>
      </c>
      <c r="D188" t="s">
        <v>19</v>
      </c>
      <c r="E188">
        <v>1.52</v>
      </c>
      <c r="F188">
        <v>2.67</v>
      </c>
      <c r="G188" s="8">
        <f t="shared" si="2"/>
        <v>34.157303370786522</v>
      </c>
    </row>
    <row r="189" spans="1:7" x14ac:dyDescent="0.25">
      <c r="A189" s="5">
        <v>45809.322916666664</v>
      </c>
      <c r="B189">
        <v>14</v>
      </c>
      <c r="C189" t="s">
        <v>19</v>
      </c>
      <c r="D189" t="s">
        <v>20</v>
      </c>
      <c r="E189">
        <v>1.51</v>
      </c>
      <c r="F189">
        <v>2.68</v>
      </c>
      <c r="G189" s="8">
        <f t="shared" si="2"/>
        <v>33.805970149253724</v>
      </c>
    </row>
    <row r="190" spans="1:7" x14ac:dyDescent="0.25">
      <c r="A190" s="5">
        <v>45809.322916666664</v>
      </c>
      <c r="B190">
        <v>15</v>
      </c>
      <c r="C190" t="s">
        <v>20</v>
      </c>
      <c r="D190" t="s">
        <v>21</v>
      </c>
      <c r="E190">
        <v>1.47</v>
      </c>
      <c r="F190">
        <v>2.1</v>
      </c>
      <c r="G190" s="8">
        <f t="shared" si="2"/>
        <v>42</v>
      </c>
    </row>
    <row r="191" spans="1:7" x14ac:dyDescent="0.25">
      <c r="A191" s="5">
        <v>45809.322916666664</v>
      </c>
      <c r="B191">
        <v>16</v>
      </c>
      <c r="C191" t="s">
        <v>21</v>
      </c>
      <c r="D191" t="s">
        <v>22</v>
      </c>
      <c r="E191">
        <v>1.5</v>
      </c>
      <c r="F191">
        <v>1.73</v>
      </c>
      <c r="G191" s="8">
        <f t="shared" si="2"/>
        <v>52.02312138728324</v>
      </c>
    </row>
    <row r="192" spans="1:7" x14ac:dyDescent="0.25">
      <c r="A192" s="5">
        <v>45809.322916666664</v>
      </c>
      <c r="B192">
        <v>17</v>
      </c>
      <c r="C192" t="s">
        <v>22</v>
      </c>
      <c r="D192" t="s">
        <v>23</v>
      </c>
      <c r="E192">
        <v>1.51</v>
      </c>
      <c r="F192">
        <v>2.2200000000000002</v>
      </c>
      <c r="G192" s="8">
        <f t="shared" si="2"/>
        <v>40.810810810810807</v>
      </c>
    </row>
    <row r="193" spans="1:7" x14ac:dyDescent="0.25">
      <c r="A193" s="5">
        <v>45809.322916666664</v>
      </c>
      <c r="B193">
        <v>18</v>
      </c>
      <c r="C193" t="s">
        <v>23</v>
      </c>
      <c r="D193" t="s">
        <v>24</v>
      </c>
      <c r="E193">
        <v>1.51</v>
      </c>
      <c r="F193">
        <v>2.4500000000000002</v>
      </c>
      <c r="G193" s="8">
        <f t="shared" si="2"/>
        <v>36.979591836734691</v>
      </c>
    </row>
    <row r="194" spans="1:7" x14ac:dyDescent="0.25">
      <c r="A194" s="5">
        <v>45809.322916666664</v>
      </c>
      <c r="B194">
        <v>19</v>
      </c>
      <c r="C194" t="s">
        <v>25</v>
      </c>
      <c r="D194" t="s">
        <v>26</v>
      </c>
      <c r="E194">
        <v>1.5</v>
      </c>
      <c r="F194">
        <v>2.92</v>
      </c>
      <c r="G194" s="8">
        <f t="shared" si="2"/>
        <v>30.82191780821918</v>
      </c>
    </row>
    <row r="195" spans="1:7" x14ac:dyDescent="0.25">
      <c r="A195" s="5">
        <v>45809.322916666664</v>
      </c>
      <c r="B195">
        <v>20</v>
      </c>
      <c r="C195" t="s">
        <v>26</v>
      </c>
      <c r="D195" t="s">
        <v>27</v>
      </c>
      <c r="E195">
        <v>1.48</v>
      </c>
      <c r="F195">
        <v>2.83</v>
      </c>
      <c r="G195" s="8">
        <f t="shared" ref="G195:G258" si="3">E195*60/F195</f>
        <v>31.378091872791519</v>
      </c>
    </row>
    <row r="196" spans="1:7" x14ac:dyDescent="0.25">
      <c r="A196" s="5">
        <v>45809.322916666664</v>
      </c>
      <c r="B196">
        <v>21</v>
      </c>
      <c r="C196" t="s">
        <v>27</v>
      </c>
      <c r="D196" t="s">
        <v>28</v>
      </c>
      <c r="E196">
        <v>1.51</v>
      </c>
      <c r="F196">
        <v>2.58</v>
      </c>
      <c r="G196" s="8">
        <f t="shared" si="3"/>
        <v>35.116279069767437</v>
      </c>
    </row>
    <row r="197" spans="1:7" x14ac:dyDescent="0.25">
      <c r="A197" s="5">
        <v>45809.322916666664</v>
      </c>
      <c r="B197">
        <v>22</v>
      </c>
      <c r="C197" t="s">
        <v>28</v>
      </c>
      <c r="D197" t="s">
        <v>29</v>
      </c>
      <c r="E197">
        <v>1.57</v>
      </c>
      <c r="F197">
        <v>2.65</v>
      </c>
      <c r="G197" s="8">
        <f t="shared" si="3"/>
        <v>35.547169811320757</v>
      </c>
    </row>
    <row r="198" spans="1:7" x14ac:dyDescent="0.25">
      <c r="A198" s="5">
        <v>45809.322916666664</v>
      </c>
      <c r="B198">
        <v>23</v>
      </c>
      <c r="C198" t="s">
        <v>29</v>
      </c>
      <c r="D198" t="s">
        <v>30</v>
      </c>
      <c r="E198">
        <v>1.43</v>
      </c>
      <c r="F198">
        <v>2.57</v>
      </c>
      <c r="G198" s="8">
        <f t="shared" si="3"/>
        <v>33.385214007782103</v>
      </c>
    </row>
    <row r="199" spans="1:7" x14ac:dyDescent="0.25">
      <c r="A199" s="5">
        <v>45809.322916666664</v>
      </c>
      <c r="B199">
        <v>24</v>
      </c>
      <c r="C199" t="s">
        <v>30</v>
      </c>
      <c r="D199" t="s">
        <v>31</v>
      </c>
      <c r="E199">
        <v>1.52</v>
      </c>
      <c r="F199">
        <v>2.68</v>
      </c>
      <c r="G199" s="8">
        <f t="shared" si="3"/>
        <v>34.029850746268657</v>
      </c>
    </row>
    <row r="200" spans="1:7" x14ac:dyDescent="0.25">
      <c r="A200" s="5">
        <v>45809.322916666664</v>
      </c>
      <c r="B200">
        <v>25</v>
      </c>
      <c r="C200" t="s">
        <v>31</v>
      </c>
      <c r="D200" t="s">
        <v>32</v>
      </c>
      <c r="E200">
        <v>1.52</v>
      </c>
      <c r="F200">
        <v>2.88</v>
      </c>
      <c r="G200" s="8">
        <f t="shared" si="3"/>
        <v>31.666666666666668</v>
      </c>
    </row>
    <row r="201" spans="1:7" x14ac:dyDescent="0.25">
      <c r="A201" s="5">
        <v>45809.322916666664</v>
      </c>
      <c r="B201">
        <v>26</v>
      </c>
      <c r="C201" t="s">
        <v>32</v>
      </c>
      <c r="D201" t="s">
        <v>33</v>
      </c>
      <c r="E201">
        <v>1.49</v>
      </c>
      <c r="F201">
        <v>2.8</v>
      </c>
      <c r="G201" s="8">
        <f t="shared" si="3"/>
        <v>31.928571428571434</v>
      </c>
    </row>
    <row r="202" spans="1:7" x14ac:dyDescent="0.25">
      <c r="A202" s="5">
        <v>45809.322916666664</v>
      </c>
      <c r="B202">
        <v>27</v>
      </c>
      <c r="C202" t="s">
        <v>33</v>
      </c>
      <c r="D202" t="s">
        <v>34</v>
      </c>
      <c r="E202">
        <v>1.53</v>
      </c>
      <c r="F202">
        <v>2.7</v>
      </c>
      <c r="G202" s="8">
        <f t="shared" si="3"/>
        <v>34</v>
      </c>
    </row>
    <row r="203" spans="1:7" x14ac:dyDescent="0.25">
      <c r="A203" s="5">
        <v>45809.322916666664</v>
      </c>
      <c r="B203">
        <v>28</v>
      </c>
      <c r="C203" t="s">
        <v>34</v>
      </c>
      <c r="D203" t="s">
        <v>35</v>
      </c>
      <c r="E203">
        <v>1.51</v>
      </c>
      <c r="F203">
        <v>3.15</v>
      </c>
      <c r="G203" s="8">
        <f t="shared" si="3"/>
        <v>28.761904761904759</v>
      </c>
    </row>
    <row r="204" spans="1:7" x14ac:dyDescent="0.25">
      <c r="A204" s="5">
        <v>45809.322916666664</v>
      </c>
      <c r="B204">
        <v>29</v>
      </c>
      <c r="C204" t="s">
        <v>36</v>
      </c>
      <c r="D204" t="s">
        <v>37</v>
      </c>
      <c r="E204">
        <v>1.57</v>
      </c>
      <c r="F204">
        <v>2.68</v>
      </c>
      <c r="G204" s="8">
        <f t="shared" si="3"/>
        <v>35.149253731343279</v>
      </c>
    </row>
    <row r="205" spans="1:7" x14ac:dyDescent="0.25">
      <c r="A205" s="5">
        <v>45809.322916666664</v>
      </c>
      <c r="B205">
        <v>30</v>
      </c>
      <c r="C205" t="s">
        <v>37</v>
      </c>
      <c r="D205" t="s">
        <v>38</v>
      </c>
      <c r="E205">
        <v>1.57</v>
      </c>
      <c r="F205">
        <v>2.93</v>
      </c>
      <c r="G205" s="8">
        <f t="shared" si="3"/>
        <v>32.150170648464162</v>
      </c>
    </row>
    <row r="206" spans="1:7" x14ac:dyDescent="0.25">
      <c r="A206" s="5">
        <v>45809.322916666664</v>
      </c>
      <c r="B206">
        <v>31</v>
      </c>
      <c r="C206" t="s">
        <v>38</v>
      </c>
      <c r="D206" t="s">
        <v>39</v>
      </c>
      <c r="E206">
        <v>1.52</v>
      </c>
      <c r="F206">
        <v>2.3199999999999998</v>
      </c>
      <c r="G206" s="8">
        <f t="shared" si="3"/>
        <v>39.310344827586214</v>
      </c>
    </row>
    <row r="207" spans="1:7" x14ac:dyDescent="0.25">
      <c r="A207" s="5">
        <v>45809.322916666664</v>
      </c>
      <c r="B207">
        <v>32</v>
      </c>
      <c r="C207" t="s">
        <v>39</v>
      </c>
      <c r="D207" t="s">
        <v>40</v>
      </c>
      <c r="E207">
        <v>1.5</v>
      </c>
      <c r="F207">
        <v>1.65</v>
      </c>
      <c r="G207" s="8">
        <f t="shared" si="3"/>
        <v>54.545454545454547</v>
      </c>
    </row>
    <row r="208" spans="1:7" x14ac:dyDescent="0.25">
      <c r="A208" s="5">
        <v>45809.322916666664</v>
      </c>
      <c r="B208">
        <v>33</v>
      </c>
      <c r="C208" t="s">
        <v>40</v>
      </c>
      <c r="D208" t="s">
        <v>41</v>
      </c>
      <c r="E208">
        <v>1.51</v>
      </c>
      <c r="F208">
        <v>1.7</v>
      </c>
      <c r="G208" s="8">
        <f t="shared" si="3"/>
        <v>53.294117647058819</v>
      </c>
    </row>
    <row r="209" spans="1:7" x14ac:dyDescent="0.25">
      <c r="A209" s="5">
        <v>45809.322916666664</v>
      </c>
      <c r="B209">
        <v>34</v>
      </c>
      <c r="C209" t="s">
        <v>41</v>
      </c>
      <c r="D209" t="s">
        <v>42</v>
      </c>
      <c r="E209">
        <v>1.5</v>
      </c>
      <c r="F209">
        <v>1.63</v>
      </c>
      <c r="G209" s="8">
        <f t="shared" si="3"/>
        <v>55.214723926380373</v>
      </c>
    </row>
    <row r="210" spans="1:7" x14ac:dyDescent="0.25">
      <c r="A210" s="5">
        <v>45809.322916666664</v>
      </c>
      <c r="B210">
        <v>35</v>
      </c>
      <c r="C210" t="s">
        <v>43</v>
      </c>
      <c r="D210" t="s">
        <v>44</v>
      </c>
      <c r="E210">
        <v>1.55</v>
      </c>
      <c r="F210">
        <v>2.98</v>
      </c>
      <c r="G210" s="8">
        <f t="shared" si="3"/>
        <v>31.208053691275168</v>
      </c>
    </row>
    <row r="211" spans="1:7" x14ac:dyDescent="0.25">
      <c r="A211" s="5">
        <v>45809.322916666664</v>
      </c>
      <c r="B211">
        <v>36</v>
      </c>
      <c r="C211" t="s">
        <v>44</v>
      </c>
      <c r="D211" t="s">
        <v>45</v>
      </c>
      <c r="E211">
        <v>1.5</v>
      </c>
      <c r="F211">
        <v>2.4500000000000002</v>
      </c>
      <c r="G211" s="8">
        <f t="shared" si="3"/>
        <v>36.734693877551017</v>
      </c>
    </row>
    <row r="212" spans="1:7" x14ac:dyDescent="0.25">
      <c r="A212" s="5">
        <v>45809.322916666664</v>
      </c>
      <c r="B212">
        <v>37</v>
      </c>
      <c r="C212" t="s">
        <v>45</v>
      </c>
      <c r="D212" t="s">
        <v>46</v>
      </c>
      <c r="E212">
        <v>1.38</v>
      </c>
      <c r="F212">
        <v>3.02</v>
      </c>
      <c r="G212" s="8">
        <f t="shared" si="3"/>
        <v>27.417218543046356</v>
      </c>
    </row>
    <row r="213" spans="1:7" x14ac:dyDescent="0.25">
      <c r="A213" s="5">
        <v>45809.322916666664</v>
      </c>
      <c r="B213">
        <v>38</v>
      </c>
      <c r="C213" t="s">
        <v>46</v>
      </c>
      <c r="D213" t="s">
        <v>47</v>
      </c>
      <c r="E213">
        <v>1.61</v>
      </c>
      <c r="F213">
        <v>3.27</v>
      </c>
      <c r="G213" s="8">
        <f t="shared" si="3"/>
        <v>29.541284403669728</v>
      </c>
    </row>
    <row r="214" spans="1:7" x14ac:dyDescent="0.25">
      <c r="A214" s="5">
        <v>45809.322916666664</v>
      </c>
      <c r="B214">
        <v>39</v>
      </c>
      <c r="C214" t="s">
        <v>47</v>
      </c>
      <c r="D214" t="s">
        <v>48</v>
      </c>
      <c r="E214">
        <v>1.55</v>
      </c>
      <c r="F214">
        <v>2.9</v>
      </c>
      <c r="G214" s="8">
        <f t="shared" si="3"/>
        <v>32.068965517241381</v>
      </c>
    </row>
    <row r="215" spans="1:7" x14ac:dyDescent="0.25">
      <c r="A215" s="5">
        <v>45809.322916666664</v>
      </c>
      <c r="B215">
        <v>40</v>
      </c>
      <c r="C215" t="s">
        <v>48</v>
      </c>
      <c r="D215" t="s">
        <v>49</v>
      </c>
      <c r="E215">
        <v>1.39</v>
      </c>
      <c r="F215">
        <v>2.5499999999999998</v>
      </c>
      <c r="G215" s="8">
        <f t="shared" si="3"/>
        <v>32.705882352941174</v>
      </c>
    </row>
    <row r="216" spans="1:7" x14ac:dyDescent="0.25">
      <c r="A216" s="5">
        <v>45809.322916666664</v>
      </c>
      <c r="B216">
        <v>41</v>
      </c>
      <c r="C216" t="s">
        <v>50</v>
      </c>
      <c r="D216" t="s">
        <v>51</v>
      </c>
      <c r="E216">
        <v>1.56</v>
      </c>
      <c r="F216">
        <v>3</v>
      </c>
      <c r="G216" s="8">
        <f t="shared" si="3"/>
        <v>31.200000000000003</v>
      </c>
    </row>
    <row r="217" spans="1:7" x14ac:dyDescent="0.25">
      <c r="A217" s="5">
        <v>45809.322916666664</v>
      </c>
      <c r="B217">
        <v>42</v>
      </c>
      <c r="C217" t="s">
        <v>51</v>
      </c>
      <c r="D217" t="s">
        <v>52</v>
      </c>
      <c r="E217">
        <v>1.56</v>
      </c>
      <c r="F217">
        <v>3.07</v>
      </c>
      <c r="G217" s="8">
        <f t="shared" si="3"/>
        <v>30.488599348534205</v>
      </c>
    </row>
    <row r="218" spans="1:7" x14ac:dyDescent="0.25">
      <c r="A218" s="5">
        <v>45809.322916666664</v>
      </c>
      <c r="B218">
        <v>43</v>
      </c>
      <c r="C218" t="s">
        <v>52</v>
      </c>
      <c r="D218" t="s">
        <v>53</v>
      </c>
      <c r="E218">
        <v>1.51</v>
      </c>
      <c r="F218">
        <v>2.9</v>
      </c>
      <c r="G218" s="8">
        <f t="shared" si="3"/>
        <v>31.241379310344826</v>
      </c>
    </row>
    <row r="219" spans="1:7" x14ac:dyDescent="0.25">
      <c r="A219" s="5">
        <v>45809.322916666664</v>
      </c>
      <c r="B219">
        <v>44</v>
      </c>
      <c r="C219" t="s">
        <v>54</v>
      </c>
      <c r="D219" t="s">
        <v>55</v>
      </c>
      <c r="E219">
        <v>1.51</v>
      </c>
      <c r="F219">
        <v>3.38</v>
      </c>
      <c r="G219" s="8">
        <f t="shared" si="3"/>
        <v>26.80473372781065</v>
      </c>
    </row>
    <row r="220" spans="1:7" x14ac:dyDescent="0.25">
      <c r="A220" s="5">
        <v>45809.322916666664</v>
      </c>
      <c r="B220">
        <v>45</v>
      </c>
      <c r="C220" t="s">
        <v>55</v>
      </c>
      <c r="D220" t="s">
        <v>56</v>
      </c>
      <c r="E220">
        <v>1.49</v>
      </c>
      <c r="F220">
        <v>2.72</v>
      </c>
      <c r="G220" s="8">
        <f t="shared" si="3"/>
        <v>32.867647058823529</v>
      </c>
    </row>
    <row r="221" spans="1:7" x14ac:dyDescent="0.25">
      <c r="A221" s="5">
        <v>45809.322916666664</v>
      </c>
      <c r="B221">
        <v>46</v>
      </c>
      <c r="C221" t="s">
        <v>56</v>
      </c>
      <c r="D221" t="s">
        <v>57</v>
      </c>
      <c r="E221">
        <v>1.52</v>
      </c>
      <c r="F221">
        <v>3.13</v>
      </c>
      <c r="G221" s="8">
        <f t="shared" si="3"/>
        <v>29.137380191693293</v>
      </c>
    </row>
    <row r="222" spans="1:7" x14ac:dyDescent="0.25">
      <c r="A222" s="5">
        <v>45809.322916666664</v>
      </c>
      <c r="B222">
        <v>47</v>
      </c>
      <c r="C222" t="s">
        <v>58</v>
      </c>
      <c r="D222" t="s">
        <v>59</v>
      </c>
      <c r="E222">
        <v>1.52</v>
      </c>
      <c r="F222">
        <v>3.05</v>
      </c>
      <c r="G222" s="8">
        <f t="shared" si="3"/>
        <v>29.901639344262296</v>
      </c>
    </row>
    <row r="223" spans="1:7" x14ac:dyDescent="0.25">
      <c r="A223" s="5">
        <v>45809.322916666664</v>
      </c>
      <c r="B223">
        <v>48</v>
      </c>
      <c r="C223" t="s">
        <v>59</v>
      </c>
      <c r="D223" t="s">
        <v>60</v>
      </c>
      <c r="E223">
        <v>1.5</v>
      </c>
      <c r="F223">
        <v>2.97</v>
      </c>
      <c r="G223" s="8">
        <f t="shared" si="3"/>
        <v>30.303030303030301</v>
      </c>
    </row>
    <row r="224" spans="1:7" x14ac:dyDescent="0.25">
      <c r="A224" s="5">
        <v>45809.322916666664</v>
      </c>
      <c r="B224">
        <v>49</v>
      </c>
      <c r="C224" t="s">
        <v>60</v>
      </c>
      <c r="D224" t="s">
        <v>61</v>
      </c>
      <c r="E224">
        <v>1.54</v>
      </c>
      <c r="F224">
        <v>3.07</v>
      </c>
      <c r="G224" s="8">
        <f t="shared" si="3"/>
        <v>30.097719869706843</v>
      </c>
    </row>
    <row r="225" spans="1:7" x14ac:dyDescent="0.25">
      <c r="A225" s="5">
        <v>45809.322916666664</v>
      </c>
      <c r="B225">
        <v>50</v>
      </c>
      <c r="C225" t="s">
        <v>62</v>
      </c>
      <c r="D225" t="s">
        <v>63</v>
      </c>
      <c r="E225">
        <v>1.38</v>
      </c>
      <c r="F225">
        <v>2.7</v>
      </c>
      <c r="G225" s="8">
        <f t="shared" si="3"/>
        <v>30.666666666666664</v>
      </c>
    </row>
    <row r="226" spans="1:7" x14ac:dyDescent="0.25">
      <c r="A226" s="5">
        <v>45809.322916666664</v>
      </c>
      <c r="B226">
        <v>51</v>
      </c>
      <c r="C226" t="s">
        <v>63</v>
      </c>
      <c r="D226" t="s">
        <v>64</v>
      </c>
      <c r="E226">
        <v>2.79</v>
      </c>
      <c r="F226">
        <v>4.78</v>
      </c>
      <c r="G226" s="8">
        <f t="shared" si="3"/>
        <v>35.020920502092046</v>
      </c>
    </row>
    <row r="227" spans="1:7" x14ac:dyDescent="0.25">
      <c r="A227" s="5">
        <v>45809.322916666664</v>
      </c>
      <c r="B227">
        <v>52</v>
      </c>
      <c r="C227" t="s">
        <v>64</v>
      </c>
      <c r="D227" t="s">
        <v>65</v>
      </c>
      <c r="E227">
        <v>1.5</v>
      </c>
      <c r="F227">
        <v>2.6</v>
      </c>
      <c r="G227" s="8">
        <f t="shared" si="3"/>
        <v>34.615384615384613</v>
      </c>
    </row>
    <row r="228" spans="1:7" x14ac:dyDescent="0.25">
      <c r="A228" s="5">
        <v>45809.322916666664</v>
      </c>
      <c r="B228">
        <v>53</v>
      </c>
      <c r="C228" t="s">
        <v>65</v>
      </c>
      <c r="D228" t="s">
        <v>66</v>
      </c>
      <c r="E228">
        <v>1.46</v>
      </c>
      <c r="F228">
        <v>3.18</v>
      </c>
      <c r="G228" s="8">
        <f t="shared" si="3"/>
        <v>27.547169811320753</v>
      </c>
    </row>
    <row r="229" spans="1:7" x14ac:dyDescent="0.25">
      <c r="A229" s="5">
        <v>45809.322916666664</v>
      </c>
      <c r="B229">
        <v>54</v>
      </c>
      <c r="C229" t="s">
        <v>67</v>
      </c>
      <c r="D229" t="s">
        <v>68</v>
      </c>
      <c r="E229">
        <v>1.46</v>
      </c>
      <c r="F229">
        <v>2.17</v>
      </c>
      <c r="G229" s="8">
        <f t="shared" si="3"/>
        <v>40.368663594470043</v>
      </c>
    </row>
    <row r="230" spans="1:7" x14ac:dyDescent="0.25">
      <c r="A230" s="5">
        <v>45809.322916666664</v>
      </c>
      <c r="B230">
        <v>55</v>
      </c>
      <c r="C230" t="s">
        <v>68</v>
      </c>
      <c r="D230" t="s">
        <v>69</v>
      </c>
      <c r="E230">
        <v>1.5</v>
      </c>
      <c r="F230">
        <v>1.78</v>
      </c>
      <c r="G230" s="8">
        <f t="shared" si="3"/>
        <v>50.561797752808985</v>
      </c>
    </row>
    <row r="231" spans="1:7" x14ac:dyDescent="0.25">
      <c r="A231" s="5">
        <v>45809.322916666664</v>
      </c>
      <c r="B231">
        <v>56</v>
      </c>
      <c r="C231" t="s">
        <v>70</v>
      </c>
      <c r="D231" t="s">
        <v>71</v>
      </c>
      <c r="E231">
        <v>1.51</v>
      </c>
      <c r="F231">
        <v>3</v>
      </c>
      <c r="G231" s="8">
        <f t="shared" si="3"/>
        <v>30.2</v>
      </c>
    </row>
    <row r="232" spans="1:7" x14ac:dyDescent="0.25">
      <c r="A232" s="5">
        <v>45809.322916666664</v>
      </c>
      <c r="B232">
        <v>57</v>
      </c>
      <c r="C232" t="s">
        <v>71</v>
      </c>
      <c r="D232" t="s">
        <v>72</v>
      </c>
      <c r="E232">
        <v>1.52</v>
      </c>
      <c r="F232">
        <v>3.07</v>
      </c>
      <c r="G232" s="8">
        <f t="shared" si="3"/>
        <v>29.706840390879481</v>
      </c>
    </row>
    <row r="233" spans="1:7" x14ac:dyDescent="0.25">
      <c r="A233" s="5">
        <v>45809.322916666664</v>
      </c>
      <c r="B233">
        <v>58</v>
      </c>
      <c r="C233" t="s">
        <v>72</v>
      </c>
      <c r="D233" t="s">
        <v>73</v>
      </c>
      <c r="E233">
        <v>1.5</v>
      </c>
      <c r="F233">
        <v>2.92</v>
      </c>
      <c r="G233" s="8">
        <f t="shared" si="3"/>
        <v>30.82191780821918</v>
      </c>
    </row>
    <row r="234" spans="1:7" x14ac:dyDescent="0.25">
      <c r="A234" s="5">
        <v>45809.333333333336</v>
      </c>
      <c r="B234">
        <v>1</v>
      </c>
      <c r="C234" t="s">
        <v>6</v>
      </c>
      <c r="D234" t="s">
        <v>7</v>
      </c>
      <c r="E234">
        <v>1.53</v>
      </c>
      <c r="F234">
        <v>2.83</v>
      </c>
      <c r="G234" s="8">
        <f t="shared" si="3"/>
        <v>32.438162544169607</v>
      </c>
    </row>
    <row r="235" spans="1:7" x14ac:dyDescent="0.25">
      <c r="A235" s="5">
        <v>45809.333333333336</v>
      </c>
      <c r="B235">
        <v>2</v>
      </c>
      <c r="C235" t="s">
        <v>7</v>
      </c>
      <c r="D235" t="s">
        <v>8</v>
      </c>
      <c r="E235">
        <v>1.57</v>
      </c>
      <c r="F235">
        <v>3.78</v>
      </c>
      <c r="G235" s="8">
        <f t="shared" si="3"/>
        <v>24.920634920634921</v>
      </c>
    </row>
    <row r="236" spans="1:7" x14ac:dyDescent="0.25">
      <c r="A236" s="5">
        <v>45809.333333333336</v>
      </c>
      <c r="B236">
        <v>3</v>
      </c>
      <c r="C236" t="s">
        <v>8</v>
      </c>
      <c r="D236" t="s">
        <v>9</v>
      </c>
      <c r="E236">
        <v>1.5</v>
      </c>
      <c r="F236">
        <v>2.63</v>
      </c>
      <c r="G236" s="8">
        <f t="shared" si="3"/>
        <v>34.220532319391637</v>
      </c>
    </row>
    <row r="237" spans="1:7" x14ac:dyDescent="0.25">
      <c r="A237" s="5">
        <v>45809.333333333336</v>
      </c>
      <c r="B237">
        <v>4</v>
      </c>
      <c r="C237" t="s">
        <v>9</v>
      </c>
      <c r="D237" t="s">
        <v>10</v>
      </c>
      <c r="E237">
        <v>1.5</v>
      </c>
      <c r="F237">
        <v>2.48</v>
      </c>
      <c r="G237" s="8">
        <f t="shared" si="3"/>
        <v>36.29032258064516</v>
      </c>
    </row>
    <row r="238" spans="1:7" x14ac:dyDescent="0.25">
      <c r="A238" s="5">
        <v>45809.333333333336</v>
      </c>
      <c r="B238">
        <v>5</v>
      </c>
      <c r="C238" t="s">
        <v>10</v>
      </c>
      <c r="D238" t="s">
        <v>11</v>
      </c>
      <c r="E238">
        <v>1.52</v>
      </c>
      <c r="F238">
        <v>2.62</v>
      </c>
      <c r="G238" s="8">
        <f t="shared" si="3"/>
        <v>34.809160305343511</v>
      </c>
    </row>
    <row r="239" spans="1:7" x14ac:dyDescent="0.25">
      <c r="A239" s="5">
        <v>45809.333333333336</v>
      </c>
      <c r="B239">
        <v>6</v>
      </c>
      <c r="C239" t="s">
        <v>11</v>
      </c>
      <c r="D239" t="s">
        <v>12</v>
      </c>
      <c r="E239">
        <v>1.5</v>
      </c>
      <c r="F239">
        <v>2.27</v>
      </c>
      <c r="G239" s="8">
        <f t="shared" si="3"/>
        <v>39.647577092511014</v>
      </c>
    </row>
    <row r="240" spans="1:7" x14ac:dyDescent="0.25">
      <c r="A240" s="5">
        <v>45809.333333333336</v>
      </c>
      <c r="B240">
        <v>7</v>
      </c>
      <c r="C240" t="s">
        <v>12</v>
      </c>
      <c r="D240" t="s">
        <v>13</v>
      </c>
      <c r="E240">
        <v>1.54</v>
      </c>
      <c r="F240">
        <v>2.4500000000000002</v>
      </c>
      <c r="G240" s="8">
        <f t="shared" si="3"/>
        <v>37.714285714285715</v>
      </c>
    </row>
    <row r="241" spans="1:7" x14ac:dyDescent="0.25">
      <c r="A241" s="5">
        <v>45809.333333333336</v>
      </c>
      <c r="B241">
        <v>8</v>
      </c>
      <c r="C241" t="s">
        <v>13</v>
      </c>
      <c r="D241" t="s">
        <v>14</v>
      </c>
      <c r="E241">
        <v>1.54</v>
      </c>
      <c r="F241">
        <v>2.72</v>
      </c>
      <c r="G241" s="8">
        <f t="shared" si="3"/>
        <v>33.970588235294116</v>
      </c>
    </row>
    <row r="242" spans="1:7" x14ac:dyDescent="0.25">
      <c r="A242" s="5">
        <v>45809.333333333336</v>
      </c>
      <c r="B242">
        <v>9</v>
      </c>
      <c r="C242" t="s">
        <v>14</v>
      </c>
      <c r="D242" t="s">
        <v>15</v>
      </c>
      <c r="E242">
        <v>1.52</v>
      </c>
      <c r="F242">
        <v>2.6</v>
      </c>
      <c r="G242" s="8">
        <f t="shared" si="3"/>
        <v>35.07692307692308</v>
      </c>
    </row>
    <row r="243" spans="1:7" x14ac:dyDescent="0.25">
      <c r="A243" s="5">
        <v>45809.333333333336</v>
      </c>
      <c r="B243">
        <v>10</v>
      </c>
      <c r="C243" t="s">
        <v>15</v>
      </c>
      <c r="D243" t="s">
        <v>16</v>
      </c>
      <c r="E243">
        <v>1.5</v>
      </c>
      <c r="F243">
        <v>2.68</v>
      </c>
      <c r="G243" s="8">
        <f t="shared" si="3"/>
        <v>33.582089552238806</v>
      </c>
    </row>
    <row r="244" spans="1:7" x14ac:dyDescent="0.25">
      <c r="A244" s="5">
        <v>45809.333333333336</v>
      </c>
      <c r="B244">
        <v>11</v>
      </c>
      <c r="C244" t="s">
        <v>16</v>
      </c>
      <c r="D244" t="s">
        <v>17</v>
      </c>
      <c r="E244">
        <v>1.48</v>
      </c>
      <c r="F244">
        <v>2.23</v>
      </c>
      <c r="G244" s="8">
        <f t="shared" si="3"/>
        <v>39.820627802690581</v>
      </c>
    </row>
    <row r="245" spans="1:7" x14ac:dyDescent="0.25">
      <c r="A245" s="5">
        <v>45809.333333333336</v>
      </c>
      <c r="B245">
        <v>12</v>
      </c>
      <c r="C245" t="s">
        <v>17</v>
      </c>
      <c r="D245" t="s">
        <v>18</v>
      </c>
      <c r="E245">
        <v>1.46</v>
      </c>
      <c r="F245">
        <v>2.63</v>
      </c>
      <c r="G245" s="8">
        <f t="shared" si="3"/>
        <v>33.307984790874521</v>
      </c>
    </row>
    <row r="246" spans="1:7" x14ac:dyDescent="0.25">
      <c r="A246" s="5">
        <v>45809.333333333336</v>
      </c>
      <c r="B246">
        <v>13</v>
      </c>
      <c r="C246" t="s">
        <v>18</v>
      </c>
      <c r="D246" t="s">
        <v>19</v>
      </c>
      <c r="E246">
        <v>1.52</v>
      </c>
      <c r="F246">
        <v>2.63</v>
      </c>
      <c r="G246" s="8">
        <f t="shared" si="3"/>
        <v>34.676806083650192</v>
      </c>
    </row>
    <row r="247" spans="1:7" x14ac:dyDescent="0.25">
      <c r="A247" s="5">
        <v>45809.333333333336</v>
      </c>
      <c r="B247">
        <v>14</v>
      </c>
      <c r="C247" t="s">
        <v>19</v>
      </c>
      <c r="D247" t="s">
        <v>20</v>
      </c>
      <c r="E247">
        <v>1.51</v>
      </c>
      <c r="F247">
        <v>2.72</v>
      </c>
      <c r="G247" s="8">
        <f t="shared" si="3"/>
        <v>33.308823529411761</v>
      </c>
    </row>
    <row r="248" spans="1:7" x14ac:dyDescent="0.25">
      <c r="A248" s="5">
        <v>45809.333333333336</v>
      </c>
      <c r="B248">
        <v>15</v>
      </c>
      <c r="C248" t="s">
        <v>20</v>
      </c>
      <c r="D248" t="s">
        <v>21</v>
      </c>
      <c r="E248">
        <v>1.47</v>
      </c>
      <c r="F248">
        <v>1.93</v>
      </c>
      <c r="G248" s="8">
        <f t="shared" si="3"/>
        <v>45.69948186528498</v>
      </c>
    </row>
    <row r="249" spans="1:7" x14ac:dyDescent="0.25">
      <c r="A249" s="5">
        <v>45809.333333333336</v>
      </c>
      <c r="B249">
        <v>16</v>
      </c>
      <c r="C249" t="s">
        <v>21</v>
      </c>
      <c r="D249" t="s">
        <v>22</v>
      </c>
      <c r="E249">
        <v>1.5</v>
      </c>
      <c r="F249">
        <v>1.7</v>
      </c>
      <c r="G249" s="8">
        <f t="shared" si="3"/>
        <v>52.941176470588239</v>
      </c>
    </row>
    <row r="250" spans="1:7" x14ac:dyDescent="0.25">
      <c r="A250" s="5">
        <v>45809.333333333336</v>
      </c>
      <c r="B250">
        <v>17</v>
      </c>
      <c r="C250" t="s">
        <v>22</v>
      </c>
      <c r="D250" t="s">
        <v>23</v>
      </c>
      <c r="E250">
        <v>1.51</v>
      </c>
      <c r="F250">
        <v>2.2000000000000002</v>
      </c>
      <c r="G250" s="8">
        <f t="shared" si="3"/>
        <v>41.181818181818173</v>
      </c>
    </row>
    <row r="251" spans="1:7" x14ac:dyDescent="0.25">
      <c r="A251" s="5">
        <v>45809.333333333336</v>
      </c>
      <c r="B251">
        <v>18</v>
      </c>
      <c r="C251" t="s">
        <v>23</v>
      </c>
      <c r="D251" t="s">
        <v>24</v>
      </c>
      <c r="E251">
        <v>1.51</v>
      </c>
      <c r="F251">
        <v>2.42</v>
      </c>
      <c r="G251" s="8">
        <f t="shared" si="3"/>
        <v>37.438016528925615</v>
      </c>
    </row>
    <row r="252" spans="1:7" x14ac:dyDescent="0.25">
      <c r="A252" s="5">
        <v>45809.333333333336</v>
      </c>
      <c r="B252">
        <v>19</v>
      </c>
      <c r="C252" t="s">
        <v>25</v>
      </c>
      <c r="D252" t="s">
        <v>26</v>
      </c>
      <c r="E252">
        <v>1.5</v>
      </c>
      <c r="F252">
        <v>2.92</v>
      </c>
      <c r="G252" s="8">
        <f t="shared" si="3"/>
        <v>30.82191780821918</v>
      </c>
    </row>
    <row r="253" spans="1:7" x14ac:dyDescent="0.25">
      <c r="A253" s="5">
        <v>45809.333333333336</v>
      </c>
      <c r="B253">
        <v>20</v>
      </c>
      <c r="C253" t="s">
        <v>26</v>
      </c>
      <c r="D253" t="s">
        <v>27</v>
      </c>
      <c r="E253">
        <v>1.48</v>
      </c>
      <c r="F253">
        <v>2.83</v>
      </c>
      <c r="G253" s="8">
        <f t="shared" si="3"/>
        <v>31.378091872791519</v>
      </c>
    </row>
    <row r="254" spans="1:7" x14ac:dyDescent="0.25">
      <c r="A254" s="5">
        <v>45809.333333333336</v>
      </c>
      <c r="B254">
        <v>21</v>
      </c>
      <c r="C254" t="s">
        <v>27</v>
      </c>
      <c r="D254" t="s">
        <v>28</v>
      </c>
      <c r="E254">
        <v>1.51</v>
      </c>
      <c r="F254">
        <v>2.5</v>
      </c>
      <c r="G254" s="8">
        <f t="shared" si="3"/>
        <v>36.239999999999995</v>
      </c>
    </row>
    <row r="255" spans="1:7" x14ac:dyDescent="0.25">
      <c r="A255" s="5">
        <v>45809.333333333336</v>
      </c>
      <c r="B255">
        <v>22</v>
      </c>
      <c r="C255" t="s">
        <v>28</v>
      </c>
      <c r="D255" t="s">
        <v>29</v>
      </c>
      <c r="E255">
        <v>1.57</v>
      </c>
      <c r="F255">
        <v>2.85</v>
      </c>
      <c r="G255" s="8">
        <f t="shared" si="3"/>
        <v>33.05263157894737</v>
      </c>
    </row>
    <row r="256" spans="1:7" x14ac:dyDescent="0.25">
      <c r="A256" s="5">
        <v>45809.333333333336</v>
      </c>
      <c r="B256">
        <v>23</v>
      </c>
      <c r="C256" t="s">
        <v>29</v>
      </c>
      <c r="D256" t="s">
        <v>30</v>
      </c>
      <c r="E256">
        <v>1.43</v>
      </c>
      <c r="F256">
        <v>2.5299999999999998</v>
      </c>
      <c r="G256" s="8">
        <f t="shared" si="3"/>
        <v>33.913043478260875</v>
      </c>
    </row>
    <row r="257" spans="1:7" x14ac:dyDescent="0.25">
      <c r="A257" s="5">
        <v>45809.333333333336</v>
      </c>
      <c r="B257">
        <v>24</v>
      </c>
      <c r="C257" t="s">
        <v>30</v>
      </c>
      <c r="D257" t="s">
        <v>31</v>
      </c>
      <c r="E257">
        <v>1.52</v>
      </c>
      <c r="F257">
        <v>2.62</v>
      </c>
      <c r="G257" s="8">
        <f t="shared" si="3"/>
        <v>34.809160305343511</v>
      </c>
    </row>
    <row r="258" spans="1:7" x14ac:dyDescent="0.25">
      <c r="A258" s="5">
        <v>45809.333333333336</v>
      </c>
      <c r="B258">
        <v>25</v>
      </c>
      <c r="C258" t="s">
        <v>31</v>
      </c>
      <c r="D258" t="s">
        <v>32</v>
      </c>
      <c r="E258">
        <v>1.52</v>
      </c>
      <c r="F258">
        <v>2.97</v>
      </c>
      <c r="G258" s="8">
        <f t="shared" si="3"/>
        <v>30.707070707070706</v>
      </c>
    </row>
    <row r="259" spans="1:7" x14ac:dyDescent="0.25">
      <c r="A259" s="5">
        <v>45809.333333333336</v>
      </c>
      <c r="B259">
        <v>26</v>
      </c>
      <c r="C259" t="s">
        <v>32</v>
      </c>
      <c r="D259" t="s">
        <v>33</v>
      </c>
      <c r="E259">
        <v>1.49</v>
      </c>
      <c r="F259">
        <v>2.87</v>
      </c>
      <c r="G259" s="8">
        <f t="shared" ref="G259:G322" si="4">E259*60/F259</f>
        <v>31.149825783972126</v>
      </c>
    </row>
    <row r="260" spans="1:7" x14ac:dyDescent="0.25">
      <c r="A260" s="5">
        <v>45809.333333333336</v>
      </c>
      <c r="B260">
        <v>27</v>
      </c>
      <c r="C260" t="s">
        <v>33</v>
      </c>
      <c r="D260" t="s">
        <v>34</v>
      </c>
      <c r="E260">
        <v>1.53</v>
      </c>
      <c r="F260">
        <v>2.78</v>
      </c>
      <c r="G260" s="8">
        <f t="shared" si="4"/>
        <v>33.021582733812949</v>
      </c>
    </row>
    <row r="261" spans="1:7" x14ac:dyDescent="0.25">
      <c r="A261" s="5">
        <v>45809.333333333336</v>
      </c>
      <c r="B261">
        <v>28</v>
      </c>
      <c r="C261" t="s">
        <v>34</v>
      </c>
      <c r="D261" t="s">
        <v>35</v>
      </c>
      <c r="E261">
        <v>1.51</v>
      </c>
      <c r="F261">
        <v>3.22</v>
      </c>
      <c r="G261" s="8">
        <f t="shared" si="4"/>
        <v>28.136645962732917</v>
      </c>
    </row>
    <row r="262" spans="1:7" x14ac:dyDescent="0.25">
      <c r="A262" s="5">
        <v>45809.333333333336</v>
      </c>
      <c r="B262">
        <v>29</v>
      </c>
      <c r="C262" t="s">
        <v>36</v>
      </c>
      <c r="D262" t="s">
        <v>37</v>
      </c>
      <c r="E262">
        <v>1.57</v>
      </c>
      <c r="F262">
        <v>2.68</v>
      </c>
      <c r="G262" s="8">
        <f t="shared" si="4"/>
        <v>35.149253731343279</v>
      </c>
    </row>
    <row r="263" spans="1:7" x14ac:dyDescent="0.25">
      <c r="A263" s="5">
        <v>45809.333333333336</v>
      </c>
      <c r="B263">
        <v>30</v>
      </c>
      <c r="C263" t="s">
        <v>37</v>
      </c>
      <c r="D263" t="s">
        <v>38</v>
      </c>
      <c r="E263">
        <v>1.57</v>
      </c>
      <c r="F263">
        <v>3</v>
      </c>
      <c r="G263" s="8">
        <f t="shared" si="4"/>
        <v>31.400000000000002</v>
      </c>
    </row>
    <row r="264" spans="1:7" x14ac:dyDescent="0.25">
      <c r="A264" s="5">
        <v>45809.333333333336</v>
      </c>
      <c r="B264">
        <v>31</v>
      </c>
      <c r="C264" t="s">
        <v>38</v>
      </c>
      <c r="D264" t="s">
        <v>39</v>
      </c>
      <c r="E264">
        <v>1.52</v>
      </c>
      <c r="F264">
        <v>2.35</v>
      </c>
      <c r="G264" s="8">
        <f t="shared" si="4"/>
        <v>38.808510638297875</v>
      </c>
    </row>
    <row r="265" spans="1:7" x14ac:dyDescent="0.25">
      <c r="A265" s="5">
        <v>45809.333333333336</v>
      </c>
      <c r="B265">
        <v>32</v>
      </c>
      <c r="C265" t="s">
        <v>39</v>
      </c>
      <c r="D265" t="s">
        <v>40</v>
      </c>
      <c r="E265">
        <v>1.5</v>
      </c>
      <c r="F265">
        <v>1.62</v>
      </c>
      <c r="G265" s="8">
        <f t="shared" si="4"/>
        <v>55.55555555555555</v>
      </c>
    </row>
    <row r="266" spans="1:7" x14ac:dyDescent="0.25">
      <c r="A266" s="5">
        <v>45809.333333333336</v>
      </c>
      <c r="B266">
        <v>33</v>
      </c>
      <c r="C266" t="s">
        <v>40</v>
      </c>
      <c r="D266" t="s">
        <v>41</v>
      </c>
      <c r="E266">
        <v>1.51</v>
      </c>
      <c r="F266">
        <v>1.63</v>
      </c>
      <c r="G266" s="8">
        <f t="shared" si="4"/>
        <v>55.582822085889568</v>
      </c>
    </row>
    <row r="267" spans="1:7" x14ac:dyDescent="0.25">
      <c r="A267" s="5">
        <v>45809.333333333336</v>
      </c>
      <c r="B267">
        <v>34</v>
      </c>
      <c r="C267" t="s">
        <v>41</v>
      </c>
      <c r="D267" t="s">
        <v>42</v>
      </c>
      <c r="E267">
        <v>1.5</v>
      </c>
      <c r="F267">
        <v>1.65</v>
      </c>
      <c r="G267" s="8">
        <f t="shared" si="4"/>
        <v>54.545454545454547</v>
      </c>
    </row>
    <row r="268" spans="1:7" x14ac:dyDescent="0.25">
      <c r="A268" s="5">
        <v>45809.333333333336</v>
      </c>
      <c r="B268">
        <v>35</v>
      </c>
      <c r="C268" t="s">
        <v>43</v>
      </c>
      <c r="D268" t="s">
        <v>44</v>
      </c>
      <c r="E268">
        <v>1.55</v>
      </c>
      <c r="F268">
        <v>2.95</v>
      </c>
      <c r="G268" s="8">
        <f t="shared" si="4"/>
        <v>31.525423728813557</v>
      </c>
    </row>
    <row r="269" spans="1:7" x14ac:dyDescent="0.25">
      <c r="A269" s="5">
        <v>45809.333333333336</v>
      </c>
      <c r="B269">
        <v>36</v>
      </c>
      <c r="C269" t="s">
        <v>44</v>
      </c>
      <c r="D269" t="s">
        <v>45</v>
      </c>
      <c r="E269">
        <v>1.5</v>
      </c>
      <c r="F269">
        <v>2.4500000000000002</v>
      </c>
      <c r="G269" s="8">
        <f t="shared" si="4"/>
        <v>36.734693877551017</v>
      </c>
    </row>
    <row r="270" spans="1:7" x14ac:dyDescent="0.25">
      <c r="A270" s="5">
        <v>45809.333333333336</v>
      </c>
      <c r="B270">
        <v>37</v>
      </c>
      <c r="C270" t="s">
        <v>45</v>
      </c>
      <c r="D270" t="s">
        <v>46</v>
      </c>
      <c r="E270">
        <v>1.38</v>
      </c>
      <c r="F270">
        <v>3.18</v>
      </c>
      <c r="G270" s="8">
        <f t="shared" si="4"/>
        <v>26.037735849056602</v>
      </c>
    </row>
    <row r="271" spans="1:7" x14ac:dyDescent="0.25">
      <c r="A271" s="5">
        <v>45809.333333333336</v>
      </c>
      <c r="B271">
        <v>38</v>
      </c>
      <c r="C271" t="s">
        <v>46</v>
      </c>
      <c r="D271" t="s">
        <v>47</v>
      </c>
      <c r="E271">
        <v>1.61</v>
      </c>
      <c r="F271">
        <v>3.3</v>
      </c>
      <c r="G271" s="8">
        <f t="shared" si="4"/>
        <v>29.272727272727277</v>
      </c>
    </row>
    <row r="272" spans="1:7" x14ac:dyDescent="0.25">
      <c r="A272" s="5">
        <v>45809.333333333336</v>
      </c>
      <c r="B272">
        <v>39</v>
      </c>
      <c r="C272" t="s">
        <v>47</v>
      </c>
      <c r="D272" t="s">
        <v>48</v>
      </c>
      <c r="E272">
        <v>1.55</v>
      </c>
      <c r="F272">
        <v>2.92</v>
      </c>
      <c r="G272" s="8">
        <f t="shared" si="4"/>
        <v>31.849315068493151</v>
      </c>
    </row>
    <row r="273" spans="1:7" x14ac:dyDescent="0.25">
      <c r="A273" s="5">
        <v>45809.333333333336</v>
      </c>
      <c r="B273">
        <v>40</v>
      </c>
      <c r="C273" t="s">
        <v>48</v>
      </c>
      <c r="D273" t="s">
        <v>49</v>
      </c>
      <c r="E273">
        <v>1.39</v>
      </c>
      <c r="F273">
        <v>2.52</v>
      </c>
      <c r="G273" s="8">
        <f t="shared" si="4"/>
        <v>33.095238095238095</v>
      </c>
    </row>
    <row r="274" spans="1:7" x14ac:dyDescent="0.25">
      <c r="A274" s="5">
        <v>45809.333333333336</v>
      </c>
      <c r="B274">
        <v>41</v>
      </c>
      <c r="C274" t="s">
        <v>50</v>
      </c>
      <c r="D274" t="s">
        <v>51</v>
      </c>
      <c r="E274">
        <v>1.56</v>
      </c>
      <c r="F274">
        <v>3.08</v>
      </c>
      <c r="G274" s="8">
        <f t="shared" si="4"/>
        <v>30.389610389610393</v>
      </c>
    </row>
    <row r="275" spans="1:7" x14ac:dyDescent="0.25">
      <c r="A275" s="5">
        <v>45809.333333333336</v>
      </c>
      <c r="B275">
        <v>42</v>
      </c>
      <c r="C275" t="s">
        <v>51</v>
      </c>
      <c r="D275" t="s">
        <v>52</v>
      </c>
      <c r="E275">
        <v>1.56</v>
      </c>
      <c r="F275">
        <v>3.27</v>
      </c>
      <c r="G275" s="8">
        <f t="shared" si="4"/>
        <v>28.623853211009177</v>
      </c>
    </row>
    <row r="276" spans="1:7" x14ac:dyDescent="0.25">
      <c r="A276" s="5">
        <v>45809.333333333336</v>
      </c>
      <c r="B276">
        <v>43</v>
      </c>
      <c r="C276" t="s">
        <v>52</v>
      </c>
      <c r="D276" t="s">
        <v>53</v>
      </c>
      <c r="E276">
        <v>1.51</v>
      </c>
      <c r="F276">
        <v>2.83</v>
      </c>
      <c r="G276" s="8">
        <f t="shared" si="4"/>
        <v>32.014134275618375</v>
      </c>
    </row>
    <row r="277" spans="1:7" x14ac:dyDescent="0.25">
      <c r="A277" s="5">
        <v>45809.333333333336</v>
      </c>
      <c r="B277">
        <v>44</v>
      </c>
      <c r="C277" t="s">
        <v>54</v>
      </c>
      <c r="D277" t="s">
        <v>55</v>
      </c>
      <c r="E277">
        <v>1.51</v>
      </c>
      <c r="F277">
        <v>3.67</v>
      </c>
      <c r="G277" s="8">
        <f t="shared" si="4"/>
        <v>24.686648501362395</v>
      </c>
    </row>
    <row r="278" spans="1:7" x14ac:dyDescent="0.25">
      <c r="A278" s="5">
        <v>45809.333333333336</v>
      </c>
      <c r="B278">
        <v>45</v>
      </c>
      <c r="C278" t="s">
        <v>55</v>
      </c>
      <c r="D278" t="s">
        <v>56</v>
      </c>
      <c r="E278">
        <v>1.49</v>
      </c>
      <c r="F278">
        <v>2.77</v>
      </c>
      <c r="G278" s="8">
        <f t="shared" si="4"/>
        <v>32.274368231046935</v>
      </c>
    </row>
    <row r="279" spans="1:7" x14ac:dyDescent="0.25">
      <c r="A279" s="5">
        <v>45809.333333333336</v>
      </c>
      <c r="B279">
        <v>46</v>
      </c>
      <c r="C279" t="s">
        <v>56</v>
      </c>
      <c r="D279" t="s">
        <v>57</v>
      </c>
      <c r="E279">
        <v>1.52</v>
      </c>
      <c r="F279">
        <v>3.17</v>
      </c>
      <c r="G279" s="8">
        <f t="shared" si="4"/>
        <v>28.769716088328078</v>
      </c>
    </row>
    <row r="280" spans="1:7" x14ac:dyDescent="0.25">
      <c r="A280" s="5">
        <v>45809.333333333336</v>
      </c>
      <c r="B280">
        <v>47</v>
      </c>
      <c r="C280" t="s">
        <v>58</v>
      </c>
      <c r="D280" t="s">
        <v>59</v>
      </c>
      <c r="E280">
        <v>1.52</v>
      </c>
      <c r="F280">
        <v>2.98</v>
      </c>
      <c r="G280" s="8">
        <f t="shared" si="4"/>
        <v>30.604026845637584</v>
      </c>
    </row>
    <row r="281" spans="1:7" x14ac:dyDescent="0.25">
      <c r="A281" s="5">
        <v>45809.333333333336</v>
      </c>
      <c r="B281">
        <v>48</v>
      </c>
      <c r="C281" t="s">
        <v>59</v>
      </c>
      <c r="D281" t="s">
        <v>60</v>
      </c>
      <c r="E281">
        <v>1.5</v>
      </c>
      <c r="F281">
        <v>3.08</v>
      </c>
      <c r="G281" s="8">
        <f t="shared" si="4"/>
        <v>29.220779220779221</v>
      </c>
    </row>
    <row r="282" spans="1:7" x14ac:dyDescent="0.25">
      <c r="A282" s="5">
        <v>45809.333333333336</v>
      </c>
      <c r="B282">
        <v>49</v>
      </c>
      <c r="C282" t="s">
        <v>60</v>
      </c>
      <c r="D282" t="s">
        <v>61</v>
      </c>
      <c r="E282">
        <v>1.54</v>
      </c>
      <c r="F282">
        <v>3.03</v>
      </c>
      <c r="G282" s="8">
        <f t="shared" si="4"/>
        <v>30.495049504950497</v>
      </c>
    </row>
    <row r="283" spans="1:7" x14ac:dyDescent="0.25">
      <c r="A283" s="5">
        <v>45809.333333333336</v>
      </c>
      <c r="B283">
        <v>50</v>
      </c>
      <c r="C283" t="s">
        <v>62</v>
      </c>
      <c r="D283" t="s">
        <v>63</v>
      </c>
      <c r="E283">
        <v>1.38</v>
      </c>
      <c r="F283">
        <v>2.73</v>
      </c>
      <c r="G283" s="8">
        <f t="shared" si="4"/>
        <v>30.329670329670328</v>
      </c>
    </row>
    <row r="284" spans="1:7" x14ac:dyDescent="0.25">
      <c r="A284" s="5">
        <v>45809.333333333336</v>
      </c>
      <c r="B284">
        <v>51</v>
      </c>
      <c r="C284" t="s">
        <v>63</v>
      </c>
      <c r="D284" t="s">
        <v>64</v>
      </c>
      <c r="E284">
        <v>2.79</v>
      </c>
      <c r="F284">
        <v>4.75</v>
      </c>
      <c r="G284" s="8">
        <f t="shared" si="4"/>
        <v>35.242105263157896</v>
      </c>
    </row>
    <row r="285" spans="1:7" x14ac:dyDescent="0.25">
      <c r="A285" s="5">
        <v>45809.333333333336</v>
      </c>
      <c r="B285">
        <v>52</v>
      </c>
      <c r="C285" t="s">
        <v>64</v>
      </c>
      <c r="D285" t="s">
        <v>65</v>
      </c>
      <c r="E285">
        <v>1.5</v>
      </c>
      <c r="F285">
        <v>2.67</v>
      </c>
      <c r="G285" s="8">
        <f t="shared" si="4"/>
        <v>33.707865168539328</v>
      </c>
    </row>
    <row r="286" spans="1:7" x14ac:dyDescent="0.25">
      <c r="A286" s="5">
        <v>45809.333333333336</v>
      </c>
      <c r="B286">
        <v>53</v>
      </c>
      <c r="C286" t="s">
        <v>65</v>
      </c>
      <c r="D286" t="s">
        <v>66</v>
      </c>
      <c r="E286">
        <v>1.46</v>
      </c>
      <c r="F286">
        <v>3.1</v>
      </c>
      <c r="G286" s="8">
        <f t="shared" si="4"/>
        <v>28.258064516129028</v>
      </c>
    </row>
    <row r="287" spans="1:7" x14ac:dyDescent="0.25">
      <c r="A287" s="5">
        <v>45809.333333333336</v>
      </c>
      <c r="B287">
        <v>54</v>
      </c>
      <c r="C287" t="s">
        <v>67</v>
      </c>
      <c r="D287" t="s">
        <v>68</v>
      </c>
      <c r="E287">
        <v>1.46</v>
      </c>
      <c r="F287">
        <v>1.98</v>
      </c>
      <c r="G287" s="8">
        <f t="shared" si="4"/>
        <v>44.242424242424242</v>
      </c>
    </row>
    <row r="288" spans="1:7" x14ac:dyDescent="0.25">
      <c r="A288" s="5">
        <v>45809.333333333336</v>
      </c>
      <c r="B288">
        <v>55</v>
      </c>
      <c r="C288" t="s">
        <v>68</v>
      </c>
      <c r="D288" t="s">
        <v>69</v>
      </c>
      <c r="E288">
        <v>1.5</v>
      </c>
      <c r="F288">
        <v>1.82</v>
      </c>
      <c r="G288" s="8">
        <f t="shared" si="4"/>
        <v>49.450549450549445</v>
      </c>
    </row>
    <row r="289" spans="1:7" x14ac:dyDescent="0.25">
      <c r="A289" s="5">
        <v>45809.333333333336</v>
      </c>
      <c r="B289">
        <v>56</v>
      </c>
      <c r="C289" t="s">
        <v>70</v>
      </c>
      <c r="D289" t="s">
        <v>71</v>
      </c>
      <c r="E289">
        <v>1.51</v>
      </c>
      <c r="F289">
        <v>2.85</v>
      </c>
      <c r="G289" s="8">
        <f t="shared" si="4"/>
        <v>31.789473684210524</v>
      </c>
    </row>
    <row r="290" spans="1:7" x14ac:dyDescent="0.25">
      <c r="A290" s="5">
        <v>45809.333333333336</v>
      </c>
      <c r="B290">
        <v>57</v>
      </c>
      <c r="C290" t="s">
        <v>71</v>
      </c>
      <c r="D290" t="s">
        <v>72</v>
      </c>
      <c r="E290">
        <v>1.52</v>
      </c>
      <c r="F290">
        <v>3.13</v>
      </c>
      <c r="G290" s="8">
        <f t="shared" si="4"/>
        <v>29.137380191693293</v>
      </c>
    </row>
    <row r="291" spans="1:7" x14ac:dyDescent="0.25">
      <c r="A291" s="5">
        <v>45809.333333333336</v>
      </c>
      <c r="B291">
        <v>58</v>
      </c>
      <c r="C291" t="s">
        <v>72</v>
      </c>
      <c r="D291" t="s">
        <v>73</v>
      </c>
      <c r="E291">
        <v>1.5</v>
      </c>
      <c r="F291">
        <v>2.95</v>
      </c>
      <c r="G291" s="8">
        <f t="shared" si="4"/>
        <v>30.508474576271183</v>
      </c>
    </row>
    <row r="292" spans="1:7" x14ac:dyDescent="0.25">
      <c r="A292" s="5">
        <v>45809.34375</v>
      </c>
      <c r="B292">
        <v>1</v>
      </c>
      <c r="C292" t="s">
        <v>6</v>
      </c>
      <c r="D292" t="s">
        <v>7</v>
      </c>
      <c r="E292">
        <v>1.53</v>
      </c>
      <c r="F292">
        <v>2.72</v>
      </c>
      <c r="G292" s="8">
        <f t="shared" si="4"/>
        <v>33.75</v>
      </c>
    </row>
    <row r="293" spans="1:7" x14ac:dyDescent="0.25">
      <c r="A293" s="5">
        <v>45809.34375</v>
      </c>
      <c r="B293">
        <v>2</v>
      </c>
      <c r="C293" t="s">
        <v>7</v>
      </c>
      <c r="D293" t="s">
        <v>8</v>
      </c>
      <c r="E293">
        <v>1.57</v>
      </c>
      <c r="F293">
        <v>3.85</v>
      </c>
      <c r="G293" s="8">
        <f t="shared" si="4"/>
        <v>24.467532467532468</v>
      </c>
    </row>
    <row r="294" spans="1:7" x14ac:dyDescent="0.25">
      <c r="A294" s="5">
        <v>45809.34375</v>
      </c>
      <c r="B294">
        <v>3</v>
      </c>
      <c r="C294" t="s">
        <v>8</v>
      </c>
      <c r="D294" t="s">
        <v>9</v>
      </c>
      <c r="E294">
        <v>1.5</v>
      </c>
      <c r="F294">
        <v>2.6</v>
      </c>
      <c r="G294" s="8">
        <f t="shared" si="4"/>
        <v>34.615384615384613</v>
      </c>
    </row>
    <row r="295" spans="1:7" x14ac:dyDescent="0.25">
      <c r="A295" s="5">
        <v>45809.34375</v>
      </c>
      <c r="B295">
        <v>4</v>
      </c>
      <c r="C295" t="s">
        <v>9</v>
      </c>
      <c r="D295" t="s">
        <v>10</v>
      </c>
      <c r="E295">
        <v>1.5</v>
      </c>
      <c r="F295">
        <v>2.35</v>
      </c>
      <c r="G295" s="8">
        <f t="shared" si="4"/>
        <v>38.297872340425528</v>
      </c>
    </row>
    <row r="296" spans="1:7" x14ac:dyDescent="0.25">
      <c r="A296" s="5">
        <v>45809.34375</v>
      </c>
      <c r="B296">
        <v>5</v>
      </c>
      <c r="C296" t="s">
        <v>10</v>
      </c>
      <c r="D296" t="s">
        <v>11</v>
      </c>
      <c r="E296">
        <v>1.52</v>
      </c>
      <c r="F296">
        <v>2.63</v>
      </c>
      <c r="G296" s="8">
        <f t="shared" si="4"/>
        <v>34.676806083650192</v>
      </c>
    </row>
    <row r="297" spans="1:7" x14ac:dyDescent="0.25">
      <c r="A297" s="5">
        <v>45809.34375</v>
      </c>
      <c r="B297">
        <v>6</v>
      </c>
      <c r="C297" t="s">
        <v>11</v>
      </c>
      <c r="D297" t="s">
        <v>12</v>
      </c>
      <c r="E297">
        <v>1.5</v>
      </c>
      <c r="F297">
        <v>2.2999999999999998</v>
      </c>
      <c r="G297" s="8">
        <f t="shared" si="4"/>
        <v>39.130434782608695</v>
      </c>
    </row>
    <row r="298" spans="1:7" x14ac:dyDescent="0.25">
      <c r="A298" s="5">
        <v>45809.34375</v>
      </c>
      <c r="B298">
        <v>7</v>
      </c>
      <c r="C298" t="s">
        <v>12</v>
      </c>
      <c r="D298" t="s">
        <v>13</v>
      </c>
      <c r="E298">
        <v>1.54</v>
      </c>
      <c r="F298">
        <v>2.4</v>
      </c>
      <c r="G298" s="8">
        <f t="shared" si="4"/>
        <v>38.500000000000007</v>
      </c>
    </row>
    <row r="299" spans="1:7" x14ac:dyDescent="0.25">
      <c r="A299" s="5">
        <v>45809.34375</v>
      </c>
      <c r="B299">
        <v>8</v>
      </c>
      <c r="C299" t="s">
        <v>13</v>
      </c>
      <c r="D299" t="s">
        <v>14</v>
      </c>
      <c r="E299">
        <v>1.54</v>
      </c>
      <c r="F299">
        <v>2.77</v>
      </c>
      <c r="G299" s="8">
        <f t="shared" si="4"/>
        <v>33.357400722021666</v>
      </c>
    </row>
    <row r="300" spans="1:7" x14ac:dyDescent="0.25">
      <c r="A300" s="5">
        <v>45809.34375</v>
      </c>
      <c r="B300">
        <v>9</v>
      </c>
      <c r="C300" t="s">
        <v>14</v>
      </c>
      <c r="D300" t="s">
        <v>15</v>
      </c>
      <c r="E300">
        <v>1.52</v>
      </c>
      <c r="F300">
        <v>2.58</v>
      </c>
      <c r="G300" s="8">
        <f t="shared" si="4"/>
        <v>35.348837209302324</v>
      </c>
    </row>
    <row r="301" spans="1:7" x14ac:dyDescent="0.25">
      <c r="A301" s="5">
        <v>45809.34375</v>
      </c>
      <c r="B301">
        <v>10</v>
      </c>
      <c r="C301" t="s">
        <v>15</v>
      </c>
      <c r="D301" t="s">
        <v>16</v>
      </c>
      <c r="E301">
        <v>1.5</v>
      </c>
      <c r="F301">
        <v>2.73</v>
      </c>
      <c r="G301" s="8">
        <f t="shared" si="4"/>
        <v>32.967032967032971</v>
      </c>
    </row>
    <row r="302" spans="1:7" x14ac:dyDescent="0.25">
      <c r="A302" s="5">
        <v>45809.34375</v>
      </c>
      <c r="B302">
        <v>11</v>
      </c>
      <c r="C302" t="s">
        <v>16</v>
      </c>
      <c r="D302" t="s">
        <v>17</v>
      </c>
      <c r="E302">
        <v>1.48</v>
      </c>
      <c r="F302">
        <v>2.12</v>
      </c>
      <c r="G302" s="8">
        <f t="shared" si="4"/>
        <v>41.886792452830186</v>
      </c>
    </row>
    <row r="303" spans="1:7" x14ac:dyDescent="0.25">
      <c r="A303" s="5">
        <v>45809.34375</v>
      </c>
      <c r="B303">
        <v>12</v>
      </c>
      <c r="C303" t="s">
        <v>17</v>
      </c>
      <c r="D303" t="s">
        <v>18</v>
      </c>
      <c r="E303">
        <v>1.46</v>
      </c>
      <c r="F303">
        <v>2.57</v>
      </c>
      <c r="G303" s="8">
        <f t="shared" si="4"/>
        <v>34.085603112840467</v>
      </c>
    </row>
    <row r="304" spans="1:7" x14ac:dyDescent="0.25">
      <c r="A304" s="5">
        <v>45809.34375</v>
      </c>
      <c r="B304">
        <v>13</v>
      </c>
      <c r="C304" t="s">
        <v>18</v>
      </c>
      <c r="D304" t="s">
        <v>19</v>
      </c>
      <c r="E304">
        <v>1.52</v>
      </c>
      <c r="F304">
        <v>2.8</v>
      </c>
      <c r="G304" s="8">
        <f t="shared" si="4"/>
        <v>32.571428571428577</v>
      </c>
    </row>
    <row r="305" spans="1:7" x14ac:dyDescent="0.25">
      <c r="A305" s="5">
        <v>45809.34375</v>
      </c>
      <c r="B305">
        <v>14</v>
      </c>
      <c r="C305" t="s">
        <v>19</v>
      </c>
      <c r="D305" t="s">
        <v>20</v>
      </c>
      <c r="E305">
        <v>1.51</v>
      </c>
      <c r="F305">
        <v>2.75</v>
      </c>
      <c r="G305" s="8">
        <f t="shared" si="4"/>
        <v>32.945454545454545</v>
      </c>
    </row>
    <row r="306" spans="1:7" x14ac:dyDescent="0.25">
      <c r="A306" s="5">
        <v>45809.34375</v>
      </c>
      <c r="B306">
        <v>15</v>
      </c>
      <c r="C306" t="s">
        <v>20</v>
      </c>
      <c r="D306" t="s">
        <v>21</v>
      </c>
      <c r="E306">
        <v>1.47</v>
      </c>
      <c r="F306">
        <v>1.88</v>
      </c>
      <c r="G306" s="8">
        <f t="shared" si="4"/>
        <v>46.914893617021278</v>
      </c>
    </row>
    <row r="307" spans="1:7" x14ac:dyDescent="0.25">
      <c r="A307" s="5">
        <v>45809.34375</v>
      </c>
      <c r="B307">
        <v>16</v>
      </c>
      <c r="C307" t="s">
        <v>21</v>
      </c>
      <c r="D307" t="s">
        <v>22</v>
      </c>
      <c r="E307">
        <v>1.5</v>
      </c>
      <c r="F307">
        <v>1.67</v>
      </c>
      <c r="G307" s="8">
        <f t="shared" si="4"/>
        <v>53.892215568862277</v>
      </c>
    </row>
    <row r="308" spans="1:7" x14ac:dyDescent="0.25">
      <c r="A308" s="5">
        <v>45809.34375</v>
      </c>
      <c r="B308">
        <v>17</v>
      </c>
      <c r="C308" t="s">
        <v>22</v>
      </c>
      <c r="D308" t="s">
        <v>23</v>
      </c>
      <c r="E308">
        <v>1.51</v>
      </c>
      <c r="F308">
        <v>2.15</v>
      </c>
      <c r="G308" s="8">
        <f t="shared" si="4"/>
        <v>42.139534883720927</v>
      </c>
    </row>
    <row r="309" spans="1:7" x14ac:dyDescent="0.25">
      <c r="A309" s="5">
        <v>45809.34375</v>
      </c>
      <c r="B309">
        <v>18</v>
      </c>
      <c r="C309" t="s">
        <v>23</v>
      </c>
      <c r="D309" t="s">
        <v>24</v>
      </c>
      <c r="E309">
        <v>1.51</v>
      </c>
      <c r="F309">
        <v>2.4300000000000002</v>
      </c>
      <c r="G309" s="8">
        <f t="shared" si="4"/>
        <v>37.283950617283949</v>
      </c>
    </row>
    <row r="310" spans="1:7" x14ac:dyDescent="0.25">
      <c r="A310" s="5">
        <v>45809.34375</v>
      </c>
      <c r="B310">
        <v>19</v>
      </c>
      <c r="C310" t="s">
        <v>25</v>
      </c>
      <c r="D310" t="s">
        <v>26</v>
      </c>
      <c r="E310">
        <v>1.5</v>
      </c>
      <c r="F310">
        <v>3</v>
      </c>
      <c r="G310" s="8">
        <f t="shared" si="4"/>
        <v>30</v>
      </c>
    </row>
    <row r="311" spans="1:7" x14ac:dyDescent="0.25">
      <c r="A311" s="5">
        <v>45809.34375</v>
      </c>
      <c r="B311">
        <v>20</v>
      </c>
      <c r="C311" t="s">
        <v>26</v>
      </c>
      <c r="D311" t="s">
        <v>27</v>
      </c>
      <c r="E311">
        <v>1.48</v>
      </c>
      <c r="F311">
        <v>2.82</v>
      </c>
      <c r="G311" s="8">
        <f t="shared" si="4"/>
        <v>31.48936170212766</v>
      </c>
    </row>
    <row r="312" spans="1:7" x14ac:dyDescent="0.25">
      <c r="A312" s="5">
        <v>45809.34375</v>
      </c>
      <c r="B312">
        <v>21</v>
      </c>
      <c r="C312" t="s">
        <v>27</v>
      </c>
      <c r="D312" t="s">
        <v>28</v>
      </c>
      <c r="E312">
        <v>1.51</v>
      </c>
      <c r="F312">
        <v>2.63</v>
      </c>
      <c r="G312" s="8">
        <f t="shared" si="4"/>
        <v>34.448669201520914</v>
      </c>
    </row>
    <row r="313" spans="1:7" x14ac:dyDescent="0.25">
      <c r="A313" s="5">
        <v>45809.34375</v>
      </c>
      <c r="B313">
        <v>22</v>
      </c>
      <c r="C313" t="s">
        <v>28</v>
      </c>
      <c r="D313" t="s">
        <v>29</v>
      </c>
      <c r="E313">
        <v>1.57</v>
      </c>
      <c r="F313">
        <v>2.75</v>
      </c>
      <c r="G313" s="8">
        <f t="shared" si="4"/>
        <v>34.254545454545458</v>
      </c>
    </row>
    <row r="314" spans="1:7" x14ac:dyDescent="0.25">
      <c r="A314" s="5">
        <v>45809.34375</v>
      </c>
      <c r="B314">
        <v>23</v>
      </c>
      <c r="C314" t="s">
        <v>29</v>
      </c>
      <c r="D314" t="s">
        <v>30</v>
      </c>
      <c r="E314">
        <v>1.43</v>
      </c>
      <c r="F314">
        <v>2.68</v>
      </c>
      <c r="G314" s="8">
        <f t="shared" si="4"/>
        <v>32.014925373134325</v>
      </c>
    </row>
    <row r="315" spans="1:7" x14ac:dyDescent="0.25">
      <c r="A315" s="5">
        <v>45809.34375</v>
      </c>
      <c r="B315">
        <v>24</v>
      </c>
      <c r="C315" t="s">
        <v>30</v>
      </c>
      <c r="D315" t="s">
        <v>31</v>
      </c>
      <c r="E315">
        <v>1.52</v>
      </c>
      <c r="F315">
        <v>2.72</v>
      </c>
      <c r="G315" s="8">
        <f t="shared" si="4"/>
        <v>33.529411764705884</v>
      </c>
    </row>
    <row r="316" spans="1:7" x14ac:dyDescent="0.25">
      <c r="A316" s="5">
        <v>45809.34375</v>
      </c>
      <c r="B316">
        <v>25</v>
      </c>
      <c r="C316" t="s">
        <v>31</v>
      </c>
      <c r="D316" t="s">
        <v>32</v>
      </c>
      <c r="E316">
        <v>1.52</v>
      </c>
      <c r="F316">
        <v>2.98</v>
      </c>
      <c r="G316" s="8">
        <f t="shared" si="4"/>
        <v>30.604026845637584</v>
      </c>
    </row>
    <row r="317" spans="1:7" x14ac:dyDescent="0.25">
      <c r="A317" s="5">
        <v>45809.34375</v>
      </c>
      <c r="B317">
        <v>26</v>
      </c>
      <c r="C317" t="s">
        <v>32</v>
      </c>
      <c r="D317" t="s">
        <v>33</v>
      </c>
      <c r="E317">
        <v>1.49</v>
      </c>
      <c r="F317">
        <v>2.97</v>
      </c>
      <c r="G317" s="8">
        <f t="shared" si="4"/>
        <v>30.1010101010101</v>
      </c>
    </row>
    <row r="318" spans="1:7" x14ac:dyDescent="0.25">
      <c r="A318" s="5">
        <v>45809.34375</v>
      </c>
      <c r="B318">
        <v>27</v>
      </c>
      <c r="C318" t="s">
        <v>33</v>
      </c>
      <c r="D318" t="s">
        <v>34</v>
      </c>
      <c r="E318">
        <v>1.53</v>
      </c>
      <c r="F318">
        <v>2.85</v>
      </c>
      <c r="G318" s="8">
        <f t="shared" si="4"/>
        <v>32.210526315789473</v>
      </c>
    </row>
    <row r="319" spans="1:7" x14ac:dyDescent="0.25">
      <c r="A319" s="5">
        <v>45809.34375</v>
      </c>
      <c r="B319">
        <v>28</v>
      </c>
      <c r="C319" t="s">
        <v>34</v>
      </c>
      <c r="D319" t="s">
        <v>35</v>
      </c>
      <c r="E319">
        <v>1.51</v>
      </c>
      <c r="F319">
        <v>3.38</v>
      </c>
      <c r="G319" s="8">
        <f t="shared" si="4"/>
        <v>26.80473372781065</v>
      </c>
    </row>
    <row r="320" spans="1:7" x14ac:dyDescent="0.25">
      <c r="A320" s="5">
        <v>45809.34375</v>
      </c>
      <c r="B320">
        <v>29</v>
      </c>
      <c r="C320" t="s">
        <v>36</v>
      </c>
      <c r="D320" t="s">
        <v>37</v>
      </c>
      <c r="E320">
        <v>1.57</v>
      </c>
      <c r="F320">
        <v>2.88</v>
      </c>
      <c r="G320" s="8">
        <f t="shared" si="4"/>
        <v>32.708333333333336</v>
      </c>
    </row>
    <row r="321" spans="1:7" x14ac:dyDescent="0.25">
      <c r="A321" s="5">
        <v>45809.34375</v>
      </c>
      <c r="B321">
        <v>30</v>
      </c>
      <c r="C321" t="s">
        <v>37</v>
      </c>
      <c r="D321" t="s">
        <v>38</v>
      </c>
      <c r="E321">
        <v>1.57</v>
      </c>
      <c r="F321">
        <v>3.1</v>
      </c>
      <c r="G321" s="8">
        <f t="shared" si="4"/>
        <v>30.387096774193548</v>
      </c>
    </row>
    <row r="322" spans="1:7" x14ac:dyDescent="0.25">
      <c r="A322" s="5">
        <v>45809.34375</v>
      </c>
      <c r="B322">
        <v>31</v>
      </c>
      <c r="C322" t="s">
        <v>38</v>
      </c>
      <c r="D322" t="s">
        <v>39</v>
      </c>
      <c r="E322">
        <v>1.52</v>
      </c>
      <c r="F322">
        <v>2.2999999999999998</v>
      </c>
      <c r="G322" s="8">
        <f t="shared" si="4"/>
        <v>39.652173913043484</v>
      </c>
    </row>
    <row r="323" spans="1:7" x14ac:dyDescent="0.25">
      <c r="A323" s="5">
        <v>45809.34375</v>
      </c>
      <c r="B323">
        <v>32</v>
      </c>
      <c r="C323" t="s">
        <v>39</v>
      </c>
      <c r="D323" t="s">
        <v>40</v>
      </c>
      <c r="E323">
        <v>1.5</v>
      </c>
      <c r="F323">
        <v>1.67</v>
      </c>
      <c r="G323" s="8">
        <f t="shared" ref="G323:G386" si="5">E323*60/F323</f>
        <v>53.892215568862277</v>
      </c>
    </row>
    <row r="324" spans="1:7" x14ac:dyDescent="0.25">
      <c r="A324" s="5">
        <v>45809.34375</v>
      </c>
      <c r="B324">
        <v>33</v>
      </c>
      <c r="C324" t="s">
        <v>40</v>
      </c>
      <c r="D324" t="s">
        <v>41</v>
      </c>
      <c r="E324">
        <v>1.51</v>
      </c>
      <c r="F324">
        <v>1.62</v>
      </c>
      <c r="G324" s="8">
        <f t="shared" si="5"/>
        <v>55.925925925925917</v>
      </c>
    </row>
    <row r="325" spans="1:7" x14ac:dyDescent="0.25">
      <c r="A325" s="5">
        <v>45809.34375</v>
      </c>
      <c r="B325">
        <v>34</v>
      </c>
      <c r="C325" t="s">
        <v>41</v>
      </c>
      <c r="D325" t="s">
        <v>42</v>
      </c>
      <c r="E325">
        <v>1.5</v>
      </c>
      <c r="F325">
        <v>1.65</v>
      </c>
      <c r="G325" s="8">
        <f t="shared" si="5"/>
        <v>54.545454545454547</v>
      </c>
    </row>
    <row r="326" spans="1:7" x14ac:dyDescent="0.25">
      <c r="A326" s="5">
        <v>45809.34375</v>
      </c>
      <c r="B326">
        <v>35</v>
      </c>
      <c r="C326" t="s">
        <v>43</v>
      </c>
      <c r="D326" t="s">
        <v>44</v>
      </c>
      <c r="E326">
        <v>1.55</v>
      </c>
      <c r="F326">
        <v>3.07</v>
      </c>
      <c r="G326" s="8">
        <f t="shared" si="5"/>
        <v>30.293159609120522</v>
      </c>
    </row>
    <row r="327" spans="1:7" x14ac:dyDescent="0.25">
      <c r="A327" s="5">
        <v>45809.34375</v>
      </c>
      <c r="B327">
        <v>36</v>
      </c>
      <c r="C327" t="s">
        <v>44</v>
      </c>
      <c r="D327" t="s">
        <v>45</v>
      </c>
      <c r="E327">
        <v>1.5</v>
      </c>
      <c r="F327">
        <v>2.42</v>
      </c>
      <c r="G327" s="8">
        <f t="shared" si="5"/>
        <v>37.190082644628099</v>
      </c>
    </row>
    <row r="328" spans="1:7" x14ac:dyDescent="0.25">
      <c r="A328" s="5">
        <v>45809.34375</v>
      </c>
      <c r="B328">
        <v>37</v>
      </c>
      <c r="C328" t="s">
        <v>45</v>
      </c>
      <c r="D328" t="s">
        <v>46</v>
      </c>
      <c r="E328">
        <v>1.38</v>
      </c>
      <c r="F328">
        <v>3.12</v>
      </c>
      <c r="G328" s="8">
        <f t="shared" si="5"/>
        <v>26.538461538461537</v>
      </c>
    </row>
    <row r="329" spans="1:7" x14ac:dyDescent="0.25">
      <c r="A329" s="5">
        <v>45809.34375</v>
      </c>
      <c r="B329">
        <v>38</v>
      </c>
      <c r="C329" t="s">
        <v>46</v>
      </c>
      <c r="D329" t="s">
        <v>47</v>
      </c>
      <c r="E329">
        <v>1.61</v>
      </c>
      <c r="F329">
        <v>3.25</v>
      </c>
      <c r="G329" s="8">
        <f t="shared" si="5"/>
        <v>29.723076923076924</v>
      </c>
    </row>
    <row r="330" spans="1:7" x14ac:dyDescent="0.25">
      <c r="A330" s="5">
        <v>45809.34375</v>
      </c>
      <c r="B330">
        <v>39</v>
      </c>
      <c r="C330" t="s">
        <v>47</v>
      </c>
      <c r="D330" t="s">
        <v>48</v>
      </c>
      <c r="E330">
        <v>1.55</v>
      </c>
      <c r="F330">
        <v>2.83</v>
      </c>
      <c r="G330" s="8">
        <f t="shared" si="5"/>
        <v>32.862190812720847</v>
      </c>
    </row>
    <row r="331" spans="1:7" x14ac:dyDescent="0.25">
      <c r="A331" s="5">
        <v>45809.34375</v>
      </c>
      <c r="B331">
        <v>40</v>
      </c>
      <c r="C331" t="s">
        <v>48</v>
      </c>
      <c r="D331" t="s">
        <v>49</v>
      </c>
      <c r="E331">
        <v>1.39</v>
      </c>
      <c r="F331">
        <v>2.5299999999999998</v>
      </c>
      <c r="G331" s="8">
        <f t="shared" si="5"/>
        <v>32.964426877470352</v>
      </c>
    </row>
    <row r="332" spans="1:7" x14ac:dyDescent="0.25">
      <c r="A332" s="5">
        <v>45809.34375</v>
      </c>
      <c r="B332">
        <v>41</v>
      </c>
      <c r="C332" t="s">
        <v>50</v>
      </c>
      <c r="D332" t="s">
        <v>51</v>
      </c>
      <c r="E332">
        <v>1.56</v>
      </c>
      <c r="F332">
        <v>2.82</v>
      </c>
      <c r="G332" s="8">
        <f t="shared" si="5"/>
        <v>33.191489361702132</v>
      </c>
    </row>
    <row r="333" spans="1:7" x14ac:dyDescent="0.25">
      <c r="A333" s="5">
        <v>45809.34375</v>
      </c>
      <c r="B333">
        <v>42</v>
      </c>
      <c r="C333" t="s">
        <v>51</v>
      </c>
      <c r="D333" t="s">
        <v>52</v>
      </c>
      <c r="E333">
        <v>1.56</v>
      </c>
      <c r="F333">
        <v>3.15</v>
      </c>
      <c r="G333" s="8">
        <f t="shared" si="5"/>
        <v>29.714285714285719</v>
      </c>
    </row>
    <row r="334" spans="1:7" x14ac:dyDescent="0.25">
      <c r="A334" s="5">
        <v>45809.34375</v>
      </c>
      <c r="B334">
        <v>43</v>
      </c>
      <c r="C334" t="s">
        <v>52</v>
      </c>
      <c r="D334" t="s">
        <v>53</v>
      </c>
      <c r="E334">
        <v>1.51</v>
      </c>
      <c r="F334">
        <v>2.85</v>
      </c>
      <c r="G334" s="8">
        <f t="shared" si="5"/>
        <v>31.789473684210524</v>
      </c>
    </row>
    <row r="335" spans="1:7" x14ac:dyDescent="0.25">
      <c r="A335" s="5">
        <v>45809.34375</v>
      </c>
      <c r="B335">
        <v>44</v>
      </c>
      <c r="C335" t="s">
        <v>54</v>
      </c>
      <c r="D335" t="s">
        <v>55</v>
      </c>
      <c r="E335">
        <v>1.51</v>
      </c>
      <c r="F335">
        <v>3.48</v>
      </c>
      <c r="G335" s="8">
        <f t="shared" si="5"/>
        <v>26.034482758620687</v>
      </c>
    </row>
    <row r="336" spans="1:7" x14ac:dyDescent="0.25">
      <c r="A336" s="5">
        <v>45809.34375</v>
      </c>
      <c r="B336">
        <v>45</v>
      </c>
      <c r="C336" t="s">
        <v>55</v>
      </c>
      <c r="D336" t="s">
        <v>56</v>
      </c>
      <c r="E336">
        <v>1.49</v>
      </c>
      <c r="F336">
        <v>2.77</v>
      </c>
      <c r="G336" s="8">
        <f t="shared" si="5"/>
        <v>32.274368231046935</v>
      </c>
    </row>
    <row r="337" spans="1:7" x14ac:dyDescent="0.25">
      <c r="A337" s="5">
        <v>45809.34375</v>
      </c>
      <c r="B337">
        <v>46</v>
      </c>
      <c r="C337" t="s">
        <v>56</v>
      </c>
      <c r="D337" t="s">
        <v>57</v>
      </c>
      <c r="E337">
        <v>1.52</v>
      </c>
      <c r="F337">
        <v>3.27</v>
      </c>
      <c r="G337" s="8">
        <f t="shared" si="5"/>
        <v>27.889908256880734</v>
      </c>
    </row>
    <row r="338" spans="1:7" x14ac:dyDescent="0.25">
      <c r="A338" s="5">
        <v>45809.34375</v>
      </c>
      <c r="B338">
        <v>47</v>
      </c>
      <c r="C338" t="s">
        <v>58</v>
      </c>
      <c r="D338" t="s">
        <v>59</v>
      </c>
      <c r="E338">
        <v>1.52</v>
      </c>
      <c r="F338">
        <v>3.1</v>
      </c>
      <c r="G338" s="8">
        <f t="shared" si="5"/>
        <v>29.419354838709676</v>
      </c>
    </row>
    <row r="339" spans="1:7" x14ac:dyDescent="0.25">
      <c r="A339" s="5">
        <v>45809.34375</v>
      </c>
      <c r="B339">
        <v>48</v>
      </c>
      <c r="C339" t="s">
        <v>59</v>
      </c>
      <c r="D339" t="s">
        <v>60</v>
      </c>
      <c r="E339">
        <v>1.5</v>
      </c>
      <c r="F339">
        <v>3.02</v>
      </c>
      <c r="G339" s="8">
        <f t="shared" si="5"/>
        <v>29.801324503311257</v>
      </c>
    </row>
    <row r="340" spans="1:7" x14ac:dyDescent="0.25">
      <c r="A340" s="5">
        <v>45809.34375</v>
      </c>
      <c r="B340">
        <v>49</v>
      </c>
      <c r="C340" t="s">
        <v>60</v>
      </c>
      <c r="D340" t="s">
        <v>61</v>
      </c>
      <c r="E340">
        <v>1.54</v>
      </c>
      <c r="F340">
        <v>3.05</v>
      </c>
      <c r="G340" s="8">
        <f t="shared" si="5"/>
        <v>30.295081967213118</v>
      </c>
    </row>
    <row r="341" spans="1:7" x14ac:dyDescent="0.25">
      <c r="A341" s="5">
        <v>45809.34375</v>
      </c>
      <c r="B341">
        <v>50</v>
      </c>
      <c r="C341" t="s">
        <v>62</v>
      </c>
      <c r="D341" t="s">
        <v>63</v>
      </c>
      <c r="E341">
        <v>1.38</v>
      </c>
      <c r="F341">
        <v>2.78</v>
      </c>
      <c r="G341" s="8">
        <f t="shared" si="5"/>
        <v>29.784172661870503</v>
      </c>
    </row>
    <row r="342" spans="1:7" x14ac:dyDescent="0.25">
      <c r="A342" s="5">
        <v>45809.34375</v>
      </c>
      <c r="B342">
        <v>51</v>
      </c>
      <c r="C342" t="s">
        <v>63</v>
      </c>
      <c r="D342" t="s">
        <v>64</v>
      </c>
      <c r="E342">
        <v>2.79</v>
      </c>
      <c r="F342">
        <v>4.82</v>
      </c>
      <c r="G342" s="8">
        <f t="shared" si="5"/>
        <v>34.730290456431533</v>
      </c>
    </row>
    <row r="343" spans="1:7" x14ac:dyDescent="0.25">
      <c r="A343" s="5">
        <v>45809.34375</v>
      </c>
      <c r="B343">
        <v>52</v>
      </c>
      <c r="C343" t="s">
        <v>64</v>
      </c>
      <c r="D343" t="s">
        <v>65</v>
      </c>
      <c r="E343">
        <v>1.5</v>
      </c>
      <c r="F343">
        <v>2.63</v>
      </c>
      <c r="G343" s="8">
        <f t="shared" si="5"/>
        <v>34.220532319391637</v>
      </c>
    </row>
    <row r="344" spans="1:7" x14ac:dyDescent="0.25">
      <c r="A344" s="5">
        <v>45809.34375</v>
      </c>
      <c r="B344">
        <v>53</v>
      </c>
      <c r="C344" t="s">
        <v>65</v>
      </c>
      <c r="D344" t="s">
        <v>66</v>
      </c>
      <c r="E344">
        <v>1.46</v>
      </c>
      <c r="F344">
        <v>3.15</v>
      </c>
      <c r="G344" s="8">
        <f t="shared" si="5"/>
        <v>27.80952380952381</v>
      </c>
    </row>
    <row r="345" spans="1:7" x14ac:dyDescent="0.25">
      <c r="A345" s="5">
        <v>45809.34375</v>
      </c>
      <c r="B345">
        <v>54</v>
      </c>
      <c r="C345" t="s">
        <v>67</v>
      </c>
      <c r="D345" t="s">
        <v>68</v>
      </c>
      <c r="E345">
        <v>1.46</v>
      </c>
      <c r="F345">
        <v>1.97</v>
      </c>
      <c r="G345" s="8">
        <f t="shared" si="5"/>
        <v>44.467005076142129</v>
      </c>
    </row>
    <row r="346" spans="1:7" x14ac:dyDescent="0.25">
      <c r="A346" s="5">
        <v>45809.34375</v>
      </c>
      <c r="B346">
        <v>55</v>
      </c>
      <c r="C346" t="s">
        <v>68</v>
      </c>
      <c r="D346" t="s">
        <v>69</v>
      </c>
      <c r="E346">
        <v>1.5</v>
      </c>
      <c r="F346">
        <v>1.63</v>
      </c>
      <c r="G346" s="8">
        <f t="shared" si="5"/>
        <v>55.214723926380373</v>
      </c>
    </row>
    <row r="347" spans="1:7" x14ac:dyDescent="0.25">
      <c r="A347" s="5">
        <v>45809.34375</v>
      </c>
      <c r="B347">
        <v>56</v>
      </c>
      <c r="C347" t="s">
        <v>70</v>
      </c>
      <c r="D347" t="s">
        <v>71</v>
      </c>
      <c r="E347">
        <v>1.51</v>
      </c>
      <c r="F347">
        <v>3.12</v>
      </c>
      <c r="G347" s="8">
        <f t="shared" si="5"/>
        <v>29.038461538461537</v>
      </c>
    </row>
    <row r="348" spans="1:7" x14ac:dyDescent="0.25">
      <c r="A348" s="5">
        <v>45809.34375</v>
      </c>
      <c r="B348">
        <v>57</v>
      </c>
      <c r="C348" t="s">
        <v>71</v>
      </c>
      <c r="D348" t="s">
        <v>72</v>
      </c>
      <c r="E348">
        <v>1.52</v>
      </c>
      <c r="F348">
        <v>3.23</v>
      </c>
      <c r="G348" s="8">
        <f t="shared" si="5"/>
        <v>28.235294117647062</v>
      </c>
    </row>
    <row r="349" spans="1:7" x14ac:dyDescent="0.25">
      <c r="A349" s="5">
        <v>45809.34375</v>
      </c>
      <c r="B349">
        <v>58</v>
      </c>
      <c r="C349" t="s">
        <v>72</v>
      </c>
      <c r="D349" t="s">
        <v>73</v>
      </c>
      <c r="E349">
        <v>1.5</v>
      </c>
      <c r="F349">
        <v>2.97</v>
      </c>
      <c r="G349" s="8">
        <f t="shared" si="5"/>
        <v>30.303030303030301</v>
      </c>
    </row>
    <row r="350" spans="1:7" x14ac:dyDescent="0.25">
      <c r="A350" s="5">
        <v>45809.354166666664</v>
      </c>
      <c r="B350">
        <v>1</v>
      </c>
      <c r="C350" t="s">
        <v>6</v>
      </c>
      <c r="D350" t="s">
        <v>7</v>
      </c>
      <c r="E350">
        <v>1.53</v>
      </c>
      <c r="F350">
        <v>2.77</v>
      </c>
      <c r="G350" s="8">
        <f t="shared" si="5"/>
        <v>33.140794223826717</v>
      </c>
    </row>
    <row r="351" spans="1:7" x14ac:dyDescent="0.25">
      <c r="A351" s="5">
        <v>45809.354166666664</v>
      </c>
      <c r="B351">
        <v>2</v>
      </c>
      <c r="C351" t="s">
        <v>7</v>
      </c>
      <c r="D351" t="s">
        <v>8</v>
      </c>
      <c r="E351">
        <v>1.57</v>
      </c>
      <c r="F351">
        <v>4.03</v>
      </c>
      <c r="G351" s="8">
        <f t="shared" si="5"/>
        <v>23.374689826302728</v>
      </c>
    </row>
    <row r="352" spans="1:7" x14ac:dyDescent="0.25">
      <c r="A352" s="5">
        <v>45809.354166666664</v>
      </c>
      <c r="B352">
        <v>3</v>
      </c>
      <c r="C352" t="s">
        <v>8</v>
      </c>
      <c r="D352" t="s">
        <v>9</v>
      </c>
      <c r="E352">
        <v>1.5</v>
      </c>
      <c r="F352">
        <v>2.63</v>
      </c>
      <c r="G352" s="8">
        <f t="shared" si="5"/>
        <v>34.220532319391637</v>
      </c>
    </row>
    <row r="353" spans="1:7" x14ac:dyDescent="0.25">
      <c r="A353" s="5">
        <v>45809.354166666664</v>
      </c>
      <c r="B353">
        <v>4</v>
      </c>
      <c r="C353" t="s">
        <v>9</v>
      </c>
      <c r="D353" t="s">
        <v>10</v>
      </c>
      <c r="E353">
        <v>1.5</v>
      </c>
      <c r="F353">
        <v>2.35</v>
      </c>
      <c r="G353" s="8">
        <f t="shared" si="5"/>
        <v>38.297872340425528</v>
      </c>
    </row>
    <row r="354" spans="1:7" x14ac:dyDescent="0.25">
      <c r="A354" s="5">
        <v>45809.354166666664</v>
      </c>
      <c r="B354">
        <v>5</v>
      </c>
      <c r="C354" t="s">
        <v>10</v>
      </c>
      <c r="D354" t="s">
        <v>11</v>
      </c>
      <c r="E354">
        <v>1.52</v>
      </c>
      <c r="F354">
        <v>2.6</v>
      </c>
      <c r="G354" s="8">
        <f t="shared" si="5"/>
        <v>35.07692307692308</v>
      </c>
    </row>
    <row r="355" spans="1:7" x14ac:dyDescent="0.25">
      <c r="A355" s="5">
        <v>45809.354166666664</v>
      </c>
      <c r="B355">
        <v>6</v>
      </c>
      <c r="C355" t="s">
        <v>11</v>
      </c>
      <c r="D355" t="s">
        <v>12</v>
      </c>
      <c r="E355">
        <v>1.5</v>
      </c>
      <c r="F355">
        <v>2.23</v>
      </c>
      <c r="G355" s="8">
        <f t="shared" si="5"/>
        <v>40.358744394618832</v>
      </c>
    </row>
    <row r="356" spans="1:7" x14ac:dyDescent="0.25">
      <c r="A356" s="5">
        <v>45809.354166666664</v>
      </c>
      <c r="B356">
        <v>7</v>
      </c>
      <c r="C356" t="s">
        <v>12</v>
      </c>
      <c r="D356" t="s">
        <v>13</v>
      </c>
      <c r="E356">
        <v>1.54</v>
      </c>
      <c r="F356">
        <v>2.5499999999999998</v>
      </c>
      <c r="G356" s="8">
        <f t="shared" si="5"/>
        <v>36.235294117647065</v>
      </c>
    </row>
    <row r="357" spans="1:7" x14ac:dyDescent="0.25">
      <c r="A357" s="5">
        <v>45809.354166666664</v>
      </c>
      <c r="B357">
        <v>8</v>
      </c>
      <c r="C357" t="s">
        <v>13</v>
      </c>
      <c r="D357" t="s">
        <v>14</v>
      </c>
      <c r="E357">
        <v>1.54</v>
      </c>
      <c r="F357">
        <v>2.68</v>
      </c>
      <c r="G357" s="8">
        <f t="shared" si="5"/>
        <v>34.477611940298509</v>
      </c>
    </row>
    <row r="358" spans="1:7" x14ac:dyDescent="0.25">
      <c r="A358" s="5">
        <v>45809.354166666664</v>
      </c>
      <c r="B358">
        <v>9</v>
      </c>
      <c r="C358" t="s">
        <v>14</v>
      </c>
      <c r="D358" t="s">
        <v>15</v>
      </c>
      <c r="E358">
        <v>1.52</v>
      </c>
      <c r="F358">
        <v>2.62</v>
      </c>
      <c r="G358" s="8">
        <f t="shared" si="5"/>
        <v>34.809160305343511</v>
      </c>
    </row>
    <row r="359" spans="1:7" x14ac:dyDescent="0.25">
      <c r="A359" s="5">
        <v>45809.354166666664</v>
      </c>
      <c r="B359">
        <v>10</v>
      </c>
      <c r="C359" t="s">
        <v>15</v>
      </c>
      <c r="D359" t="s">
        <v>16</v>
      </c>
      <c r="E359">
        <v>1.5</v>
      </c>
      <c r="F359">
        <v>2.78</v>
      </c>
      <c r="G359" s="8">
        <f t="shared" si="5"/>
        <v>32.374100719424462</v>
      </c>
    </row>
    <row r="360" spans="1:7" x14ac:dyDescent="0.25">
      <c r="A360" s="5">
        <v>45809.354166666664</v>
      </c>
      <c r="B360">
        <v>11</v>
      </c>
      <c r="C360" t="s">
        <v>16</v>
      </c>
      <c r="D360" t="s">
        <v>17</v>
      </c>
      <c r="E360">
        <v>1.48</v>
      </c>
      <c r="F360">
        <v>1.95</v>
      </c>
      <c r="G360" s="8">
        <f t="shared" si="5"/>
        <v>45.53846153846154</v>
      </c>
    </row>
    <row r="361" spans="1:7" x14ac:dyDescent="0.25">
      <c r="A361" s="5">
        <v>45809.354166666664</v>
      </c>
      <c r="B361">
        <v>12</v>
      </c>
      <c r="C361" t="s">
        <v>17</v>
      </c>
      <c r="D361" t="s">
        <v>18</v>
      </c>
      <c r="E361">
        <v>1.46</v>
      </c>
      <c r="F361">
        <v>2.58</v>
      </c>
      <c r="G361" s="8">
        <f t="shared" si="5"/>
        <v>33.95348837209302</v>
      </c>
    </row>
    <row r="362" spans="1:7" x14ac:dyDescent="0.25">
      <c r="A362" s="5">
        <v>45809.354166666664</v>
      </c>
      <c r="B362">
        <v>13</v>
      </c>
      <c r="C362" t="s">
        <v>18</v>
      </c>
      <c r="D362" t="s">
        <v>19</v>
      </c>
      <c r="E362">
        <v>1.52</v>
      </c>
      <c r="F362">
        <v>2.7</v>
      </c>
      <c r="G362" s="8">
        <f t="shared" si="5"/>
        <v>33.777777777777779</v>
      </c>
    </row>
    <row r="363" spans="1:7" x14ac:dyDescent="0.25">
      <c r="A363" s="5">
        <v>45809.354166666664</v>
      </c>
      <c r="B363">
        <v>14</v>
      </c>
      <c r="C363" t="s">
        <v>19</v>
      </c>
      <c r="D363" t="s">
        <v>20</v>
      </c>
      <c r="E363">
        <v>1.51</v>
      </c>
      <c r="F363">
        <v>2.77</v>
      </c>
      <c r="G363" s="8">
        <f t="shared" si="5"/>
        <v>32.707581227436819</v>
      </c>
    </row>
    <row r="364" spans="1:7" x14ac:dyDescent="0.25">
      <c r="A364" s="5">
        <v>45809.354166666664</v>
      </c>
      <c r="B364">
        <v>15</v>
      </c>
      <c r="C364" t="s">
        <v>20</v>
      </c>
      <c r="D364" t="s">
        <v>21</v>
      </c>
      <c r="E364">
        <v>1.47</v>
      </c>
      <c r="F364">
        <v>1.92</v>
      </c>
      <c r="G364" s="8">
        <f t="shared" si="5"/>
        <v>45.9375</v>
      </c>
    </row>
    <row r="365" spans="1:7" x14ac:dyDescent="0.25">
      <c r="A365" s="5">
        <v>45809.354166666664</v>
      </c>
      <c r="B365">
        <v>16</v>
      </c>
      <c r="C365" t="s">
        <v>21</v>
      </c>
      <c r="D365" t="s">
        <v>22</v>
      </c>
      <c r="E365">
        <v>1.5</v>
      </c>
      <c r="F365">
        <v>1.7</v>
      </c>
      <c r="G365" s="8">
        <f t="shared" si="5"/>
        <v>52.941176470588239</v>
      </c>
    </row>
    <row r="366" spans="1:7" x14ac:dyDescent="0.25">
      <c r="A366" s="5">
        <v>45809.354166666664</v>
      </c>
      <c r="B366">
        <v>17</v>
      </c>
      <c r="C366" t="s">
        <v>22</v>
      </c>
      <c r="D366" t="s">
        <v>23</v>
      </c>
      <c r="E366">
        <v>1.51</v>
      </c>
      <c r="F366">
        <v>2.1800000000000002</v>
      </c>
      <c r="G366" s="8">
        <f t="shared" si="5"/>
        <v>41.559633027522928</v>
      </c>
    </row>
    <row r="367" spans="1:7" x14ac:dyDescent="0.25">
      <c r="A367" s="5">
        <v>45809.354166666664</v>
      </c>
      <c r="B367">
        <v>18</v>
      </c>
      <c r="C367" t="s">
        <v>23</v>
      </c>
      <c r="D367" t="s">
        <v>24</v>
      </c>
      <c r="E367">
        <v>1.51</v>
      </c>
      <c r="F367">
        <v>2.33</v>
      </c>
      <c r="G367" s="8">
        <f t="shared" si="5"/>
        <v>38.884120171673814</v>
      </c>
    </row>
    <row r="368" spans="1:7" x14ac:dyDescent="0.25">
      <c r="A368" s="5">
        <v>45809.354166666664</v>
      </c>
      <c r="B368">
        <v>19</v>
      </c>
      <c r="C368" t="s">
        <v>25</v>
      </c>
      <c r="D368" t="s">
        <v>26</v>
      </c>
      <c r="E368">
        <v>1.5</v>
      </c>
      <c r="F368">
        <v>2.93</v>
      </c>
      <c r="G368" s="8">
        <f t="shared" si="5"/>
        <v>30.716723549488052</v>
      </c>
    </row>
    <row r="369" spans="1:7" x14ac:dyDescent="0.25">
      <c r="A369" s="5">
        <v>45809.354166666664</v>
      </c>
      <c r="B369">
        <v>20</v>
      </c>
      <c r="C369" t="s">
        <v>26</v>
      </c>
      <c r="D369" t="s">
        <v>27</v>
      </c>
      <c r="E369">
        <v>1.48</v>
      </c>
      <c r="F369">
        <v>2.95</v>
      </c>
      <c r="G369" s="8">
        <f t="shared" si="5"/>
        <v>30.101694915254235</v>
      </c>
    </row>
    <row r="370" spans="1:7" x14ac:dyDescent="0.25">
      <c r="A370" s="5">
        <v>45809.354166666664</v>
      </c>
      <c r="B370">
        <v>21</v>
      </c>
      <c r="C370" t="s">
        <v>27</v>
      </c>
      <c r="D370" t="s">
        <v>28</v>
      </c>
      <c r="E370">
        <v>1.51</v>
      </c>
      <c r="F370">
        <v>2.67</v>
      </c>
      <c r="G370" s="8">
        <f t="shared" si="5"/>
        <v>33.932584269662918</v>
      </c>
    </row>
    <row r="371" spans="1:7" x14ac:dyDescent="0.25">
      <c r="A371" s="5">
        <v>45809.354166666664</v>
      </c>
      <c r="B371">
        <v>22</v>
      </c>
      <c r="C371" t="s">
        <v>28</v>
      </c>
      <c r="D371" t="s">
        <v>29</v>
      </c>
      <c r="E371">
        <v>1.57</v>
      </c>
      <c r="F371">
        <v>3.07</v>
      </c>
      <c r="G371" s="8">
        <f t="shared" si="5"/>
        <v>30.684039087947884</v>
      </c>
    </row>
    <row r="372" spans="1:7" x14ac:dyDescent="0.25">
      <c r="A372" s="5">
        <v>45809.354166666664</v>
      </c>
      <c r="B372">
        <v>23</v>
      </c>
      <c r="C372" t="s">
        <v>29</v>
      </c>
      <c r="D372" t="s">
        <v>30</v>
      </c>
      <c r="E372">
        <v>1.43</v>
      </c>
      <c r="F372">
        <v>2.77</v>
      </c>
      <c r="G372" s="8">
        <f t="shared" si="5"/>
        <v>30.974729241877256</v>
      </c>
    </row>
    <row r="373" spans="1:7" x14ac:dyDescent="0.25">
      <c r="A373" s="5">
        <v>45809.354166666664</v>
      </c>
      <c r="B373">
        <v>24</v>
      </c>
      <c r="C373" t="s">
        <v>30</v>
      </c>
      <c r="D373" t="s">
        <v>31</v>
      </c>
      <c r="E373">
        <v>1.52</v>
      </c>
      <c r="F373">
        <v>2.75</v>
      </c>
      <c r="G373" s="8">
        <f t="shared" si="5"/>
        <v>33.163636363636364</v>
      </c>
    </row>
    <row r="374" spans="1:7" x14ac:dyDescent="0.25">
      <c r="A374" s="5">
        <v>45809.354166666664</v>
      </c>
      <c r="B374">
        <v>25</v>
      </c>
      <c r="C374" t="s">
        <v>31</v>
      </c>
      <c r="D374" t="s">
        <v>32</v>
      </c>
      <c r="E374">
        <v>1.52</v>
      </c>
      <c r="F374">
        <v>2.9</v>
      </c>
      <c r="G374" s="8">
        <f t="shared" si="5"/>
        <v>31.448275862068968</v>
      </c>
    </row>
    <row r="375" spans="1:7" x14ac:dyDescent="0.25">
      <c r="A375" s="5">
        <v>45809.354166666664</v>
      </c>
      <c r="B375">
        <v>26</v>
      </c>
      <c r="C375" t="s">
        <v>32</v>
      </c>
      <c r="D375" t="s">
        <v>33</v>
      </c>
      <c r="E375">
        <v>1.49</v>
      </c>
      <c r="F375">
        <v>2.83</v>
      </c>
      <c r="G375" s="8">
        <f t="shared" si="5"/>
        <v>31.590106007067138</v>
      </c>
    </row>
    <row r="376" spans="1:7" x14ac:dyDescent="0.25">
      <c r="A376" s="5">
        <v>45809.354166666664</v>
      </c>
      <c r="B376">
        <v>27</v>
      </c>
      <c r="C376" t="s">
        <v>33</v>
      </c>
      <c r="D376" t="s">
        <v>34</v>
      </c>
      <c r="E376">
        <v>1.53</v>
      </c>
      <c r="F376">
        <v>2.8</v>
      </c>
      <c r="G376" s="8">
        <f t="shared" si="5"/>
        <v>32.785714285714285</v>
      </c>
    </row>
    <row r="377" spans="1:7" x14ac:dyDescent="0.25">
      <c r="A377" s="5">
        <v>45809.354166666664</v>
      </c>
      <c r="B377">
        <v>28</v>
      </c>
      <c r="C377" t="s">
        <v>34</v>
      </c>
      <c r="D377" t="s">
        <v>35</v>
      </c>
      <c r="E377">
        <v>1.51</v>
      </c>
      <c r="F377">
        <v>3.32</v>
      </c>
      <c r="G377" s="8">
        <f t="shared" si="5"/>
        <v>27.289156626506024</v>
      </c>
    </row>
    <row r="378" spans="1:7" x14ac:dyDescent="0.25">
      <c r="A378" s="5">
        <v>45809.354166666664</v>
      </c>
      <c r="B378">
        <v>29</v>
      </c>
      <c r="C378" t="s">
        <v>36</v>
      </c>
      <c r="D378" t="s">
        <v>37</v>
      </c>
      <c r="E378">
        <v>1.57</v>
      </c>
      <c r="F378">
        <v>2.92</v>
      </c>
      <c r="G378" s="8">
        <f t="shared" si="5"/>
        <v>32.260273972602739</v>
      </c>
    </row>
    <row r="379" spans="1:7" x14ac:dyDescent="0.25">
      <c r="A379" s="5">
        <v>45809.354166666664</v>
      </c>
      <c r="B379">
        <v>30</v>
      </c>
      <c r="C379" t="s">
        <v>37</v>
      </c>
      <c r="D379" t="s">
        <v>38</v>
      </c>
      <c r="E379">
        <v>1.57</v>
      </c>
      <c r="F379">
        <v>3.23</v>
      </c>
      <c r="G379" s="8">
        <f t="shared" si="5"/>
        <v>29.164086687306504</v>
      </c>
    </row>
    <row r="380" spans="1:7" x14ac:dyDescent="0.25">
      <c r="A380" s="5">
        <v>45809.354166666664</v>
      </c>
      <c r="B380">
        <v>31</v>
      </c>
      <c r="C380" t="s">
        <v>38</v>
      </c>
      <c r="D380" t="s">
        <v>39</v>
      </c>
      <c r="E380">
        <v>1.52</v>
      </c>
      <c r="F380">
        <v>2.3199999999999998</v>
      </c>
      <c r="G380" s="8">
        <f t="shared" si="5"/>
        <v>39.310344827586214</v>
      </c>
    </row>
    <row r="381" spans="1:7" x14ac:dyDescent="0.25">
      <c r="A381" s="5">
        <v>45809.354166666664</v>
      </c>
      <c r="B381">
        <v>32</v>
      </c>
      <c r="C381" t="s">
        <v>39</v>
      </c>
      <c r="D381" t="s">
        <v>40</v>
      </c>
      <c r="E381">
        <v>1.5</v>
      </c>
      <c r="F381">
        <v>1.63</v>
      </c>
      <c r="G381" s="8">
        <f t="shared" si="5"/>
        <v>55.214723926380373</v>
      </c>
    </row>
    <row r="382" spans="1:7" x14ac:dyDescent="0.25">
      <c r="A382" s="5">
        <v>45809.354166666664</v>
      </c>
      <c r="B382">
        <v>33</v>
      </c>
      <c r="C382" t="s">
        <v>40</v>
      </c>
      <c r="D382" t="s">
        <v>41</v>
      </c>
      <c r="E382">
        <v>1.51</v>
      </c>
      <c r="F382">
        <v>1.68</v>
      </c>
      <c r="G382" s="8">
        <f t="shared" si="5"/>
        <v>53.928571428571431</v>
      </c>
    </row>
    <row r="383" spans="1:7" x14ac:dyDescent="0.25">
      <c r="A383" s="5">
        <v>45809.354166666664</v>
      </c>
      <c r="B383">
        <v>34</v>
      </c>
      <c r="C383" t="s">
        <v>41</v>
      </c>
      <c r="D383" t="s">
        <v>42</v>
      </c>
      <c r="E383">
        <v>1.5</v>
      </c>
      <c r="F383">
        <v>1.65</v>
      </c>
      <c r="G383" s="8">
        <f t="shared" si="5"/>
        <v>54.545454545454547</v>
      </c>
    </row>
    <row r="384" spans="1:7" x14ac:dyDescent="0.25">
      <c r="A384" s="5">
        <v>45809.354166666664</v>
      </c>
      <c r="B384">
        <v>35</v>
      </c>
      <c r="C384" t="s">
        <v>43</v>
      </c>
      <c r="D384" t="s">
        <v>44</v>
      </c>
      <c r="E384">
        <v>1.55</v>
      </c>
      <c r="F384">
        <v>3.07</v>
      </c>
      <c r="G384" s="8">
        <f t="shared" si="5"/>
        <v>30.293159609120522</v>
      </c>
    </row>
    <row r="385" spans="1:7" x14ac:dyDescent="0.25">
      <c r="A385" s="5">
        <v>45809.354166666664</v>
      </c>
      <c r="B385">
        <v>36</v>
      </c>
      <c r="C385" t="s">
        <v>44</v>
      </c>
      <c r="D385" t="s">
        <v>45</v>
      </c>
      <c r="E385">
        <v>1.5</v>
      </c>
      <c r="F385">
        <v>2.52</v>
      </c>
      <c r="G385" s="8">
        <f t="shared" si="5"/>
        <v>35.714285714285715</v>
      </c>
    </row>
    <row r="386" spans="1:7" x14ac:dyDescent="0.25">
      <c r="A386" s="5">
        <v>45809.354166666664</v>
      </c>
      <c r="B386">
        <v>37</v>
      </c>
      <c r="C386" t="s">
        <v>45</v>
      </c>
      <c r="D386" t="s">
        <v>46</v>
      </c>
      <c r="E386">
        <v>1.38</v>
      </c>
      <c r="F386">
        <v>3.13</v>
      </c>
      <c r="G386" s="8">
        <f t="shared" si="5"/>
        <v>26.453674121405751</v>
      </c>
    </row>
    <row r="387" spans="1:7" x14ac:dyDescent="0.25">
      <c r="A387" s="5">
        <v>45809.354166666664</v>
      </c>
      <c r="B387">
        <v>38</v>
      </c>
      <c r="C387" t="s">
        <v>46</v>
      </c>
      <c r="D387" t="s">
        <v>47</v>
      </c>
      <c r="E387">
        <v>1.61</v>
      </c>
      <c r="F387">
        <v>3.28</v>
      </c>
      <c r="G387" s="8">
        <f t="shared" ref="G387:G450" si="6">E387*60/F387</f>
        <v>29.451219512195127</v>
      </c>
    </row>
    <row r="388" spans="1:7" x14ac:dyDescent="0.25">
      <c r="A388" s="5">
        <v>45809.354166666664</v>
      </c>
      <c r="B388">
        <v>39</v>
      </c>
      <c r="C388" t="s">
        <v>47</v>
      </c>
      <c r="D388" t="s">
        <v>48</v>
      </c>
      <c r="E388">
        <v>1.55</v>
      </c>
      <c r="F388">
        <v>3.07</v>
      </c>
      <c r="G388" s="8">
        <f t="shared" si="6"/>
        <v>30.293159609120522</v>
      </c>
    </row>
    <row r="389" spans="1:7" x14ac:dyDescent="0.25">
      <c r="A389" s="5">
        <v>45809.354166666664</v>
      </c>
      <c r="B389">
        <v>40</v>
      </c>
      <c r="C389" t="s">
        <v>48</v>
      </c>
      <c r="D389" t="s">
        <v>49</v>
      </c>
      <c r="E389">
        <v>1.39</v>
      </c>
      <c r="F389">
        <v>2.58</v>
      </c>
      <c r="G389" s="8">
        <f t="shared" si="6"/>
        <v>32.325581395348834</v>
      </c>
    </row>
    <row r="390" spans="1:7" x14ac:dyDescent="0.25">
      <c r="A390" s="5">
        <v>45809.354166666664</v>
      </c>
      <c r="B390">
        <v>41</v>
      </c>
      <c r="C390" t="s">
        <v>50</v>
      </c>
      <c r="D390" t="s">
        <v>51</v>
      </c>
      <c r="E390">
        <v>1.56</v>
      </c>
      <c r="F390">
        <v>2.98</v>
      </c>
      <c r="G390" s="8">
        <f t="shared" si="6"/>
        <v>31.409395973154364</v>
      </c>
    </row>
    <row r="391" spans="1:7" x14ac:dyDescent="0.25">
      <c r="A391" s="5">
        <v>45809.354166666664</v>
      </c>
      <c r="B391">
        <v>42</v>
      </c>
      <c r="C391" t="s">
        <v>51</v>
      </c>
      <c r="D391" t="s">
        <v>52</v>
      </c>
      <c r="E391">
        <v>1.56</v>
      </c>
      <c r="F391">
        <v>3.17</v>
      </c>
      <c r="G391" s="8">
        <f t="shared" si="6"/>
        <v>29.526813880126188</v>
      </c>
    </row>
    <row r="392" spans="1:7" x14ac:dyDescent="0.25">
      <c r="A392" s="5">
        <v>45809.354166666664</v>
      </c>
      <c r="B392">
        <v>43</v>
      </c>
      <c r="C392" t="s">
        <v>52</v>
      </c>
      <c r="D392" t="s">
        <v>53</v>
      </c>
      <c r="E392">
        <v>1.51</v>
      </c>
      <c r="F392">
        <v>2.9</v>
      </c>
      <c r="G392" s="8">
        <f t="shared" si="6"/>
        <v>31.241379310344826</v>
      </c>
    </row>
    <row r="393" spans="1:7" x14ac:dyDescent="0.25">
      <c r="A393" s="5">
        <v>45809.354166666664</v>
      </c>
      <c r="B393">
        <v>44</v>
      </c>
      <c r="C393" t="s">
        <v>54</v>
      </c>
      <c r="D393" t="s">
        <v>55</v>
      </c>
      <c r="E393">
        <v>1.51</v>
      </c>
      <c r="F393">
        <v>3.6</v>
      </c>
      <c r="G393" s="8">
        <f t="shared" si="6"/>
        <v>25.166666666666664</v>
      </c>
    </row>
    <row r="394" spans="1:7" x14ac:dyDescent="0.25">
      <c r="A394" s="5">
        <v>45809.354166666664</v>
      </c>
      <c r="B394">
        <v>45</v>
      </c>
      <c r="C394" t="s">
        <v>55</v>
      </c>
      <c r="D394" t="s">
        <v>56</v>
      </c>
      <c r="E394">
        <v>1.49</v>
      </c>
      <c r="F394">
        <v>2.82</v>
      </c>
      <c r="G394" s="8">
        <f t="shared" si="6"/>
        <v>31.702127659574472</v>
      </c>
    </row>
    <row r="395" spans="1:7" x14ac:dyDescent="0.25">
      <c r="A395" s="5">
        <v>45809.354166666664</v>
      </c>
      <c r="B395">
        <v>46</v>
      </c>
      <c r="C395" t="s">
        <v>56</v>
      </c>
      <c r="D395" t="s">
        <v>57</v>
      </c>
      <c r="E395">
        <v>1.52</v>
      </c>
      <c r="F395">
        <v>3.35</v>
      </c>
      <c r="G395" s="8">
        <f t="shared" si="6"/>
        <v>27.223880597014926</v>
      </c>
    </row>
    <row r="396" spans="1:7" x14ac:dyDescent="0.25">
      <c r="A396" s="5">
        <v>45809.354166666664</v>
      </c>
      <c r="B396">
        <v>47</v>
      </c>
      <c r="C396" t="s">
        <v>58</v>
      </c>
      <c r="D396" t="s">
        <v>59</v>
      </c>
      <c r="E396">
        <v>1.52</v>
      </c>
      <c r="F396">
        <v>3.05</v>
      </c>
      <c r="G396" s="8">
        <f t="shared" si="6"/>
        <v>29.901639344262296</v>
      </c>
    </row>
    <row r="397" spans="1:7" x14ac:dyDescent="0.25">
      <c r="A397" s="5">
        <v>45809.354166666664</v>
      </c>
      <c r="B397">
        <v>48</v>
      </c>
      <c r="C397" t="s">
        <v>59</v>
      </c>
      <c r="D397" t="s">
        <v>60</v>
      </c>
      <c r="E397">
        <v>1.5</v>
      </c>
      <c r="F397">
        <v>3</v>
      </c>
      <c r="G397" s="8">
        <f t="shared" si="6"/>
        <v>30</v>
      </c>
    </row>
    <row r="398" spans="1:7" x14ac:dyDescent="0.25">
      <c r="A398" s="5">
        <v>45809.354166666664</v>
      </c>
      <c r="B398">
        <v>49</v>
      </c>
      <c r="C398" t="s">
        <v>60</v>
      </c>
      <c r="D398" t="s">
        <v>61</v>
      </c>
      <c r="E398">
        <v>1.54</v>
      </c>
      <c r="F398">
        <v>3.13</v>
      </c>
      <c r="G398" s="8">
        <f t="shared" si="6"/>
        <v>29.520766773162944</v>
      </c>
    </row>
    <row r="399" spans="1:7" x14ac:dyDescent="0.25">
      <c r="A399" s="5">
        <v>45809.354166666664</v>
      </c>
      <c r="B399">
        <v>50</v>
      </c>
      <c r="C399" t="s">
        <v>62</v>
      </c>
      <c r="D399" t="s">
        <v>63</v>
      </c>
      <c r="E399">
        <v>1.38</v>
      </c>
      <c r="F399">
        <v>2.82</v>
      </c>
      <c r="G399" s="8">
        <f t="shared" si="6"/>
        <v>29.361702127659576</v>
      </c>
    </row>
    <row r="400" spans="1:7" x14ac:dyDescent="0.25">
      <c r="A400" s="5">
        <v>45809.354166666664</v>
      </c>
      <c r="B400">
        <v>51</v>
      </c>
      <c r="C400" t="s">
        <v>63</v>
      </c>
      <c r="D400" t="s">
        <v>64</v>
      </c>
      <c r="E400">
        <v>2.79</v>
      </c>
      <c r="F400">
        <v>4.75</v>
      </c>
      <c r="G400" s="8">
        <f t="shared" si="6"/>
        <v>35.242105263157896</v>
      </c>
    </row>
    <row r="401" spans="1:7" x14ac:dyDescent="0.25">
      <c r="A401" s="5">
        <v>45809.354166666664</v>
      </c>
      <c r="B401">
        <v>52</v>
      </c>
      <c r="C401" t="s">
        <v>64</v>
      </c>
      <c r="D401" t="s">
        <v>65</v>
      </c>
      <c r="E401">
        <v>1.5</v>
      </c>
      <c r="F401">
        <v>2.63</v>
      </c>
      <c r="G401" s="8">
        <f t="shared" si="6"/>
        <v>34.220532319391637</v>
      </c>
    </row>
    <row r="402" spans="1:7" x14ac:dyDescent="0.25">
      <c r="A402" s="5">
        <v>45809.354166666664</v>
      </c>
      <c r="B402">
        <v>53</v>
      </c>
      <c r="C402" t="s">
        <v>65</v>
      </c>
      <c r="D402" t="s">
        <v>66</v>
      </c>
      <c r="E402">
        <v>1.46</v>
      </c>
      <c r="F402">
        <v>3.28</v>
      </c>
      <c r="G402" s="8">
        <f t="shared" si="6"/>
        <v>26.707317073170731</v>
      </c>
    </row>
    <row r="403" spans="1:7" x14ac:dyDescent="0.25">
      <c r="A403" s="5">
        <v>45809.354166666664</v>
      </c>
      <c r="B403">
        <v>54</v>
      </c>
      <c r="C403" t="s">
        <v>67</v>
      </c>
      <c r="D403" t="s">
        <v>68</v>
      </c>
      <c r="E403">
        <v>1.46</v>
      </c>
      <c r="F403">
        <v>2.2200000000000002</v>
      </c>
      <c r="G403" s="8">
        <f t="shared" si="6"/>
        <v>39.459459459459453</v>
      </c>
    </row>
    <row r="404" spans="1:7" x14ac:dyDescent="0.25">
      <c r="A404" s="5">
        <v>45809.354166666664</v>
      </c>
      <c r="B404">
        <v>55</v>
      </c>
      <c r="C404" t="s">
        <v>68</v>
      </c>
      <c r="D404" t="s">
        <v>69</v>
      </c>
      <c r="E404">
        <v>1.5</v>
      </c>
      <c r="F404">
        <v>1.92</v>
      </c>
      <c r="G404" s="8">
        <f t="shared" si="6"/>
        <v>46.875</v>
      </c>
    </row>
    <row r="405" spans="1:7" x14ac:dyDescent="0.25">
      <c r="A405" s="5">
        <v>45809.354166666664</v>
      </c>
      <c r="B405">
        <v>56</v>
      </c>
      <c r="C405" t="s">
        <v>70</v>
      </c>
      <c r="D405" t="s">
        <v>71</v>
      </c>
      <c r="E405">
        <v>1.51</v>
      </c>
      <c r="F405">
        <v>2.93</v>
      </c>
      <c r="G405" s="8">
        <f t="shared" si="6"/>
        <v>30.921501706484637</v>
      </c>
    </row>
    <row r="406" spans="1:7" x14ac:dyDescent="0.25">
      <c r="A406" s="5">
        <v>45809.354166666664</v>
      </c>
      <c r="B406">
        <v>57</v>
      </c>
      <c r="C406" t="s">
        <v>71</v>
      </c>
      <c r="D406" t="s">
        <v>72</v>
      </c>
      <c r="E406">
        <v>1.52</v>
      </c>
      <c r="F406">
        <v>3.2</v>
      </c>
      <c r="G406" s="8">
        <f t="shared" si="6"/>
        <v>28.5</v>
      </c>
    </row>
    <row r="407" spans="1:7" x14ac:dyDescent="0.25">
      <c r="A407" s="5">
        <v>45809.354166666664</v>
      </c>
      <c r="B407">
        <v>58</v>
      </c>
      <c r="C407" t="s">
        <v>72</v>
      </c>
      <c r="D407" t="s">
        <v>73</v>
      </c>
      <c r="E407">
        <v>1.5</v>
      </c>
      <c r="F407">
        <v>2.92</v>
      </c>
      <c r="G407" s="8">
        <f t="shared" si="6"/>
        <v>30.82191780821918</v>
      </c>
    </row>
    <row r="408" spans="1:7" x14ac:dyDescent="0.25">
      <c r="A408" s="5">
        <v>45809.364583333336</v>
      </c>
      <c r="B408">
        <v>1</v>
      </c>
      <c r="C408" t="s">
        <v>6</v>
      </c>
      <c r="D408" t="s">
        <v>7</v>
      </c>
      <c r="E408">
        <v>1.53</v>
      </c>
      <c r="F408">
        <v>2.73</v>
      </c>
      <c r="G408" s="8">
        <f t="shared" si="6"/>
        <v>33.626373626373628</v>
      </c>
    </row>
    <row r="409" spans="1:7" x14ac:dyDescent="0.25">
      <c r="A409" s="5">
        <v>45809.364583333336</v>
      </c>
      <c r="B409">
        <v>2</v>
      </c>
      <c r="C409" t="s">
        <v>7</v>
      </c>
      <c r="D409" t="s">
        <v>8</v>
      </c>
      <c r="E409">
        <v>1.57</v>
      </c>
      <c r="F409">
        <v>3.92</v>
      </c>
      <c r="G409" s="8">
        <f t="shared" si="6"/>
        <v>24.030612244897959</v>
      </c>
    </row>
    <row r="410" spans="1:7" x14ac:dyDescent="0.25">
      <c r="A410" s="5">
        <v>45809.364583333336</v>
      </c>
      <c r="B410">
        <v>3</v>
      </c>
      <c r="C410" t="s">
        <v>8</v>
      </c>
      <c r="D410" t="s">
        <v>9</v>
      </c>
      <c r="E410">
        <v>1.5</v>
      </c>
      <c r="F410">
        <v>2.68</v>
      </c>
      <c r="G410" s="8">
        <f t="shared" si="6"/>
        <v>33.582089552238806</v>
      </c>
    </row>
    <row r="411" spans="1:7" x14ac:dyDescent="0.25">
      <c r="A411" s="5">
        <v>45809.364583333336</v>
      </c>
      <c r="B411">
        <v>4</v>
      </c>
      <c r="C411" t="s">
        <v>9</v>
      </c>
      <c r="D411" t="s">
        <v>10</v>
      </c>
      <c r="E411">
        <v>1.5</v>
      </c>
      <c r="F411">
        <v>2.4300000000000002</v>
      </c>
      <c r="G411" s="8">
        <f t="shared" si="6"/>
        <v>37.037037037037038</v>
      </c>
    </row>
    <row r="412" spans="1:7" x14ac:dyDescent="0.25">
      <c r="A412" s="5">
        <v>45809.364583333336</v>
      </c>
      <c r="B412">
        <v>5</v>
      </c>
      <c r="C412" t="s">
        <v>10</v>
      </c>
      <c r="D412" t="s">
        <v>11</v>
      </c>
      <c r="E412">
        <v>1.52</v>
      </c>
      <c r="F412">
        <v>2.63</v>
      </c>
      <c r="G412" s="8">
        <f t="shared" si="6"/>
        <v>34.676806083650192</v>
      </c>
    </row>
    <row r="413" spans="1:7" x14ac:dyDescent="0.25">
      <c r="A413" s="5">
        <v>45809.364583333336</v>
      </c>
      <c r="B413">
        <v>6</v>
      </c>
      <c r="C413" t="s">
        <v>11</v>
      </c>
      <c r="D413" t="s">
        <v>12</v>
      </c>
      <c r="E413">
        <v>1.5</v>
      </c>
      <c r="F413">
        <v>2.3199999999999998</v>
      </c>
      <c r="G413" s="8">
        <f t="shared" si="6"/>
        <v>38.793103448275865</v>
      </c>
    </row>
    <row r="414" spans="1:7" x14ac:dyDescent="0.25">
      <c r="A414" s="5">
        <v>45809.364583333336</v>
      </c>
      <c r="B414">
        <v>7</v>
      </c>
      <c r="C414" t="s">
        <v>12</v>
      </c>
      <c r="D414" t="s">
        <v>13</v>
      </c>
      <c r="E414">
        <v>1.54</v>
      </c>
      <c r="F414">
        <v>2.52</v>
      </c>
      <c r="G414" s="8">
        <f t="shared" si="6"/>
        <v>36.666666666666671</v>
      </c>
    </row>
    <row r="415" spans="1:7" x14ac:dyDescent="0.25">
      <c r="A415" s="5">
        <v>45809.364583333336</v>
      </c>
      <c r="B415">
        <v>8</v>
      </c>
      <c r="C415" t="s">
        <v>13</v>
      </c>
      <c r="D415" t="s">
        <v>14</v>
      </c>
      <c r="E415">
        <v>1.54</v>
      </c>
      <c r="F415">
        <v>2.78</v>
      </c>
      <c r="G415" s="8">
        <f t="shared" si="6"/>
        <v>33.237410071942449</v>
      </c>
    </row>
    <row r="416" spans="1:7" x14ac:dyDescent="0.25">
      <c r="A416" s="5">
        <v>45809.364583333336</v>
      </c>
      <c r="B416">
        <v>9</v>
      </c>
      <c r="C416" t="s">
        <v>14</v>
      </c>
      <c r="D416" t="s">
        <v>15</v>
      </c>
      <c r="E416">
        <v>1.52</v>
      </c>
      <c r="F416">
        <v>2.75</v>
      </c>
      <c r="G416" s="8">
        <f t="shared" si="6"/>
        <v>33.163636363636364</v>
      </c>
    </row>
    <row r="417" spans="1:7" x14ac:dyDescent="0.25">
      <c r="A417" s="5">
        <v>45809.364583333336</v>
      </c>
      <c r="B417">
        <v>10</v>
      </c>
      <c r="C417" t="s">
        <v>15</v>
      </c>
      <c r="D417" t="s">
        <v>16</v>
      </c>
      <c r="E417">
        <v>1.5</v>
      </c>
      <c r="F417">
        <v>2.77</v>
      </c>
      <c r="G417" s="8">
        <f t="shared" si="6"/>
        <v>32.490974729241877</v>
      </c>
    </row>
    <row r="418" spans="1:7" x14ac:dyDescent="0.25">
      <c r="A418" s="5">
        <v>45809.364583333336</v>
      </c>
      <c r="B418">
        <v>11</v>
      </c>
      <c r="C418" t="s">
        <v>16</v>
      </c>
      <c r="D418" t="s">
        <v>17</v>
      </c>
      <c r="E418">
        <v>1.48</v>
      </c>
      <c r="F418">
        <v>1.97</v>
      </c>
      <c r="G418" s="8">
        <f t="shared" si="6"/>
        <v>45.076142131979694</v>
      </c>
    </row>
    <row r="419" spans="1:7" x14ac:dyDescent="0.25">
      <c r="A419" s="5">
        <v>45809.364583333336</v>
      </c>
      <c r="B419">
        <v>12</v>
      </c>
      <c r="C419" t="s">
        <v>17</v>
      </c>
      <c r="D419" t="s">
        <v>18</v>
      </c>
      <c r="E419">
        <v>1.46</v>
      </c>
      <c r="F419">
        <v>2.62</v>
      </c>
      <c r="G419" s="8">
        <f t="shared" si="6"/>
        <v>33.435114503816791</v>
      </c>
    </row>
    <row r="420" spans="1:7" x14ac:dyDescent="0.25">
      <c r="A420" s="5">
        <v>45809.364583333336</v>
      </c>
      <c r="B420">
        <v>13</v>
      </c>
      <c r="C420" t="s">
        <v>18</v>
      </c>
      <c r="D420" t="s">
        <v>19</v>
      </c>
      <c r="E420">
        <v>1.52</v>
      </c>
      <c r="F420">
        <v>2.75</v>
      </c>
      <c r="G420" s="8">
        <f t="shared" si="6"/>
        <v>33.163636363636364</v>
      </c>
    </row>
    <row r="421" spans="1:7" x14ac:dyDescent="0.25">
      <c r="A421" s="5">
        <v>45809.364583333336</v>
      </c>
      <c r="B421">
        <v>14</v>
      </c>
      <c r="C421" t="s">
        <v>19</v>
      </c>
      <c r="D421" t="s">
        <v>20</v>
      </c>
      <c r="E421">
        <v>1.51</v>
      </c>
      <c r="F421">
        <v>2.8</v>
      </c>
      <c r="G421" s="8">
        <f t="shared" si="6"/>
        <v>32.357142857142854</v>
      </c>
    </row>
    <row r="422" spans="1:7" x14ac:dyDescent="0.25">
      <c r="A422" s="5">
        <v>45809.364583333336</v>
      </c>
      <c r="B422">
        <v>15</v>
      </c>
      <c r="C422" t="s">
        <v>20</v>
      </c>
      <c r="D422" t="s">
        <v>21</v>
      </c>
      <c r="E422">
        <v>1.47</v>
      </c>
      <c r="F422">
        <v>1.85</v>
      </c>
      <c r="G422" s="8">
        <f t="shared" si="6"/>
        <v>47.675675675675677</v>
      </c>
    </row>
    <row r="423" spans="1:7" x14ac:dyDescent="0.25">
      <c r="A423" s="5">
        <v>45809.364583333336</v>
      </c>
      <c r="B423">
        <v>16</v>
      </c>
      <c r="C423" t="s">
        <v>21</v>
      </c>
      <c r="D423" t="s">
        <v>22</v>
      </c>
      <c r="E423">
        <v>1.5</v>
      </c>
      <c r="F423">
        <v>1.7</v>
      </c>
      <c r="G423" s="8">
        <f t="shared" si="6"/>
        <v>52.941176470588239</v>
      </c>
    </row>
    <row r="424" spans="1:7" x14ac:dyDescent="0.25">
      <c r="A424" s="5">
        <v>45809.364583333336</v>
      </c>
      <c r="B424">
        <v>17</v>
      </c>
      <c r="C424" t="s">
        <v>22</v>
      </c>
      <c r="D424" t="s">
        <v>23</v>
      </c>
      <c r="E424">
        <v>1.51</v>
      </c>
      <c r="F424">
        <v>2.2000000000000002</v>
      </c>
      <c r="G424" s="8">
        <f t="shared" si="6"/>
        <v>41.181818181818173</v>
      </c>
    </row>
    <row r="425" spans="1:7" x14ac:dyDescent="0.25">
      <c r="A425" s="5">
        <v>45809.364583333336</v>
      </c>
      <c r="B425">
        <v>18</v>
      </c>
      <c r="C425" t="s">
        <v>23</v>
      </c>
      <c r="D425" t="s">
        <v>24</v>
      </c>
      <c r="E425">
        <v>1.51</v>
      </c>
      <c r="F425">
        <v>2.48</v>
      </c>
      <c r="G425" s="8">
        <f t="shared" si="6"/>
        <v>36.532258064516128</v>
      </c>
    </row>
    <row r="426" spans="1:7" x14ac:dyDescent="0.25">
      <c r="A426" s="5">
        <v>45809.364583333336</v>
      </c>
      <c r="B426">
        <v>19</v>
      </c>
      <c r="C426" t="s">
        <v>25</v>
      </c>
      <c r="D426" t="s">
        <v>26</v>
      </c>
      <c r="E426">
        <v>1.5</v>
      </c>
      <c r="F426">
        <v>3</v>
      </c>
      <c r="G426" s="8">
        <f t="shared" si="6"/>
        <v>30</v>
      </c>
    </row>
    <row r="427" spans="1:7" x14ac:dyDescent="0.25">
      <c r="A427" s="5">
        <v>45809.364583333336</v>
      </c>
      <c r="B427">
        <v>20</v>
      </c>
      <c r="C427" t="s">
        <v>26</v>
      </c>
      <c r="D427" t="s">
        <v>27</v>
      </c>
      <c r="E427">
        <v>1.48</v>
      </c>
      <c r="F427">
        <v>3.28</v>
      </c>
      <c r="G427" s="8">
        <f t="shared" si="6"/>
        <v>27.073170731707318</v>
      </c>
    </row>
    <row r="428" spans="1:7" x14ac:dyDescent="0.25">
      <c r="A428" s="5">
        <v>45809.364583333336</v>
      </c>
      <c r="B428">
        <v>21</v>
      </c>
      <c r="C428" t="s">
        <v>27</v>
      </c>
      <c r="D428" t="s">
        <v>28</v>
      </c>
      <c r="E428">
        <v>1.51</v>
      </c>
      <c r="F428">
        <v>2.5499999999999998</v>
      </c>
      <c r="G428" s="8">
        <f t="shared" si="6"/>
        <v>35.529411764705884</v>
      </c>
    </row>
    <row r="429" spans="1:7" x14ac:dyDescent="0.25">
      <c r="A429" s="5">
        <v>45809.364583333336</v>
      </c>
      <c r="B429">
        <v>22</v>
      </c>
      <c r="C429" t="s">
        <v>28</v>
      </c>
      <c r="D429" t="s">
        <v>29</v>
      </c>
      <c r="E429">
        <v>1.57</v>
      </c>
      <c r="F429">
        <v>2.73</v>
      </c>
      <c r="G429" s="8">
        <f t="shared" si="6"/>
        <v>34.505494505494504</v>
      </c>
    </row>
    <row r="430" spans="1:7" x14ac:dyDescent="0.25">
      <c r="A430" s="5">
        <v>45809.364583333336</v>
      </c>
      <c r="B430">
        <v>23</v>
      </c>
      <c r="C430" t="s">
        <v>29</v>
      </c>
      <c r="D430" t="s">
        <v>30</v>
      </c>
      <c r="E430">
        <v>1.43</v>
      </c>
      <c r="F430">
        <v>2.88</v>
      </c>
      <c r="G430" s="8">
        <f t="shared" si="6"/>
        <v>29.791666666666668</v>
      </c>
    </row>
    <row r="431" spans="1:7" x14ac:dyDescent="0.25">
      <c r="A431" s="5">
        <v>45809.364583333336</v>
      </c>
      <c r="B431">
        <v>24</v>
      </c>
      <c r="C431" t="s">
        <v>30</v>
      </c>
      <c r="D431" t="s">
        <v>31</v>
      </c>
      <c r="E431">
        <v>1.52</v>
      </c>
      <c r="F431">
        <v>2.73</v>
      </c>
      <c r="G431" s="8">
        <f t="shared" si="6"/>
        <v>33.406593406593409</v>
      </c>
    </row>
    <row r="432" spans="1:7" x14ac:dyDescent="0.25">
      <c r="A432" s="5">
        <v>45809.364583333336</v>
      </c>
      <c r="B432">
        <v>25</v>
      </c>
      <c r="C432" t="s">
        <v>31</v>
      </c>
      <c r="D432" t="s">
        <v>32</v>
      </c>
      <c r="E432">
        <v>1.52</v>
      </c>
      <c r="F432">
        <v>3.03</v>
      </c>
      <c r="G432" s="8">
        <f t="shared" si="6"/>
        <v>30.099009900990101</v>
      </c>
    </row>
    <row r="433" spans="1:7" x14ac:dyDescent="0.25">
      <c r="A433" s="5">
        <v>45809.364583333336</v>
      </c>
      <c r="B433">
        <v>26</v>
      </c>
      <c r="C433" t="s">
        <v>32</v>
      </c>
      <c r="D433" t="s">
        <v>33</v>
      </c>
      <c r="E433">
        <v>1.49</v>
      </c>
      <c r="F433">
        <v>2.87</v>
      </c>
      <c r="G433" s="8">
        <f t="shared" si="6"/>
        <v>31.149825783972126</v>
      </c>
    </row>
    <row r="434" spans="1:7" x14ac:dyDescent="0.25">
      <c r="A434" s="5">
        <v>45809.364583333336</v>
      </c>
      <c r="B434">
        <v>27</v>
      </c>
      <c r="C434" t="s">
        <v>33</v>
      </c>
      <c r="D434" t="s">
        <v>34</v>
      </c>
      <c r="E434">
        <v>1.53</v>
      </c>
      <c r="F434">
        <v>2.82</v>
      </c>
      <c r="G434" s="8">
        <f t="shared" si="6"/>
        <v>32.553191489361701</v>
      </c>
    </row>
    <row r="435" spans="1:7" x14ac:dyDescent="0.25">
      <c r="A435" s="5">
        <v>45809.364583333336</v>
      </c>
      <c r="B435">
        <v>28</v>
      </c>
      <c r="C435" t="s">
        <v>34</v>
      </c>
      <c r="D435" t="s">
        <v>35</v>
      </c>
      <c r="E435">
        <v>1.51</v>
      </c>
      <c r="F435">
        <v>3.43</v>
      </c>
      <c r="G435" s="8">
        <f t="shared" si="6"/>
        <v>26.413994169096206</v>
      </c>
    </row>
    <row r="436" spans="1:7" x14ac:dyDescent="0.25">
      <c r="A436" s="5">
        <v>45809.364583333336</v>
      </c>
      <c r="B436">
        <v>29</v>
      </c>
      <c r="C436" t="s">
        <v>36</v>
      </c>
      <c r="D436" t="s">
        <v>37</v>
      </c>
      <c r="E436">
        <v>1.57</v>
      </c>
      <c r="F436">
        <v>2.9</v>
      </c>
      <c r="G436" s="8">
        <f t="shared" si="6"/>
        <v>32.482758620689658</v>
      </c>
    </row>
    <row r="437" spans="1:7" x14ac:dyDescent="0.25">
      <c r="A437" s="5">
        <v>45809.364583333336</v>
      </c>
      <c r="B437">
        <v>30</v>
      </c>
      <c r="C437" t="s">
        <v>37</v>
      </c>
      <c r="D437" t="s">
        <v>38</v>
      </c>
      <c r="E437">
        <v>1.57</v>
      </c>
      <c r="F437">
        <v>3.22</v>
      </c>
      <c r="G437" s="8">
        <f t="shared" si="6"/>
        <v>29.254658385093165</v>
      </c>
    </row>
    <row r="438" spans="1:7" x14ac:dyDescent="0.25">
      <c r="A438" s="5">
        <v>45809.364583333336</v>
      </c>
      <c r="B438">
        <v>31</v>
      </c>
      <c r="C438" t="s">
        <v>38</v>
      </c>
      <c r="D438" t="s">
        <v>39</v>
      </c>
      <c r="E438">
        <v>1.52</v>
      </c>
      <c r="F438">
        <v>2.35</v>
      </c>
      <c r="G438" s="8">
        <f t="shared" si="6"/>
        <v>38.808510638297875</v>
      </c>
    </row>
    <row r="439" spans="1:7" x14ac:dyDescent="0.25">
      <c r="A439" s="5">
        <v>45809.364583333336</v>
      </c>
      <c r="B439">
        <v>32</v>
      </c>
      <c r="C439" t="s">
        <v>39</v>
      </c>
      <c r="D439" t="s">
        <v>40</v>
      </c>
      <c r="E439">
        <v>1.5</v>
      </c>
      <c r="F439">
        <v>1.65</v>
      </c>
      <c r="G439" s="8">
        <f t="shared" si="6"/>
        <v>54.545454545454547</v>
      </c>
    </row>
    <row r="440" spans="1:7" x14ac:dyDescent="0.25">
      <c r="A440" s="5">
        <v>45809.364583333336</v>
      </c>
      <c r="B440">
        <v>33</v>
      </c>
      <c r="C440" t="s">
        <v>40</v>
      </c>
      <c r="D440" t="s">
        <v>41</v>
      </c>
      <c r="E440">
        <v>1.51</v>
      </c>
      <c r="F440">
        <v>1.68</v>
      </c>
      <c r="G440" s="8">
        <f t="shared" si="6"/>
        <v>53.928571428571431</v>
      </c>
    </row>
    <row r="441" spans="1:7" x14ac:dyDescent="0.25">
      <c r="A441" s="5">
        <v>45809.364583333336</v>
      </c>
      <c r="B441">
        <v>34</v>
      </c>
      <c r="C441" t="s">
        <v>41</v>
      </c>
      <c r="D441" t="s">
        <v>42</v>
      </c>
      <c r="E441">
        <v>1.5</v>
      </c>
      <c r="F441">
        <v>1.68</v>
      </c>
      <c r="G441" s="8">
        <f t="shared" si="6"/>
        <v>53.571428571428577</v>
      </c>
    </row>
    <row r="442" spans="1:7" x14ac:dyDescent="0.25">
      <c r="A442" s="5">
        <v>45809.364583333336</v>
      </c>
      <c r="B442">
        <v>35</v>
      </c>
      <c r="C442" t="s">
        <v>43</v>
      </c>
      <c r="D442" t="s">
        <v>44</v>
      </c>
      <c r="E442">
        <v>1.55</v>
      </c>
      <c r="F442">
        <v>2.98</v>
      </c>
      <c r="G442" s="8">
        <f t="shared" si="6"/>
        <v>31.208053691275168</v>
      </c>
    </row>
    <row r="443" spans="1:7" x14ac:dyDescent="0.25">
      <c r="A443" s="5">
        <v>45809.364583333336</v>
      </c>
      <c r="B443">
        <v>36</v>
      </c>
      <c r="C443" t="s">
        <v>44</v>
      </c>
      <c r="D443" t="s">
        <v>45</v>
      </c>
      <c r="E443">
        <v>1.5</v>
      </c>
      <c r="F443">
        <v>2.5</v>
      </c>
      <c r="G443" s="8">
        <f t="shared" si="6"/>
        <v>36</v>
      </c>
    </row>
    <row r="444" spans="1:7" x14ac:dyDescent="0.25">
      <c r="A444" s="5">
        <v>45809.364583333336</v>
      </c>
      <c r="B444">
        <v>37</v>
      </c>
      <c r="C444" t="s">
        <v>45</v>
      </c>
      <c r="D444" t="s">
        <v>46</v>
      </c>
      <c r="E444">
        <v>1.38</v>
      </c>
      <c r="F444">
        <v>3.23</v>
      </c>
      <c r="G444" s="8">
        <f t="shared" si="6"/>
        <v>25.634674922600617</v>
      </c>
    </row>
    <row r="445" spans="1:7" x14ac:dyDescent="0.25">
      <c r="A445" s="5">
        <v>45809.364583333336</v>
      </c>
      <c r="B445">
        <v>38</v>
      </c>
      <c r="C445" t="s">
        <v>46</v>
      </c>
      <c r="D445" t="s">
        <v>47</v>
      </c>
      <c r="E445">
        <v>1.61</v>
      </c>
      <c r="F445">
        <v>3.45</v>
      </c>
      <c r="G445" s="8">
        <f t="shared" si="6"/>
        <v>28</v>
      </c>
    </row>
    <row r="446" spans="1:7" x14ac:dyDescent="0.25">
      <c r="A446" s="5">
        <v>45809.364583333336</v>
      </c>
      <c r="B446">
        <v>39</v>
      </c>
      <c r="C446" t="s">
        <v>47</v>
      </c>
      <c r="D446" t="s">
        <v>48</v>
      </c>
      <c r="E446">
        <v>1.55</v>
      </c>
      <c r="F446">
        <v>2.98</v>
      </c>
      <c r="G446" s="8">
        <f t="shared" si="6"/>
        <v>31.208053691275168</v>
      </c>
    </row>
    <row r="447" spans="1:7" x14ac:dyDescent="0.25">
      <c r="A447" s="5">
        <v>45809.364583333336</v>
      </c>
      <c r="B447">
        <v>40</v>
      </c>
      <c r="C447" t="s">
        <v>48</v>
      </c>
      <c r="D447" t="s">
        <v>49</v>
      </c>
      <c r="E447">
        <v>1.39</v>
      </c>
      <c r="F447">
        <v>2.67</v>
      </c>
      <c r="G447" s="8">
        <f t="shared" si="6"/>
        <v>31.235955056179773</v>
      </c>
    </row>
    <row r="448" spans="1:7" x14ac:dyDescent="0.25">
      <c r="A448" s="5">
        <v>45809.364583333336</v>
      </c>
      <c r="B448">
        <v>41</v>
      </c>
      <c r="C448" t="s">
        <v>50</v>
      </c>
      <c r="D448" t="s">
        <v>51</v>
      </c>
      <c r="E448">
        <v>1.56</v>
      </c>
      <c r="F448">
        <v>2.97</v>
      </c>
      <c r="G448" s="8">
        <f t="shared" si="6"/>
        <v>31.515151515151516</v>
      </c>
    </row>
    <row r="449" spans="1:7" x14ac:dyDescent="0.25">
      <c r="A449" s="5">
        <v>45809.364583333336</v>
      </c>
      <c r="B449">
        <v>42</v>
      </c>
      <c r="C449" t="s">
        <v>51</v>
      </c>
      <c r="D449" t="s">
        <v>52</v>
      </c>
      <c r="E449">
        <v>1.56</v>
      </c>
      <c r="F449">
        <v>3.15</v>
      </c>
      <c r="G449" s="8">
        <f t="shared" si="6"/>
        <v>29.714285714285719</v>
      </c>
    </row>
    <row r="450" spans="1:7" x14ac:dyDescent="0.25">
      <c r="A450" s="5">
        <v>45809.364583333336</v>
      </c>
      <c r="B450">
        <v>43</v>
      </c>
      <c r="C450" t="s">
        <v>52</v>
      </c>
      <c r="D450" t="s">
        <v>53</v>
      </c>
      <c r="E450">
        <v>1.51</v>
      </c>
      <c r="F450">
        <v>2.9</v>
      </c>
      <c r="G450" s="8">
        <f t="shared" si="6"/>
        <v>31.241379310344826</v>
      </c>
    </row>
    <row r="451" spans="1:7" x14ac:dyDescent="0.25">
      <c r="A451" s="5">
        <v>45809.364583333336</v>
      </c>
      <c r="B451">
        <v>44</v>
      </c>
      <c r="C451" t="s">
        <v>54</v>
      </c>
      <c r="D451" t="s">
        <v>55</v>
      </c>
      <c r="E451">
        <v>1.51</v>
      </c>
      <c r="F451">
        <v>3.88</v>
      </c>
      <c r="G451" s="8">
        <f t="shared" ref="G451:G514" si="7">E451*60/F451</f>
        <v>23.350515463917525</v>
      </c>
    </row>
    <row r="452" spans="1:7" x14ac:dyDescent="0.25">
      <c r="A452" s="5">
        <v>45809.364583333336</v>
      </c>
      <c r="B452">
        <v>45</v>
      </c>
      <c r="C452" t="s">
        <v>55</v>
      </c>
      <c r="D452" t="s">
        <v>56</v>
      </c>
      <c r="E452">
        <v>1.49</v>
      </c>
      <c r="F452">
        <v>2.75</v>
      </c>
      <c r="G452" s="8">
        <f t="shared" si="7"/>
        <v>32.509090909090908</v>
      </c>
    </row>
    <row r="453" spans="1:7" x14ac:dyDescent="0.25">
      <c r="A453" s="5">
        <v>45809.364583333336</v>
      </c>
      <c r="B453">
        <v>46</v>
      </c>
      <c r="C453" t="s">
        <v>56</v>
      </c>
      <c r="D453" t="s">
        <v>57</v>
      </c>
      <c r="E453">
        <v>1.52</v>
      </c>
      <c r="F453">
        <v>3.33</v>
      </c>
      <c r="G453" s="8">
        <f t="shared" si="7"/>
        <v>27.387387387387388</v>
      </c>
    </row>
    <row r="454" spans="1:7" x14ac:dyDescent="0.25">
      <c r="A454" s="5">
        <v>45809.364583333336</v>
      </c>
      <c r="B454">
        <v>47</v>
      </c>
      <c r="C454" t="s">
        <v>58</v>
      </c>
      <c r="D454" t="s">
        <v>59</v>
      </c>
      <c r="E454">
        <v>1.52</v>
      </c>
      <c r="F454">
        <v>3.05</v>
      </c>
      <c r="G454" s="8">
        <f t="shared" si="7"/>
        <v>29.901639344262296</v>
      </c>
    </row>
    <row r="455" spans="1:7" x14ac:dyDescent="0.25">
      <c r="A455" s="5">
        <v>45809.364583333336</v>
      </c>
      <c r="B455">
        <v>48</v>
      </c>
      <c r="C455" t="s">
        <v>59</v>
      </c>
      <c r="D455" t="s">
        <v>60</v>
      </c>
      <c r="E455">
        <v>1.5</v>
      </c>
      <c r="F455">
        <v>3.22</v>
      </c>
      <c r="G455" s="8">
        <f t="shared" si="7"/>
        <v>27.950310559006208</v>
      </c>
    </row>
    <row r="456" spans="1:7" x14ac:dyDescent="0.25">
      <c r="A456" s="5">
        <v>45809.364583333336</v>
      </c>
      <c r="B456">
        <v>49</v>
      </c>
      <c r="C456" t="s">
        <v>60</v>
      </c>
      <c r="D456" t="s">
        <v>61</v>
      </c>
      <c r="E456">
        <v>1.54</v>
      </c>
      <c r="F456">
        <v>3.32</v>
      </c>
      <c r="G456" s="8">
        <f t="shared" si="7"/>
        <v>27.831325301204821</v>
      </c>
    </row>
    <row r="457" spans="1:7" x14ac:dyDescent="0.25">
      <c r="A457" s="5">
        <v>45809.364583333336</v>
      </c>
      <c r="B457">
        <v>50</v>
      </c>
      <c r="C457" t="s">
        <v>62</v>
      </c>
      <c r="D457" t="s">
        <v>63</v>
      </c>
      <c r="E457">
        <v>1.38</v>
      </c>
      <c r="F457">
        <v>2.78</v>
      </c>
      <c r="G457" s="8">
        <f t="shared" si="7"/>
        <v>29.784172661870503</v>
      </c>
    </row>
    <row r="458" spans="1:7" x14ac:dyDescent="0.25">
      <c r="A458" s="5">
        <v>45809.364583333336</v>
      </c>
      <c r="B458">
        <v>51</v>
      </c>
      <c r="C458" t="s">
        <v>63</v>
      </c>
      <c r="D458" t="s">
        <v>64</v>
      </c>
      <c r="E458">
        <v>2.79</v>
      </c>
      <c r="F458">
        <v>5.0199999999999996</v>
      </c>
      <c r="G458" s="8">
        <f t="shared" si="7"/>
        <v>33.346613545816737</v>
      </c>
    </row>
    <row r="459" spans="1:7" x14ac:dyDescent="0.25">
      <c r="A459" s="5">
        <v>45809.364583333336</v>
      </c>
      <c r="B459">
        <v>52</v>
      </c>
      <c r="C459" t="s">
        <v>64</v>
      </c>
      <c r="D459" t="s">
        <v>65</v>
      </c>
      <c r="E459">
        <v>1.5</v>
      </c>
      <c r="F459">
        <v>2.67</v>
      </c>
      <c r="G459" s="8">
        <f t="shared" si="7"/>
        <v>33.707865168539328</v>
      </c>
    </row>
    <row r="460" spans="1:7" x14ac:dyDescent="0.25">
      <c r="A460" s="5">
        <v>45809.364583333336</v>
      </c>
      <c r="B460">
        <v>53</v>
      </c>
      <c r="C460" t="s">
        <v>65</v>
      </c>
      <c r="D460" t="s">
        <v>66</v>
      </c>
      <c r="E460">
        <v>1.46</v>
      </c>
      <c r="F460">
        <v>3.3</v>
      </c>
      <c r="G460" s="8">
        <f t="shared" si="7"/>
        <v>26.545454545454547</v>
      </c>
    </row>
    <row r="461" spans="1:7" x14ac:dyDescent="0.25">
      <c r="A461" s="5">
        <v>45809.364583333336</v>
      </c>
      <c r="B461">
        <v>54</v>
      </c>
      <c r="C461" t="s">
        <v>67</v>
      </c>
      <c r="D461" t="s">
        <v>68</v>
      </c>
      <c r="E461">
        <v>1.46</v>
      </c>
      <c r="F461">
        <v>2.2000000000000002</v>
      </c>
      <c r="G461" s="8">
        <f t="shared" si="7"/>
        <v>39.818181818181813</v>
      </c>
    </row>
    <row r="462" spans="1:7" x14ac:dyDescent="0.25">
      <c r="A462" s="5">
        <v>45809.364583333336</v>
      </c>
      <c r="B462">
        <v>55</v>
      </c>
      <c r="C462" t="s">
        <v>68</v>
      </c>
      <c r="D462" t="s">
        <v>69</v>
      </c>
      <c r="E462">
        <v>1.5</v>
      </c>
      <c r="F462">
        <v>1.78</v>
      </c>
      <c r="G462" s="8">
        <f t="shared" si="7"/>
        <v>50.561797752808985</v>
      </c>
    </row>
    <row r="463" spans="1:7" x14ac:dyDescent="0.25">
      <c r="A463" s="5">
        <v>45809.364583333336</v>
      </c>
      <c r="B463">
        <v>56</v>
      </c>
      <c r="C463" t="s">
        <v>70</v>
      </c>
      <c r="D463" t="s">
        <v>71</v>
      </c>
      <c r="E463">
        <v>1.51</v>
      </c>
      <c r="F463">
        <v>3.32</v>
      </c>
      <c r="G463" s="8">
        <f t="shared" si="7"/>
        <v>27.289156626506024</v>
      </c>
    </row>
    <row r="464" spans="1:7" x14ac:dyDescent="0.25">
      <c r="A464" s="5">
        <v>45809.364583333336</v>
      </c>
      <c r="B464">
        <v>57</v>
      </c>
      <c r="C464" t="s">
        <v>71</v>
      </c>
      <c r="D464" t="s">
        <v>72</v>
      </c>
      <c r="E464">
        <v>1.52</v>
      </c>
      <c r="F464">
        <v>3.48</v>
      </c>
      <c r="G464" s="8">
        <f t="shared" si="7"/>
        <v>26.206896551724139</v>
      </c>
    </row>
    <row r="465" spans="1:7" x14ac:dyDescent="0.25">
      <c r="A465" s="5">
        <v>45809.364583333336</v>
      </c>
      <c r="B465">
        <v>58</v>
      </c>
      <c r="C465" t="s">
        <v>72</v>
      </c>
      <c r="D465" t="s">
        <v>73</v>
      </c>
      <c r="E465">
        <v>1.5</v>
      </c>
      <c r="F465">
        <v>3.03</v>
      </c>
      <c r="G465" s="8">
        <f t="shared" si="7"/>
        <v>29.702970297029704</v>
      </c>
    </row>
    <row r="466" spans="1:7" x14ac:dyDescent="0.25">
      <c r="A466" s="5">
        <v>45809.375</v>
      </c>
      <c r="B466">
        <v>1</v>
      </c>
      <c r="C466" t="s">
        <v>6</v>
      </c>
      <c r="D466" t="s">
        <v>7</v>
      </c>
      <c r="E466">
        <v>1.53</v>
      </c>
      <c r="F466">
        <v>2.78</v>
      </c>
      <c r="G466" s="8">
        <f t="shared" si="7"/>
        <v>33.021582733812949</v>
      </c>
    </row>
    <row r="467" spans="1:7" x14ac:dyDescent="0.25">
      <c r="A467" s="5">
        <v>45809.375</v>
      </c>
      <c r="B467">
        <v>2</v>
      </c>
      <c r="C467" t="s">
        <v>7</v>
      </c>
      <c r="D467" t="s">
        <v>8</v>
      </c>
      <c r="E467">
        <v>1.57</v>
      </c>
      <c r="F467">
        <v>3.87</v>
      </c>
      <c r="G467" s="8">
        <f t="shared" si="7"/>
        <v>24.34108527131783</v>
      </c>
    </row>
    <row r="468" spans="1:7" x14ac:dyDescent="0.25">
      <c r="A468" s="5">
        <v>45809.375</v>
      </c>
      <c r="B468">
        <v>3</v>
      </c>
      <c r="C468" t="s">
        <v>8</v>
      </c>
      <c r="D468" t="s">
        <v>9</v>
      </c>
      <c r="E468">
        <v>1.5</v>
      </c>
      <c r="F468">
        <v>2.7</v>
      </c>
      <c r="G468" s="8">
        <f t="shared" si="7"/>
        <v>33.333333333333329</v>
      </c>
    </row>
    <row r="469" spans="1:7" x14ac:dyDescent="0.25">
      <c r="A469" s="5">
        <v>45809.375</v>
      </c>
      <c r="B469">
        <v>4</v>
      </c>
      <c r="C469" t="s">
        <v>9</v>
      </c>
      <c r="D469" t="s">
        <v>10</v>
      </c>
      <c r="E469">
        <v>1.5</v>
      </c>
      <c r="F469">
        <v>2.48</v>
      </c>
      <c r="G469" s="8">
        <f t="shared" si="7"/>
        <v>36.29032258064516</v>
      </c>
    </row>
    <row r="470" spans="1:7" x14ac:dyDescent="0.25">
      <c r="A470" s="5">
        <v>45809.375</v>
      </c>
      <c r="B470">
        <v>5</v>
      </c>
      <c r="C470" t="s">
        <v>10</v>
      </c>
      <c r="D470" t="s">
        <v>11</v>
      </c>
      <c r="E470">
        <v>1.52</v>
      </c>
      <c r="F470">
        <v>2.75</v>
      </c>
      <c r="G470" s="8">
        <f t="shared" si="7"/>
        <v>33.163636363636364</v>
      </c>
    </row>
    <row r="471" spans="1:7" x14ac:dyDescent="0.25">
      <c r="A471" s="5">
        <v>45809.375</v>
      </c>
      <c r="B471">
        <v>6</v>
      </c>
      <c r="C471" t="s">
        <v>11</v>
      </c>
      <c r="D471" t="s">
        <v>12</v>
      </c>
      <c r="E471">
        <v>1.5</v>
      </c>
      <c r="F471">
        <v>2.4</v>
      </c>
      <c r="G471" s="8">
        <f t="shared" si="7"/>
        <v>37.5</v>
      </c>
    </row>
    <row r="472" spans="1:7" x14ac:dyDescent="0.25">
      <c r="A472" s="5">
        <v>45809.375</v>
      </c>
      <c r="B472">
        <v>7</v>
      </c>
      <c r="C472" t="s">
        <v>12</v>
      </c>
      <c r="D472" t="s">
        <v>13</v>
      </c>
      <c r="E472">
        <v>1.54</v>
      </c>
      <c r="F472">
        <v>2.5</v>
      </c>
      <c r="G472" s="8">
        <f t="shared" si="7"/>
        <v>36.96</v>
      </c>
    </row>
    <row r="473" spans="1:7" x14ac:dyDescent="0.25">
      <c r="A473" s="5">
        <v>45809.375</v>
      </c>
      <c r="B473">
        <v>8</v>
      </c>
      <c r="C473" t="s">
        <v>13</v>
      </c>
      <c r="D473" t="s">
        <v>14</v>
      </c>
      <c r="E473">
        <v>1.54</v>
      </c>
      <c r="F473">
        <v>2.97</v>
      </c>
      <c r="G473" s="8">
        <f t="shared" si="7"/>
        <v>31.111111111111111</v>
      </c>
    </row>
    <row r="474" spans="1:7" x14ac:dyDescent="0.25">
      <c r="A474" s="5">
        <v>45809.375</v>
      </c>
      <c r="B474">
        <v>9</v>
      </c>
      <c r="C474" t="s">
        <v>14</v>
      </c>
      <c r="D474" t="s">
        <v>15</v>
      </c>
      <c r="E474">
        <v>1.52</v>
      </c>
      <c r="F474">
        <v>2.77</v>
      </c>
      <c r="G474" s="8">
        <f t="shared" si="7"/>
        <v>32.924187725631768</v>
      </c>
    </row>
    <row r="475" spans="1:7" x14ac:dyDescent="0.25">
      <c r="A475" s="5">
        <v>45809.375</v>
      </c>
      <c r="B475">
        <v>10</v>
      </c>
      <c r="C475" t="s">
        <v>15</v>
      </c>
      <c r="D475" t="s">
        <v>16</v>
      </c>
      <c r="E475">
        <v>1.5</v>
      </c>
      <c r="F475">
        <v>2.9</v>
      </c>
      <c r="G475" s="8">
        <f t="shared" si="7"/>
        <v>31.03448275862069</v>
      </c>
    </row>
    <row r="476" spans="1:7" x14ac:dyDescent="0.25">
      <c r="A476" s="5">
        <v>45809.375</v>
      </c>
      <c r="B476">
        <v>11</v>
      </c>
      <c r="C476" t="s">
        <v>16</v>
      </c>
      <c r="D476" t="s">
        <v>17</v>
      </c>
      <c r="E476">
        <v>1.48</v>
      </c>
      <c r="F476">
        <v>2.35</v>
      </c>
      <c r="G476" s="8">
        <f t="shared" si="7"/>
        <v>37.787234042553187</v>
      </c>
    </row>
    <row r="477" spans="1:7" x14ac:dyDescent="0.25">
      <c r="A477" s="5">
        <v>45809.375</v>
      </c>
      <c r="B477">
        <v>12</v>
      </c>
      <c r="C477" t="s">
        <v>17</v>
      </c>
      <c r="D477" t="s">
        <v>18</v>
      </c>
      <c r="E477">
        <v>1.46</v>
      </c>
      <c r="F477">
        <v>2.77</v>
      </c>
      <c r="G477" s="8">
        <f t="shared" si="7"/>
        <v>31.624548736462092</v>
      </c>
    </row>
    <row r="478" spans="1:7" x14ac:dyDescent="0.25">
      <c r="A478" s="5">
        <v>45809.375</v>
      </c>
      <c r="B478">
        <v>13</v>
      </c>
      <c r="C478" t="s">
        <v>18</v>
      </c>
      <c r="D478" t="s">
        <v>19</v>
      </c>
      <c r="E478">
        <v>1.52</v>
      </c>
      <c r="F478">
        <v>2.92</v>
      </c>
      <c r="G478" s="8">
        <f t="shared" si="7"/>
        <v>31.232876712328768</v>
      </c>
    </row>
    <row r="479" spans="1:7" x14ac:dyDescent="0.25">
      <c r="A479" s="5">
        <v>45809.375</v>
      </c>
      <c r="B479">
        <v>14</v>
      </c>
      <c r="C479" t="s">
        <v>19</v>
      </c>
      <c r="D479" t="s">
        <v>20</v>
      </c>
      <c r="E479">
        <v>1.51</v>
      </c>
      <c r="F479">
        <v>2.78</v>
      </c>
      <c r="G479" s="8">
        <f t="shared" si="7"/>
        <v>32.589928057553955</v>
      </c>
    </row>
    <row r="480" spans="1:7" x14ac:dyDescent="0.25">
      <c r="A480" s="5">
        <v>45809.375</v>
      </c>
      <c r="B480">
        <v>15</v>
      </c>
      <c r="C480" t="s">
        <v>20</v>
      </c>
      <c r="D480" t="s">
        <v>21</v>
      </c>
      <c r="E480">
        <v>1.47</v>
      </c>
      <c r="F480">
        <v>1.87</v>
      </c>
      <c r="G480" s="8">
        <f t="shared" si="7"/>
        <v>47.165775401069517</v>
      </c>
    </row>
    <row r="481" spans="1:7" x14ac:dyDescent="0.25">
      <c r="A481" s="5">
        <v>45809.375</v>
      </c>
      <c r="B481">
        <v>16</v>
      </c>
      <c r="C481" t="s">
        <v>21</v>
      </c>
      <c r="D481" t="s">
        <v>22</v>
      </c>
      <c r="E481">
        <v>1.5</v>
      </c>
      <c r="F481">
        <v>1.75</v>
      </c>
      <c r="G481" s="8">
        <f t="shared" si="7"/>
        <v>51.428571428571431</v>
      </c>
    </row>
    <row r="482" spans="1:7" x14ac:dyDescent="0.25">
      <c r="A482" s="5">
        <v>45809.375</v>
      </c>
      <c r="B482">
        <v>17</v>
      </c>
      <c r="C482" t="s">
        <v>22</v>
      </c>
      <c r="D482" t="s">
        <v>23</v>
      </c>
      <c r="E482">
        <v>1.51</v>
      </c>
      <c r="F482">
        <v>2.23</v>
      </c>
      <c r="G482" s="8">
        <f t="shared" si="7"/>
        <v>40.627802690582961</v>
      </c>
    </row>
    <row r="483" spans="1:7" x14ac:dyDescent="0.25">
      <c r="A483" s="5">
        <v>45809.375</v>
      </c>
      <c r="B483">
        <v>18</v>
      </c>
      <c r="C483" t="s">
        <v>23</v>
      </c>
      <c r="D483" t="s">
        <v>24</v>
      </c>
      <c r="E483">
        <v>1.51</v>
      </c>
      <c r="F483">
        <v>2.52</v>
      </c>
      <c r="G483" s="8">
        <f t="shared" si="7"/>
        <v>35.952380952380949</v>
      </c>
    </row>
    <row r="484" spans="1:7" x14ac:dyDescent="0.25">
      <c r="A484" s="5">
        <v>45809.375</v>
      </c>
      <c r="B484">
        <v>19</v>
      </c>
      <c r="C484" t="s">
        <v>25</v>
      </c>
      <c r="D484" t="s">
        <v>26</v>
      </c>
      <c r="E484">
        <v>1.5</v>
      </c>
      <c r="F484">
        <v>3.03</v>
      </c>
      <c r="G484" s="8">
        <f t="shared" si="7"/>
        <v>29.702970297029704</v>
      </c>
    </row>
    <row r="485" spans="1:7" x14ac:dyDescent="0.25">
      <c r="A485" s="5">
        <v>45809.375</v>
      </c>
      <c r="B485">
        <v>20</v>
      </c>
      <c r="C485" t="s">
        <v>26</v>
      </c>
      <c r="D485" t="s">
        <v>27</v>
      </c>
      <c r="E485">
        <v>1.48</v>
      </c>
      <c r="F485">
        <v>3.18</v>
      </c>
      <c r="G485" s="8">
        <f t="shared" si="7"/>
        <v>27.924528301886792</v>
      </c>
    </row>
    <row r="486" spans="1:7" x14ac:dyDescent="0.25">
      <c r="A486" s="5">
        <v>45809.375</v>
      </c>
      <c r="B486">
        <v>21</v>
      </c>
      <c r="C486" t="s">
        <v>27</v>
      </c>
      <c r="D486" t="s">
        <v>28</v>
      </c>
      <c r="E486">
        <v>1.51</v>
      </c>
      <c r="F486">
        <v>2.67</v>
      </c>
      <c r="G486" s="8">
        <f t="shared" si="7"/>
        <v>33.932584269662918</v>
      </c>
    </row>
    <row r="487" spans="1:7" x14ac:dyDescent="0.25">
      <c r="A487" s="5">
        <v>45809.375</v>
      </c>
      <c r="B487">
        <v>22</v>
      </c>
      <c r="C487" t="s">
        <v>28</v>
      </c>
      <c r="D487" t="s">
        <v>29</v>
      </c>
      <c r="E487">
        <v>1.57</v>
      </c>
      <c r="F487">
        <v>2.88</v>
      </c>
      <c r="G487" s="8">
        <f t="shared" si="7"/>
        <v>32.708333333333336</v>
      </c>
    </row>
    <row r="488" spans="1:7" x14ac:dyDescent="0.25">
      <c r="A488" s="5">
        <v>45809.375</v>
      </c>
      <c r="B488">
        <v>23</v>
      </c>
      <c r="C488" t="s">
        <v>29</v>
      </c>
      <c r="D488" t="s">
        <v>30</v>
      </c>
      <c r="E488">
        <v>1.43</v>
      </c>
      <c r="F488">
        <v>2.95</v>
      </c>
      <c r="G488" s="8">
        <f t="shared" si="7"/>
        <v>29.084745762711862</v>
      </c>
    </row>
    <row r="489" spans="1:7" x14ac:dyDescent="0.25">
      <c r="A489" s="5">
        <v>45809.375</v>
      </c>
      <c r="B489">
        <v>24</v>
      </c>
      <c r="C489" t="s">
        <v>30</v>
      </c>
      <c r="D489" t="s">
        <v>31</v>
      </c>
      <c r="E489">
        <v>1.52</v>
      </c>
      <c r="F489">
        <v>2.7</v>
      </c>
      <c r="G489" s="8">
        <f t="shared" si="7"/>
        <v>33.777777777777779</v>
      </c>
    </row>
    <row r="490" spans="1:7" x14ac:dyDescent="0.25">
      <c r="A490" s="5">
        <v>45809.375</v>
      </c>
      <c r="B490">
        <v>25</v>
      </c>
      <c r="C490" t="s">
        <v>31</v>
      </c>
      <c r="D490" t="s">
        <v>32</v>
      </c>
      <c r="E490">
        <v>1.52</v>
      </c>
      <c r="F490">
        <v>2.93</v>
      </c>
      <c r="G490" s="8">
        <f t="shared" si="7"/>
        <v>31.126279863481226</v>
      </c>
    </row>
    <row r="491" spans="1:7" x14ac:dyDescent="0.25">
      <c r="A491" s="5">
        <v>45809.375</v>
      </c>
      <c r="B491">
        <v>26</v>
      </c>
      <c r="C491" t="s">
        <v>32</v>
      </c>
      <c r="D491" t="s">
        <v>33</v>
      </c>
      <c r="E491">
        <v>1.49</v>
      </c>
      <c r="F491">
        <v>2.92</v>
      </c>
      <c r="G491" s="8">
        <f t="shared" si="7"/>
        <v>30.616438356164387</v>
      </c>
    </row>
    <row r="492" spans="1:7" x14ac:dyDescent="0.25">
      <c r="A492" s="5">
        <v>45809.375</v>
      </c>
      <c r="B492">
        <v>27</v>
      </c>
      <c r="C492" t="s">
        <v>33</v>
      </c>
      <c r="D492" t="s">
        <v>34</v>
      </c>
      <c r="E492">
        <v>1.53</v>
      </c>
      <c r="F492">
        <v>2.87</v>
      </c>
      <c r="G492" s="8">
        <f t="shared" si="7"/>
        <v>31.986062717770032</v>
      </c>
    </row>
    <row r="493" spans="1:7" x14ac:dyDescent="0.25">
      <c r="A493" s="5">
        <v>45809.375</v>
      </c>
      <c r="B493">
        <v>28</v>
      </c>
      <c r="C493" t="s">
        <v>34</v>
      </c>
      <c r="D493" t="s">
        <v>35</v>
      </c>
      <c r="E493">
        <v>1.51</v>
      </c>
      <c r="F493">
        <v>3.28</v>
      </c>
      <c r="G493" s="8">
        <f t="shared" si="7"/>
        <v>27.621951219512194</v>
      </c>
    </row>
    <row r="494" spans="1:7" x14ac:dyDescent="0.25">
      <c r="A494" s="5">
        <v>45809.375</v>
      </c>
      <c r="B494">
        <v>29</v>
      </c>
      <c r="C494" t="s">
        <v>36</v>
      </c>
      <c r="D494" t="s">
        <v>37</v>
      </c>
      <c r="E494">
        <v>1.57</v>
      </c>
      <c r="F494">
        <v>3.05</v>
      </c>
      <c r="G494" s="8">
        <f t="shared" si="7"/>
        <v>30.885245901639347</v>
      </c>
    </row>
    <row r="495" spans="1:7" x14ac:dyDescent="0.25">
      <c r="A495" s="5">
        <v>45809.375</v>
      </c>
      <c r="B495">
        <v>30</v>
      </c>
      <c r="C495" t="s">
        <v>37</v>
      </c>
      <c r="D495" t="s">
        <v>38</v>
      </c>
      <c r="E495">
        <v>1.57</v>
      </c>
      <c r="F495">
        <v>3.43</v>
      </c>
      <c r="G495" s="8">
        <f t="shared" si="7"/>
        <v>27.463556851311953</v>
      </c>
    </row>
    <row r="496" spans="1:7" x14ac:dyDescent="0.25">
      <c r="A496" s="5">
        <v>45809.375</v>
      </c>
      <c r="B496">
        <v>31</v>
      </c>
      <c r="C496" t="s">
        <v>38</v>
      </c>
      <c r="D496" t="s">
        <v>39</v>
      </c>
      <c r="E496">
        <v>1.52</v>
      </c>
      <c r="F496">
        <v>2.35</v>
      </c>
      <c r="G496" s="8">
        <f t="shared" si="7"/>
        <v>38.808510638297875</v>
      </c>
    </row>
    <row r="497" spans="1:7" x14ac:dyDescent="0.25">
      <c r="A497" s="5">
        <v>45809.375</v>
      </c>
      <c r="B497">
        <v>32</v>
      </c>
      <c r="C497" t="s">
        <v>39</v>
      </c>
      <c r="D497" t="s">
        <v>40</v>
      </c>
      <c r="E497">
        <v>1.5</v>
      </c>
      <c r="F497">
        <v>1.7</v>
      </c>
      <c r="G497" s="8">
        <f t="shared" si="7"/>
        <v>52.941176470588239</v>
      </c>
    </row>
    <row r="498" spans="1:7" x14ac:dyDescent="0.25">
      <c r="A498" s="5">
        <v>45809.375</v>
      </c>
      <c r="B498">
        <v>33</v>
      </c>
      <c r="C498" t="s">
        <v>40</v>
      </c>
      <c r="D498" t="s">
        <v>41</v>
      </c>
      <c r="E498">
        <v>1.51</v>
      </c>
      <c r="F498">
        <v>1.62</v>
      </c>
      <c r="G498" s="8">
        <f t="shared" si="7"/>
        <v>55.925925925925917</v>
      </c>
    </row>
    <row r="499" spans="1:7" x14ac:dyDescent="0.25">
      <c r="A499" s="5">
        <v>45809.375</v>
      </c>
      <c r="B499">
        <v>34</v>
      </c>
      <c r="C499" t="s">
        <v>41</v>
      </c>
      <c r="D499" t="s">
        <v>42</v>
      </c>
      <c r="E499">
        <v>1.5</v>
      </c>
      <c r="F499">
        <v>1.68</v>
      </c>
      <c r="G499" s="8">
        <f t="shared" si="7"/>
        <v>53.571428571428577</v>
      </c>
    </row>
    <row r="500" spans="1:7" x14ac:dyDescent="0.25">
      <c r="A500" s="5">
        <v>45809.375</v>
      </c>
      <c r="B500">
        <v>35</v>
      </c>
      <c r="C500" t="s">
        <v>43</v>
      </c>
      <c r="D500" t="s">
        <v>44</v>
      </c>
      <c r="E500">
        <v>1.55</v>
      </c>
      <c r="F500">
        <v>2.98</v>
      </c>
      <c r="G500" s="8">
        <f t="shared" si="7"/>
        <v>31.208053691275168</v>
      </c>
    </row>
    <row r="501" spans="1:7" x14ac:dyDescent="0.25">
      <c r="A501" s="5">
        <v>45809.375</v>
      </c>
      <c r="B501">
        <v>36</v>
      </c>
      <c r="C501" t="s">
        <v>44</v>
      </c>
      <c r="D501" t="s">
        <v>45</v>
      </c>
      <c r="E501">
        <v>1.5</v>
      </c>
      <c r="F501">
        <v>2.5299999999999998</v>
      </c>
      <c r="G501" s="8">
        <f t="shared" si="7"/>
        <v>35.573122529644273</v>
      </c>
    </row>
    <row r="502" spans="1:7" x14ac:dyDescent="0.25">
      <c r="A502" s="5">
        <v>45809.375</v>
      </c>
      <c r="B502">
        <v>37</v>
      </c>
      <c r="C502" t="s">
        <v>45</v>
      </c>
      <c r="D502" t="s">
        <v>46</v>
      </c>
      <c r="E502">
        <v>1.38</v>
      </c>
      <c r="F502">
        <v>3.08</v>
      </c>
      <c r="G502" s="8">
        <f t="shared" si="7"/>
        <v>26.88311688311688</v>
      </c>
    </row>
    <row r="503" spans="1:7" x14ac:dyDescent="0.25">
      <c r="A503" s="5">
        <v>45809.375</v>
      </c>
      <c r="B503">
        <v>38</v>
      </c>
      <c r="C503" t="s">
        <v>46</v>
      </c>
      <c r="D503" t="s">
        <v>47</v>
      </c>
      <c r="E503">
        <v>1.61</v>
      </c>
      <c r="F503">
        <v>3.32</v>
      </c>
      <c r="G503" s="8">
        <f t="shared" si="7"/>
        <v>29.096385542168679</v>
      </c>
    </row>
    <row r="504" spans="1:7" x14ac:dyDescent="0.25">
      <c r="A504" s="5">
        <v>45809.375</v>
      </c>
      <c r="B504">
        <v>39</v>
      </c>
      <c r="C504" t="s">
        <v>47</v>
      </c>
      <c r="D504" t="s">
        <v>48</v>
      </c>
      <c r="E504">
        <v>1.55</v>
      </c>
      <c r="F504">
        <v>2.95</v>
      </c>
      <c r="G504" s="8">
        <f t="shared" si="7"/>
        <v>31.525423728813557</v>
      </c>
    </row>
    <row r="505" spans="1:7" x14ac:dyDescent="0.25">
      <c r="A505" s="5">
        <v>45809.375</v>
      </c>
      <c r="B505">
        <v>40</v>
      </c>
      <c r="C505" t="s">
        <v>48</v>
      </c>
      <c r="D505" t="s">
        <v>49</v>
      </c>
      <c r="E505">
        <v>1.39</v>
      </c>
      <c r="F505">
        <v>2.62</v>
      </c>
      <c r="G505" s="8">
        <f t="shared" si="7"/>
        <v>31.832061068702284</v>
      </c>
    </row>
    <row r="506" spans="1:7" x14ac:dyDescent="0.25">
      <c r="A506" s="5">
        <v>45809.375</v>
      </c>
      <c r="B506">
        <v>41</v>
      </c>
      <c r="C506" t="s">
        <v>50</v>
      </c>
      <c r="D506" t="s">
        <v>51</v>
      </c>
      <c r="E506">
        <v>1.56</v>
      </c>
      <c r="F506">
        <v>3</v>
      </c>
      <c r="G506" s="8">
        <f t="shared" si="7"/>
        <v>31.200000000000003</v>
      </c>
    </row>
    <row r="507" spans="1:7" x14ac:dyDescent="0.25">
      <c r="A507" s="5">
        <v>45809.375</v>
      </c>
      <c r="B507">
        <v>42</v>
      </c>
      <c r="C507" t="s">
        <v>51</v>
      </c>
      <c r="D507" t="s">
        <v>52</v>
      </c>
      <c r="E507">
        <v>1.56</v>
      </c>
      <c r="F507">
        <v>3.12</v>
      </c>
      <c r="G507" s="8">
        <f t="shared" si="7"/>
        <v>30</v>
      </c>
    </row>
    <row r="508" spans="1:7" x14ac:dyDescent="0.25">
      <c r="A508" s="5">
        <v>45809.375</v>
      </c>
      <c r="B508">
        <v>43</v>
      </c>
      <c r="C508" t="s">
        <v>52</v>
      </c>
      <c r="D508" t="s">
        <v>53</v>
      </c>
      <c r="E508">
        <v>1.51</v>
      </c>
      <c r="F508">
        <v>2.9</v>
      </c>
      <c r="G508" s="8">
        <f t="shared" si="7"/>
        <v>31.241379310344826</v>
      </c>
    </row>
    <row r="509" spans="1:7" x14ac:dyDescent="0.25">
      <c r="A509" s="5">
        <v>45809.375</v>
      </c>
      <c r="B509">
        <v>44</v>
      </c>
      <c r="C509" t="s">
        <v>54</v>
      </c>
      <c r="D509" t="s">
        <v>55</v>
      </c>
      <c r="E509">
        <v>1.51</v>
      </c>
      <c r="F509">
        <v>3.68</v>
      </c>
      <c r="G509" s="8">
        <f t="shared" si="7"/>
        <v>24.619565217391301</v>
      </c>
    </row>
    <row r="510" spans="1:7" x14ac:dyDescent="0.25">
      <c r="A510" s="5">
        <v>45809.375</v>
      </c>
      <c r="B510">
        <v>45</v>
      </c>
      <c r="C510" t="s">
        <v>55</v>
      </c>
      <c r="D510" t="s">
        <v>56</v>
      </c>
      <c r="E510">
        <v>1.49</v>
      </c>
      <c r="F510">
        <v>2.8</v>
      </c>
      <c r="G510" s="8">
        <f t="shared" si="7"/>
        <v>31.928571428571434</v>
      </c>
    </row>
    <row r="511" spans="1:7" x14ac:dyDescent="0.25">
      <c r="A511" s="5">
        <v>45809.375</v>
      </c>
      <c r="B511">
        <v>46</v>
      </c>
      <c r="C511" t="s">
        <v>56</v>
      </c>
      <c r="D511" t="s">
        <v>57</v>
      </c>
      <c r="E511">
        <v>1.52</v>
      </c>
      <c r="F511">
        <v>3.33</v>
      </c>
      <c r="G511" s="8">
        <f t="shared" si="7"/>
        <v>27.387387387387388</v>
      </c>
    </row>
    <row r="512" spans="1:7" x14ac:dyDescent="0.25">
      <c r="A512" s="5">
        <v>45809.375</v>
      </c>
      <c r="B512">
        <v>47</v>
      </c>
      <c r="C512" t="s">
        <v>58</v>
      </c>
      <c r="D512" t="s">
        <v>59</v>
      </c>
      <c r="E512">
        <v>1.52</v>
      </c>
      <c r="F512">
        <v>3.07</v>
      </c>
      <c r="G512" s="8">
        <f t="shared" si="7"/>
        <v>29.706840390879481</v>
      </c>
    </row>
    <row r="513" spans="1:7" x14ac:dyDescent="0.25">
      <c r="A513" s="5">
        <v>45809.375</v>
      </c>
      <c r="B513">
        <v>48</v>
      </c>
      <c r="C513" t="s">
        <v>59</v>
      </c>
      <c r="D513" t="s">
        <v>60</v>
      </c>
      <c r="E513">
        <v>1.5</v>
      </c>
      <c r="F513">
        <v>2.98</v>
      </c>
      <c r="G513" s="8">
        <f t="shared" si="7"/>
        <v>30.201342281879196</v>
      </c>
    </row>
    <row r="514" spans="1:7" x14ac:dyDescent="0.25">
      <c r="A514" s="5">
        <v>45809.375</v>
      </c>
      <c r="B514">
        <v>49</v>
      </c>
      <c r="C514" t="s">
        <v>60</v>
      </c>
      <c r="D514" t="s">
        <v>61</v>
      </c>
      <c r="E514">
        <v>1.54</v>
      </c>
      <c r="F514">
        <v>3.27</v>
      </c>
      <c r="G514" s="8">
        <f t="shared" si="7"/>
        <v>28.256880733944957</v>
      </c>
    </row>
    <row r="515" spans="1:7" x14ac:dyDescent="0.25">
      <c r="A515" s="5">
        <v>45809.375</v>
      </c>
      <c r="B515">
        <v>50</v>
      </c>
      <c r="C515" t="s">
        <v>62</v>
      </c>
      <c r="D515" t="s">
        <v>63</v>
      </c>
      <c r="E515">
        <v>1.38</v>
      </c>
      <c r="F515">
        <v>2.82</v>
      </c>
      <c r="G515" s="8">
        <f t="shared" ref="G515:G578" si="8">E515*60/F515</f>
        <v>29.361702127659576</v>
      </c>
    </row>
    <row r="516" spans="1:7" x14ac:dyDescent="0.25">
      <c r="A516" s="5">
        <v>45809.375</v>
      </c>
      <c r="B516">
        <v>51</v>
      </c>
      <c r="C516" t="s">
        <v>63</v>
      </c>
      <c r="D516" t="s">
        <v>64</v>
      </c>
      <c r="E516">
        <v>2.79</v>
      </c>
      <c r="F516">
        <v>4.92</v>
      </c>
      <c r="G516" s="8">
        <f t="shared" si="8"/>
        <v>34.024390243902438</v>
      </c>
    </row>
    <row r="517" spans="1:7" x14ac:dyDescent="0.25">
      <c r="A517" s="5">
        <v>45809.375</v>
      </c>
      <c r="B517">
        <v>52</v>
      </c>
      <c r="C517" t="s">
        <v>64</v>
      </c>
      <c r="D517" t="s">
        <v>65</v>
      </c>
      <c r="E517">
        <v>1.5</v>
      </c>
      <c r="F517">
        <v>2.6</v>
      </c>
      <c r="G517" s="8">
        <f t="shared" si="8"/>
        <v>34.615384615384613</v>
      </c>
    </row>
    <row r="518" spans="1:7" x14ac:dyDescent="0.25">
      <c r="A518" s="5">
        <v>45809.375</v>
      </c>
      <c r="B518">
        <v>53</v>
      </c>
      <c r="C518" t="s">
        <v>65</v>
      </c>
      <c r="D518" t="s">
        <v>66</v>
      </c>
      <c r="E518">
        <v>1.46</v>
      </c>
      <c r="F518">
        <v>3.28</v>
      </c>
      <c r="G518" s="8">
        <f t="shared" si="8"/>
        <v>26.707317073170731</v>
      </c>
    </row>
    <row r="519" spans="1:7" x14ac:dyDescent="0.25">
      <c r="A519" s="5">
        <v>45809.375</v>
      </c>
      <c r="B519">
        <v>54</v>
      </c>
      <c r="C519" t="s">
        <v>67</v>
      </c>
      <c r="D519" t="s">
        <v>68</v>
      </c>
      <c r="E519">
        <v>1.46</v>
      </c>
      <c r="F519">
        <v>2.2000000000000002</v>
      </c>
      <c r="G519" s="8">
        <f t="shared" si="8"/>
        <v>39.818181818181813</v>
      </c>
    </row>
    <row r="520" spans="1:7" x14ac:dyDescent="0.25">
      <c r="A520" s="5">
        <v>45809.375</v>
      </c>
      <c r="B520">
        <v>55</v>
      </c>
      <c r="C520" t="s">
        <v>68</v>
      </c>
      <c r="D520" t="s">
        <v>69</v>
      </c>
      <c r="E520">
        <v>1.5</v>
      </c>
      <c r="F520">
        <v>1.9</v>
      </c>
      <c r="G520" s="8">
        <f t="shared" si="8"/>
        <v>47.368421052631582</v>
      </c>
    </row>
    <row r="521" spans="1:7" x14ac:dyDescent="0.25">
      <c r="A521" s="5">
        <v>45809.375</v>
      </c>
      <c r="B521">
        <v>56</v>
      </c>
      <c r="C521" t="s">
        <v>70</v>
      </c>
      <c r="D521" t="s">
        <v>71</v>
      </c>
      <c r="E521">
        <v>1.51</v>
      </c>
      <c r="F521">
        <v>3.13</v>
      </c>
      <c r="G521" s="8">
        <f t="shared" si="8"/>
        <v>28.945686900958467</v>
      </c>
    </row>
    <row r="522" spans="1:7" x14ac:dyDescent="0.25">
      <c r="A522" s="5">
        <v>45809.375</v>
      </c>
      <c r="B522">
        <v>57</v>
      </c>
      <c r="C522" t="s">
        <v>71</v>
      </c>
      <c r="D522" t="s">
        <v>72</v>
      </c>
      <c r="E522">
        <v>1.52</v>
      </c>
      <c r="F522">
        <v>3.6</v>
      </c>
      <c r="G522" s="8">
        <f t="shared" si="8"/>
        <v>25.333333333333332</v>
      </c>
    </row>
    <row r="523" spans="1:7" x14ac:dyDescent="0.25">
      <c r="A523" s="5">
        <v>45809.375</v>
      </c>
      <c r="B523">
        <v>58</v>
      </c>
      <c r="C523" t="s">
        <v>72</v>
      </c>
      <c r="D523" t="s">
        <v>73</v>
      </c>
      <c r="E523">
        <v>1.5</v>
      </c>
      <c r="F523">
        <v>3.03</v>
      </c>
      <c r="G523" s="8">
        <f t="shared" si="8"/>
        <v>29.702970297029704</v>
      </c>
    </row>
    <row r="524" spans="1:7" x14ac:dyDescent="0.25">
      <c r="A524" s="5">
        <v>45809.385416666664</v>
      </c>
      <c r="B524">
        <v>1</v>
      </c>
      <c r="C524" t="s">
        <v>6</v>
      </c>
      <c r="D524" t="s">
        <v>7</v>
      </c>
      <c r="E524">
        <v>1.53</v>
      </c>
      <c r="F524">
        <v>2.83</v>
      </c>
      <c r="G524" s="8">
        <f t="shared" si="8"/>
        <v>32.438162544169607</v>
      </c>
    </row>
    <row r="525" spans="1:7" x14ac:dyDescent="0.25">
      <c r="A525" s="5">
        <v>45809.385416666664</v>
      </c>
      <c r="B525">
        <v>2</v>
      </c>
      <c r="C525" t="s">
        <v>7</v>
      </c>
      <c r="D525" t="s">
        <v>8</v>
      </c>
      <c r="E525">
        <v>1.57</v>
      </c>
      <c r="F525">
        <v>3.93</v>
      </c>
      <c r="G525" s="8">
        <f t="shared" si="8"/>
        <v>23.96946564885496</v>
      </c>
    </row>
    <row r="526" spans="1:7" x14ac:dyDescent="0.25">
      <c r="A526" s="5">
        <v>45809.385416666664</v>
      </c>
      <c r="B526">
        <v>3</v>
      </c>
      <c r="C526" t="s">
        <v>8</v>
      </c>
      <c r="D526" t="s">
        <v>9</v>
      </c>
      <c r="E526">
        <v>1.5</v>
      </c>
      <c r="F526">
        <v>2.75</v>
      </c>
      <c r="G526" s="8">
        <f t="shared" si="8"/>
        <v>32.727272727272727</v>
      </c>
    </row>
    <row r="527" spans="1:7" x14ac:dyDescent="0.25">
      <c r="A527" s="5">
        <v>45809.385416666664</v>
      </c>
      <c r="B527">
        <v>4</v>
      </c>
      <c r="C527" t="s">
        <v>9</v>
      </c>
      <c r="D527" t="s">
        <v>10</v>
      </c>
      <c r="E527">
        <v>1.5</v>
      </c>
      <c r="F527">
        <v>2.62</v>
      </c>
      <c r="G527" s="8">
        <f t="shared" si="8"/>
        <v>34.351145038167935</v>
      </c>
    </row>
    <row r="528" spans="1:7" x14ac:dyDescent="0.25">
      <c r="A528" s="5">
        <v>45809.385416666664</v>
      </c>
      <c r="B528">
        <v>5</v>
      </c>
      <c r="C528" t="s">
        <v>10</v>
      </c>
      <c r="D528" t="s">
        <v>11</v>
      </c>
      <c r="E528">
        <v>1.52</v>
      </c>
      <c r="F528">
        <v>2.77</v>
      </c>
      <c r="G528" s="8">
        <f t="shared" si="8"/>
        <v>32.924187725631768</v>
      </c>
    </row>
    <row r="529" spans="1:7" x14ac:dyDescent="0.25">
      <c r="A529" s="5">
        <v>45809.385416666664</v>
      </c>
      <c r="B529">
        <v>6</v>
      </c>
      <c r="C529" t="s">
        <v>11</v>
      </c>
      <c r="D529" t="s">
        <v>12</v>
      </c>
      <c r="E529">
        <v>1.5</v>
      </c>
      <c r="F529">
        <v>2.35</v>
      </c>
      <c r="G529" s="8">
        <f t="shared" si="8"/>
        <v>38.297872340425528</v>
      </c>
    </row>
    <row r="530" spans="1:7" x14ac:dyDescent="0.25">
      <c r="A530" s="5">
        <v>45809.385416666664</v>
      </c>
      <c r="B530">
        <v>7</v>
      </c>
      <c r="C530" t="s">
        <v>12</v>
      </c>
      <c r="D530" t="s">
        <v>13</v>
      </c>
      <c r="E530">
        <v>1.54</v>
      </c>
      <c r="F530">
        <v>2.42</v>
      </c>
      <c r="G530" s="8">
        <f t="shared" si="8"/>
        <v>38.181818181818187</v>
      </c>
    </row>
    <row r="531" spans="1:7" x14ac:dyDescent="0.25">
      <c r="A531" s="5">
        <v>45809.385416666664</v>
      </c>
      <c r="B531">
        <v>8</v>
      </c>
      <c r="C531" t="s">
        <v>13</v>
      </c>
      <c r="D531" t="s">
        <v>14</v>
      </c>
      <c r="E531">
        <v>1.54</v>
      </c>
      <c r="F531">
        <v>2.78</v>
      </c>
      <c r="G531" s="8">
        <f t="shared" si="8"/>
        <v>33.237410071942449</v>
      </c>
    </row>
    <row r="532" spans="1:7" x14ac:dyDescent="0.25">
      <c r="A532" s="5">
        <v>45809.385416666664</v>
      </c>
      <c r="B532">
        <v>9</v>
      </c>
      <c r="C532" t="s">
        <v>14</v>
      </c>
      <c r="D532" t="s">
        <v>15</v>
      </c>
      <c r="E532">
        <v>1.52</v>
      </c>
      <c r="F532">
        <v>2.73</v>
      </c>
      <c r="G532" s="8">
        <f t="shared" si="8"/>
        <v>33.406593406593409</v>
      </c>
    </row>
    <row r="533" spans="1:7" x14ac:dyDescent="0.25">
      <c r="A533" s="5">
        <v>45809.385416666664</v>
      </c>
      <c r="B533">
        <v>10</v>
      </c>
      <c r="C533" t="s">
        <v>15</v>
      </c>
      <c r="D533" t="s">
        <v>16</v>
      </c>
      <c r="E533">
        <v>1.5</v>
      </c>
      <c r="F533">
        <v>2.93</v>
      </c>
      <c r="G533" s="8">
        <f t="shared" si="8"/>
        <v>30.716723549488052</v>
      </c>
    </row>
    <row r="534" spans="1:7" x14ac:dyDescent="0.25">
      <c r="A534" s="5">
        <v>45809.385416666664</v>
      </c>
      <c r="B534">
        <v>11</v>
      </c>
      <c r="C534" t="s">
        <v>16</v>
      </c>
      <c r="D534" t="s">
        <v>17</v>
      </c>
      <c r="E534">
        <v>1.48</v>
      </c>
      <c r="F534">
        <v>2.23</v>
      </c>
      <c r="G534" s="8">
        <f t="shared" si="8"/>
        <v>39.820627802690581</v>
      </c>
    </row>
    <row r="535" spans="1:7" x14ac:dyDescent="0.25">
      <c r="A535" s="5">
        <v>45809.385416666664</v>
      </c>
      <c r="B535">
        <v>12</v>
      </c>
      <c r="C535" t="s">
        <v>17</v>
      </c>
      <c r="D535" t="s">
        <v>18</v>
      </c>
      <c r="E535">
        <v>1.46</v>
      </c>
      <c r="F535">
        <v>2.85</v>
      </c>
      <c r="G535" s="8">
        <f t="shared" si="8"/>
        <v>30.736842105263154</v>
      </c>
    </row>
    <row r="536" spans="1:7" x14ac:dyDescent="0.25">
      <c r="A536" s="5">
        <v>45809.385416666664</v>
      </c>
      <c r="B536">
        <v>13</v>
      </c>
      <c r="C536" t="s">
        <v>18</v>
      </c>
      <c r="D536" t="s">
        <v>19</v>
      </c>
      <c r="E536">
        <v>1.52</v>
      </c>
      <c r="F536">
        <v>2.78</v>
      </c>
      <c r="G536" s="8">
        <f t="shared" si="8"/>
        <v>32.805755395683455</v>
      </c>
    </row>
    <row r="537" spans="1:7" x14ac:dyDescent="0.25">
      <c r="A537" s="5">
        <v>45809.385416666664</v>
      </c>
      <c r="B537">
        <v>14</v>
      </c>
      <c r="C537" t="s">
        <v>19</v>
      </c>
      <c r="D537" t="s">
        <v>20</v>
      </c>
      <c r="E537">
        <v>1.51</v>
      </c>
      <c r="F537">
        <v>2.8</v>
      </c>
      <c r="G537" s="8">
        <f t="shared" si="8"/>
        <v>32.357142857142854</v>
      </c>
    </row>
    <row r="538" spans="1:7" x14ac:dyDescent="0.25">
      <c r="A538" s="5">
        <v>45809.385416666664</v>
      </c>
      <c r="B538">
        <v>15</v>
      </c>
      <c r="C538" t="s">
        <v>20</v>
      </c>
      <c r="D538" t="s">
        <v>21</v>
      </c>
      <c r="E538">
        <v>1.47</v>
      </c>
      <c r="F538">
        <v>1.93</v>
      </c>
      <c r="G538" s="8">
        <f t="shared" si="8"/>
        <v>45.69948186528498</v>
      </c>
    </row>
    <row r="539" spans="1:7" x14ac:dyDescent="0.25">
      <c r="A539" s="5">
        <v>45809.385416666664</v>
      </c>
      <c r="B539">
        <v>16</v>
      </c>
      <c r="C539" t="s">
        <v>21</v>
      </c>
      <c r="D539" t="s">
        <v>22</v>
      </c>
      <c r="E539">
        <v>1.5</v>
      </c>
      <c r="F539">
        <v>1.7</v>
      </c>
      <c r="G539" s="8">
        <f t="shared" si="8"/>
        <v>52.941176470588239</v>
      </c>
    </row>
    <row r="540" spans="1:7" x14ac:dyDescent="0.25">
      <c r="A540" s="5">
        <v>45809.385416666664</v>
      </c>
      <c r="B540">
        <v>17</v>
      </c>
      <c r="C540" t="s">
        <v>22</v>
      </c>
      <c r="D540" t="s">
        <v>23</v>
      </c>
      <c r="E540">
        <v>1.51</v>
      </c>
      <c r="F540">
        <v>2.4700000000000002</v>
      </c>
      <c r="G540" s="8">
        <f t="shared" si="8"/>
        <v>36.680161943319831</v>
      </c>
    </row>
    <row r="541" spans="1:7" x14ac:dyDescent="0.25">
      <c r="A541" s="5">
        <v>45809.385416666664</v>
      </c>
      <c r="B541">
        <v>18</v>
      </c>
      <c r="C541" t="s">
        <v>23</v>
      </c>
      <c r="D541" t="s">
        <v>24</v>
      </c>
      <c r="E541">
        <v>1.51</v>
      </c>
      <c r="F541">
        <v>2.4700000000000002</v>
      </c>
      <c r="G541" s="8">
        <f t="shared" si="8"/>
        <v>36.680161943319831</v>
      </c>
    </row>
    <row r="542" spans="1:7" x14ac:dyDescent="0.25">
      <c r="A542" s="5">
        <v>45809.385416666664</v>
      </c>
      <c r="B542">
        <v>19</v>
      </c>
      <c r="C542" t="s">
        <v>25</v>
      </c>
      <c r="D542" t="s">
        <v>26</v>
      </c>
      <c r="E542">
        <v>1.5</v>
      </c>
      <c r="F542">
        <v>3.27</v>
      </c>
      <c r="G542" s="8">
        <f t="shared" si="8"/>
        <v>27.522935779816514</v>
      </c>
    </row>
    <row r="543" spans="1:7" x14ac:dyDescent="0.25">
      <c r="A543" s="5">
        <v>45809.385416666664</v>
      </c>
      <c r="B543">
        <v>20</v>
      </c>
      <c r="C543" t="s">
        <v>26</v>
      </c>
      <c r="D543" t="s">
        <v>27</v>
      </c>
      <c r="E543">
        <v>1.48</v>
      </c>
      <c r="F543">
        <v>3.05</v>
      </c>
      <c r="G543" s="8">
        <f t="shared" si="8"/>
        <v>29.114754098360656</v>
      </c>
    </row>
    <row r="544" spans="1:7" x14ac:dyDescent="0.25">
      <c r="A544" s="5">
        <v>45809.385416666664</v>
      </c>
      <c r="B544">
        <v>21</v>
      </c>
      <c r="C544" t="s">
        <v>27</v>
      </c>
      <c r="D544" t="s">
        <v>28</v>
      </c>
      <c r="E544">
        <v>1.51</v>
      </c>
      <c r="F544">
        <v>2.68</v>
      </c>
      <c r="G544" s="8">
        <f t="shared" si="8"/>
        <v>33.805970149253724</v>
      </c>
    </row>
    <row r="545" spans="1:7" x14ac:dyDescent="0.25">
      <c r="A545" s="5">
        <v>45809.385416666664</v>
      </c>
      <c r="B545">
        <v>22</v>
      </c>
      <c r="C545" t="s">
        <v>28</v>
      </c>
      <c r="D545" t="s">
        <v>29</v>
      </c>
      <c r="E545">
        <v>1.57</v>
      </c>
      <c r="F545">
        <v>2.92</v>
      </c>
      <c r="G545" s="8">
        <f t="shared" si="8"/>
        <v>32.260273972602739</v>
      </c>
    </row>
    <row r="546" spans="1:7" x14ac:dyDescent="0.25">
      <c r="A546" s="5">
        <v>45809.385416666664</v>
      </c>
      <c r="B546">
        <v>23</v>
      </c>
      <c r="C546" t="s">
        <v>29</v>
      </c>
      <c r="D546" t="s">
        <v>30</v>
      </c>
      <c r="E546">
        <v>1.43</v>
      </c>
      <c r="F546">
        <v>2.88</v>
      </c>
      <c r="G546" s="8">
        <f t="shared" si="8"/>
        <v>29.791666666666668</v>
      </c>
    </row>
    <row r="547" spans="1:7" x14ac:dyDescent="0.25">
      <c r="A547" s="5">
        <v>45809.385416666664</v>
      </c>
      <c r="B547">
        <v>24</v>
      </c>
      <c r="C547" t="s">
        <v>30</v>
      </c>
      <c r="D547" t="s">
        <v>31</v>
      </c>
      <c r="E547">
        <v>1.52</v>
      </c>
      <c r="F547">
        <v>2.77</v>
      </c>
      <c r="G547" s="8">
        <f t="shared" si="8"/>
        <v>32.924187725631768</v>
      </c>
    </row>
    <row r="548" spans="1:7" x14ac:dyDescent="0.25">
      <c r="A548" s="5">
        <v>45809.385416666664</v>
      </c>
      <c r="B548">
        <v>25</v>
      </c>
      <c r="C548" t="s">
        <v>31</v>
      </c>
      <c r="D548" t="s">
        <v>32</v>
      </c>
      <c r="E548">
        <v>1.52</v>
      </c>
      <c r="F548">
        <v>2.85</v>
      </c>
      <c r="G548" s="8">
        <f t="shared" si="8"/>
        <v>32</v>
      </c>
    </row>
    <row r="549" spans="1:7" x14ac:dyDescent="0.25">
      <c r="A549" s="5">
        <v>45809.385416666664</v>
      </c>
      <c r="B549">
        <v>26</v>
      </c>
      <c r="C549" t="s">
        <v>32</v>
      </c>
      <c r="D549" t="s">
        <v>33</v>
      </c>
      <c r="E549">
        <v>1.49</v>
      </c>
      <c r="F549">
        <v>3</v>
      </c>
      <c r="G549" s="8">
        <f t="shared" si="8"/>
        <v>29.8</v>
      </c>
    </row>
    <row r="550" spans="1:7" x14ac:dyDescent="0.25">
      <c r="A550" s="5">
        <v>45809.385416666664</v>
      </c>
      <c r="B550">
        <v>27</v>
      </c>
      <c r="C550" t="s">
        <v>33</v>
      </c>
      <c r="D550" t="s">
        <v>34</v>
      </c>
      <c r="E550">
        <v>1.53</v>
      </c>
      <c r="F550">
        <v>2.88</v>
      </c>
      <c r="G550" s="8">
        <f t="shared" si="8"/>
        <v>31.875</v>
      </c>
    </row>
    <row r="551" spans="1:7" x14ac:dyDescent="0.25">
      <c r="A551" s="5">
        <v>45809.385416666664</v>
      </c>
      <c r="B551">
        <v>28</v>
      </c>
      <c r="C551" t="s">
        <v>34</v>
      </c>
      <c r="D551" t="s">
        <v>35</v>
      </c>
      <c r="E551">
        <v>1.51</v>
      </c>
      <c r="F551">
        <v>3.35</v>
      </c>
      <c r="G551" s="8">
        <f t="shared" si="8"/>
        <v>27.044776119402982</v>
      </c>
    </row>
    <row r="552" spans="1:7" x14ac:dyDescent="0.25">
      <c r="A552" s="5">
        <v>45809.385416666664</v>
      </c>
      <c r="B552">
        <v>29</v>
      </c>
      <c r="C552" t="s">
        <v>36</v>
      </c>
      <c r="D552" t="s">
        <v>37</v>
      </c>
      <c r="E552">
        <v>1.57</v>
      </c>
      <c r="F552">
        <v>3.1</v>
      </c>
      <c r="G552" s="8">
        <f t="shared" si="8"/>
        <v>30.387096774193548</v>
      </c>
    </row>
    <row r="553" spans="1:7" x14ac:dyDescent="0.25">
      <c r="A553" s="5">
        <v>45809.385416666664</v>
      </c>
      <c r="B553">
        <v>30</v>
      </c>
      <c r="C553" t="s">
        <v>37</v>
      </c>
      <c r="D553" t="s">
        <v>38</v>
      </c>
      <c r="E553">
        <v>1.57</v>
      </c>
      <c r="F553">
        <v>3.82</v>
      </c>
      <c r="G553" s="8">
        <f t="shared" si="8"/>
        <v>24.659685863874348</v>
      </c>
    </row>
    <row r="554" spans="1:7" x14ac:dyDescent="0.25">
      <c r="A554" s="5">
        <v>45809.385416666664</v>
      </c>
      <c r="B554">
        <v>31</v>
      </c>
      <c r="C554" t="s">
        <v>38</v>
      </c>
      <c r="D554" t="s">
        <v>39</v>
      </c>
      <c r="E554">
        <v>1.52</v>
      </c>
      <c r="F554">
        <v>2.38</v>
      </c>
      <c r="G554" s="8">
        <f t="shared" si="8"/>
        <v>38.319327731092443</v>
      </c>
    </row>
    <row r="555" spans="1:7" x14ac:dyDescent="0.25">
      <c r="A555" s="5">
        <v>45809.385416666664</v>
      </c>
      <c r="B555">
        <v>32</v>
      </c>
      <c r="C555" t="s">
        <v>39</v>
      </c>
      <c r="D555" t="s">
        <v>40</v>
      </c>
      <c r="E555">
        <v>1.5</v>
      </c>
      <c r="F555">
        <v>1.7</v>
      </c>
      <c r="G555" s="8">
        <f t="shared" si="8"/>
        <v>52.941176470588239</v>
      </c>
    </row>
    <row r="556" spans="1:7" x14ac:dyDescent="0.25">
      <c r="A556" s="5">
        <v>45809.385416666664</v>
      </c>
      <c r="B556">
        <v>33</v>
      </c>
      <c r="C556" t="s">
        <v>40</v>
      </c>
      <c r="D556" t="s">
        <v>41</v>
      </c>
      <c r="E556">
        <v>1.51</v>
      </c>
      <c r="F556">
        <v>1.67</v>
      </c>
      <c r="G556" s="8">
        <f t="shared" si="8"/>
        <v>54.251497005988021</v>
      </c>
    </row>
    <row r="557" spans="1:7" x14ac:dyDescent="0.25">
      <c r="A557" s="5">
        <v>45809.385416666664</v>
      </c>
      <c r="B557">
        <v>34</v>
      </c>
      <c r="C557" t="s">
        <v>41</v>
      </c>
      <c r="D557" t="s">
        <v>42</v>
      </c>
      <c r="E557">
        <v>1.5</v>
      </c>
      <c r="F557">
        <v>1.78</v>
      </c>
      <c r="G557" s="8">
        <f t="shared" si="8"/>
        <v>50.561797752808985</v>
      </c>
    </row>
    <row r="558" spans="1:7" x14ac:dyDescent="0.25">
      <c r="A558" s="5">
        <v>45809.385416666664</v>
      </c>
      <c r="B558">
        <v>35</v>
      </c>
      <c r="C558" t="s">
        <v>43</v>
      </c>
      <c r="D558" t="s">
        <v>44</v>
      </c>
      <c r="E558">
        <v>1.55</v>
      </c>
      <c r="F558">
        <v>2.88</v>
      </c>
      <c r="G558" s="8">
        <f t="shared" si="8"/>
        <v>32.291666666666671</v>
      </c>
    </row>
    <row r="559" spans="1:7" x14ac:dyDescent="0.25">
      <c r="A559" s="5">
        <v>45809.385416666664</v>
      </c>
      <c r="B559">
        <v>36</v>
      </c>
      <c r="C559" t="s">
        <v>44</v>
      </c>
      <c r="D559" t="s">
        <v>45</v>
      </c>
      <c r="E559">
        <v>1.5</v>
      </c>
      <c r="F559">
        <v>2.5</v>
      </c>
      <c r="G559" s="8">
        <f t="shared" si="8"/>
        <v>36</v>
      </c>
    </row>
    <row r="560" spans="1:7" x14ac:dyDescent="0.25">
      <c r="A560" s="5">
        <v>45809.385416666664</v>
      </c>
      <c r="B560">
        <v>37</v>
      </c>
      <c r="C560" t="s">
        <v>45</v>
      </c>
      <c r="D560" t="s">
        <v>46</v>
      </c>
      <c r="E560">
        <v>1.38</v>
      </c>
      <c r="F560">
        <v>3.2</v>
      </c>
      <c r="G560" s="8">
        <f t="shared" si="8"/>
        <v>25.874999999999996</v>
      </c>
    </row>
    <row r="561" spans="1:7" x14ac:dyDescent="0.25">
      <c r="A561" s="5">
        <v>45809.385416666664</v>
      </c>
      <c r="B561">
        <v>38</v>
      </c>
      <c r="C561" t="s">
        <v>46</v>
      </c>
      <c r="D561" t="s">
        <v>47</v>
      </c>
      <c r="E561">
        <v>1.61</v>
      </c>
      <c r="F561">
        <v>3.37</v>
      </c>
      <c r="G561" s="8">
        <f t="shared" si="8"/>
        <v>28.664688427299705</v>
      </c>
    </row>
    <row r="562" spans="1:7" x14ac:dyDescent="0.25">
      <c r="A562" s="5">
        <v>45809.385416666664</v>
      </c>
      <c r="B562">
        <v>39</v>
      </c>
      <c r="C562" t="s">
        <v>47</v>
      </c>
      <c r="D562" t="s">
        <v>48</v>
      </c>
      <c r="E562">
        <v>1.55</v>
      </c>
      <c r="F562">
        <v>3</v>
      </c>
      <c r="G562" s="8">
        <f t="shared" si="8"/>
        <v>31</v>
      </c>
    </row>
    <row r="563" spans="1:7" x14ac:dyDescent="0.25">
      <c r="A563" s="5">
        <v>45809.385416666664</v>
      </c>
      <c r="B563">
        <v>40</v>
      </c>
      <c r="C563" t="s">
        <v>48</v>
      </c>
      <c r="D563" t="s">
        <v>49</v>
      </c>
      <c r="E563">
        <v>1.39</v>
      </c>
      <c r="F563">
        <v>2.63</v>
      </c>
      <c r="G563" s="8">
        <f t="shared" si="8"/>
        <v>31.71102661596958</v>
      </c>
    </row>
    <row r="564" spans="1:7" x14ac:dyDescent="0.25">
      <c r="A564" s="5">
        <v>45809.385416666664</v>
      </c>
      <c r="B564">
        <v>41</v>
      </c>
      <c r="C564" t="s">
        <v>50</v>
      </c>
      <c r="D564" t="s">
        <v>51</v>
      </c>
      <c r="E564">
        <v>1.56</v>
      </c>
      <c r="F564">
        <v>2.88</v>
      </c>
      <c r="G564" s="8">
        <f t="shared" si="8"/>
        <v>32.500000000000007</v>
      </c>
    </row>
    <row r="565" spans="1:7" x14ac:dyDescent="0.25">
      <c r="A565" s="5">
        <v>45809.385416666664</v>
      </c>
      <c r="B565">
        <v>42</v>
      </c>
      <c r="C565" t="s">
        <v>51</v>
      </c>
      <c r="D565" t="s">
        <v>52</v>
      </c>
      <c r="E565">
        <v>1.56</v>
      </c>
      <c r="F565">
        <v>3.13</v>
      </c>
      <c r="G565" s="8">
        <f t="shared" si="8"/>
        <v>29.904153354632591</v>
      </c>
    </row>
    <row r="566" spans="1:7" x14ac:dyDescent="0.25">
      <c r="A566" s="5">
        <v>45809.385416666664</v>
      </c>
      <c r="B566">
        <v>43</v>
      </c>
      <c r="C566" t="s">
        <v>52</v>
      </c>
      <c r="D566" t="s">
        <v>53</v>
      </c>
      <c r="E566">
        <v>1.51</v>
      </c>
      <c r="F566">
        <v>2.92</v>
      </c>
      <c r="G566" s="8">
        <f t="shared" si="8"/>
        <v>31.027397260273972</v>
      </c>
    </row>
    <row r="567" spans="1:7" x14ac:dyDescent="0.25">
      <c r="A567" s="5">
        <v>45809.385416666664</v>
      </c>
      <c r="B567">
        <v>44</v>
      </c>
      <c r="C567" t="s">
        <v>54</v>
      </c>
      <c r="D567" t="s">
        <v>55</v>
      </c>
      <c r="E567">
        <v>1.51</v>
      </c>
      <c r="F567">
        <v>3.65</v>
      </c>
      <c r="G567" s="8">
        <f t="shared" si="8"/>
        <v>24.821917808219176</v>
      </c>
    </row>
    <row r="568" spans="1:7" x14ac:dyDescent="0.25">
      <c r="A568" s="5">
        <v>45809.385416666664</v>
      </c>
      <c r="B568">
        <v>45</v>
      </c>
      <c r="C568" t="s">
        <v>55</v>
      </c>
      <c r="D568" t="s">
        <v>56</v>
      </c>
      <c r="E568">
        <v>1.49</v>
      </c>
      <c r="F568">
        <v>2.83</v>
      </c>
      <c r="G568" s="8">
        <f t="shared" si="8"/>
        <v>31.590106007067138</v>
      </c>
    </row>
    <row r="569" spans="1:7" x14ac:dyDescent="0.25">
      <c r="A569" s="5">
        <v>45809.385416666664</v>
      </c>
      <c r="B569">
        <v>46</v>
      </c>
      <c r="C569" t="s">
        <v>56</v>
      </c>
      <c r="D569" t="s">
        <v>57</v>
      </c>
      <c r="E569">
        <v>1.52</v>
      </c>
      <c r="F569">
        <v>3.18</v>
      </c>
      <c r="G569" s="8">
        <f t="shared" si="8"/>
        <v>28.679245283018869</v>
      </c>
    </row>
    <row r="570" spans="1:7" x14ac:dyDescent="0.25">
      <c r="A570" s="5">
        <v>45809.385416666664</v>
      </c>
      <c r="B570">
        <v>47</v>
      </c>
      <c r="C570" t="s">
        <v>58</v>
      </c>
      <c r="D570" t="s">
        <v>59</v>
      </c>
      <c r="E570">
        <v>1.52</v>
      </c>
      <c r="F570">
        <v>3.22</v>
      </c>
      <c r="G570" s="8">
        <f t="shared" si="8"/>
        <v>28.322981366459626</v>
      </c>
    </row>
    <row r="571" spans="1:7" x14ac:dyDescent="0.25">
      <c r="A571" s="5">
        <v>45809.385416666664</v>
      </c>
      <c r="B571">
        <v>48</v>
      </c>
      <c r="C571" t="s">
        <v>59</v>
      </c>
      <c r="D571" t="s">
        <v>60</v>
      </c>
      <c r="E571">
        <v>1.5</v>
      </c>
      <c r="F571">
        <v>2.98</v>
      </c>
      <c r="G571" s="8">
        <f t="shared" si="8"/>
        <v>30.201342281879196</v>
      </c>
    </row>
    <row r="572" spans="1:7" x14ac:dyDescent="0.25">
      <c r="A572" s="5">
        <v>45809.385416666664</v>
      </c>
      <c r="B572">
        <v>49</v>
      </c>
      <c r="C572" t="s">
        <v>60</v>
      </c>
      <c r="D572" t="s">
        <v>61</v>
      </c>
      <c r="E572">
        <v>1.54</v>
      </c>
      <c r="F572">
        <v>3.4</v>
      </c>
      <c r="G572" s="8">
        <f t="shared" si="8"/>
        <v>27.176470588235297</v>
      </c>
    </row>
    <row r="573" spans="1:7" x14ac:dyDescent="0.25">
      <c r="A573" s="5">
        <v>45809.385416666664</v>
      </c>
      <c r="B573">
        <v>50</v>
      </c>
      <c r="C573" t="s">
        <v>62</v>
      </c>
      <c r="D573" t="s">
        <v>63</v>
      </c>
      <c r="E573">
        <v>1.38</v>
      </c>
      <c r="F573">
        <v>2.92</v>
      </c>
      <c r="G573" s="8">
        <f t="shared" si="8"/>
        <v>28.356164383561644</v>
      </c>
    </row>
    <row r="574" spans="1:7" x14ac:dyDescent="0.25">
      <c r="A574" s="5">
        <v>45809.385416666664</v>
      </c>
      <c r="B574">
        <v>51</v>
      </c>
      <c r="C574" t="s">
        <v>63</v>
      </c>
      <c r="D574" t="s">
        <v>64</v>
      </c>
      <c r="E574">
        <v>2.79</v>
      </c>
      <c r="F574">
        <v>4.95</v>
      </c>
      <c r="G574" s="8">
        <f t="shared" si="8"/>
        <v>33.81818181818182</v>
      </c>
    </row>
    <row r="575" spans="1:7" x14ac:dyDescent="0.25">
      <c r="A575" s="5">
        <v>45809.385416666664</v>
      </c>
      <c r="B575">
        <v>52</v>
      </c>
      <c r="C575" t="s">
        <v>64</v>
      </c>
      <c r="D575" t="s">
        <v>65</v>
      </c>
      <c r="E575">
        <v>1.5</v>
      </c>
      <c r="F575">
        <v>2.6</v>
      </c>
      <c r="G575" s="8">
        <f t="shared" si="8"/>
        <v>34.615384615384613</v>
      </c>
    </row>
    <row r="576" spans="1:7" x14ac:dyDescent="0.25">
      <c r="A576" s="5">
        <v>45809.385416666664</v>
      </c>
      <c r="B576">
        <v>53</v>
      </c>
      <c r="C576" t="s">
        <v>65</v>
      </c>
      <c r="D576" t="s">
        <v>66</v>
      </c>
      <c r="E576">
        <v>1.46</v>
      </c>
      <c r="F576">
        <v>3.23</v>
      </c>
      <c r="G576" s="8">
        <f t="shared" si="8"/>
        <v>27.120743034055725</v>
      </c>
    </row>
    <row r="577" spans="1:7" x14ac:dyDescent="0.25">
      <c r="A577" s="5">
        <v>45809.385416666664</v>
      </c>
      <c r="B577">
        <v>54</v>
      </c>
      <c r="C577" t="s">
        <v>67</v>
      </c>
      <c r="D577" t="s">
        <v>68</v>
      </c>
      <c r="E577">
        <v>1.46</v>
      </c>
      <c r="F577">
        <v>2.3199999999999998</v>
      </c>
      <c r="G577" s="8">
        <f t="shared" si="8"/>
        <v>37.758620689655174</v>
      </c>
    </row>
    <row r="578" spans="1:7" x14ac:dyDescent="0.25">
      <c r="A578" s="5">
        <v>45809.385416666664</v>
      </c>
      <c r="B578">
        <v>55</v>
      </c>
      <c r="C578" t="s">
        <v>68</v>
      </c>
      <c r="D578" t="s">
        <v>69</v>
      </c>
      <c r="E578">
        <v>1.5</v>
      </c>
      <c r="F578">
        <v>1.73</v>
      </c>
      <c r="G578" s="8">
        <f t="shared" si="8"/>
        <v>52.02312138728324</v>
      </c>
    </row>
    <row r="579" spans="1:7" x14ac:dyDescent="0.25">
      <c r="A579" s="5">
        <v>45809.385416666664</v>
      </c>
      <c r="B579">
        <v>56</v>
      </c>
      <c r="C579" t="s">
        <v>70</v>
      </c>
      <c r="D579" t="s">
        <v>71</v>
      </c>
      <c r="E579">
        <v>1.51</v>
      </c>
      <c r="F579">
        <v>3.03</v>
      </c>
      <c r="G579" s="8">
        <f t="shared" ref="G579:G642" si="9">E579*60/F579</f>
        <v>29.900990099009903</v>
      </c>
    </row>
    <row r="580" spans="1:7" x14ac:dyDescent="0.25">
      <c r="A580" s="5">
        <v>45809.385416666664</v>
      </c>
      <c r="B580">
        <v>57</v>
      </c>
      <c r="C580" t="s">
        <v>71</v>
      </c>
      <c r="D580" t="s">
        <v>72</v>
      </c>
      <c r="E580">
        <v>1.52</v>
      </c>
      <c r="F580">
        <v>3.52</v>
      </c>
      <c r="G580" s="8">
        <f t="shared" si="9"/>
        <v>25.90909090909091</v>
      </c>
    </row>
    <row r="581" spans="1:7" x14ac:dyDescent="0.25">
      <c r="A581" s="5">
        <v>45809.385416666664</v>
      </c>
      <c r="B581">
        <v>58</v>
      </c>
      <c r="C581" t="s">
        <v>72</v>
      </c>
      <c r="D581" t="s">
        <v>73</v>
      </c>
      <c r="E581">
        <v>1.5</v>
      </c>
      <c r="F581">
        <v>3.13</v>
      </c>
      <c r="G581" s="8">
        <f t="shared" si="9"/>
        <v>28.753993610223642</v>
      </c>
    </row>
    <row r="582" spans="1:7" x14ac:dyDescent="0.25">
      <c r="A582" s="5">
        <v>45809.395833333336</v>
      </c>
      <c r="B582">
        <v>1</v>
      </c>
      <c r="C582" t="s">
        <v>6</v>
      </c>
      <c r="D582" t="s">
        <v>7</v>
      </c>
      <c r="E582">
        <v>1.53</v>
      </c>
      <c r="F582">
        <v>2.82</v>
      </c>
      <c r="G582" s="8">
        <f t="shared" si="9"/>
        <v>32.553191489361701</v>
      </c>
    </row>
    <row r="583" spans="1:7" x14ac:dyDescent="0.25">
      <c r="A583" s="5">
        <v>45809.395833333336</v>
      </c>
      <c r="B583">
        <v>2</v>
      </c>
      <c r="C583" t="s">
        <v>7</v>
      </c>
      <c r="D583" t="s">
        <v>8</v>
      </c>
      <c r="E583">
        <v>1.57</v>
      </c>
      <c r="F583">
        <v>3.92</v>
      </c>
      <c r="G583" s="8">
        <f t="shared" si="9"/>
        <v>24.030612244897959</v>
      </c>
    </row>
    <row r="584" spans="1:7" x14ac:dyDescent="0.25">
      <c r="A584" s="5">
        <v>45809.395833333336</v>
      </c>
      <c r="B584">
        <v>3</v>
      </c>
      <c r="C584" t="s">
        <v>8</v>
      </c>
      <c r="D584" t="s">
        <v>9</v>
      </c>
      <c r="E584">
        <v>1.5</v>
      </c>
      <c r="F584">
        <v>2.72</v>
      </c>
      <c r="G584" s="8">
        <f t="shared" si="9"/>
        <v>33.088235294117645</v>
      </c>
    </row>
    <row r="585" spans="1:7" x14ac:dyDescent="0.25">
      <c r="A585" s="5">
        <v>45809.395833333336</v>
      </c>
      <c r="B585">
        <v>4</v>
      </c>
      <c r="C585" t="s">
        <v>9</v>
      </c>
      <c r="D585" t="s">
        <v>10</v>
      </c>
      <c r="E585">
        <v>1.5</v>
      </c>
      <c r="F585">
        <v>2.65</v>
      </c>
      <c r="G585" s="8">
        <f t="shared" si="9"/>
        <v>33.962264150943398</v>
      </c>
    </row>
    <row r="586" spans="1:7" x14ac:dyDescent="0.25">
      <c r="A586" s="5">
        <v>45809.395833333336</v>
      </c>
      <c r="B586">
        <v>5</v>
      </c>
      <c r="C586" t="s">
        <v>10</v>
      </c>
      <c r="D586" t="s">
        <v>11</v>
      </c>
      <c r="E586">
        <v>1.52</v>
      </c>
      <c r="F586">
        <v>2.87</v>
      </c>
      <c r="G586" s="8">
        <f t="shared" si="9"/>
        <v>31.777003484320556</v>
      </c>
    </row>
    <row r="587" spans="1:7" x14ac:dyDescent="0.25">
      <c r="A587" s="5">
        <v>45809.395833333336</v>
      </c>
      <c r="B587">
        <v>6</v>
      </c>
      <c r="C587" t="s">
        <v>11</v>
      </c>
      <c r="D587" t="s">
        <v>12</v>
      </c>
      <c r="E587">
        <v>1.5</v>
      </c>
      <c r="F587">
        <v>2.35</v>
      </c>
      <c r="G587" s="8">
        <f t="shared" si="9"/>
        <v>38.297872340425528</v>
      </c>
    </row>
    <row r="588" spans="1:7" x14ac:dyDescent="0.25">
      <c r="A588" s="5">
        <v>45809.395833333336</v>
      </c>
      <c r="B588">
        <v>7</v>
      </c>
      <c r="C588" t="s">
        <v>12</v>
      </c>
      <c r="D588" t="s">
        <v>13</v>
      </c>
      <c r="E588">
        <v>1.54</v>
      </c>
      <c r="F588">
        <v>2.63</v>
      </c>
      <c r="G588" s="8">
        <f t="shared" si="9"/>
        <v>35.133079847908746</v>
      </c>
    </row>
    <row r="589" spans="1:7" x14ac:dyDescent="0.25">
      <c r="A589" s="5">
        <v>45809.395833333336</v>
      </c>
      <c r="B589">
        <v>8</v>
      </c>
      <c r="C589" t="s">
        <v>13</v>
      </c>
      <c r="D589" t="s">
        <v>14</v>
      </c>
      <c r="E589">
        <v>1.54</v>
      </c>
      <c r="F589">
        <v>2.88</v>
      </c>
      <c r="G589" s="8">
        <f t="shared" si="9"/>
        <v>32.083333333333336</v>
      </c>
    </row>
    <row r="590" spans="1:7" x14ac:dyDescent="0.25">
      <c r="A590" s="5">
        <v>45809.395833333336</v>
      </c>
      <c r="B590">
        <v>9</v>
      </c>
      <c r="C590" t="s">
        <v>14</v>
      </c>
      <c r="D590" t="s">
        <v>15</v>
      </c>
      <c r="E590">
        <v>1.52</v>
      </c>
      <c r="F590">
        <v>2.77</v>
      </c>
      <c r="G590" s="8">
        <f t="shared" si="9"/>
        <v>32.924187725631768</v>
      </c>
    </row>
    <row r="591" spans="1:7" x14ac:dyDescent="0.25">
      <c r="A591" s="5">
        <v>45809.395833333336</v>
      </c>
      <c r="B591">
        <v>10</v>
      </c>
      <c r="C591" t="s">
        <v>15</v>
      </c>
      <c r="D591" t="s">
        <v>16</v>
      </c>
      <c r="E591">
        <v>1.5</v>
      </c>
      <c r="F591">
        <v>2.85</v>
      </c>
      <c r="G591" s="8">
        <f t="shared" si="9"/>
        <v>31.578947368421051</v>
      </c>
    </row>
    <row r="592" spans="1:7" x14ac:dyDescent="0.25">
      <c r="A592" s="5">
        <v>45809.395833333336</v>
      </c>
      <c r="B592">
        <v>11</v>
      </c>
      <c r="C592" t="s">
        <v>16</v>
      </c>
      <c r="D592" t="s">
        <v>17</v>
      </c>
      <c r="E592">
        <v>1.48</v>
      </c>
      <c r="F592">
        <v>2.2999999999999998</v>
      </c>
      <c r="G592" s="8">
        <f t="shared" si="9"/>
        <v>38.608695652173914</v>
      </c>
    </row>
    <row r="593" spans="1:7" x14ac:dyDescent="0.25">
      <c r="A593" s="5">
        <v>45809.395833333336</v>
      </c>
      <c r="B593">
        <v>12</v>
      </c>
      <c r="C593" t="s">
        <v>17</v>
      </c>
      <c r="D593" t="s">
        <v>18</v>
      </c>
      <c r="E593">
        <v>1.46</v>
      </c>
      <c r="F593">
        <v>2.83</v>
      </c>
      <c r="G593" s="8">
        <f t="shared" si="9"/>
        <v>30.954063604240279</v>
      </c>
    </row>
    <row r="594" spans="1:7" x14ac:dyDescent="0.25">
      <c r="A594" s="5">
        <v>45809.395833333336</v>
      </c>
      <c r="B594">
        <v>13</v>
      </c>
      <c r="C594" t="s">
        <v>18</v>
      </c>
      <c r="D594" t="s">
        <v>19</v>
      </c>
      <c r="E594">
        <v>1.52</v>
      </c>
      <c r="F594">
        <v>3.08</v>
      </c>
      <c r="G594" s="8">
        <f t="shared" si="9"/>
        <v>29.61038961038961</v>
      </c>
    </row>
    <row r="595" spans="1:7" x14ac:dyDescent="0.25">
      <c r="A595" s="5">
        <v>45809.395833333336</v>
      </c>
      <c r="B595">
        <v>14</v>
      </c>
      <c r="C595" t="s">
        <v>19</v>
      </c>
      <c r="D595" t="s">
        <v>20</v>
      </c>
      <c r="E595">
        <v>1.51</v>
      </c>
      <c r="F595">
        <v>2.85</v>
      </c>
      <c r="G595" s="8">
        <f t="shared" si="9"/>
        <v>31.789473684210524</v>
      </c>
    </row>
    <row r="596" spans="1:7" x14ac:dyDescent="0.25">
      <c r="A596" s="5">
        <v>45809.395833333336</v>
      </c>
      <c r="B596">
        <v>15</v>
      </c>
      <c r="C596" t="s">
        <v>20</v>
      </c>
      <c r="D596" t="s">
        <v>21</v>
      </c>
      <c r="E596">
        <v>1.47</v>
      </c>
      <c r="F596">
        <v>1.88</v>
      </c>
      <c r="G596" s="8">
        <f t="shared" si="9"/>
        <v>46.914893617021278</v>
      </c>
    </row>
    <row r="597" spans="1:7" x14ac:dyDescent="0.25">
      <c r="A597" s="5">
        <v>45809.395833333336</v>
      </c>
      <c r="B597">
        <v>16</v>
      </c>
      <c r="C597" t="s">
        <v>21</v>
      </c>
      <c r="D597" t="s">
        <v>22</v>
      </c>
      <c r="E597">
        <v>1.5</v>
      </c>
      <c r="F597">
        <v>1.73</v>
      </c>
      <c r="G597" s="8">
        <f t="shared" si="9"/>
        <v>52.02312138728324</v>
      </c>
    </row>
    <row r="598" spans="1:7" x14ac:dyDescent="0.25">
      <c r="A598" s="5">
        <v>45809.395833333336</v>
      </c>
      <c r="B598">
        <v>17</v>
      </c>
      <c r="C598" t="s">
        <v>22</v>
      </c>
      <c r="D598" t="s">
        <v>23</v>
      </c>
      <c r="E598">
        <v>1.51</v>
      </c>
      <c r="F598">
        <v>2.4500000000000002</v>
      </c>
      <c r="G598" s="8">
        <f t="shared" si="9"/>
        <v>36.979591836734691</v>
      </c>
    </row>
    <row r="599" spans="1:7" x14ac:dyDescent="0.25">
      <c r="A599" s="5">
        <v>45809.395833333336</v>
      </c>
      <c r="B599">
        <v>18</v>
      </c>
      <c r="C599" t="s">
        <v>23</v>
      </c>
      <c r="D599" t="s">
        <v>24</v>
      </c>
      <c r="E599">
        <v>1.51</v>
      </c>
      <c r="F599">
        <v>2.65</v>
      </c>
      <c r="G599" s="8">
        <f t="shared" si="9"/>
        <v>34.188679245283019</v>
      </c>
    </row>
    <row r="600" spans="1:7" x14ac:dyDescent="0.25">
      <c r="A600" s="5">
        <v>45809.395833333336</v>
      </c>
      <c r="B600">
        <v>19</v>
      </c>
      <c r="C600" t="s">
        <v>25</v>
      </c>
      <c r="D600" t="s">
        <v>26</v>
      </c>
      <c r="E600">
        <v>1.5</v>
      </c>
      <c r="F600">
        <v>3.2</v>
      </c>
      <c r="G600" s="8">
        <f t="shared" si="9"/>
        <v>28.125</v>
      </c>
    </row>
    <row r="601" spans="1:7" x14ac:dyDescent="0.25">
      <c r="A601" s="5">
        <v>45809.395833333336</v>
      </c>
      <c r="B601">
        <v>20</v>
      </c>
      <c r="C601" t="s">
        <v>26</v>
      </c>
      <c r="D601" t="s">
        <v>27</v>
      </c>
      <c r="E601">
        <v>1.48</v>
      </c>
      <c r="F601">
        <v>3.17</v>
      </c>
      <c r="G601" s="8">
        <f t="shared" si="9"/>
        <v>28.012618296529968</v>
      </c>
    </row>
    <row r="602" spans="1:7" x14ac:dyDescent="0.25">
      <c r="A602" s="5">
        <v>45809.395833333336</v>
      </c>
      <c r="B602">
        <v>21</v>
      </c>
      <c r="C602" t="s">
        <v>27</v>
      </c>
      <c r="D602" t="s">
        <v>28</v>
      </c>
      <c r="E602">
        <v>1.51</v>
      </c>
      <c r="F602">
        <v>2.72</v>
      </c>
      <c r="G602" s="8">
        <f t="shared" si="9"/>
        <v>33.308823529411761</v>
      </c>
    </row>
    <row r="603" spans="1:7" x14ac:dyDescent="0.25">
      <c r="A603" s="5">
        <v>45809.395833333336</v>
      </c>
      <c r="B603">
        <v>22</v>
      </c>
      <c r="C603" t="s">
        <v>28</v>
      </c>
      <c r="D603" t="s">
        <v>29</v>
      </c>
      <c r="E603">
        <v>1.57</v>
      </c>
      <c r="F603">
        <v>2.92</v>
      </c>
      <c r="G603" s="8">
        <f t="shared" si="9"/>
        <v>32.260273972602739</v>
      </c>
    </row>
    <row r="604" spans="1:7" x14ac:dyDescent="0.25">
      <c r="A604" s="5">
        <v>45809.395833333336</v>
      </c>
      <c r="B604">
        <v>23</v>
      </c>
      <c r="C604" t="s">
        <v>29</v>
      </c>
      <c r="D604" t="s">
        <v>30</v>
      </c>
      <c r="E604">
        <v>1.43</v>
      </c>
      <c r="F604">
        <v>2.78</v>
      </c>
      <c r="G604" s="8">
        <f t="shared" si="9"/>
        <v>30.863309352517987</v>
      </c>
    </row>
    <row r="605" spans="1:7" x14ac:dyDescent="0.25">
      <c r="A605" s="5">
        <v>45809.395833333336</v>
      </c>
      <c r="B605">
        <v>24</v>
      </c>
      <c r="C605" t="s">
        <v>30</v>
      </c>
      <c r="D605" t="s">
        <v>31</v>
      </c>
      <c r="E605">
        <v>1.52</v>
      </c>
      <c r="F605">
        <v>2.75</v>
      </c>
      <c r="G605" s="8">
        <f t="shared" si="9"/>
        <v>33.163636363636364</v>
      </c>
    </row>
    <row r="606" spans="1:7" x14ac:dyDescent="0.25">
      <c r="A606" s="5">
        <v>45809.395833333336</v>
      </c>
      <c r="B606">
        <v>25</v>
      </c>
      <c r="C606" t="s">
        <v>31</v>
      </c>
      <c r="D606" t="s">
        <v>32</v>
      </c>
      <c r="E606">
        <v>1.52</v>
      </c>
      <c r="F606">
        <v>2.87</v>
      </c>
      <c r="G606" s="8">
        <f t="shared" si="9"/>
        <v>31.777003484320556</v>
      </c>
    </row>
    <row r="607" spans="1:7" x14ac:dyDescent="0.25">
      <c r="A607" s="5">
        <v>45809.395833333336</v>
      </c>
      <c r="B607">
        <v>26</v>
      </c>
      <c r="C607" t="s">
        <v>32</v>
      </c>
      <c r="D607" t="s">
        <v>33</v>
      </c>
      <c r="E607">
        <v>1.49</v>
      </c>
      <c r="F607">
        <v>2.78</v>
      </c>
      <c r="G607" s="8">
        <f t="shared" si="9"/>
        <v>32.158273381294968</v>
      </c>
    </row>
    <row r="608" spans="1:7" x14ac:dyDescent="0.25">
      <c r="A608" s="5">
        <v>45809.395833333336</v>
      </c>
      <c r="B608">
        <v>27</v>
      </c>
      <c r="C608" t="s">
        <v>33</v>
      </c>
      <c r="D608" t="s">
        <v>34</v>
      </c>
      <c r="E608">
        <v>1.53</v>
      </c>
      <c r="F608">
        <v>2.87</v>
      </c>
      <c r="G608" s="8">
        <f t="shared" si="9"/>
        <v>31.986062717770032</v>
      </c>
    </row>
    <row r="609" spans="1:7" x14ac:dyDescent="0.25">
      <c r="A609" s="5">
        <v>45809.395833333336</v>
      </c>
      <c r="B609">
        <v>28</v>
      </c>
      <c r="C609" t="s">
        <v>34</v>
      </c>
      <c r="D609" t="s">
        <v>35</v>
      </c>
      <c r="E609">
        <v>1.51</v>
      </c>
      <c r="F609">
        <v>3.43</v>
      </c>
      <c r="G609" s="8">
        <f t="shared" si="9"/>
        <v>26.413994169096206</v>
      </c>
    </row>
    <row r="610" spans="1:7" x14ac:dyDescent="0.25">
      <c r="A610" s="5">
        <v>45809.395833333336</v>
      </c>
      <c r="B610">
        <v>29</v>
      </c>
      <c r="C610" t="s">
        <v>36</v>
      </c>
      <c r="D610" t="s">
        <v>37</v>
      </c>
      <c r="E610">
        <v>1.57</v>
      </c>
      <c r="F610">
        <v>2.98</v>
      </c>
      <c r="G610" s="8">
        <f t="shared" si="9"/>
        <v>31.610738255033556</v>
      </c>
    </row>
    <row r="611" spans="1:7" x14ac:dyDescent="0.25">
      <c r="A611" s="5">
        <v>45809.395833333336</v>
      </c>
      <c r="B611">
        <v>30</v>
      </c>
      <c r="C611" t="s">
        <v>37</v>
      </c>
      <c r="D611" t="s">
        <v>38</v>
      </c>
      <c r="E611">
        <v>1.57</v>
      </c>
      <c r="F611">
        <v>3.73</v>
      </c>
      <c r="G611" s="8">
        <f t="shared" si="9"/>
        <v>25.254691689008045</v>
      </c>
    </row>
    <row r="612" spans="1:7" x14ac:dyDescent="0.25">
      <c r="A612" s="5">
        <v>45809.395833333336</v>
      </c>
      <c r="B612">
        <v>31</v>
      </c>
      <c r="C612" t="s">
        <v>38</v>
      </c>
      <c r="D612" t="s">
        <v>39</v>
      </c>
      <c r="E612">
        <v>1.52</v>
      </c>
      <c r="F612">
        <v>2.4300000000000002</v>
      </c>
      <c r="G612" s="8">
        <f t="shared" si="9"/>
        <v>37.53086419753086</v>
      </c>
    </row>
    <row r="613" spans="1:7" x14ac:dyDescent="0.25">
      <c r="A613" s="5">
        <v>45809.395833333336</v>
      </c>
      <c r="B613">
        <v>32</v>
      </c>
      <c r="C613" t="s">
        <v>39</v>
      </c>
      <c r="D613" t="s">
        <v>40</v>
      </c>
      <c r="E613">
        <v>1.5</v>
      </c>
      <c r="F613">
        <v>1.67</v>
      </c>
      <c r="G613" s="8">
        <f t="shared" si="9"/>
        <v>53.892215568862277</v>
      </c>
    </row>
    <row r="614" spans="1:7" x14ac:dyDescent="0.25">
      <c r="A614" s="5">
        <v>45809.395833333336</v>
      </c>
      <c r="B614">
        <v>33</v>
      </c>
      <c r="C614" t="s">
        <v>40</v>
      </c>
      <c r="D614" t="s">
        <v>41</v>
      </c>
      <c r="E614">
        <v>1.51</v>
      </c>
      <c r="F614">
        <v>1.67</v>
      </c>
      <c r="G614" s="8">
        <f t="shared" si="9"/>
        <v>54.251497005988021</v>
      </c>
    </row>
    <row r="615" spans="1:7" x14ac:dyDescent="0.25">
      <c r="A615" s="5">
        <v>45809.395833333336</v>
      </c>
      <c r="B615">
        <v>34</v>
      </c>
      <c r="C615" t="s">
        <v>41</v>
      </c>
      <c r="D615" t="s">
        <v>42</v>
      </c>
      <c r="E615">
        <v>1.5</v>
      </c>
      <c r="F615">
        <v>1.72</v>
      </c>
      <c r="G615" s="8">
        <f t="shared" si="9"/>
        <v>52.325581395348841</v>
      </c>
    </row>
    <row r="616" spans="1:7" x14ac:dyDescent="0.25">
      <c r="A616" s="5">
        <v>45809.395833333336</v>
      </c>
      <c r="B616">
        <v>35</v>
      </c>
      <c r="C616" t="s">
        <v>43</v>
      </c>
      <c r="D616" t="s">
        <v>44</v>
      </c>
      <c r="E616">
        <v>1.55</v>
      </c>
      <c r="F616">
        <v>3.03</v>
      </c>
      <c r="G616" s="8">
        <f t="shared" si="9"/>
        <v>30.693069306930695</v>
      </c>
    </row>
    <row r="617" spans="1:7" x14ac:dyDescent="0.25">
      <c r="A617" s="5">
        <v>45809.395833333336</v>
      </c>
      <c r="B617">
        <v>36</v>
      </c>
      <c r="C617" t="s">
        <v>44</v>
      </c>
      <c r="D617" t="s">
        <v>45</v>
      </c>
      <c r="E617">
        <v>1.5</v>
      </c>
      <c r="F617">
        <v>2.5299999999999998</v>
      </c>
      <c r="G617" s="8">
        <f t="shared" si="9"/>
        <v>35.573122529644273</v>
      </c>
    </row>
    <row r="618" spans="1:7" x14ac:dyDescent="0.25">
      <c r="A618" s="5">
        <v>45809.395833333336</v>
      </c>
      <c r="B618">
        <v>37</v>
      </c>
      <c r="C618" t="s">
        <v>45</v>
      </c>
      <c r="D618" t="s">
        <v>46</v>
      </c>
      <c r="E618">
        <v>1.38</v>
      </c>
      <c r="F618">
        <v>3.15</v>
      </c>
      <c r="G618" s="8">
        <f t="shared" si="9"/>
        <v>26.285714285714285</v>
      </c>
    </row>
    <row r="619" spans="1:7" x14ac:dyDescent="0.25">
      <c r="A619" s="5">
        <v>45809.395833333336</v>
      </c>
      <c r="B619">
        <v>38</v>
      </c>
      <c r="C619" t="s">
        <v>46</v>
      </c>
      <c r="D619" t="s">
        <v>47</v>
      </c>
      <c r="E619">
        <v>1.61</v>
      </c>
      <c r="F619">
        <v>3.48</v>
      </c>
      <c r="G619" s="8">
        <f t="shared" si="9"/>
        <v>27.758620689655174</v>
      </c>
    </row>
    <row r="620" spans="1:7" x14ac:dyDescent="0.25">
      <c r="A620" s="5">
        <v>45809.395833333336</v>
      </c>
      <c r="B620">
        <v>39</v>
      </c>
      <c r="C620" t="s">
        <v>47</v>
      </c>
      <c r="D620" t="s">
        <v>48</v>
      </c>
      <c r="E620">
        <v>1.55</v>
      </c>
      <c r="F620">
        <v>3.13</v>
      </c>
      <c r="G620" s="8">
        <f t="shared" si="9"/>
        <v>29.712460063897765</v>
      </c>
    </row>
    <row r="621" spans="1:7" x14ac:dyDescent="0.25">
      <c r="A621" s="5">
        <v>45809.395833333336</v>
      </c>
      <c r="B621">
        <v>40</v>
      </c>
      <c r="C621" t="s">
        <v>48</v>
      </c>
      <c r="D621" t="s">
        <v>49</v>
      </c>
      <c r="E621">
        <v>1.39</v>
      </c>
      <c r="F621">
        <v>2.75</v>
      </c>
      <c r="G621" s="8">
        <f t="shared" si="9"/>
        <v>30.327272727272724</v>
      </c>
    </row>
    <row r="622" spans="1:7" x14ac:dyDescent="0.25">
      <c r="A622" s="5">
        <v>45809.395833333336</v>
      </c>
      <c r="B622">
        <v>41</v>
      </c>
      <c r="C622" t="s">
        <v>50</v>
      </c>
      <c r="D622" t="s">
        <v>51</v>
      </c>
      <c r="E622">
        <v>1.56</v>
      </c>
      <c r="F622">
        <v>3.17</v>
      </c>
      <c r="G622" s="8">
        <f t="shared" si="9"/>
        <v>29.526813880126188</v>
      </c>
    </row>
    <row r="623" spans="1:7" x14ac:dyDescent="0.25">
      <c r="A623" s="5">
        <v>45809.395833333336</v>
      </c>
      <c r="B623">
        <v>42</v>
      </c>
      <c r="C623" t="s">
        <v>51</v>
      </c>
      <c r="D623" t="s">
        <v>52</v>
      </c>
      <c r="E623">
        <v>1.56</v>
      </c>
      <c r="F623">
        <v>3.2</v>
      </c>
      <c r="G623" s="8">
        <f t="shared" si="9"/>
        <v>29.25</v>
      </c>
    </row>
    <row r="624" spans="1:7" x14ac:dyDescent="0.25">
      <c r="A624" s="5">
        <v>45809.395833333336</v>
      </c>
      <c r="B624">
        <v>43</v>
      </c>
      <c r="C624" t="s">
        <v>52</v>
      </c>
      <c r="D624" t="s">
        <v>53</v>
      </c>
      <c r="E624">
        <v>1.51</v>
      </c>
      <c r="F624">
        <v>2.98</v>
      </c>
      <c r="G624" s="8">
        <f t="shared" si="9"/>
        <v>30.402684563758388</v>
      </c>
    </row>
    <row r="625" spans="1:7" x14ac:dyDescent="0.25">
      <c r="A625" s="5">
        <v>45809.395833333336</v>
      </c>
      <c r="B625">
        <v>44</v>
      </c>
      <c r="C625" t="s">
        <v>54</v>
      </c>
      <c r="D625" t="s">
        <v>55</v>
      </c>
      <c r="E625">
        <v>1.51</v>
      </c>
      <c r="F625">
        <v>3.57</v>
      </c>
      <c r="G625" s="8">
        <f t="shared" si="9"/>
        <v>25.3781512605042</v>
      </c>
    </row>
    <row r="626" spans="1:7" x14ac:dyDescent="0.25">
      <c r="A626" s="5">
        <v>45809.395833333336</v>
      </c>
      <c r="B626">
        <v>45</v>
      </c>
      <c r="C626" t="s">
        <v>55</v>
      </c>
      <c r="D626" t="s">
        <v>56</v>
      </c>
      <c r="E626">
        <v>1.49</v>
      </c>
      <c r="F626">
        <v>2.85</v>
      </c>
      <c r="G626" s="8">
        <f t="shared" si="9"/>
        <v>31.368421052631579</v>
      </c>
    </row>
    <row r="627" spans="1:7" x14ac:dyDescent="0.25">
      <c r="A627" s="5">
        <v>45809.395833333336</v>
      </c>
      <c r="B627">
        <v>46</v>
      </c>
      <c r="C627" t="s">
        <v>56</v>
      </c>
      <c r="D627" t="s">
        <v>57</v>
      </c>
      <c r="E627">
        <v>1.52</v>
      </c>
      <c r="F627">
        <v>3.18</v>
      </c>
      <c r="G627" s="8">
        <f t="shared" si="9"/>
        <v>28.679245283018869</v>
      </c>
    </row>
    <row r="628" spans="1:7" x14ac:dyDescent="0.25">
      <c r="A628" s="5">
        <v>45809.395833333336</v>
      </c>
      <c r="B628">
        <v>47</v>
      </c>
      <c r="C628" t="s">
        <v>58</v>
      </c>
      <c r="D628" t="s">
        <v>59</v>
      </c>
      <c r="E628">
        <v>1.52</v>
      </c>
      <c r="F628">
        <v>3.07</v>
      </c>
      <c r="G628" s="8">
        <f t="shared" si="9"/>
        <v>29.706840390879481</v>
      </c>
    </row>
    <row r="629" spans="1:7" x14ac:dyDescent="0.25">
      <c r="A629" s="5">
        <v>45809.395833333336</v>
      </c>
      <c r="B629">
        <v>48</v>
      </c>
      <c r="C629" t="s">
        <v>59</v>
      </c>
      <c r="D629" t="s">
        <v>60</v>
      </c>
      <c r="E629">
        <v>1.5</v>
      </c>
      <c r="F629">
        <v>3.07</v>
      </c>
      <c r="G629" s="8">
        <f t="shared" si="9"/>
        <v>29.31596091205212</v>
      </c>
    </row>
    <row r="630" spans="1:7" x14ac:dyDescent="0.25">
      <c r="A630" s="5">
        <v>45809.395833333336</v>
      </c>
      <c r="B630">
        <v>49</v>
      </c>
      <c r="C630" t="s">
        <v>60</v>
      </c>
      <c r="D630" t="s">
        <v>61</v>
      </c>
      <c r="E630">
        <v>1.54</v>
      </c>
      <c r="F630">
        <v>3.38</v>
      </c>
      <c r="G630" s="8">
        <f t="shared" si="9"/>
        <v>27.337278106508879</v>
      </c>
    </row>
    <row r="631" spans="1:7" x14ac:dyDescent="0.25">
      <c r="A631" s="5">
        <v>45809.395833333336</v>
      </c>
      <c r="B631">
        <v>50</v>
      </c>
      <c r="C631" t="s">
        <v>62</v>
      </c>
      <c r="D631" t="s">
        <v>63</v>
      </c>
      <c r="E631">
        <v>1.38</v>
      </c>
      <c r="F631">
        <v>2.85</v>
      </c>
      <c r="G631" s="8">
        <f t="shared" si="9"/>
        <v>29.052631578947366</v>
      </c>
    </row>
    <row r="632" spans="1:7" x14ac:dyDescent="0.25">
      <c r="A632" s="5">
        <v>45809.395833333336</v>
      </c>
      <c r="B632">
        <v>51</v>
      </c>
      <c r="C632" t="s">
        <v>63</v>
      </c>
      <c r="D632" t="s">
        <v>64</v>
      </c>
      <c r="E632">
        <v>2.79</v>
      </c>
      <c r="F632">
        <v>5.0999999999999996</v>
      </c>
      <c r="G632" s="8">
        <f t="shared" si="9"/>
        <v>32.82352941176471</v>
      </c>
    </row>
    <row r="633" spans="1:7" x14ac:dyDescent="0.25">
      <c r="A633" s="5">
        <v>45809.395833333336</v>
      </c>
      <c r="B633">
        <v>52</v>
      </c>
      <c r="C633" t="s">
        <v>64</v>
      </c>
      <c r="D633" t="s">
        <v>65</v>
      </c>
      <c r="E633">
        <v>1.5</v>
      </c>
      <c r="F633">
        <v>2.75</v>
      </c>
      <c r="G633" s="8">
        <f t="shared" si="9"/>
        <v>32.727272727272727</v>
      </c>
    </row>
    <row r="634" spans="1:7" x14ac:dyDescent="0.25">
      <c r="A634" s="5">
        <v>45809.395833333336</v>
      </c>
      <c r="B634">
        <v>53</v>
      </c>
      <c r="C634" t="s">
        <v>65</v>
      </c>
      <c r="D634" t="s">
        <v>66</v>
      </c>
      <c r="E634">
        <v>1.46</v>
      </c>
      <c r="F634">
        <v>3.35</v>
      </c>
      <c r="G634" s="8">
        <f t="shared" si="9"/>
        <v>26.149253731343283</v>
      </c>
    </row>
    <row r="635" spans="1:7" x14ac:dyDescent="0.25">
      <c r="A635" s="5">
        <v>45809.395833333336</v>
      </c>
      <c r="B635">
        <v>54</v>
      </c>
      <c r="C635" t="s">
        <v>67</v>
      </c>
      <c r="D635" t="s">
        <v>68</v>
      </c>
      <c r="E635">
        <v>1.46</v>
      </c>
      <c r="F635">
        <v>2.33</v>
      </c>
      <c r="G635" s="8">
        <f t="shared" si="9"/>
        <v>37.596566523605148</v>
      </c>
    </row>
    <row r="636" spans="1:7" x14ac:dyDescent="0.25">
      <c r="A636" s="5">
        <v>45809.395833333336</v>
      </c>
      <c r="B636">
        <v>55</v>
      </c>
      <c r="C636" t="s">
        <v>68</v>
      </c>
      <c r="D636" t="s">
        <v>69</v>
      </c>
      <c r="E636">
        <v>1.5</v>
      </c>
      <c r="F636">
        <v>1.95</v>
      </c>
      <c r="G636" s="8">
        <f t="shared" si="9"/>
        <v>46.153846153846153</v>
      </c>
    </row>
    <row r="637" spans="1:7" x14ac:dyDescent="0.25">
      <c r="A637" s="5">
        <v>45809.395833333336</v>
      </c>
      <c r="B637">
        <v>56</v>
      </c>
      <c r="C637" t="s">
        <v>70</v>
      </c>
      <c r="D637" t="s">
        <v>71</v>
      </c>
      <c r="E637">
        <v>1.51</v>
      </c>
      <c r="F637">
        <v>3.25</v>
      </c>
      <c r="G637" s="8">
        <f t="shared" si="9"/>
        <v>27.876923076923074</v>
      </c>
    </row>
    <row r="638" spans="1:7" x14ac:dyDescent="0.25">
      <c r="A638" s="5">
        <v>45809.395833333336</v>
      </c>
      <c r="B638">
        <v>57</v>
      </c>
      <c r="C638" t="s">
        <v>71</v>
      </c>
      <c r="D638" t="s">
        <v>72</v>
      </c>
      <c r="E638">
        <v>1.52</v>
      </c>
      <c r="F638">
        <v>3.28</v>
      </c>
      <c r="G638" s="8">
        <f t="shared" si="9"/>
        <v>27.804878048780491</v>
      </c>
    </row>
    <row r="639" spans="1:7" x14ac:dyDescent="0.25">
      <c r="A639" s="5">
        <v>45809.395833333336</v>
      </c>
      <c r="B639">
        <v>58</v>
      </c>
      <c r="C639" t="s">
        <v>72</v>
      </c>
      <c r="D639" t="s">
        <v>73</v>
      </c>
      <c r="E639">
        <v>1.5</v>
      </c>
      <c r="F639">
        <v>3.18</v>
      </c>
      <c r="G639" s="8">
        <f t="shared" si="9"/>
        <v>28.30188679245283</v>
      </c>
    </row>
    <row r="640" spans="1:7" x14ac:dyDescent="0.25">
      <c r="A640" s="5">
        <v>45809.40625</v>
      </c>
      <c r="B640">
        <v>1</v>
      </c>
      <c r="C640" t="s">
        <v>6</v>
      </c>
      <c r="D640" t="s">
        <v>7</v>
      </c>
      <c r="E640">
        <v>1.53</v>
      </c>
      <c r="F640">
        <v>2.87</v>
      </c>
      <c r="G640" s="8">
        <f t="shared" si="9"/>
        <v>31.986062717770032</v>
      </c>
    </row>
    <row r="641" spans="1:7" x14ac:dyDescent="0.25">
      <c r="A641" s="5">
        <v>45809.40625</v>
      </c>
      <c r="B641">
        <v>2</v>
      </c>
      <c r="C641" t="s">
        <v>7</v>
      </c>
      <c r="D641" t="s">
        <v>8</v>
      </c>
      <c r="E641">
        <v>1.57</v>
      </c>
      <c r="F641">
        <v>4.08</v>
      </c>
      <c r="G641" s="8">
        <f t="shared" si="9"/>
        <v>23.088235294117649</v>
      </c>
    </row>
    <row r="642" spans="1:7" x14ac:dyDescent="0.25">
      <c r="A642" s="5">
        <v>45809.40625</v>
      </c>
      <c r="B642">
        <v>3</v>
      </c>
      <c r="C642" t="s">
        <v>8</v>
      </c>
      <c r="D642" t="s">
        <v>9</v>
      </c>
      <c r="E642">
        <v>1.5</v>
      </c>
      <c r="F642">
        <v>2.73</v>
      </c>
      <c r="G642" s="8">
        <f t="shared" si="9"/>
        <v>32.967032967032971</v>
      </c>
    </row>
    <row r="643" spans="1:7" x14ac:dyDescent="0.25">
      <c r="A643" s="5">
        <v>45809.40625</v>
      </c>
      <c r="B643">
        <v>4</v>
      </c>
      <c r="C643" t="s">
        <v>9</v>
      </c>
      <c r="D643" t="s">
        <v>10</v>
      </c>
      <c r="E643">
        <v>1.5</v>
      </c>
      <c r="F643">
        <v>2.57</v>
      </c>
      <c r="G643" s="8">
        <f t="shared" ref="G643:G706" si="10">E643*60/F643</f>
        <v>35.019455252918291</v>
      </c>
    </row>
    <row r="644" spans="1:7" x14ac:dyDescent="0.25">
      <c r="A644" s="5">
        <v>45809.40625</v>
      </c>
      <c r="B644">
        <v>5</v>
      </c>
      <c r="C644" t="s">
        <v>10</v>
      </c>
      <c r="D644" t="s">
        <v>11</v>
      </c>
      <c r="E644">
        <v>1.52</v>
      </c>
      <c r="F644">
        <v>2.9</v>
      </c>
      <c r="G644" s="8">
        <f t="shared" si="10"/>
        <v>31.448275862068968</v>
      </c>
    </row>
    <row r="645" spans="1:7" x14ac:dyDescent="0.25">
      <c r="A645" s="5">
        <v>45809.40625</v>
      </c>
      <c r="B645">
        <v>6</v>
      </c>
      <c r="C645" t="s">
        <v>11</v>
      </c>
      <c r="D645" t="s">
        <v>12</v>
      </c>
      <c r="E645">
        <v>1.5</v>
      </c>
      <c r="F645">
        <v>2.4500000000000002</v>
      </c>
      <c r="G645" s="8">
        <f t="shared" si="10"/>
        <v>36.734693877551017</v>
      </c>
    </row>
    <row r="646" spans="1:7" x14ac:dyDescent="0.25">
      <c r="A646" s="5">
        <v>45809.40625</v>
      </c>
      <c r="B646">
        <v>7</v>
      </c>
      <c r="C646" t="s">
        <v>12</v>
      </c>
      <c r="D646" t="s">
        <v>13</v>
      </c>
      <c r="E646">
        <v>1.54</v>
      </c>
      <c r="F646">
        <v>2.65</v>
      </c>
      <c r="G646" s="8">
        <f t="shared" si="10"/>
        <v>34.867924528301891</v>
      </c>
    </row>
    <row r="647" spans="1:7" x14ac:dyDescent="0.25">
      <c r="A647" s="5">
        <v>45809.40625</v>
      </c>
      <c r="B647">
        <v>8</v>
      </c>
      <c r="C647" t="s">
        <v>13</v>
      </c>
      <c r="D647" t="s">
        <v>14</v>
      </c>
      <c r="E647">
        <v>1.54</v>
      </c>
      <c r="F647">
        <v>2.97</v>
      </c>
      <c r="G647" s="8">
        <f t="shared" si="10"/>
        <v>31.111111111111111</v>
      </c>
    </row>
    <row r="648" spans="1:7" x14ac:dyDescent="0.25">
      <c r="A648" s="5">
        <v>45809.40625</v>
      </c>
      <c r="B648">
        <v>9</v>
      </c>
      <c r="C648" t="s">
        <v>14</v>
      </c>
      <c r="D648" t="s">
        <v>15</v>
      </c>
      <c r="E648">
        <v>1.52</v>
      </c>
      <c r="F648">
        <v>2.88</v>
      </c>
      <c r="G648" s="8">
        <f t="shared" si="10"/>
        <v>31.666666666666668</v>
      </c>
    </row>
    <row r="649" spans="1:7" x14ac:dyDescent="0.25">
      <c r="A649" s="5">
        <v>45809.40625</v>
      </c>
      <c r="B649">
        <v>10</v>
      </c>
      <c r="C649" t="s">
        <v>15</v>
      </c>
      <c r="D649" t="s">
        <v>16</v>
      </c>
      <c r="E649">
        <v>1.5</v>
      </c>
      <c r="F649">
        <v>2.98</v>
      </c>
      <c r="G649" s="8">
        <f t="shared" si="10"/>
        <v>30.201342281879196</v>
      </c>
    </row>
    <row r="650" spans="1:7" x14ac:dyDescent="0.25">
      <c r="A650" s="5">
        <v>45809.40625</v>
      </c>
      <c r="B650">
        <v>11</v>
      </c>
      <c r="C650" t="s">
        <v>16</v>
      </c>
      <c r="D650" t="s">
        <v>17</v>
      </c>
      <c r="E650">
        <v>1.48</v>
      </c>
      <c r="F650">
        <v>2.23</v>
      </c>
      <c r="G650" s="8">
        <f t="shared" si="10"/>
        <v>39.820627802690581</v>
      </c>
    </row>
    <row r="651" spans="1:7" x14ac:dyDescent="0.25">
      <c r="A651" s="5">
        <v>45809.40625</v>
      </c>
      <c r="B651">
        <v>12</v>
      </c>
      <c r="C651" t="s">
        <v>17</v>
      </c>
      <c r="D651" t="s">
        <v>18</v>
      </c>
      <c r="E651">
        <v>1.46</v>
      </c>
      <c r="F651">
        <v>2.95</v>
      </c>
      <c r="G651" s="8">
        <f t="shared" si="10"/>
        <v>29.694915254237284</v>
      </c>
    </row>
    <row r="652" spans="1:7" x14ac:dyDescent="0.25">
      <c r="A652" s="5">
        <v>45809.40625</v>
      </c>
      <c r="B652">
        <v>13</v>
      </c>
      <c r="C652" t="s">
        <v>18</v>
      </c>
      <c r="D652" t="s">
        <v>19</v>
      </c>
      <c r="E652">
        <v>1.52</v>
      </c>
      <c r="F652">
        <v>3.02</v>
      </c>
      <c r="G652" s="8">
        <f t="shared" si="10"/>
        <v>30.198675496688743</v>
      </c>
    </row>
    <row r="653" spans="1:7" x14ac:dyDescent="0.25">
      <c r="A653" s="5">
        <v>45809.40625</v>
      </c>
      <c r="B653">
        <v>14</v>
      </c>
      <c r="C653" t="s">
        <v>19</v>
      </c>
      <c r="D653" t="s">
        <v>20</v>
      </c>
      <c r="E653">
        <v>1.51</v>
      </c>
      <c r="F653">
        <v>2.87</v>
      </c>
      <c r="G653" s="8">
        <f t="shared" si="10"/>
        <v>31.567944250871076</v>
      </c>
    </row>
    <row r="654" spans="1:7" x14ac:dyDescent="0.25">
      <c r="A654" s="5">
        <v>45809.40625</v>
      </c>
      <c r="B654">
        <v>15</v>
      </c>
      <c r="C654" t="s">
        <v>20</v>
      </c>
      <c r="D654" t="s">
        <v>21</v>
      </c>
      <c r="E654">
        <v>1.47</v>
      </c>
      <c r="F654">
        <v>1.93</v>
      </c>
      <c r="G654" s="8">
        <f t="shared" si="10"/>
        <v>45.69948186528498</v>
      </c>
    </row>
    <row r="655" spans="1:7" x14ac:dyDescent="0.25">
      <c r="A655" s="5">
        <v>45809.40625</v>
      </c>
      <c r="B655">
        <v>16</v>
      </c>
      <c r="C655" t="s">
        <v>21</v>
      </c>
      <c r="D655" t="s">
        <v>22</v>
      </c>
      <c r="E655">
        <v>1.5</v>
      </c>
      <c r="F655">
        <v>1.73</v>
      </c>
      <c r="G655" s="8">
        <f t="shared" si="10"/>
        <v>52.02312138728324</v>
      </c>
    </row>
    <row r="656" spans="1:7" x14ac:dyDescent="0.25">
      <c r="A656" s="5">
        <v>45809.40625</v>
      </c>
      <c r="B656">
        <v>17</v>
      </c>
      <c r="C656" t="s">
        <v>22</v>
      </c>
      <c r="D656" t="s">
        <v>23</v>
      </c>
      <c r="E656">
        <v>1.51</v>
      </c>
      <c r="F656">
        <v>2.38</v>
      </c>
      <c r="G656" s="8">
        <f t="shared" si="10"/>
        <v>38.067226890756302</v>
      </c>
    </row>
    <row r="657" spans="1:7" x14ac:dyDescent="0.25">
      <c r="A657" s="5">
        <v>45809.40625</v>
      </c>
      <c r="B657">
        <v>18</v>
      </c>
      <c r="C657" t="s">
        <v>23</v>
      </c>
      <c r="D657" t="s">
        <v>24</v>
      </c>
      <c r="E657">
        <v>1.51</v>
      </c>
      <c r="F657">
        <v>2.72</v>
      </c>
      <c r="G657" s="8">
        <f t="shared" si="10"/>
        <v>33.308823529411761</v>
      </c>
    </row>
    <row r="658" spans="1:7" x14ac:dyDescent="0.25">
      <c r="A658" s="5">
        <v>45809.40625</v>
      </c>
      <c r="B658">
        <v>19</v>
      </c>
      <c r="C658" t="s">
        <v>25</v>
      </c>
      <c r="D658" t="s">
        <v>26</v>
      </c>
      <c r="E658">
        <v>1.5</v>
      </c>
      <c r="F658">
        <v>3.43</v>
      </c>
      <c r="G658" s="8">
        <f t="shared" si="10"/>
        <v>26.239067055393583</v>
      </c>
    </row>
    <row r="659" spans="1:7" x14ac:dyDescent="0.25">
      <c r="A659" s="5">
        <v>45809.40625</v>
      </c>
      <c r="B659">
        <v>20</v>
      </c>
      <c r="C659" t="s">
        <v>26</v>
      </c>
      <c r="D659" t="s">
        <v>27</v>
      </c>
      <c r="E659">
        <v>1.48</v>
      </c>
      <c r="F659">
        <v>3.25</v>
      </c>
      <c r="G659" s="8">
        <f t="shared" si="10"/>
        <v>27.323076923076922</v>
      </c>
    </row>
    <row r="660" spans="1:7" x14ac:dyDescent="0.25">
      <c r="A660" s="5">
        <v>45809.40625</v>
      </c>
      <c r="B660">
        <v>21</v>
      </c>
      <c r="C660" t="s">
        <v>27</v>
      </c>
      <c r="D660" t="s">
        <v>28</v>
      </c>
      <c r="E660">
        <v>1.51</v>
      </c>
      <c r="F660">
        <v>2.78</v>
      </c>
      <c r="G660" s="8">
        <f t="shared" si="10"/>
        <v>32.589928057553955</v>
      </c>
    </row>
    <row r="661" spans="1:7" x14ac:dyDescent="0.25">
      <c r="A661" s="5">
        <v>45809.40625</v>
      </c>
      <c r="B661">
        <v>22</v>
      </c>
      <c r="C661" t="s">
        <v>28</v>
      </c>
      <c r="D661" t="s">
        <v>29</v>
      </c>
      <c r="E661">
        <v>1.57</v>
      </c>
      <c r="F661">
        <v>2.97</v>
      </c>
      <c r="G661" s="8">
        <f t="shared" si="10"/>
        <v>31.717171717171716</v>
      </c>
    </row>
    <row r="662" spans="1:7" x14ac:dyDescent="0.25">
      <c r="A662" s="5">
        <v>45809.40625</v>
      </c>
      <c r="B662">
        <v>23</v>
      </c>
      <c r="C662" t="s">
        <v>29</v>
      </c>
      <c r="D662" t="s">
        <v>30</v>
      </c>
      <c r="E662">
        <v>1.43</v>
      </c>
      <c r="F662">
        <v>3.02</v>
      </c>
      <c r="G662" s="8">
        <f t="shared" si="10"/>
        <v>28.410596026490065</v>
      </c>
    </row>
    <row r="663" spans="1:7" x14ac:dyDescent="0.25">
      <c r="A663" s="5">
        <v>45809.40625</v>
      </c>
      <c r="B663">
        <v>24</v>
      </c>
      <c r="C663" t="s">
        <v>30</v>
      </c>
      <c r="D663" t="s">
        <v>31</v>
      </c>
      <c r="E663">
        <v>1.52</v>
      </c>
      <c r="F663">
        <v>2.73</v>
      </c>
      <c r="G663" s="8">
        <f t="shared" si="10"/>
        <v>33.406593406593409</v>
      </c>
    </row>
    <row r="664" spans="1:7" x14ac:dyDescent="0.25">
      <c r="A664" s="5">
        <v>45809.40625</v>
      </c>
      <c r="B664">
        <v>25</v>
      </c>
      <c r="C664" t="s">
        <v>31</v>
      </c>
      <c r="D664" t="s">
        <v>32</v>
      </c>
      <c r="E664">
        <v>1.52</v>
      </c>
      <c r="F664">
        <v>2.85</v>
      </c>
      <c r="G664" s="8">
        <f t="shared" si="10"/>
        <v>32</v>
      </c>
    </row>
    <row r="665" spans="1:7" x14ac:dyDescent="0.25">
      <c r="A665" s="5">
        <v>45809.40625</v>
      </c>
      <c r="B665">
        <v>26</v>
      </c>
      <c r="C665" t="s">
        <v>32</v>
      </c>
      <c r="D665" t="s">
        <v>33</v>
      </c>
      <c r="E665">
        <v>1.49</v>
      </c>
      <c r="F665">
        <v>2.82</v>
      </c>
      <c r="G665" s="8">
        <f t="shared" si="10"/>
        <v>31.702127659574472</v>
      </c>
    </row>
    <row r="666" spans="1:7" x14ac:dyDescent="0.25">
      <c r="A666" s="5">
        <v>45809.40625</v>
      </c>
      <c r="B666">
        <v>27</v>
      </c>
      <c r="C666" t="s">
        <v>33</v>
      </c>
      <c r="D666" t="s">
        <v>34</v>
      </c>
      <c r="E666">
        <v>1.53</v>
      </c>
      <c r="F666">
        <v>2.93</v>
      </c>
      <c r="G666" s="8">
        <f t="shared" si="10"/>
        <v>31.331058020477812</v>
      </c>
    </row>
    <row r="667" spans="1:7" x14ac:dyDescent="0.25">
      <c r="A667" s="5">
        <v>45809.40625</v>
      </c>
      <c r="B667">
        <v>28</v>
      </c>
      <c r="C667" t="s">
        <v>34</v>
      </c>
      <c r="D667" t="s">
        <v>35</v>
      </c>
      <c r="E667">
        <v>1.51</v>
      </c>
      <c r="F667">
        <v>3.57</v>
      </c>
      <c r="G667" s="8">
        <f t="shared" si="10"/>
        <v>25.3781512605042</v>
      </c>
    </row>
    <row r="668" spans="1:7" x14ac:dyDescent="0.25">
      <c r="A668" s="5">
        <v>45809.40625</v>
      </c>
      <c r="B668">
        <v>29</v>
      </c>
      <c r="C668" t="s">
        <v>36</v>
      </c>
      <c r="D668" t="s">
        <v>37</v>
      </c>
      <c r="E668">
        <v>1.57</v>
      </c>
      <c r="F668">
        <v>3.02</v>
      </c>
      <c r="G668" s="8">
        <f t="shared" si="10"/>
        <v>31.192052980132452</v>
      </c>
    </row>
    <row r="669" spans="1:7" x14ac:dyDescent="0.25">
      <c r="A669" s="5">
        <v>45809.40625</v>
      </c>
      <c r="B669">
        <v>30</v>
      </c>
      <c r="C669" t="s">
        <v>37</v>
      </c>
      <c r="D669" t="s">
        <v>38</v>
      </c>
      <c r="E669">
        <v>1.57</v>
      </c>
      <c r="F669">
        <v>3.98</v>
      </c>
      <c r="G669" s="8">
        <f t="shared" si="10"/>
        <v>23.668341708542716</v>
      </c>
    </row>
    <row r="670" spans="1:7" x14ac:dyDescent="0.25">
      <c r="A670" s="5">
        <v>45809.40625</v>
      </c>
      <c r="B670">
        <v>31</v>
      </c>
      <c r="C670" t="s">
        <v>38</v>
      </c>
      <c r="D670" t="s">
        <v>39</v>
      </c>
      <c r="E670">
        <v>1.52</v>
      </c>
      <c r="F670">
        <v>2.37</v>
      </c>
      <c r="G670" s="8">
        <f t="shared" si="10"/>
        <v>38.481012658227847</v>
      </c>
    </row>
    <row r="671" spans="1:7" x14ac:dyDescent="0.25">
      <c r="A671" s="5">
        <v>45809.40625</v>
      </c>
      <c r="B671">
        <v>32</v>
      </c>
      <c r="C671" t="s">
        <v>39</v>
      </c>
      <c r="D671" t="s">
        <v>40</v>
      </c>
      <c r="E671">
        <v>1.5</v>
      </c>
      <c r="F671">
        <v>1.68</v>
      </c>
      <c r="G671" s="8">
        <f t="shared" si="10"/>
        <v>53.571428571428577</v>
      </c>
    </row>
    <row r="672" spans="1:7" x14ac:dyDescent="0.25">
      <c r="A672" s="5">
        <v>45809.40625</v>
      </c>
      <c r="B672">
        <v>33</v>
      </c>
      <c r="C672" t="s">
        <v>40</v>
      </c>
      <c r="D672" t="s">
        <v>41</v>
      </c>
      <c r="E672">
        <v>1.51</v>
      </c>
      <c r="F672">
        <v>1.72</v>
      </c>
      <c r="G672" s="8">
        <f t="shared" si="10"/>
        <v>52.674418604651159</v>
      </c>
    </row>
    <row r="673" spans="1:7" x14ac:dyDescent="0.25">
      <c r="A673" s="5">
        <v>45809.40625</v>
      </c>
      <c r="B673">
        <v>34</v>
      </c>
      <c r="C673" t="s">
        <v>41</v>
      </c>
      <c r="D673" t="s">
        <v>42</v>
      </c>
      <c r="E673">
        <v>1.5</v>
      </c>
      <c r="F673">
        <v>1.72</v>
      </c>
      <c r="G673" s="8">
        <f t="shared" si="10"/>
        <v>52.325581395348841</v>
      </c>
    </row>
    <row r="674" spans="1:7" x14ac:dyDescent="0.25">
      <c r="A674" s="5">
        <v>45809.40625</v>
      </c>
      <c r="B674">
        <v>35</v>
      </c>
      <c r="C674" t="s">
        <v>43</v>
      </c>
      <c r="D674" t="s">
        <v>44</v>
      </c>
      <c r="E674">
        <v>1.55</v>
      </c>
      <c r="F674">
        <v>3.03</v>
      </c>
      <c r="G674" s="8">
        <f t="shared" si="10"/>
        <v>30.693069306930695</v>
      </c>
    </row>
    <row r="675" spans="1:7" x14ac:dyDescent="0.25">
      <c r="A675" s="5">
        <v>45809.40625</v>
      </c>
      <c r="B675">
        <v>36</v>
      </c>
      <c r="C675" t="s">
        <v>44</v>
      </c>
      <c r="D675" t="s">
        <v>45</v>
      </c>
      <c r="E675">
        <v>1.5</v>
      </c>
      <c r="F675">
        <v>2.63</v>
      </c>
      <c r="G675" s="8">
        <f t="shared" si="10"/>
        <v>34.220532319391637</v>
      </c>
    </row>
    <row r="676" spans="1:7" x14ac:dyDescent="0.25">
      <c r="A676" s="5">
        <v>45809.40625</v>
      </c>
      <c r="B676">
        <v>37</v>
      </c>
      <c r="C676" t="s">
        <v>45</v>
      </c>
      <c r="D676" t="s">
        <v>46</v>
      </c>
      <c r="E676">
        <v>1.38</v>
      </c>
      <c r="F676">
        <v>3.13</v>
      </c>
      <c r="G676" s="8">
        <f t="shared" si="10"/>
        <v>26.453674121405751</v>
      </c>
    </row>
    <row r="677" spans="1:7" x14ac:dyDescent="0.25">
      <c r="A677" s="5">
        <v>45809.40625</v>
      </c>
      <c r="B677">
        <v>38</v>
      </c>
      <c r="C677" t="s">
        <v>46</v>
      </c>
      <c r="D677" t="s">
        <v>47</v>
      </c>
      <c r="E677">
        <v>1.61</v>
      </c>
      <c r="F677">
        <v>3.5</v>
      </c>
      <c r="G677" s="8">
        <f t="shared" si="10"/>
        <v>27.6</v>
      </c>
    </row>
    <row r="678" spans="1:7" x14ac:dyDescent="0.25">
      <c r="A678" s="5">
        <v>45809.40625</v>
      </c>
      <c r="B678">
        <v>39</v>
      </c>
      <c r="C678" t="s">
        <v>47</v>
      </c>
      <c r="D678" t="s">
        <v>48</v>
      </c>
      <c r="E678">
        <v>1.55</v>
      </c>
      <c r="F678">
        <v>3.08</v>
      </c>
      <c r="G678" s="8">
        <f t="shared" si="10"/>
        <v>30.194805194805195</v>
      </c>
    </row>
    <row r="679" spans="1:7" x14ac:dyDescent="0.25">
      <c r="A679" s="5">
        <v>45809.40625</v>
      </c>
      <c r="B679">
        <v>40</v>
      </c>
      <c r="C679" t="s">
        <v>48</v>
      </c>
      <c r="D679" t="s">
        <v>49</v>
      </c>
      <c r="E679">
        <v>1.39</v>
      </c>
      <c r="F679">
        <v>2.75</v>
      </c>
      <c r="G679" s="8">
        <f t="shared" si="10"/>
        <v>30.327272727272724</v>
      </c>
    </row>
    <row r="680" spans="1:7" x14ac:dyDescent="0.25">
      <c r="A680" s="5">
        <v>45809.40625</v>
      </c>
      <c r="B680">
        <v>41</v>
      </c>
      <c r="C680" t="s">
        <v>50</v>
      </c>
      <c r="D680" t="s">
        <v>51</v>
      </c>
      <c r="E680">
        <v>1.56</v>
      </c>
      <c r="F680">
        <v>3.4</v>
      </c>
      <c r="G680" s="8">
        <f t="shared" si="10"/>
        <v>27.529411764705884</v>
      </c>
    </row>
    <row r="681" spans="1:7" x14ac:dyDescent="0.25">
      <c r="A681" s="5">
        <v>45809.40625</v>
      </c>
      <c r="B681">
        <v>42</v>
      </c>
      <c r="C681" t="s">
        <v>51</v>
      </c>
      <c r="D681" t="s">
        <v>52</v>
      </c>
      <c r="E681">
        <v>1.56</v>
      </c>
      <c r="F681">
        <v>3.17</v>
      </c>
      <c r="G681" s="8">
        <f t="shared" si="10"/>
        <v>29.526813880126188</v>
      </c>
    </row>
    <row r="682" spans="1:7" x14ac:dyDescent="0.25">
      <c r="A682" s="5">
        <v>45809.40625</v>
      </c>
      <c r="B682">
        <v>43</v>
      </c>
      <c r="C682" t="s">
        <v>52</v>
      </c>
      <c r="D682" t="s">
        <v>53</v>
      </c>
      <c r="E682">
        <v>1.51</v>
      </c>
      <c r="F682">
        <v>3.02</v>
      </c>
      <c r="G682" s="8">
        <f t="shared" si="10"/>
        <v>29.999999999999996</v>
      </c>
    </row>
    <row r="683" spans="1:7" x14ac:dyDescent="0.25">
      <c r="A683" s="5">
        <v>45809.40625</v>
      </c>
      <c r="B683">
        <v>44</v>
      </c>
      <c r="C683" t="s">
        <v>54</v>
      </c>
      <c r="D683" t="s">
        <v>55</v>
      </c>
      <c r="E683">
        <v>1.51</v>
      </c>
      <c r="F683">
        <v>3.6</v>
      </c>
      <c r="G683" s="8">
        <f t="shared" si="10"/>
        <v>25.166666666666664</v>
      </c>
    </row>
    <row r="684" spans="1:7" x14ac:dyDescent="0.25">
      <c r="A684" s="5">
        <v>45809.40625</v>
      </c>
      <c r="B684">
        <v>45</v>
      </c>
      <c r="C684" t="s">
        <v>55</v>
      </c>
      <c r="D684" t="s">
        <v>56</v>
      </c>
      <c r="E684">
        <v>1.49</v>
      </c>
      <c r="F684">
        <v>2.93</v>
      </c>
      <c r="G684" s="8">
        <f t="shared" si="10"/>
        <v>30.511945392491469</v>
      </c>
    </row>
    <row r="685" spans="1:7" x14ac:dyDescent="0.25">
      <c r="A685" s="5">
        <v>45809.40625</v>
      </c>
      <c r="B685">
        <v>46</v>
      </c>
      <c r="C685" t="s">
        <v>56</v>
      </c>
      <c r="D685" t="s">
        <v>57</v>
      </c>
      <c r="E685">
        <v>1.52</v>
      </c>
      <c r="F685">
        <v>3.35</v>
      </c>
      <c r="G685" s="8">
        <f t="shared" si="10"/>
        <v>27.223880597014926</v>
      </c>
    </row>
    <row r="686" spans="1:7" x14ac:dyDescent="0.25">
      <c r="A686" s="5">
        <v>45809.40625</v>
      </c>
      <c r="B686">
        <v>47</v>
      </c>
      <c r="C686" t="s">
        <v>58</v>
      </c>
      <c r="D686" t="s">
        <v>59</v>
      </c>
      <c r="E686">
        <v>1.52</v>
      </c>
      <c r="F686">
        <v>3.13</v>
      </c>
      <c r="G686" s="8">
        <f t="shared" si="10"/>
        <v>29.137380191693293</v>
      </c>
    </row>
    <row r="687" spans="1:7" x14ac:dyDescent="0.25">
      <c r="A687" s="5">
        <v>45809.40625</v>
      </c>
      <c r="B687">
        <v>48</v>
      </c>
      <c r="C687" t="s">
        <v>59</v>
      </c>
      <c r="D687" t="s">
        <v>60</v>
      </c>
      <c r="E687">
        <v>1.5</v>
      </c>
      <c r="F687">
        <v>3.23</v>
      </c>
      <c r="G687" s="8">
        <f t="shared" si="10"/>
        <v>27.86377708978328</v>
      </c>
    </row>
    <row r="688" spans="1:7" x14ac:dyDescent="0.25">
      <c r="A688" s="5">
        <v>45809.40625</v>
      </c>
      <c r="B688">
        <v>49</v>
      </c>
      <c r="C688" t="s">
        <v>60</v>
      </c>
      <c r="D688" t="s">
        <v>61</v>
      </c>
      <c r="E688">
        <v>1.54</v>
      </c>
      <c r="F688">
        <v>3.27</v>
      </c>
      <c r="G688" s="8">
        <f t="shared" si="10"/>
        <v>28.256880733944957</v>
      </c>
    </row>
    <row r="689" spans="1:7" x14ac:dyDescent="0.25">
      <c r="A689" s="5">
        <v>45809.40625</v>
      </c>
      <c r="B689">
        <v>50</v>
      </c>
      <c r="C689" t="s">
        <v>62</v>
      </c>
      <c r="D689" t="s">
        <v>63</v>
      </c>
      <c r="E689">
        <v>1.38</v>
      </c>
      <c r="F689">
        <v>2.78</v>
      </c>
      <c r="G689" s="8">
        <f t="shared" si="10"/>
        <v>29.784172661870503</v>
      </c>
    </row>
    <row r="690" spans="1:7" x14ac:dyDescent="0.25">
      <c r="A690" s="5">
        <v>45809.40625</v>
      </c>
      <c r="B690">
        <v>51</v>
      </c>
      <c r="C690" t="s">
        <v>63</v>
      </c>
      <c r="D690" t="s">
        <v>64</v>
      </c>
      <c r="E690">
        <v>2.79</v>
      </c>
      <c r="F690">
        <v>4.95</v>
      </c>
      <c r="G690" s="8">
        <f t="shared" si="10"/>
        <v>33.81818181818182</v>
      </c>
    </row>
    <row r="691" spans="1:7" x14ac:dyDescent="0.25">
      <c r="A691" s="5">
        <v>45809.40625</v>
      </c>
      <c r="B691">
        <v>52</v>
      </c>
      <c r="C691" t="s">
        <v>64</v>
      </c>
      <c r="D691" t="s">
        <v>65</v>
      </c>
      <c r="E691">
        <v>1.5</v>
      </c>
      <c r="F691">
        <v>2.65</v>
      </c>
      <c r="G691" s="8">
        <f t="shared" si="10"/>
        <v>33.962264150943398</v>
      </c>
    </row>
    <row r="692" spans="1:7" x14ac:dyDescent="0.25">
      <c r="A692" s="5">
        <v>45809.40625</v>
      </c>
      <c r="B692">
        <v>53</v>
      </c>
      <c r="C692" t="s">
        <v>65</v>
      </c>
      <c r="D692" t="s">
        <v>66</v>
      </c>
      <c r="E692">
        <v>1.46</v>
      </c>
      <c r="F692">
        <v>3.32</v>
      </c>
      <c r="G692" s="8">
        <f t="shared" si="10"/>
        <v>26.3855421686747</v>
      </c>
    </row>
    <row r="693" spans="1:7" x14ac:dyDescent="0.25">
      <c r="A693" s="5">
        <v>45809.40625</v>
      </c>
      <c r="B693">
        <v>54</v>
      </c>
      <c r="C693" t="s">
        <v>67</v>
      </c>
      <c r="D693" t="s">
        <v>68</v>
      </c>
      <c r="E693">
        <v>1.46</v>
      </c>
      <c r="F693">
        <v>2.3199999999999998</v>
      </c>
      <c r="G693" s="8">
        <f t="shared" si="10"/>
        <v>37.758620689655174</v>
      </c>
    </row>
    <row r="694" spans="1:7" x14ac:dyDescent="0.25">
      <c r="A694" s="5">
        <v>45809.40625</v>
      </c>
      <c r="B694">
        <v>55</v>
      </c>
      <c r="C694" t="s">
        <v>68</v>
      </c>
      <c r="D694" t="s">
        <v>69</v>
      </c>
      <c r="E694">
        <v>1.5</v>
      </c>
      <c r="F694">
        <v>1.82</v>
      </c>
      <c r="G694" s="8">
        <f t="shared" si="10"/>
        <v>49.450549450549445</v>
      </c>
    </row>
    <row r="695" spans="1:7" x14ac:dyDescent="0.25">
      <c r="A695" s="5">
        <v>45809.40625</v>
      </c>
      <c r="B695">
        <v>56</v>
      </c>
      <c r="C695" t="s">
        <v>70</v>
      </c>
      <c r="D695" t="s">
        <v>71</v>
      </c>
      <c r="E695">
        <v>1.51</v>
      </c>
      <c r="F695">
        <v>3.45</v>
      </c>
      <c r="G695" s="8">
        <f t="shared" si="10"/>
        <v>26.260869565217387</v>
      </c>
    </row>
    <row r="696" spans="1:7" x14ac:dyDescent="0.25">
      <c r="A696" s="5">
        <v>45809.40625</v>
      </c>
      <c r="B696">
        <v>57</v>
      </c>
      <c r="C696" t="s">
        <v>71</v>
      </c>
      <c r="D696" t="s">
        <v>72</v>
      </c>
      <c r="E696">
        <v>1.52</v>
      </c>
      <c r="F696">
        <v>3.37</v>
      </c>
      <c r="G696" s="8">
        <f t="shared" si="10"/>
        <v>27.062314540059347</v>
      </c>
    </row>
    <row r="697" spans="1:7" x14ac:dyDescent="0.25">
      <c r="A697" s="5">
        <v>45809.40625</v>
      </c>
      <c r="B697">
        <v>58</v>
      </c>
      <c r="C697" t="s">
        <v>72</v>
      </c>
      <c r="D697" t="s">
        <v>73</v>
      </c>
      <c r="E697">
        <v>1.5</v>
      </c>
      <c r="F697">
        <v>3.12</v>
      </c>
      <c r="G697" s="8">
        <f t="shared" si="10"/>
        <v>28.846153846153847</v>
      </c>
    </row>
    <row r="698" spans="1:7" x14ac:dyDescent="0.25">
      <c r="A698" s="5">
        <v>45809.416666666664</v>
      </c>
      <c r="B698">
        <v>1</v>
      </c>
      <c r="C698" t="s">
        <v>6</v>
      </c>
      <c r="D698" t="s">
        <v>7</v>
      </c>
      <c r="E698">
        <v>1.53</v>
      </c>
      <c r="F698">
        <v>2.88</v>
      </c>
      <c r="G698" s="8">
        <f t="shared" si="10"/>
        <v>31.875</v>
      </c>
    </row>
    <row r="699" spans="1:7" x14ac:dyDescent="0.25">
      <c r="A699" s="5">
        <v>45809.416666666664</v>
      </c>
      <c r="B699">
        <v>2</v>
      </c>
      <c r="C699" t="s">
        <v>7</v>
      </c>
      <c r="D699" t="s">
        <v>8</v>
      </c>
      <c r="E699">
        <v>1.57</v>
      </c>
      <c r="F699">
        <v>3.97</v>
      </c>
      <c r="G699" s="8">
        <f t="shared" si="10"/>
        <v>23.727959697732999</v>
      </c>
    </row>
    <row r="700" spans="1:7" x14ac:dyDescent="0.25">
      <c r="A700" s="5">
        <v>45809.416666666664</v>
      </c>
      <c r="B700">
        <v>3</v>
      </c>
      <c r="C700" t="s">
        <v>8</v>
      </c>
      <c r="D700" t="s">
        <v>9</v>
      </c>
      <c r="E700">
        <v>1.5</v>
      </c>
      <c r="F700">
        <v>2.75</v>
      </c>
      <c r="G700" s="8">
        <f t="shared" si="10"/>
        <v>32.727272727272727</v>
      </c>
    </row>
    <row r="701" spans="1:7" x14ac:dyDescent="0.25">
      <c r="A701" s="5">
        <v>45809.416666666664</v>
      </c>
      <c r="B701">
        <v>4</v>
      </c>
      <c r="C701" t="s">
        <v>9</v>
      </c>
      <c r="D701" t="s">
        <v>10</v>
      </c>
      <c r="E701">
        <v>1.5</v>
      </c>
      <c r="F701">
        <v>2.4500000000000002</v>
      </c>
      <c r="G701" s="8">
        <f t="shared" si="10"/>
        <v>36.734693877551017</v>
      </c>
    </row>
    <row r="702" spans="1:7" x14ac:dyDescent="0.25">
      <c r="A702" s="5">
        <v>45809.416666666664</v>
      </c>
      <c r="B702">
        <v>5</v>
      </c>
      <c r="C702" t="s">
        <v>10</v>
      </c>
      <c r="D702" t="s">
        <v>11</v>
      </c>
      <c r="E702">
        <v>1.52</v>
      </c>
      <c r="F702">
        <v>2.67</v>
      </c>
      <c r="G702" s="8">
        <f t="shared" si="10"/>
        <v>34.157303370786522</v>
      </c>
    </row>
    <row r="703" spans="1:7" x14ac:dyDescent="0.25">
      <c r="A703" s="5">
        <v>45809.416666666664</v>
      </c>
      <c r="B703">
        <v>6</v>
      </c>
      <c r="C703" t="s">
        <v>11</v>
      </c>
      <c r="D703" t="s">
        <v>12</v>
      </c>
      <c r="E703">
        <v>1.5</v>
      </c>
      <c r="F703">
        <v>2.4</v>
      </c>
      <c r="G703" s="8">
        <f t="shared" si="10"/>
        <v>37.5</v>
      </c>
    </row>
    <row r="704" spans="1:7" x14ac:dyDescent="0.25">
      <c r="A704" s="5">
        <v>45809.416666666664</v>
      </c>
      <c r="B704">
        <v>7</v>
      </c>
      <c r="C704" t="s">
        <v>12</v>
      </c>
      <c r="D704" t="s">
        <v>13</v>
      </c>
      <c r="E704">
        <v>1.54</v>
      </c>
      <c r="F704">
        <v>2.42</v>
      </c>
      <c r="G704" s="8">
        <f t="shared" si="10"/>
        <v>38.181818181818187</v>
      </c>
    </row>
    <row r="705" spans="1:7" x14ac:dyDescent="0.25">
      <c r="A705" s="5">
        <v>45809.416666666664</v>
      </c>
      <c r="B705">
        <v>8</v>
      </c>
      <c r="C705" t="s">
        <v>13</v>
      </c>
      <c r="D705" t="s">
        <v>14</v>
      </c>
      <c r="E705">
        <v>1.54</v>
      </c>
      <c r="F705">
        <v>2.87</v>
      </c>
      <c r="G705" s="8">
        <f t="shared" si="10"/>
        <v>32.195121951219512</v>
      </c>
    </row>
    <row r="706" spans="1:7" x14ac:dyDescent="0.25">
      <c r="A706" s="5">
        <v>45809.416666666664</v>
      </c>
      <c r="B706">
        <v>9</v>
      </c>
      <c r="C706" t="s">
        <v>14</v>
      </c>
      <c r="D706" t="s">
        <v>15</v>
      </c>
      <c r="E706">
        <v>1.52</v>
      </c>
      <c r="F706">
        <v>2.85</v>
      </c>
      <c r="G706" s="8">
        <f t="shared" si="10"/>
        <v>32</v>
      </c>
    </row>
    <row r="707" spans="1:7" x14ac:dyDescent="0.25">
      <c r="A707" s="5">
        <v>45809.416666666664</v>
      </c>
      <c r="B707">
        <v>10</v>
      </c>
      <c r="C707" t="s">
        <v>15</v>
      </c>
      <c r="D707" t="s">
        <v>16</v>
      </c>
      <c r="E707">
        <v>1.5</v>
      </c>
      <c r="F707">
        <v>2.93</v>
      </c>
      <c r="G707" s="8">
        <f t="shared" ref="G707:G770" si="11">E707*60/F707</f>
        <v>30.716723549488052</v>
      </c>
    </row>
    <row r="708" spans="1:7" x14ac:dyDescent="0.25">
      <c r="A708" s="5">
        <v>45809.416666666664</v>
      </c>
      <c r="B708">
        <v>11</v>
      </c>
      <c r="C708" t="s">
        <v>16</v>
      </c>
      <c r="D708" t="s">
        <v>17</v>
      </c>
      <c r="E708">
        <v>1.48</v>
      </c>
      <c r="F708">
        <v>2.2200000000000002</v>
      </c>
      <c r="G708" s="8">
        <f t="shared" si="11"/>
        <v>39.999999999999993</v>
      </c>
    </row>
    <row r="709" spans="1:7" x14ac:dyDescent="0.25">
      <c r="A709" s="5">
        <v>45809.416666666664</v>
      </c>
      <c r="B709">
        <v>12</v>
      </c>
      <c r="C709" t="s">
        <v>17</v>
      </c>
      <c r="D709" t="s">
        <v>18</v>
      </c>
      <c r="E709">
        <v>1.46</v>
      </c>
      <c r="F709">
        <v>2.93</v>
      </c>
      <c r="G709" s="8">
        <f t="shared" si="11"/>
        <v>29.897610921501702</v>
      </c>
    </row>
    <row r="710" spans="1:7" x14ac:dyDescent="0.25">
      <c r="A710" s="5">
        <v>45809.416666666664</v>
      </c>
      <c r="B710">
        <v>13</v>
      </c>
      <c r="C710" t="s">
        <v>18</v>
      </c>
      <c r="D710" t="s">
        <v>19</v>
      </c>
      <c r="E710">
        <v>1.52</v>
      </c>
      <c r="F710">
        <v>2.93</v>
      </c>
      <c r="G710" s="8">
        <f t="shared" si="11"/>
        <v>31.126279863481226</v>
      </c>
    </row>
    <row r="711" spans="1:7" x14ac:dyDescent="0.25">
      <c r="A711" s="5">
        <v>45809.416666666664</v>
      </c>
      <c r="B711">
        <v>14</v>
      </c>
      <c r="C711" t="s">
        <v>19</v>
      </c>
      <c r="D711" t="s">
        <v>20</v>
      </c>
      <c r="E711">
        <v>1.51</v>
      </c>
      <c r="F711">
        <v>2.85</v>
      </c>
      <c r="G711" s="8">
        <f t="shared" si="11"/>
        <v>31.789473684210524</v>
      </c>
    </row>
    <row r="712" spans="1:7" x14ac:dyDescent="0.25">
      <c r="A712" s="5">
        <v>45809.416666666664</v>
      </c>
      <c r="B712">
        <v>15</v>
      </c>
      <c r="C712" t="s">
        <v>20</v>
      </c>
      <c r="D712" t="s">
        <v>21</v>
      </c>
      <c r="E712">
        <v>1.47</v>
      </c>
      <c r="F712">
        <v>1.95</v>
      </c>
      <c r="G712" s="8">
        <f t="shared" si="11"/>
        <v>45.230769230769234</v>
      </c>
    </row>
    <row r="713" spans="1:7" x14ac:dyDescent="0.25">
      <c r="A713" s="5">
        <v>45809.416666666664</v>
      </c>
      <c r="B713">
        <v>16</v>
      </c>
      <c r="C713" t="s">
        <v>21</v>
      </c>
      <c r="D713" t="s">
        <v>22</v>
      </c>
      <c r="E713">
        <v>1.5</v>
      </c>
      <c r="F713">
        <v>1.75</v>
      </c>
      <c r="G713" s="8">
        <f t="shared" si="11"/>
        <v>51.428571428571431</v>
      </c>
    </row>
    <row r="714" spans="1:7" x14ac:dyDescent="0.25">
      <c r="A714" s="5">
        <v>45809.416666666664</v>
      </c>
      <c r="B714">
        <v>17</v>
      </c>
      <c r="C714" t="s">
        <v>22</v>
      </c>
      <c r="D714" t="s">
        <v>23</v>
      </c>
      <c r="E714">
        <v>1.51</v>
      </c>
      <c r="F714">
        <v>2.52</v>
      </c>
      <c r="G714" s="8">
        <f t="shared" si="11"/>
        <v>35.952380952380949</v>
      </c>
    </row>
    <row r="715" spans="1:7" x14ac:dyDescent="0.25">
      <c r="A715" s="5">
        <v>45809.416666666664</v>
      </c>
      <c r="B715">
        <v>18</v>
      </c>
      <c r="C715" t="s">
        <v>23</v>
      </c>
      <c r="D715" t="s">
        <v>24</v>
      </c>
      <c r="E715">
        <v>1.51</v>
      </c>
      <c r="F715">
        <v>2.62</v>
      </c>
      <c r="G715" s="8">
        <f t="shared" si="11"/>
        <v>34.580152671755719</v>
      </c>
    </row>
    <row r="716" spans="1:7" x14ac:dyDescent="0.25">
      <c r="A716" s="5">
        <v>45809.416666666664</v>
      </c>
      <c r="B716">
        <v>19</v>
      </c>
      <c r="C716" t="s">
        <v>25</v>
      </c>
      <c r="D716" t="s">
        <v>26</v>
      </c>
      <c r="E716">
        <v>1.5</v>
      </c>
      <c r="F716">
        <v>2.98</v>
      </c>
      <c r="G716" s="8">
        <f t="shared" si="11"/>
        <v>30.201342281879196</v>
      </c>
    </row>
    <row r="717" spans="1:7" x14ac:dyDescent="0.25">
      <c r="A717" s="5">
        <v>45809.416666666664</v>
      </c>
      <c r="B717">
        <v>20</v>
      </c>
      <c r="C717" t="s">
        <v>26</v>
      </c>
      <c r="D717" t="s">
        <v>27</v>
      </c>
      <c r="E717">
        <v>1.48</v>
      </c>
      <c r="F717">
        <v>3.32</v>
      </c>
      <c r="G717" s="8">
        <f t="shared" si="11"/>
        <v>26.746987951807231</v>
      </c>
    </row>
    <row r="718" spans="1:7" x14ac:dyDescent="0.25">
      <c r="A718" s="5">
        <v>45809.416666666664</v>
      </c>
      <c r="B718">
        <v>21</v>
      </c>
      <c r="C718" t="s">
        <v>27</v>
      </c>
      <c r="D718" t="s">
        <v>28</v>
      </c>
      <c r="E718">
        <v>1.51</v>
      </c>
      <c r="F718">
        <v>2.75</v>
      </c>
      <c r="G718" s="8">
        <f t="shared" si="11"/>
        <v>32.945454545454545</v>
      </c>
    </row>
    <row r="719" spans="1:7" x14ac:dyDescent="0.25">
      <c r="A719" s="5">
        <v>45809.416666666664</v>
      </c>
      <c r="B719">
        <v>22</v>
      </c>
      <c r="C719" t="s">
        <v>28</v>
      </c>
      <c r="D719" t="s">
        <v>29</v>
      </c>
      <c r="E719">
        <v>1.57</v>
      </c>
      <c r="F719">
        <v>3.03</v>
      </c>
      <c r="G719" s="8">
        <f t="shared" si="11"/>
        <v>31.089108910891092</v>
      </c>
    </row>
    <row r="720" spans="1:7" x14ac:dyDescent="0.25">
      <c r="A720" s="5">
        <v>45809.416666666664</v>
      </c>
      <c r="B720">
        <v>23</v>
      </c>
      <c r="C720" t="s">
        <v>29</v>
      </c>
      <c r="D720" t="s">
        <v>30</v>
      </c>
      <c r="E720">
        <v>1.43</v>
      </c>
      <c r="F720">
        <v>3</v>
      </c>
      <c r="G720" s="8">
        <f t="shared" si="11"/>
        <v>28.599999999999998</v>
      </c>
    </row>
    <row r="721" spans="1:7" x14ac:dyDescent="0.25">
      <c r="A721" s="5">
        <v>45809.416666666664</v>
      </c>
      <c r="B721">
        <v>24</v>
      </c>
      <c r="C721" t="s">
        <v>30</v>
      </c>
      <c r="D721" t="s">
        <v>31</v>
      </c>
      <c r="E721">
        <v>1.52</v>
      </c>
      <c r="F721">
        <v>2.8</v>
      </c>
      <c r="G721" s="8">
        <f t="shared" si="11"/>
        <v>32.571428571428577</v>
      </c>
    </row>
    <row r="722" spans="1:7" x14ac:dyDescent="0.25">
      <c r="A722" s="5">
        <v>45809.416666666664</v>
      </c>
      <c r="B722">
        <v>25</v>
      </c>
      <c r="C722" t="s">
        <v>31</v>
      </c>
      <c r="D722" t="s">
        <v>32</v>
      </c>
      <c r="E722">
        <v>1.52</v>
      </c>
      <c r="F722">
        <v>2.98</v>
      </c>
      <c r="G722" s="8">
        <f t="shared" si="11"/>
        <v>30.604026845637584</v>
      </c>
    </row>
    <row r="723" spans="1:7" x14ac:dyDescent="0.25">
      <c r="A723" s="5">
        <v>45809.416666666664</v>
      </c>
      <c r="B723">
        <v>26</v>
      </c>
      <c r="C723" t="s">
        <v>32</v>
      </c>
      <c r="D723" t="s">
        <v>33</v>
      </c>
      <c r="E723">
        <v>1.49</v>
      </c>
      <c r="F723">
        <v>2.97</v>
      </c>
      <c r="G723" s="8">
        <f t="shared" si="11"/>
        <v>30.1010101010101</v>
      </c>
    </row>
    <row r="724" spans="1:7" x14ac:dyDescent="0.25">
      <c r="A724" s="5">
        <v>45809.416666666664</v>
      </c>
      <c r="B724">
        <v>27</v>
      </c>
      <c r="C724" t="s">
        <v>33</v>
      </c>
      <c r="D724" t="s">
        <v>34</v>
      </c>
      <c r="E724">
        <v>1.53</v>
      </c>
      <c r="F724">
        <v>2.95</v>
      </c>
      <c r="G724" s="8">
        <f t="shared" si="11"/>
        <v>31.118644067796609</v>
      </c>
    </row>
    <row r="725" spans="1:7" x14ac:dyDescent="0.25">
      <c r="A725" s="5">
        <v>45809.416666666664</v>
      </c>
      <c r="B725">
        <v>28</v>
      </c>
      <c r="C725" t="s">
        <v>34</v>
      </c>
      <c r="D725" t="s">
        <v>35</v>
      </c>
      <c r="E725">
        <v>1.51</v>
      </c>
      <c r="F725">
        <v>3.48</v>
      </c>
      <c r="G725" s="8">
        <f t="shared" si="11"/>
        <v>26.034482758620687</v>
      </c>
    </row>
    <row r="726" spans="1:7" x14ac:dyDescent="0.25">
      <c r="A726" s="5">
        <v>45809.416666666664</v>
      </c>
      <c r="B726">
        <v>29</v>
      </c>
      <c r="C726" t="s">
        <v>36</v>
      </c>
      <c r="D726" t="s">
        <v>37</v>
      </c>
      <c r="E726">
        <v>1.57</v>
      </c>
      <c r="F726">
        <v>3.13</v>
      </c>
      <c r="G726" s="8">
        <f t="shared" si="11"/>
        <v>30.095846645367413</v>
      </c>
    </row>
    <row r="727" spans="1:7" x14ac:dyDescent="0.25">
      <c r="A727" s="5">
        <v>45809.416666666664</v>
      </c>
      <c r="B727">
        <v>30</v>
      </c>
      <c r="C727" t="s">
        <v>37</v>
      </c>
      <c r="D727" t="s">
        <v>38</v>
      </c>
      <c r="E727">
        <v>1.57</v>
      </c>
      <c r="F727">
        <v>4.0199999999999996</v>
      </c>
      <c r="G727" s="8">
        <f t="shared" si="11"/>
        <v>23.432835820895527</v>
      </c>
    </row>
    <row r="728" spans="1:7" x14ac:dyDescent="0.25">
      <c r="A728" s="5">
        <v>45809.416666666664</v>
      </c>
      <c r="B728">
        <v>31</v>
      </c>
      <c r="C728" t="s">
        <v>38</v>
      </c>
      <c r="D728" t="s">
        <v>39</v>
      </c>
      <c r="E728">
        <v>1.52</v>
      </c>
      <c r="F728">
        <v>2.38</v>
      </c>
      <c r="G728" s="8">
        <f t="shared" si="11"/>
        <v>38.319327731092443</v>
      </c>
    </row>
    <row r="729" spans="1:7" x14ac:dyDescent="0.25">
      <c r="A729" s="5">
        <v>45809.416666666664</v>
      </c>
      <c r="B729">
        <v>32</v>
      </c>
      <c r="C729" t="s">
        <v>39</v>
      </c>
      <c r="D729" t="s">
        <v>40</v>
      </c>
      <c r="E729">
        <v>1.5</v>
      </c>
      <c r="F729">
        <v>1.67</v>
      </c>
      <c r="G729" s="8">
        <f t="shared" si="11"/>
        <v>53.892215568862277</v>
      </c>
    </row>
    <row r="730" spans="1:7" x14ac:dyDescent="0.25">
      <c r="A730" s="5">
        <v>45809.416666666664</v>
      </c>
      <c r="B730">
        <v>33</v>
      </c>
      <c r="C730" t="s">
        <v>40</v>
      </c>
      <c r="D730" t="s">
        <v>41</v>
      </c>
      <c r="E730">
        <v>1.51</v>
      </c>
      <c r="F730">
        <v>1.73</v>
      </c>
      <c r="G730" s="8">
        <f t="shared" si="11"/>
        <v>52.369942196531788</v>
      </c>
    </row>
    <row r="731" spans="1:7" x14ac:dyDescent="0.25">
      <c r="A731" s="5">
        <v>45809.416666666664</v>
      </c>
      <c r="B731">
        <v>34</v>
      </c>
      <c r="C731" t="s">
        <v>41</v>
      </c>
      <c r="D731" t="s">
        <v>42</v>
      </c>
      <c r="E731">
        <v>1.5</v>
      </c>
      <c r="F731">
        <v>1.77</v>
      </c>
      <c r="G731" s="8">
        <f t="shared" si="11"/>
        <v>50.847457627118644</v>
      </c>
    </row>
    <row r="732" spans="1:7" x14ac:dyDescent="0.25">
      <c r="A732" s="5">
        <v>45809.416666666664</v>
      </c>
      <c r="B732">
        <v>35</v>
      </c>
      <c r="C732" t="s">
        <v>43</v>
      </c>
      <c r="D732" t="s">
        <v>44</v>
      </c>
      <c r="E732">
        <v>1.55</v>
      </c>
      <c r="F732">
        <v>3.13</v>
      </c>
      <c r="G732" s="8">
        <f t="shared" si="11"/>
        <v>29.712460063897765</v>
      </c>
    </row>
    <row r="733" spans="1:7" x14ac:dyDescent="0.25">
      <c r="A733" s="5">
        <v>45809.416666666664</v>
      </c>
      <c r="B733">
        <v>36</v>
      </c>
      <c r="C733" t="s">
        <v>44</v>
      </c>
      <c r="D733" t="s">
        <v>45</v>
      </c>
      <c r="E733">
        <v>1.5</v>
      </c>
      <c r="F733">
        <v>2.65</v>
      </c>
      <c r="G733" s="8">
        <f t="shared" si="11"/>
        <v>33.962264150943398</v>
      </c>
    </row>
    <row r="734" spans="1:7" x14ac:dyDescent="0.25">
      <c r="A734" s="5">
        <v>45809.416666666664</v>
      </c>
      <c r="B734">
        <v>37</v>
      </c>
      <c r="C734" t="s">
        <v>45</v>
      </c>
      <c r="D734" t="s">
        <v>46</v>
      </c>
      <c r="E734">
        <v>1.38</v>
      </c>
      <c r="F734">
        <v>3.12</v>
      </c>
      <c r="G734" s="8">
        <f t="shared" si="11"/>
        <v>26.538461538461537</v>
      </c>
    </row>
    <row r="735" spans="1:7" x14ac:dyDescent="0.25">
      <c r="A735" s="5">
        <v>45809.416666666664</v>
      </c>
      <c r="B735">
        <v>38</v>
      </c>
      <c r="C735" t="s">
        <v>46</v>
      </c>
      <c r="D735" t="s">
        <v>47</v>
      </c>
      <c r="E735">
        <v>1.61</v>
      </c>
      <c r="F735">
        <v>3.45</v>
      </c>
      <c r="G735" s="8">
        <f t="shared" si="11"/>
        <v>28</v>
      </c>
    </row>
    <row r="736" spans="1:7" x14ac:dyDescent="0.25">
      <c r="A736" s="5">
        <v>45809.416666666664</v>
      </c>
      <c r="B736">
        <v>39</v>
      </c>
      <c r="C736" t="s">
        <v>47</v>
      </c>
      <c r="D736" t="s">
        <v>48</v>
      </c>
      <c r="E736">
        <v>1.55</v>
      </c>
      <c r="F736">
        <v>3.03</v>
      </c>
      <c r="G736" s="8">
        <f t="shared" si="11"/>
        <v>30.693069306930695</v>
      </c>
    </row>
    <row r="737" spans="1:7" x14ac:dyDescent="0.25">
      <c r="A737" s="5">
        <v>45809.416666666664</v>
      </c>
      <c r="B737">
        <v>40</v>
      </c>
      <c r="C737" t="s">
        <v>48</v>
      </c>
      <c r="D737" t="s">
        <v>49</v>
      </c>
      <c r="E737">
        <v>1.39</v>
      </c>
      <c r="F737">
        <v>2.68</v>
      </c>
      <c r="G737" s="8">
        <f t="shared" si="11"/>
        <v>31.119402985074622</v>
      </c>
    </row>
    <row r="738" spans="1:7" x14ac:dyDescent="0.25">
      <c r="A738" s="5">
        <v>45809.416666666664</v>
      </c>
      <c r="B738">
        <v>41</v>
      </c>
      <c r="C738" t="s">
        <v>50</v>
      </c>
      <c r="D738" t="s">
        <v>51</v>
      </c>
      <c r="E738">
        <v>1.56</v>
      </c>
      <c r="F738">
        <v>3.2</v>
      </c>
      <c r="G738" s="8">
        <f t="shared" si="11"/>
        <v>29.25</v>
      </c>
    </row>
    <row r="739" spans="1:7" x14ac:dyDescent="0.25">
      <c r="A739" s="5">
        <v>45809.416666666664</v>
      </c>
      <c r="B739">
        <v>42</v>
      </c>
      <c r="C739" t="s">
        <v>51</v>
      </c>
      <c r="D739" t="s">
        <v>52</v>
      </c>
      <c r="E739">
        <v>1.56</v>
      </c>
      <c r="F739">
        <v>3.17</v>
      </c>
      <c r="G739" s="8">
        <f t="shared" si="11"/>
        <v>29.526813880126188</v>
      </c>
    </row>
    <row r="740" spans="1:7" x14ac:dyDescent="0.25">
      <c r="A740" s="5">
        <v>45809.416666666664</v>
      </c>
      <c r="B740">
        <v>43</v>
      </c>
      <c r="C740" t="s">
        <v>52</v>
      </c>
      <c r="D740" t="s">
        <v>53</v>
      </c>
      <c r="E740">
        <v>1.51</v>
      </c>
      <c r="F740">
        <v>3.02</v>
      </c>
      <c r="G740" s="8">
        <f t="shared" si="11"/>
        <v>29.999999999999996</v>
      </c>
    </row>
    <row r="741" spans="1:7" x14ac:dyDescent="0.25">
      <c r="A741" s="5">
        <v>45809.416666666664</v>
      </c>
      <c r="B741">
        <v>44</v>
      </c>
      <c r="C741" t="s">
        <v>54</v>
      </c>
      <c r="D741" t="s">
        <v>55</v>
      </c>
      <c r="E741">
        <v>1.51</v>
      </c>
      <c r="F741">
        <v>3.65</v>
      </c>
      <c r="G741" s="8">
        <f t="shared" si="11"/>
        <v>24.821917808219176</v>
      </c>
    </row>
    <row r="742" spans="1:7" x14ac:dyDescent="0.25">
      <c r="A742" s="5">
        <v>45809.416666666664</v>
      </c>
      <c r="B742">
        <v>45</v>
      </c>
      <c r="C742" t="s">
        <v>55</v>
      </c>
      <c r="D742" t="s">
        <v>56</v>
      </c>
      <c r="E742">
        <v>1.49</v>
      </c>
      <c r="F742">
        <v>2.82</v>
      </c>
      <c r="G742" s="8">
        <f t="shared" si="11"/>
        <v>31.702127659574472</v>
      </c>
    </row>
    <row r="743" spans="1:7" x14ac:dyDescent="0.25">
      <c r="A743" s="5">
        <v>45809.416666666664</v>
      </c>
      <c r="B743">
        <v>46</v>
      </c>
      <c r="C743" t="s">
        <v>56</v>
      </c>
      <c r="D743" t="s">
        <v>57</v>
      </c>
      <c r="E743">
        <v>1.52</v>
      </c>
      <c r="F743">
        <v>3.28</v>
      </c>
      <c r="G743" s="8">
        <f t="shared" si="11"/>
        <v>27.804878048780491</v>
      </c>
    </row>
    <row r="744" spans="1:7" x14ac:dyDescent="0.25">
      <c r="A744" s="5">
        <v>45809.416666666664</v>
      </c>
      <c r="B744">
        <v>47</v>
      </c>
      <c r="C744" t="s">
        <v>58</v>
      </c>
      <c r="D744" t="s">
        <v>59</v>
      </c>
      <c r="E744">
        <v>1.52</v>
      </c>
      <c r="F744">
        <v>3.12</v>
      </c>
      <c r="G744" s="8">
        <f t="shared" si="11"/>
        <v>29.23076923076923</v>
      </c>
    </row>
    <row r="745" spans="1:7" x14ac:dyDescent="0.25">
      <c r="A745" s="5">
        <v>45809.416666666664</v>
      </c>
      <c r="B745">
        <v>48</v>
      </c>
      <c r="C745" t="s">
        <v>59</v>
      </c>
      <c r="D745" t="s">
        <v>60</v>
      </c>
      <c r="E745">
        <v>1.5</v>
      </c>
      <c r="F745">
        <v>3.1</v>
      </c>
      <c r="G745" s="8">
        <f t="shared" si="11"/>
        <v>29.032258064516128</v>
      </c>
    </row>
    <row r="746" spans="1:7" x14ac:dyDescent="0.25">
      <c r="A746" s="5">
        <v>45809.416666666664</v>
      </c>
      <c r="B746">
        <v>49</v>
      </c>
      <c r="C746" t="s">
        <v>60</v>
      </c>
      <c r="D746" t="s">
        <v>61</v>
      </c>
      <c r="E746">
        <v>1.54</v>
      </c>
      <c r="F746">
        <v>3.42</v>
      </c>
      <c r="G746" s="8">
        <f t="shared" si="11"/>
        <v>27.017543859649123</v>
      </c>
    </row>
    <row r="747" spans="1:7" x14ac:dyDescent="0.25">
      <c r="A747" s="5">
        <v>45809.416666666664</v>
      </c>
      <c r="B747">
        <v>50</v>
      </c>
      <c r="C747" t="s">
        <v>62</v>
      </c>
      <c r="D747" t="s">
        <v>63</v>
      </c>
      <c r="E747">
        <v>1.38</v>
      </c>
      <c r="F747">
        <v>2.9</v>
      </c>
      <c r="G747" s="8">
        <f t="shared" si="11"/>
        <v>28.551724137931036</v>
      </c>
    </row>
    <row r="748" spans="1:7" x14ac:dyDescent="0.25">
      <c r="A748" s="5">
        <v>45809.416666666664</v>
      </c>
      <c r="B748">
        <v>51</v>
      </c>
      <c r="C748" t="s">
        <v>63</v>
      </c>
      <c r="D748" t="s">
        <v>64</v>
      </c>
      <c r="E748">
        <v>2.79</v>
      </c>
      <c r="F748">
        <v>4.92</v>
      </c>
      <c r="G748" s="8">
        <f t="shared" si="11"/>
        <v>34.024390243902438</v>
      </c>
    </row>
    <row r="749" spans="1:7" x14ac:dyDescent="0.25">
      <c r="A749" s="5">
        <v>45809.416666666664</v>
      </c>
      <c r="B749">
        <v>52</v>
      </c>
      <c r="C749" t="s">
        <v>64</v>
      </c>
      <c r="D749" t="s">
        <v>65</v>
      </c>
      <c r="E749">
        <v>1.5</v>
      </c>
      <c r="F749">
        <v>2.65</v>
      </c>
      <c r="G749" s="8">
        <f t="shared" si="11"/>
        <v>33.962264150943398</v>
      </c>
    </row>
    <row r="750" spans="1:7" x14ac:dyDescent="0.25">
      <c r="A750" s="5">
        <v>45809.416666666664</v>
      </c>
      <c r="B750">
        <v>53</v>
      </c>
      <c r="C750" t="s">
        <v>65</v>
      </c>
      <c r="D750" t="s">
        <v>66</v>
      </c>
      <c r="E750">
        <v>1.46</v>
      </c>
      <c r="F750">
        <v>3.3</v>
      </c>
      <c r="G750" s="8">
        <f t="shared" si="11"/>
        <v>26.545454545454547</v>
      </c>
    </row>
    <row r="751" spans="1:7" x14ac:dyDescent="0.25">
      <c r="A751" s="5">
        <v>45809.416666666664</v>
      </c>
      <c r="B751">
        <v>54</v>
      </c>
      <c r="C751" t="s">
        <v>67</v>
      </c>
      <c r="D751" t="s">
        <v>68</v>
      </c>
      <c r="E751">
        <v>1.46</v>
      </c>
      <c r="F751">
        <v>2.3199999999999998</v>
      </c>
      <c r="G751" s="8">
        <f t="shared" si="11"/>
        <v>37.758620689655174</v>
      </c>
    </row>
    <row r="752" spans="1:7" x14ac:dyDescent="0.25">
      <c r="A752" s="5">
        <v>45809.416666666664</v>
      </c>
      <c r="B752">
        <v>55</v>
      </c>
      <c r="C752" t="s">
        <v>68</v>
      </c>
      <c r="D752" t="s">
        <v>69</v>
      </c>
      <c r="E752">
        <v>1.5</v>
      </c>
      <c r="F752">
        <v>1.9</v>
      </c>
      <c r="G752" s="8">
        <f t="shared" si="11"/>
        <v>47.368421052631582</v>
      </c>
    </row>
    <row r="753" spans="1:7" x14ac:dyDescent="0.25">
      <c r="A753" s="5">
        <v>45809.416666666664</v>
      </c>
      <c r="B753">
        <v>56</v>
      </c>
      <c r="C753" t="s">
        <v>70</v>
      </c>
      <c r="D753" t="s">
        <v>71</v>
      </c>
      <c r="E753">
        <v>1.51</v>
      </c>
      <c r="F753">
        <v>3.17</v>
      </c>
      <c r="G753" s="8">
        <f t="shared" si="11"/>
        <v>28.580441640378549</v>
      </c>
    </row>
    <row r="754" spans="1:7" x14ac:dyDescent="0.25">
      <c r="A754" s="5">
        <v>45809.416666666664</v>
      </c>
      <c r="B754">
        <v>57</v>
      </c>
      <c r="C754" t="s">
        <v>71</v>
      </c>
      <c r="D754" t="s">
        <v>72</v>
      </c>
      <c r="E754">
        <v>1.52</v>
      </c>
      <c r="F754">
        <v>3.17</v>
      </c>
      <c r="G754" s="8">
        <f t="shared" si="11"/>
        <v>28.769716088328078</v>
      </c>
    </row>
    <row r="755" spans="1:7" x14ac:dyDescent="0.25">
      <c r="A755" s="5">
        <v>45809.416666666664</v>
      </c>
      <c r="B755">
        <v>58</v>
      </c>
      <c r="C755" t="s">
        <v>72</v>
      </c>
      <c r="D755" t="s">
        <v>73</v>
      </c>
      <c r="E755">
        <v>1.5</v>
      </c>
      <c r="F755">
        <v>3.17</v>
      </c>
      <c r="G755" s="8">
        <f t="shared" si="11"/>
        <v>28.391167192429023</v>
      </c>
    </row>
    <row r="756" spans="1:7" s="3" customFormat="1" x14ac:dyDescent="0.25">
      <c r="A756" s="6">
        <v>45809.666666666664</v>
      </c>
      <c r="B756" s="3">
        <v>1</v>
      </c>
      <c r="C756" s="3" t="s">
        <v>6</v>
      </c>
      <c r="D756" s="3" t="s">
        <v>7</v>
      </c>
      <c r="E756" s="3">
        <v>1.53</v>
      </c>
      <c r="F756" s="3">
        <v>2.85</v>
      </c>
      <c r="G756" s="8">
        <f t="shared" si="11"/>
        <v>32.210526315789473</v>
      </c>
    </row>
    <row r="757" spans="1:7" x14ac:dyDescent="0.25">
      <c r="A757" s="6">
        <v>45809.666666666664</v>
      </c>
      <c r="B757">
        <v>2</v>
      </c>
      <c r="C757" t="s">
        <v>7</v>
      </c>
      <c r="D757" t="s">
        <v>8</v>
      </c>
      <c r="E757">
        <v>1.57</v>
      </c>
      <c r="F757">
        <v>4.0199999999999996</v>
      </c>
      <c r="G757" s="8">
        <f t="shared" si="11"/>
        <v>23.432835820895527</v>
      </c>
    </row>
    <row r="758" spans="1:7" x14ac:dyDescent="0.25">
      <c r="A758" s="6">
        <v>45809.666666666664</v>
      </c>
      <c r="B758">
        <v>3</v>
      </c>
      <c r="C758" t="s">
        <v>8</v>
      </c>
      <c r="D758" t="s">
        <v>9</v>
      </c>
      <c r="E758">
        <v>1.5</v>
      </c>
      <c r="F758">
        <v>2.88</v>
      </c>
      <c r="G758" s="8">
        <f t="shared" si="11"/>
        <v>31.25</v>
      </c>
    </row>
    <row r="759" spans="1:7" x14ac:dyDescent="0.25">
      <c r="A759" s="6">
        <v>45809.666666666664</v>
      </c>
      <c r="B759">
        <v>4</v>
      </c>
      <c r="C759" t="s">
        <v>9</v>
      </c>
      <c r="D759" t="s">
        <v>10</v>
      </c>
      <c r="E759">
        <v>1.5</v>
      </c>
      <c r="F759">
        <v>2.75</v>
      </c>
      <c r="G759" s="8">
        <f t="shared" si="11"/>
        <v>32.727272727272727</v>
      </c>
    </row>
    <row r="760" spans="1:7" x14ac:dyDescent="0.25">
      <c r="A760" s="6">
        <v>45809.666666666664</v>
      </c>
      <c r="B760">
        <v>5</v>
      </c>
      <c r="C760" t="s">
        <v>10</v>
      </c>
      <c r="D760" t="s">
        <v>11</v>
      </c>
      <c r="E760">
        <v>1.52</v>
      </c>
      <c r="F760">
        <v>2.95</v>
      </c>
      <c r="G760" s="8">
        <f t="shared" si="11"/>
        <v>30.915254237288135</v>
      </c>
    </row>
    <row r="761" spans="1:7" x14ac:dyDescent="0.25">
      <c r="A761" s="6">
        <v>45809.666666666664</v>
      </c>
      <c r="B761">
        <v>6</v>
      </c>
      <c r="C761" t="s">
        <v>11</v>
      </c>
      <c r="D761" t="s">
        <v>12</v>
      </c>
      <c r="E761">
        <v>1.5</v>
      </c>
      <c r="F761">
        <v>2.4500000000000002</v>
      </c>
      <c r="G761" s="8">
        <f t="shared" si="11"/>
        <v>36.734693877551017</v>
      </c>
    </row>
    <row r="762" spans="1:7" x14ac:dyDescent="0.25">
      <c r="A762" s="6">
        <v>45809.666666666664</v>
      </c>
      <c r="B762">
        <v>7</v>
      </c>
      <c r="C762" t="s">
        <v>12</v>
      </c>
      <c r="D762" t="s">
        <v>13</v>
      </c>
      <c r="E762">
        <v>1.54</v>
      </c>
      <c r="F762">
        <v>2.62</v>
      </c>
      <c r="G762" s="8">
        <f t="shared" si="11"/>
        <v>35.267175572519086</v>
      </c>
    </row>
    <row r="763" spans="1:7" x14ac:dyDescent="0.25">
      <c r="A763" s="6">
        <v>45809.666666666664</v>
      </c>
      <c r="B763">
        <v>8</v>
      </c>
      <c r="C763" t="s">
        <v>13</v>
      </c>
      <c r="D763" t="s">
        <v>14</v>
      </c>
      <c r="E763">
        <v>1.54</v>
      </c>
      <c r="F763">
        <v>2.9</v>
      </c>
      <c r="G763" s="8">
        <f t="shared" si="11"/>
        <v>31.862068965517246</v>
      </c>
    </row>
    <row r="764" spans="1:7" x14ac:dyDescent="0.25">
      <c r="A764" s="6">
        <v>45809.666666666664</v>
      </c>
      <c r="B764">
        <v>9</v>
      </c>
      <c r="C764" t="s">
        <v>14</v>
      </c>
      <c r="D764" t="s">
        <v>15</v>
      </c>
      <c r="E764">
        <v>1.52</v>
      </c>
      <c r="F764">
        <v>3.02</v>
      </c>
      <c r="G764" s="8">
        <f t="shared" si="11"/>
        <v>30.198675496688743</v>
      </c>
    </row>
    <row r="765" spans="1:7" x14ac:dyDescent="0.25">
      <c r="A765" s="6">
        <v>45809.666666666664</v>
      </c>
      <c r="B765">
        <v>10</v>
      </c>
      <c r="C765" t="s">
        <v>15</v>
      </c>
      <c r="D765" t="s">
        <v>16</v>
      </c>
      <c r="E765">
        <v>1.5</v>
      </c>
      <c r="F765">
        <v>3.08</v>
      </c>
      <c r="G765" s="8">
        <f t="shared" si="11"/>
        <v>29.220779220779221</v>
      </c>
    </row>
    <row r="766" spans="1:7" x14ac:dyDescent="0.25">
      <c r="A766" s="6">
        <v>45809.666666666664</v>
      </c>
      <c r="B766">
        <v>11</v>
      </c>
      <c r="C766" t="s">
        <v>16</v>
      </c>
      <c r="D766" t="s">
        <v>17</v>
      </c>
      <c r="E766">
        <v>1.48</v>
      </c>
      <c r="F766">
        <v>2.25</v>
      </c>
      <c r="G766" s="8">
        <f t="shared" si="11"/>
        <v>39.466666666666669</v>
      </c>
    </row>
    <row r="767" spans="1:7" x14ac:dyDescent="0.25">
      <c r="A767" s="6">
        <v>45809.666666666664</v>
      </c>
      <c r="B767">
        <v>12</v>
      </c>
      <c r="C767" t="s">
        <v>17</v>
      </c>
      <c r="D767" t="s">
        <v>18</v>
      </c>
      <c r="E767">
        <v>1.46</v>
      </c>
      <c r="F767">
        <v>3.03</v>
      </c>
      <c r="G767" s="8">
        <f t="shared" si="11"/>
        <v>28.910891089108912</v>
      </c>
    </row>
    <row r="768" spans="1:7" x14ac:dyDescent="0.25">
      <c r="A768" s="6">
        <v>45809.666666666664</v>
      </c>
      <c r="B768">
        <v>13</v>
      </c>
      <c r="C768" t="s">
        <v>18</v>
      </c>
      <c r="D768" t="s">
        <v>19</v>
      </c>
      <c r="E768">
        <v>1.52</v>
      </c>
      <c r="F768">
        <v>3.08</v>
      </c>
      <c r="G768" s="8">
        <f t="shared" si="11"/>
        <v>29.61038961038961</v>
      </c>
    </row>
    <row r="769" spans="1:7" x14ac:dyDescent="0.25">
      <c r="A769" s="6">
        <v>45809.666666666664</v>
      </c>
      <c r="B769">
        <v>14</v>
      </c>
      <c r="C769" t="s">
        <v>19</v>
      </c>
      <c r="D769" t="s">
        <v>20</v>
      </c>
      <c r="E769">
        <v>1.51</v>
      </c>
      <c r="F769">
        <v>2.98</v>
      </c>
      <c r="G769" s="8">
        <f t="shared" si="11"/>
        <v>30.402684563758388</v>
      </c>
    </row>
    <row r="770" spans="1:7" x14ac:dyDescent="0.25">
      <c r="A770" s="6">
        <v>45809.666666666664</v>
      </c>
      <c r="B770">
        <v>15</v>
      </c>
      <c r="C770" t="s">
        <v>20</v>
      </c>
      <c r="D770" t="s">
        <v>21</v>
      </c>
      <c r="E770">
        <v>1.47</v>
      </c>
      <c r="F770">
        <v>2.27</v>
      </c>
      <c r="G770" s="8">
        <f t="shared" si="11"/>
        <v>38.854625550660792</v>
      </c>
    </row>
    <row r="771" spans="1:7" x14ac:dyDescent="0.25">
      <c r="A771" s="6">
        <v>45809.666666666664</v>
      </c>
      <c r="B771">
        <v>16</v>
      </c>
      <c r="C771" t="s">
        <v>21</v>
      </c>
      <c r="D771" t="s">
        <v>22</v>
      </c>
      <c r="E771">
        <v>1.5</v>
      </c>
      <c r="F771">
        <v>1.75</v>
      </c>
      <c r="G771" s="8">
        <f t="shared" ref="G771:G834" si="12">E771*60/F771</f>
        <v>51.428571428571431</v>
      </c>
    </row>
    <row r="772" spans="1:7" x14ac:dyDescent="0.25">
      <c r="A772" s="6">
        <v>45809.666666666664</v>
      </c>
      <c r="B772">
        <v>17</v>
      </c>
      <c r="C772" t="s">
        <v>22</v>
      </c>
      <c r="D772" t="s">
        <v>23</v>
      </c>
      <c r="E772">
        <v>1.51</v>
      </c>
      <c r="F772">
        <v>2.5</v>
      </c>
      <c r="G772" s="8">
        <f t="shared" si="12"/>
        <v>36.239999999999995</v>
      </c>
    </row>
    <row r="773" spans="1:7" x14ac:dyDescent="0.25">
      <c r="A773" s="6">
        <v>45809.666666666664</v>
      </c>
      <c r="B773">
        <v>18</v>
      </c>
      <c r="C773" t="s">
        <v>23</v>
      </c>
      <c r="D773" t="s">
        <v>24</v>
      </c>
      <c r="E773">
        <v>1.51</v>
      </c>
      <c r="F773">
        <v>2.73</v>
      </c>
      <c r="G773" s="8">
        <f t="shared" si="12"/>
        <v>33.186813186813183</v>
      </c>
    </row>
    <row r="774" spans="1:7" x14ac:dyDescent="0.25">
      <c r="A774" s="6">
        <v>45809.666666666664</v>
      </c>
      <c r="B774">
        <v>19</v>
      </c>
      <c r="C774" t="s">
        <v>25</v>
      </c>
      <c r="D774" t="s">
        <v>26</v>
      </c>
      <c r="E774">
        <v>1.5</v>
      </c>
      <c r="F774">
        <v>3.35</v>
      </c>
      <c r="G774" s="8">
        <f t="shared" si="12"/>
        <v>26.865671641791042</v>
      </c>
    </row>
    <row r="775" spans="1:7" x14ac:dyDescent="0.25">
      <c r="A775" s="6">
        <v>45809.666666666664</v>
      </c>
      <c r="B775">
        <v>20</v>
      </c>
      <c r="C775" t="s">
        <v>26</v>
      </c>
      <c r="D775" t="s">
        <v>27</v>
      </c>
      <c r="E775">
        <v>1.48</v>
      </c>
      <c r="F775">
        <v>3.1</v>
      </c>
      <c r="G775" s="8">
        <f t="shared" si="12"/>
        <v>28.64516129032258</v>
      </c>
    </row>
    <row r="776" spans="1:7" x14ac:dyDescent="0.25">
      <c r="A776" s="6">
        <v>45809.666666666664</v>
      </c>
      <c r="B776">
        <v>21</v>
      </c>
      <c r="C776" t="s">
        <v>27</v>
      </c>
      <c r="D776" t="s">
        <v>28</v>
      </c>
      <c r="E776">
        <v>1.51</v>
      </c>
      <c r="F776">
        <v>2.8</v>
      </c>
      <c r="G776" s="8">
        <f t="shared" si="12"/>
        <v>32.357142857142854</v>
      </c>
    </row>
    <row r="777" spans="1:7" x14ac:dyDescent="0.25">
      <c r="A777" s="6">
        <v>45809.666666666664</v>
      </c>
      <c r="B777">
        <v>22</v>
      </c>
      <c r="C777" t="s">
        <v>28</v>
      </c>
      <c r="D777" t="s">
        <v>29</v>
      </c>
      <c r="E777">
        <v>1.57</v>
      </c>
      <c r="F777">
        <v>2.83</v>
      </c>
      <c r="G777" s="8">
        <f t="shared" si="12"/>
        <v>33.286219081272087</v>
      </c>
    </row>
    <row r="778" spans="1:7" x14ac:dyDescent="0.25">
      <c r="A778" s="6">
        <v>45809.666666666664</v>
      </c>
      <c r="B778">
        <v>23</v>
      </c>
      <c r="C778" t="s">
        <v>29</v>
      </c>
      <c r="D778" t="s">
        <v>30</v>
      </c>
      <c r="E778">
        <v>1.43</v>
      </c>
      <c r="F778">
        <v>3.13</v>
      </c>
      <c r="G778" s="8">
        <f t="shared" si="12"/>
        <v>27.412140575079871</v>
      </c>
    </row>
    <row r="779" spans="1:7" x14ac:dyDescent="0.25">
      <c r="A779" s="6">
        <v>45809.666666666664</v>
      </c>
      <c r="B779">
        <v>24</v>
      </c>
      <c r="C779" t="s">
        <v>30</v>
      </c>
      <c r="D779" t="s">
        <v>31</v>
      </c>
      <c r="E779">
        <v>1.52</v>
      </c>
      <c r="F779">
        <v>3.03</v>
      </c>
      <c r="G779" s="8">
        <f t="shared" si="12"/>
        <v>30.099009900990101</v>
      </c>
    </row>
    <row r="780" spans="1:7" x14ac:dyDescent="0.25">
      <c r="A780" s="6">
        <v>45809.666666666664</v>
      </c>
      <c r="B780">
        <v>25</v>
      </c>
      <c r="C780" t="s">
        <v>31</v>
      </c>
      <c r="D780" t="s">
        <v>32</v>
      </c>
      <c r="E780">
        <v>1.52</v>
      </c>
      <c r="F780">
        <v>3.1</v>
      </c>
      <c r="G780" s="8">
        <f t="shared" si="12"/>
        <v>29.419354838709676</v>
      </c>
    </row>
    <row r="781" spans="1:7" x14ac:dyDescent="0.25">
      <c r="A781" s="6">
        <v>45809.666666666664</v>
      </c>
      <c r="B781">
        <v>26</v>
      </c>
      <c r="C781" t="s">
        <v>32</v>
      </c>
      <c r="D781" t="s">
        <v>33</v>
      </c>
      <c r="E781">
        <v>1.49</v>
      </c>
      <c r="F781">
        <v>3.27</v>
      </c>
      <c r="G781" s="8">
        <f t="shared" si="12"/>
        <v>27.339449541284406</v>
      </c>
    </row>
    <row r="782" spans="1:7" x14ac:dyDescent="0.25">
      <c r="A782" s="6">
        <v>45809.666666666664</v>
      </c>
      <c r="B782">
        <v>27</v>
      </c>
      <c r="C782" t="s">
        <v>33</v>
      </c>
      <c r="D782" t="s">
        <v>34</v>
      </c>
      <c r="E782">
        <v>1.53</v>
      </c>
      <c r="F782">
        <v>3.67</v>
      </c>
      <c r="G782" s="8">
        <f t="shared" si="12"/>
        <v>25.013623978201636</v>
      </c>
    </row>
    <row r="783" spans="1:7" x14ac:dyDescent="0.25">
      <c r="A783" s="6">
        <v>45809.666666666664</v>
      </c>
      <c r="B783">
        <v>28</v>
      </c>
      <c r="C783" t="s">
        <v>34</v>
      </c>
      <c r="D783" t="s">
        <v>35</v>
      </c>
      <c r="E783">
        <v>1.51</v>
      </c>
      <c r="F783">
        <v>3.58</v>
      </c>
      <c r="G783" s="8">
        <f t="shared" si="12"/>
        <v>25.3072625698324</v>
      </c>
    </row>
    <row r="784" spans="1:7" x14ac:dyDescent="0.25">
      <c r="A784" s="6">
        <v>45809.666666666664</v>
      </c>
      <c r="B784">
        <v>29</v>
      </c>
      <c r="C784" t="s">
        <v>36</v>
      </c>
      <c r="D784" t="s">
        <v>37</v>
      </c>
      <c r="E784">
        <v>1.57</v>
      </c>
      <c r="F784">
        <v>3.07</v>
      </c>
      <c r="G784" s="8">
        <f t="shared" si="12"/>
        <v>30.684039087947884</v>
      </c>
    </row>
    <row r="785" spans="1:7" x14ac:dyDescent="0.25">
      <c r="A785" s="6">
        <v>45809.666666666664</v>
      </c>
      <c r="B785">
        <v>30</v>
      </c>
      <c r="C785" t="s">
        <v>37</v>
      </c>
      <c r="D785" t="s">
        <v>38</v>
      </c>
      <c r="E785">
        <v>1.57</v>
      </c>
      <c r="F785">
        <v>3.67</v>
      </c>
      <c r="G785" s="8">
        <f t="shared" si="12"/>
        <v>25.667574931880111</v>
      </c>
    </row>
    <row r="786" spans="1:7" x14ac:dyDescent="0.25">
      <c r="A786" s="6">
        <v>45809.666666666664</v>
      </c>
      <c r="B786">
        <v>31</v>
      </c>
      <c r="C786" t="s">
        <v>38</v>
      </c>
      <c r="D786" t="s">
        <v>39</v>
      </c>
      <c r="E786">
        <v>1.52</v>
      </c>
      <c r="F786">
        <v>2.52</v>
      </c>
      <c r="G786" s="8">
        <f t="shared" si="12"/>
        <v>36.19047619047619</v>
      </c>
    </row>
    <row r="787" spans="1:7" x14ac:dyDescent="0.25">
      <c r="A787" s="6">
        <v>45809.666666666664</v>
      </c>
      <c r="B787">
        <v>32</v>
      </c>
      <c r="C787" t="s">
        <v>39</v>
      </c>
      <c r="D787" t="s">
        <v>40</v>
      </c>
      <c r="E787">
        <v>1.5</v>
      </c>
      <c r="F787">
        <v>1.75</v>
      </c>
      <c r="G787" s="8">
        <f t="shared" si="12"/>
        <v>51.428571428571431</v>
      </c>
    </row>
    <row r="788" spans="1:7" x14ac:dyDescent="0.25">
      <c r="A788" s="6">
        <v>45809.666666666664</v>
      </c>
      <c r="B788">
        <v>33</v>
      </c>
      <c r="C788" t="s">
        <v>40</v>
      </c>
      <c r="D788" t="s">
        <v>41</v>
      </c>
      <c r="E788">
        <v>1.51</v>
      </c>
      <c r="F788">
        <v>1.77</v>
      </c>
      <c r="G788" s="8">
        <f t="shared" si="12"/>
        <v>51.186440677966097</v>
      </c>
    </row>
    <row r="789" spans="1:7" x14ac:dyDescent="0.25">
      <c r="A789" s="6">
        <v>45809.666666666664</v>
      </c>
      <c r="B789">
        <v>34</v>
      </c>
      <c r="C789" t="s">
        <v>41</v>
      </c>
      <c r="D789" t="s">
        <v>42</v>
      </c>
      <c r="E789">
        <v>1.5</v>
      </c>
      <c r="F789">
        <v>1.8</v>
      </c>
      <c r="G789" s="8">
        <f t="shared" si="12"/>
        <v>50</v>
      </c>
    </row>
    <row r="790" spans="1:7" x14ac:dyDescent="0.25">
      <c r="A790" s="6">
        <v>45809.666666666664</v>
      </c>
      <c r="B790">
        <v>35</v>
      </c>
      <c r="C790" t="s">
        <v>43</v>
      </c>
      <c r="D790" t="s">
        <v>44</v>
      </c>
      <c r="E790">
        <v>1.55</v>
      </c>
      <c r="F790">
        <v>3.03</v>
      </c>
      <c r="G790" s="8">
        <f t="shared" si="12"/>
        <v>30.693069306930695</v>
      </c>
    </row>
    <row r="791" spans="1:7" x14ac:dyDescent="0.25">
      <c r="A791" s="6">
        <v>45809.666666666664</v>
      </c>
      <c r="B791">
        <v>36</v>
      </c>
      <c r="C791" t="s">
        <v>44</v>
      </c>
      <c r="D791" t="s">
        <v>45</v>
      </c>
      <c r="E791">
        <v>1.5</v>
      </c>
      <c r="F791">
        <v>2.72</v>
      </c>
      <c r="G791" s="8">
        <f t="shared" si="12"/>
        <v>33.088235294117645</v>
      </c>
    </row>
    <row r="792" spans="1:7" x14ac:dyDescent="0.25">
      <c r="A792" s="6">
        <v>45809.666666666664</v>
      </c>
      <c r="B792">
        <v>37</v>
      </c>
      <c r="C792" t="s">
        <v>45</v>
      </c>
      <c r="D792" t="s">
        <v>46</v>
      </c>
      <c r="E792">
        <v>1.38</v>
      </c>
      <c r="F792">
        <v>3.4</v>
      </c>
      <c r="G792" s="8">
        <f t="shared" si="12"/>
        <v>24.352941176470587</v>
      </c>
    </row>
    <row r="793" spans="1:7" x14ac:dyDescent="0.25">
      <c r="A793" s="6">
        <v>45809.666666666664</v>
      </c>
      <c r="B793">
        <v>38</v>
      </c>
      <c r="C793" t="s">
        <v>46</v>
      </c>
      <c r="D793" t="s">
        <v>47</v>
      </c>
      <c r="E793">
        <v>1.61</v>
      </c>
      <c r="F793">
        <v>3.63</v>
      </c>
      <c r="G793" s="8">
        <f t="shared" si="12"/>
        <v>26.611570247933887</v>
      </c>
    </row>
    <row r="794" spans="1:7" x14ac:dyDescent="0.25">
      <c r="A794" s="6">
        <v>45809.666666666664</v>
      </c>
      <c r="B794">
        <v>39</v>
      </c>
      <c r="C794" t="s">
        <v>47</v>
      </c>
      <c r="D794" t="s">
        <v>48</v>
      </c>
      <c r="E794">
        <v>1.55</v>
      </c>
      <c r="F794">
        <v>3.23</v>
      </c>
      <c r="G794" s="8">
        <f t="shared" si="12"/>
        <v>28.792569659442723</v>
      </c>
    </row>
    <row r="795" spans="1:7" x14ac:dyDescent="0.25">
      <c r="A795" s="6">
        <v>45809.666666666664</v>
      </c>
      <c r="B795">
        <v>40</v>
      </c>
      <c r="C795" t="s">
        <v>48</v>
      </c>
      <c r="D795" t="s">
        <v>49</v>
      </c>
      <c r="E795">
        <v>1.39</v>
      </c>
      <c r="F795">
        <v>2.73</v>
      </c>
      <c r="G795" s="8">
        <f t="shared" si="12"/>
        <v>30.549450549450547</v>
      </c>
    </row>
    <row r="796" spans="1:7" x14ac:dyDescent="0.25">
      <c r="A796" s="6">
        <v>45809.666666666664</v>
      </c>
      <c r="B796">
        <v>41</v>
      </c>
      <c r="C796" t="s">
        <v>50</v>
      </c>
      <c r="D796" t="s">
        <v>51</v>
      </c>
      <c r="E796">
        <v>1.56</v>
      </c>
      <c r="F796">
        <v>3.58</v>
      </c>
      <c r="G796" s="8">
        <f t="shared" si="12"/>
        <v>26.145251396648046</v>
      </c>
    </row>
    <row r="797" spans="1:7" x14ac:dyDescent="0.25">
      <c r="A797" s="6">
        <v>45809.666666666664</v>
      </c>
      <c r="B797">
        <v>42</v>
      </c>
      <c r="C797" t="s">
        <v>51</v>
      </c>
      <c r="D797" t="s">
        <v>52</v>
      </c>
      <c r="E797">
        <v>1.56</v>
      </c>
      <c r="F797">
        <v>3.35</v>
      </c>
      <c r="G797" s="8">
        <f t="shared" si="12"/>
        <v>27.940298507462689</v>
      </c>
    </row>
    <row r="798" spans="1:7" x14ac:dyDescent="0.25">
      <c r="A798" s="6">
        <v>45809.666666666664</v>
      </c>
      <c r="B798">
        <v>43</v>
      </c>
      <c r="C798" t="s">
        <v>52</v>
      </c>
      <c r="D798" t="s">
        <v>53</v>
      </c>
      <c r="E798">
        <v>1.51</v>
      </c>
      <c r="F798">
        <v>3.15</v>
      </c>
      <c r="G798" s="8">
        <f t="shared" si="12"/>
        <v>28.761904761904759</v>
      </c>
    </row>
    <row r="799" spans="1:7" x14ac:dyDescent="0.25">
      <c r="A799" s="6">
        <v>45809.666666666664</v>
      </c>
      <c r="B799">
        <v>44</v>
      </c>
      <c r="C799" t="s">
        <v>54</v>
      </c>
      <c r="D799" t="s">
        <v>55</v>
      </c>
      <c r="E799">
        <v>1.51</v>
      </c>
      <c r="F799">
        <v>3.7</v>
      </c>
      <c r="G799" s="8">
        <f t="shared" si="12"/>
        <v>24.486486486486484</v>
      </c>
    </row>
    <row r="800" spans="1:7" x14ac:dyDescent="0.25">
      <c r="A800" s="6">
        <v>45809.666666666664</v>
      </c>
      <c r="B800">
        <v>45</v>
      </c>
      <c r="C800" t="s">
        <v>55</v>
      </c>
      <c r="D800" t="s">
        <v>56</v>
      </c>
      <c r="E800">
        <v>1.49</v>
      </c>
      <c r="F800">
        <v>2.98</v>
      </c>
      <c r="G800" s="8">
        <f t="shared" si="12"/>
        <v>30.000000000000004</v>
      </c>
    </row>
    <row r="801" spans="1:7" x14ac:dyDescent="0.25">
      <c r="A801" s="6">
        <v>45809.666666666664</v>
      </c>
      <c r="B801">
        <v>46</v>
      </c>
      <c r="C801" t="s">
        <v>56</v>
      </c>
      <c r="D801" t="s">
        <v>57</v>
      </c>
      <c r="E801">
        <v>1.52</v>
      </c>
      <c r="F801">
        <v>3.28</v>
      </c>
      <c r="G801" s="8">
        <f t="shared" si="12"/>
        <v>27.804878048780491</v>
      </c>
    </row>
    <row r="802" spans="1:7" x14ac:dyDescent="0.25">
      <c r="A802" s="6">
        <v>45809.666666666664</v>
      </c>
      <c r="B802">
        <v>47</v>
      </c>
      <c r="C802" t="s">
        <v>58</v>
      </c>
      <c r="D802" t="s">
        <v>59</v>
      </c>
      <c r="E802">
        <v>1.52</v>
      </c>
      <c r="F802">
        <v>3.28</v>
      </c>
      <c r="G802" s="8">
        <f t="shared" si="12"/>
        <v>27.804878048780491</v>
      </c>
    </row>
    <row r="803" spans="1:7" x14ac:dyDescent="0.25">
      <c r="A803" s="6">
        <v>45809.666666666664</v>
      </c>
      <c r="B803">
        <v>48</v>
      </c>
      <c r="C803" t="s">
        <v>59</v>
      </c>
      <c r="D803" t="s">
        <v>60</v>
      </c>
      <c r="E803">
        <v>1.5</v>
      </c>
      <c r="F803">
        <v>3.22</v>
      </c>
      <c r="G803" s="8">
        <f t="shared" si="12"/>
        <v>27.950310559006208</v>
      </c>
    </row>
    <row r="804" spans="1:7" x14ac:dyDescent="0.25">
      <c r="A804" s="6">
        <v>45809.666666666664</v>
      </c>
      <c r="B804">
        <v>49</v>
      </c>
      <c r="C804" t="s">
        <v>60</v>
      </c>
      <c r="D804" t="s">
        <v>61</v>
      </c>
      <c r="E804">
        <v>1.54</v>
      </c>
      <c r="F804">
        <v>3.72</v>
      </c>
      <c r="G804" s="8">
        <f t="shared" si="12"/>
        <v>24.838709677419356</v>
      </c>
    </row>
    <row r="805" spans="1:7" x14ac:dyDescent="0.25">
      <c r="A805" s="6">
        <v>45809.666666666664</v>
      </c>
      <c r="B805">
        <v>50</v>
      </c>
      <c r="C805" t="s">
        <v>62</v>
      </c>
      <c r="D805" t="s">
        <v>63</v>
      </c>
      <c r="E805">
        <v>1.38</v>
      </c>
      <c r="F805">
        <v>2.87</v>
      </c>
      <c r="G805" s="8">
        <f t="shared" si="12"/>
        <v>28.850174216027874</v>
      </c>
    </row>
    <row r="806" spans="1:7" x14ac:dyDescent="0.25">
      <c r="A806" s="6">
        <v>45809.666666666664</v>
      </c>
      <c r="B806">
        <v>51</v>
      </c>
      <c r="C806" t="s">
        <v>63</v>
      </c>
      <c r="D806" t="s">
        <v>64</v>
      </c>
      <c r="E806">
        <v>2.79</v>
      </c>
      <c r="F806">
        <v>5.23</v>
      </c>
      <c r="G806" s="8">
        <f t="shared" si="12"/>
        <v>32.007648183556405</v>
      </c>
    </row>
    <row r="807" spans="1:7" x14ac:dyDescent="0.25">
      <c r="A807" s="6">
        <v>45809.666666666664</v>
      </c>
      <c r="B807">
        <v>52</v>
      </c>
      <c r="C807" t="s">
        <v>64</v>
      </c>
      <c r="D807" t="s">
        <v>65</v>
      </c>
      <c r="E807">
        <v>1.5</v>
      </c>
      <c r="F807">
        <v>2.68</v>
      </c>
      <c r="G807" s="8">
        <f t="shared" si="12"/>
        <v>33.582089552238806</v>
      </c>
    </row>
    <row r="808" spans="1:7" x14ac:dyDescent="0.25">
      <c r="A808" s="6">
        <v>45809.666666666664</v>
      </c>
      <c r="B808">
        <v>53</v>
      </c>
      <c r="C808" t="s">
        <v>65</v>
      </c>
      <c r="D808" t="s">
        <v>66</v>
      </c>
      <c r="E808">
        <v>1.46</v>
      </c>
      <c r="F808">
        <v>3.47</v>
      </c>
      <c r="G808" s="8">
        <f t="shared" si="12"/>
        <v>25.244956772334291</v>
      </c>
    </row>
    <row r="809" spans="1:7" x14ac:dyDescent="0.25">
      <c r="A809" s="6">
        <v>45809.666666666664</v>
      </c>
      <c r="B809">
        <v>54</v>
      </c>
      <c r="C809" t="s">
        <v>67</v>
      </c>
      <c r="D809" t="s">
        <v>68</v>
      </c>
      <c r="E809">
        <v>1.46</v>
      </c>
      <c r="F809">
        <v>2.4300000000000002</v>
      </c>
      <c r="G809" s="8">
        <f t="shared" si="12"/>
        <v>36.049382716049379</v>
      </c>
    </row>
    <row r="810" spans="1:7" x14ac:dyDescent="0.25">
      <c r="A810" s="6">
        <v>45809.666666666664</v>
      </c>
      <c r="B810">
        <v>55</v>
      </c>
      <c r="C810" t="s">
        <v>68</v>
      </c>
      <c r="D810" t="s">
        <v>69</v>
      </c>
      <c r="E810">
        <v>1.5</v>
      </c>
      <c r="F810">
        <v>1.98</v>
      </c>
      <c r="G810" s="8">
        <f t="shared" si="12"/>
        <v>45.454545454545453</v>
      </c>
    </row>
    <row r="811" spans="1:7" x14ac:dyDescent="0.25">
      <c r="A811" s="6">
        <v>45809.666666666664</v>
      </c>
      <c r="B811">
        <v>56</v>
      </c>
      <c r="C811" t="s">
        <v>70</v>
      </c>
      <c r="D811" t="s">
        <v>71</v>
      </c>
      <c r="E811">
        <v>1.51</v>
      </c>
      <c r="F811">
        <v>3.58</v>
      </c>
      <c r="G811" s="8">
        <f t="shared" si="12"/>
        <v>25.3072625698324</v>
      </c>
    </row>
    <row r="812" spans="1:7" x14ac:dyDescent="0.25">
      <c r="A812" s="6">
        <v>45809.666666666664</v>
      </c>
      <c r="B812">
        <v>57</v>
      </c>
      <c r="C812" t="s">
        <v>71</v>
      </c>
      <c r="D812" t="s">
        <v>72</v>
      </c>
      <c r="E812">
        <v>1.52</v>
      </c>
      <c r="F812">
        <v>3.33</v>
      </c>
      <c r="G812" s="8">
        <f t="shared" si="12"/>
        <v>27.387387387387388</v>
      </c>
    </row>
    <row r="813" spans="1:7" x14ac:dyDescent="0.25">
      <c r="A813" s="6">
        <v>45809.666666666664</v>
      </c>
      <c r="B813">
        <v>58</v>
      </c>
      <c r="C813" t="s">
        <v>72</v>
      </c>
      <c r="D813" t="s">
        <v>73</v>
      </c>
      <c r="E813">
        <v>1.5</v>
      </c>
      <c r="F813">
        <v>3.28</v>
      </c>
      <c r="G813" s="8">
        <f t="shared" si="12"/>
        <v>27.439024390243905</v>
      </c>
    </row>
    <row r="814" spans="1:7" x14ac:dyDescent="0.25">
      <c r="A814" s="5">
        <v>45809.677083333336</v>
      </c>
      <c r="B814">
        <v>1</v>
      </c>
      <c r="C814" t="s">
        <v>6</v>
      </c>
      <c r="D814" t="s">
        <v>7</v>
      </c>
      <c r="E814">
        <v>1.53</v>
      </c>
      <c r="F814">
        <v>3</v>
      </c>
      <c r="G814" s="8">
        <f t="shared" si="12"/>
        <v>30.599999999999998</v>
      </c>
    </row>
    <row r="815" spans="1:7" x14ac:dyDescent="0.25">
      <c r="A815" s="5">
        <v>45809.677083333336</v>
      </c>
      <c r="B815">
        <v>2</v>
      </c>
      <c r="C815" t="s">
        <v>7</v>
      </c>
      <c r="D815" t="s">
        <v>8</v>
      </c>
      <c r="E815">
        <v>1.57</v>
      </c>
      <c r="F815">
        <v>4.08</v>
      </c>
      <c r="G815" s="8">
        <f t="shared" si="12"/>
        <v>23.088235294117649</v>
      </c>
    </row>
    <row r="816" spans="1:7" x14ac:dyDescent="0.25">
      <c r="A816" s="5">
        <v>45809.677083333336</v>
      </c>
      <c r="B816">
        <v>3</v>
      </c>
      <c r="C816" t="s">
        <v>8</v>
      </c>
      <c r="D816" t="s">
        <v>9</v>
      </c>
      <c r="E816">
        <v>1.5</v>
      </c>
      <c r="F816">
        <v>2.87</v>
      </c>
      <c r="G816" s="8">
        <f t="shared" si="12"/>
        <v>31.358885017421603</v>
      </c>
    </row>
    <row r="817" spans="1:7" x14ac:dyDescent="0.25">
      <c r="A817" s="5">
        <v>45809.677083333336</v>
      </c>
      <c r="B817">
        <v>4</v>
      </c>
      <c r="C817" t="s">
        <v>9</v>
      </c>
      <c r="D817" t="s">
        <v>10</v>
      </c>
      <c r="E817">
        <v>1.5</v>
      </c>
      <c r="F817">
        <v>2.73</v>
      </c>
      <c r="G817" s="8">
        <f t="shared" si="12"/>
        <v>32.967032967032971</v>
      </c>
    </row>
    <row r="818" spans="1:7" x14ac:dyDescent="0.25">
      <c r="A818" s="5">
        <v>45809.677083333336</v>
      </c>
      <c r="B818">
        <v>5</v>
      </c>
      <c r="C818" t="s">
        <v>10</v>
      </c>
      <c r="D818" t="s">
        <v>11</v>
      </c>
      <c r="E818">
        <v>1.52</v>
      </c>
      <c r="F818">
        <v>3</v>
      </c>
      <c r="G818" s="8">
        <f t="shared" si="12"/>
        <v>30.400000000000002</v>
      </c>
    </row>
    <row r="819" spans="1:7" x14ac:dyDescent="0.25">
      <c r="A819" s="5">
        <v>45809.677083333336</v>
      </c>
      <c r="B819">
        <v>6</v>
      </c>
      <c r="C819" t="s">
        <v>11</v>
      </c>
      <c r="D819" t="s">
        <v>12</v>
      </c>
      <c r="E819">
        <v>1.5</v>
      </c>
      <c r="F819">
        <v>2.5</v>
      </c>
      <c r="G819" s="8">
        <f t="shared" si="12"/>
        <v>36</v>
      </c>
    </row>
    <row r="820" spans="1:7" x14ac:dyDescent="0.25">
      <c r="A820" s="5">
        <v>45809.677083333336</v>
      </c>
      <c r="B820">
        <v>7</v>
      </c>
      <c r="C820" t="s">
        <v>12</v>
      </c>
      <c r="D820" t="s">
        <v>13</v>
      </c>
      <c r="E820">
        <v>1.54</v>
      </c>
      <c r="F820">
        <v>2.5499999999999998</v>
      </c>
      <c r="G820" s="8">
        <f t="shared" si="12"/>
        <v>36.235294117647065</v>
      </c>
    </row>
    <row r="821" spans="1:7" x14ac:dyDescent="0.25">
      <c r="A821" s="5">
        <v>45809.677083333336</v>
      </c>
      <c r="B821">
        <v>8</v>
      </c>
      <c r="C821" t="s">
        <v>13</v>
      </c>
      <c r="D821" t="s">
        <v>14</v>
      </c>
      <c r="E821">
        <v>1.54</v>
      </c>
      <c r="F821">
        <v>2.85</v>
      </c>
      <c r="G821" s="8">
        <f t="shared" si="12"/>
        <v>32.421052631578945</v>
      </c>
    </row>
    <row r="822" spans="1:7" x14ac:dyDescent="0.25">
      <c r="A822" s="5">
        <v>45809.677083333336</v>
      </c>
      <c r="B822">
        <v>9</v>
      </c>
      <c r="C822" t="s">
        <v>14</v>
      </c>
      <c r="D822" t="s">
        <v>15</v>
      </c>
      <c r="E822">
        <v>1.52</v>
      </c>
      <c r="F822">
        <v>3.03</v>
      </c>
      <c r="G822" s="8">
        <f t="shared" si="12"/>
        <v>30.099009900990101</v>
      </c>
    </row>
    <row r="823" spans="1:7" x14ac:dyDescent="0.25">
      <c r="A823" s="5">
        <v>45809.677083333336</v>
      </c>
      <c r="B823">
        <v>10</v>
      </c>
      <c r="C823" t="s">
        <v>15</v>
      </c>
      <c r="D823" t="s">
        <v>16</v>
      </c>
      <c r="E823">
        <v>1.5</v>
      </c>
      <c r="F823">
        <v>3.22</v>
      </c>
      <c r="G823" s="8">
        <f t="shared" si="12"/>
        <v>27.950310559006208</v>
      </c>
    </row>
    <row r="824" spans="1:7" x14ac:dyDescent="0.25">
      <c r="A824" s="5">
        <v>45809.677083333336</v>
      </c>
      <c r="B824">
        <v>11</v>
      </c>
      <c r="C824" t="s">
        <v>16</v>
      </c>
      <c r="D824" t="s">
        <v>17</v>
      </c>
      <c r="E824">
        <v>1.48</v>
      </c>
      <c r="F824">
        <v>2.2200000000000002</v>
      </c>
      <c r="G824" s="8">
        <f t="shared" si="12"/>
        <v>39.999999999999993</v>
      </c>
    </row>
    <row r="825" spans="1:7" x14ac:dyDescent="0.25">
      <c r="A825" s="5">
        <v>45809.677083333336</v>
      </c>
      <c r="B825">
        <v>12</v>
      </c>
      <c r="C825" t="s">
        <v>17</v>
      </c>
      <c r="D825" t="s">
        <v>18</v>
      </c>
      <c r="E825">
        <v>1.46</v>
      </c>
      <c r="F825">
        <v>3</v>
      </c>
      <c r="G825" s="8">
        <f t="shared" si="12"/>
        <v>29.2</v>
      </c>
    </row>
    <row r="826" spans="1:7" x14ac:dyDescent="0.25">
      <c r="A826" s="5">
        <v>45809.677083333336</v>
      </c>
      <c r="B826">
        <v>13</v>
      </c>
      <c r="C826" t="s">
        <v>18</v>
      </c>
      <c r="D826" t="s">
        <v>19</v>
      </c>
      <c r="E826">
        <v>1.52</v>
      </c>
      <c r="F826">
        <v>3.08</v>
      </c>
      <c r="G826" s="8">
        <f t="shared" si="12"/>
        <v>29.61038961038961</v>
      </c>
    </row>
    <row r="827" spans="1:7" x14ac:dyDescent="0.25">
      <c r="A827" s="5">
        <v>45809.677083333336</v>
      </c>
      <c r="B827">
        <v>14</v>
      </c>
      <c r="C827" t="s">
        <v>19</v>
      </c>
      <c r="D827" t="s">
        <v>20</v>
      </c>
      <c r="E827">
        <v>1.51</v>
      </c>
      <c r="F827">
        <v>2.98</v>
      </c>
      <c r="G827" s="8">
        <f t="shared" si="12"/>
        <v>30.402684563758388</v>
      </c>
    </row>
    <row r="828" spans="1:7" x14ac:dyDescent="0.25">
      <c r="A828" s="5">
        <v>45809.677083333336</v>
      </c>
      <c r="B828">
        <v>15</v>
      </c>
      <c r="C828" t="s">
        <v>20</v>
      </c>
      <c r="D828" t="s">
        <v>21</v>
      </c>
      <c r="E828">
        <v>1.47</v>
      </c>
      <c r="F828">
        <v>1.92</v>
      </c>
      <c r="G828" s="8">
        <f t="shared" si="12"/>
        <v>45.9375</v>
      </c>
    </row>
    <row r="829" spans="1:7" x14ac:dyDescent="0.25">
      <c r="A829" s="5">
        <v>45809.677083333336</v>
      </c>
      <c r="B829">
        <v>16</v>
      </c>
      <c r="C829" t="s">
        <v>21</v>
      </c>
      <c r="D829" t="s">
        <v>22</v>
      </c>
      <c r="E829">
        <v>1.5</v>
      </c>
      <c r="F829">
        <v>1.7</v>
      </c>
      <c r="G829" s="8">
        <f t="shared" si="12"/>
        <v>52.941176470588239</v>
      </c>
    </row>
    <row r="830" spans="1:7" x14ac:dyDescent="0.25">
      <c r="A830" s="5">
        <v>45809.677083333336</v>
      </c>
      <c r="B830">
        <v>17</v>
      </c>
      <c r="C830" t="s">
        <v>22</v>
      </c>
      <c r="D830" t="s">
        <v>23</v>
      </c>
      <c r="E830">
        <v>1.51</v>
      </c>
      <c r="F830">
        <v>2.58</v>
      </c>
      <c r="G830" s="8">
        <f t="shared" si="12"/>
        <v>35.116279069767437</v>
      </c>
    </row>
    <row r="831" spans="1:7" x14ac:dyDescent="0.25">
      <c r="A831" s="5">
        <v>45809.677083333336</v>
      </c>
      <c r="B831">
        <v>18</v>
      </c>
      <c r="C831" t="s">
        <v>23</v>
      </c>
      <c r="D831" t="s">
        <v>24</v>
      </c>
      <c r="E831">
        <v>1.51</v>
      </c>
      <c r="F831">
        <v>2.97</v>
      </c>
      <c r="G831" s="8">
        <f t="shared" si="12"/>
        <v>30.505050505050502</v>
      </c>
    </row>
    <row r="832" spans="1:7" x14ac:dyDescent="0.25">
      <c r="A832" s="5">
        <v>45809.677083333336</v>
      </c>
      <c r="B832">
        <v>19</v>
      </c>
      <c r="C832" t="s">
        <v>25</v>
      </c>
      <c r="D832" t="s">
        <v>26</v>
      </c>
      <c r="E832">
        <v>1.5</v>
      </c>
      <c r="F832">
        <v>3.33</v>
      </c>
      <c r="G832" s="8">
        <f t="shared" si="12"/>
        <v>27.027027027027028</v>
      </c>
    </row>
    <row r="833" spans="1:7" x14ac:dyDescent="0.25">
      <c r="A833" s="5">
        <v>45809.677083333336</v>
      </c>
      <c r="B833">
        <v>20</v>
      </c>
      <c r="C833" t="s">
        <v>26</v>
      </c>
      <c r="D833" t="s">
        <v>27</v>
      </c>
      <c r="E833">
        <v>1.48</v>
      </c>
      <c r="F833">
        <v>3.17</v>
      </c>
      <c r="G833" s="8">
        <f t="shared" si="12"/>
        <v>28.012618296529968</v>
      </c>
    </row>
    <row r="834" spans="1:7" x14ac:dyDescent="0.25">
      <c r="A834" s="5">
        <v>45809.677083333336</v>
      </c>
      <c r="B834">
        <v>21</v>
      </c>
      <c r="C834" t="s">
        <v>27</v>
      </c>
      <c r="D834" t="s">
        <v>28</v>
      </c>
      <c r="E834">
        <v>1.51</v>
      </c>
      <c r="F834">
        <v>2.7</v>
      </c>
      <c r="G834" s="8">
        <f t="shared" si="12"/>
        <v>33.55555555555555</v>
      </c>
    </row>
    <row r="835" spans="1:7" x14ac:dyDescent="0.25">
      <c r="A835" s="5">
        <v>45809.677083333336</v>
      </c>
      <c r="B835">
        <v>22</v>
      </c>
      <c r="C835" t="s">
        <v>28</v>
      </c>
      <c r="D835" t="s">
        <v>29</v>
      </c>
      <c r="E835">
        <v>1.57</v>
      </c>
      <c r="F835">
        <v>3.32</v>
      </c>
      <c r="G835" s="8">
        <f t="shared" ref="G835:G898" si="13">E835*60/F835</f>
        <v>28.373493975903617</v>
      </c>
    </row>
    <row r="836" spans="1:7" x14ac:dyDescent="0.25">
      <c r="A836" s="5">
        <v>45809.677083333336</v>
      </c>
      <c r="B836">
        <v>23</v>
      </c>
      <c r="C836" t="s">
        <v>29</v>
      </c>
      <c r="D836" t="s">
        <v>30</v>
      </c>
      <c r="E836">
        <v>1.43</v>
      </c>
      <c r="F836">
        <v>3.12</v>
      </c>
      <c r="G836" s="8">
        <f t="shared" si="13"/>
        <v>27.499999999999996</v>
      </c>
    </row>
    <row r="837" spans="1:7" x14ac:dyDescent="0.25">
      <c r="A837" s="5">
        <v>45809.677083333336</v>
      </c>
      <c r="B837">
        <v>24</v>
      </c>
      <c r="C837" t="s">
        <v>30</v>
      </c>
      <c r="D837" t="s">
        <v>31</v>
      </c>
      <c r="E837">
        <v>1.52</v>
      </c>
      <c r="F837">
        <v>3.03</v>
      </c>
      <c r="G837" s="8">
        <f t="shared" si="13"/>
        <v>30.099009900990101</v>
      </c>
    </row>
    <row r="838" spans="1:7" x14ac:dyDescent="0.25">
      <c r="A838" s="5">
        <v>45809.677083333336</v>
      </c>
      <c r="B838">
        <v>25</v>
      </c>
      <c r="C838" t="s">
        <v>31</v>
      </c>
      <c r="D838" t="s">
        <v>32</v>
      </c>
      <c r="E838">
        <v>1.52</v>
      </c>
      <c r="F838">
        <v>3.1</v>
      </c>
      <c r="G838" s="8">
        <f t="shared" si="13"/>
        <v>29.419354838709676</v>
      </c>
    </row>
    <row r="839" spans="1:7" x14ac:dyDescent="0.25">
      <c r="A839" s="5">
        <v>45809.677083333336</v>
      </c>
      <c r="B839">
        <v>26</v>
      </c>
      <c r="C839" t="s">
        <v>32</v>
      </c>
      <c r="D839" t="s">
        <v>33</v>
      </c>
      <c r="E839">
        <v>1.49</v>
      </c>
      <c r="F839">
        <v>3.37</v>
      </c>
      <c r="G839" s="8">
        <f t="shared" si="13"/>
        <v>26.528189910979229</v>
      </c>
    </row>
    <row r="840" spans="1:7" x14ac:dyDescent="0.25">
      <c r="A840" s="5">
        <v>45809.677083333336</v>
      </c>
      <c r="B840">
        <v>27</v>
      </c>
      <c r="C840" t="s">
        <v>33</v>
      </c>
      <c r="D840" t="s">
        <v>34</v>
      </c>
      <c r="E840">
        <v>1.53</v>
      </c>
      <c r="F840">
        <v>3.52</v>
      </c>
      <c r="G840" s="8">
        <f t="shared" si="13"/>
        <v>26.079545454545453</v>
      </c>
    </row>
    <row r="841" spans="1:7" x14ac:dyDescent="0.25">
      <c r="A841" s="5">
        <v>45809.677083333336</v>
      </c>
      <c r="B841">
        <v>28</v>
      </c>
      <c r="C841" t="s">
        <v>34</v>
      </c>
      <c r="D841" t="s">
        <v>35</v>
      </c>
      <c r="E841">
        <v>1.51</v>
      </c>
      <c r="F841">
        <v>3.53</v>
      </c>
      <c r="G841" s="8">
        <f t="shared" si="13"/>
        <v>25.665722379603398</v>
      </c>
    </row>
    <row r="842" spans="1:7" x14ac:dyDescent="0.25">
      <c r="A842" s="5">
        <v>45809.677083333336</v>
      </c>
      <c r="B842">
        <v>29</v>
      </c>
      <c r="C842" t="s">
        <v>36</v>
      </c>
      <c r="D842" t="s">
        <v>37</v>
      </c>
      <c r="E842">
        <v>1.57</v>
      </c>
      <c r="F842">
        <v>3.02</v>
      </c>
      <c r="G842" s="8">
        <f t="shared" si="13"/>
        <v>31.192052980132452</v>
      </c>
    </row>
    <row r="843" spans="1:7" x14ac:dyDescent="0.25">
      <c r="A843" s="5">
        <v>45809.677083333336</v>
      </c>
      <c r="B843">
        <v>30</v>
      </c>
      <c r="C843" t="s">
        <v>37</v>
      </c>
      <c r="D843" t="s">
        <v>38</v>
      </c>
      <c r="E843">
        <v>1.57</v>
      </c>
      <c r="F843">
        <v>3.63</v>
      </c>
      <c r="G843" s="8">
        <f t="shared" si="13"/>
        <v>25.950413223140497</v>
      </c>
    </row>
    <row r="844" spans="1:7" x14ac:dyDescent="0.25">
      <c r="A844" s="5">
        <v>45809.677083333336</v>
      </c>
      <c r="B844">
        <v>31</v>
      </c>
      <c r="C844" t="s">
        <v>38</v>
      </c>
      <c r="D844" t="s">
        <v>39</v>
      </c>
      <c r="E844">
        <v>1.52</v>
      </c>
      <c r="F844">
        <v>2.65</v>
      </c>
      <c r="G844" s="8">
        <f t="shared" si="13"/>
        <v>34.415094339622641</v>
      </c>
    </row>
    <row r="845" spans="1:7" x14ac:dyDescent="0.25">
      <c r="A845" s="5">
        <v>45809.677083333336</v>
      </c>
      <c r="B845">
        <v>32</v>
      </c>
      <c r="C845" t="s">
        <v>39</v>
      </c>
      <c r="D845" t="s">
        <v>40</v>
      </c>
      <c r="E845">
        <v>1.5</v>
      </c>
      <c r="F845">
        <v>1.77</v>
      </c>
      <c r="G845" s="8">
        <f t="shared" si="13"/>
        <v>50.847457627118644</v>
      </c>
    </row>
    <row r="846" spans="1:7" x14ac:dyDescent="0.25">
      <c r="A846" s="5">
        <v>45809.677083333336</v>
      </c>
      <c r="B846">
        <v>33</v>
      </c>
      <c r="C846" t="s">
        <v>40</v>
      </c>
      <c r="D846" t="s">
        <v>41</v>
      </c>
      <c r="E846">
        <v>1.51</v>
      </c>
      <c r="F846">
        <v>1.7</v>
      </c>
      <c r="G846" s="8">
        <f t="shared" si="13"/>
        <v>53.294117647058819</v>
      </c>
    </row>
    <row r="847" spans="1:7" x14ac:dyDescent="0.25">
      <c r="A847" s="5">
        <v>45809.677083333336</v>
      </c>
      <c r="B847">
        <v>34</v>
      </c>
      <c r="C847" t="s">
        <v>41</v>
      </c>
      <c r="D847" t="s">
        <v>42</v>
      </c>
      <c r="E847">
        <v>1.5</v>
      </c>
      <c r="F847">
        <v>1.9</v>
      </c>
      <c r="G847" s="8">
        <f t="shared" si="13"/>
        <v>47.368421052631582</v>
      </c>
    </row>
    <row r="848" spans="1:7" x14ac:dyDescent="0.25">
      <c r="A848" s="5">
        <v>45809.677083333336</v>
      </c>
      <c r="B848">
        <v>35</v>
      </c>
      <c r="C848" t="s">
        <v>43</v>
      </c>
      <c r="D848" t="s">
        <v>44</v>
      </c>
      <c r="E848">
        <v>1.55</v>
      </c>
      <c r="F848">
        <v>3.1</v>
      </c>
      <c r="G848" s="8">
        <f t="shared" si="13"/>
        <v>30</v>
      </c>
    </row>
    <row r="849" spans="1:7" x14ac:dyDescent="0.25">
      <c r="A849" s="5">
        <v>45809.677083333336</v>
      </c>
      <c r="B849">
        <v>36</v>
      </c>
      <c r="C849" t="s">
        <v>44</v>
      </c>
      <c r="D849" t="s">
        <v>45</v>
      </c>
      <c r="E849">
        <v>1.5</v>
      </c>
      <c r="F849">
        <v>2.72</v>
      </c>
      <c r="G849" s="8">
        <f t="shared" si="13"/>
        <v>33.088235294117645</v>
      </c>
    </row>
    <row r="850" spans="1:7" x14ac:dyDescent="0.25">
      <c r="A850" s="5">
        <v>45809.677083333336</v>
      </c>
      <c r="B850">
        <v>37</v>
      </c>
      <c r="C850" t="s">
        <v>45</v>
      </c>
      <c r="D850" t="s">
        <v>46</v>
      </c>
      <c r="E850">
        <v>1.38</v>
      </c>
      <c r="F850">
        <v>3.58</v>
      </c>
      <c r="G850" s="8">
        <f t="shared" si="13"/>
        <v>23.128491620111731</v>
      </c>
    </row>
    <row r="851" spans="1:7" x14ac:dyDescent="0.25">
      <c r="A851" s="5">
        <v>45809.677083333336</v>
      </c>
      <c r="B851">
        <v>38</v>
      </c>
      <c r="C851" t="s">
        <v>46</v>
      </c>
      <c r="D851" t="s">
        <v>47</v>
      </c>
      <c r="E851">
        <v>1.61</v>
      </c>
      <c r="F851">
        <v>3.67</v>
      </c>
      <c r="G851" s="8">
        <f t="shared" si="13"/>
        <v>26.321525885558586</v>
      </c>
    </row>
    <row r="852" spans="1:7" x14ac:dyDescent="0.25">
      <c r="A852" s="5">
        <v>45809.677083333336</v>
      </c>
      <c r="B852">
        <v>39</v>
      </c>
      <c r="C852" t="s">
        <v>47</v>
      </c>
      <c r="D852" t="s">
        <v>48</v>
      </c>
      <c r="E852">
        <v>1.55</v>
      </c>
      <c r="F852">
        <v>3.12</v>
      </c>
      <c r="G852" s="8">
        <f t="shared" si="13"/>
        <v>29.807692307692307</v>
      </c>
    </row>
    <row r="853" spans="1:7" x14ac:dyDescent="0.25">
      <c r="A853" s="5">
        <v>45809.677083333336</v>
      </c>
      <c r="B853">
        <v>40</v>
      </c>
      <c r="C853" t="s">
        <v>48</v>
      </c>
      <c r="D853" t="s">
        <v>49</v>
      </c>
      <c r="E853">
        <v>1.39</v>
      </c>
      <c r="F853">
        <v>2.85</v>
      </c>
      <c r="G853" s="8">
        <f t="shared" si="13"/>
        <v>29.263157894736839</v>
      </c>
    </row>
    <row r="854" spans="1:7" x14ac:dyDescent="0.25">
      <c r="A854" s="5">
        <v>45809.677083333336</v>
      </c>
      <c r="B854">
        <v>41</v>
      </c>
      <c r="C854" t="s">
        <v>50</v>
      </c>
      <c r="D854" t="s">
        <v>51</v>
      </c>
      <c r="E854">
        <v>1.56</v>
      </c>
      <c r="F854">
        <v>3.53</v>
      </c>
      <c r="G854" s="8">
        <f t="shared" si="13"/>
        <v>26.515580736543914</v>
      </c>
    </row>
    <row r="855" spans="1:7" x14ac:dyDescent="0.25">
      <c r="A855" s="5">
        <v>45809.677083333336</v>
      </c>
      <c r="B855">
        <v>42</v>
      </c>
      <c r="C855" t="s">
        <v>51</v>
      </c>
      <c r="D855" t="s">
        <v>52</v>
      </c>
      <c r="E855">
        <v>1.56</v>
      </c>
      <c r="F855">
        <v>3.48</v>
      </c>
      <c r="G855" s="8">
        <f t="shared" si="13"/>
        <v>26.896551724137932</v>
      </c>
    </row>
    <row r="856" spans="1:7" x14ac:dyDescent="0.25">
      <c r="A856" s="5">
        <v>45809.677083333336</v>
      </c>
      <c r="B856">
        <v>43</v>
      </c>
      <c r="C856" t="s">
        <v>52</v>
      </c>
      <c r="D856" t="s">
        <v>53</v>
      </c>
      <c r="E856">
        <v>1.51</v>
      </c>
      <c r="F856">
        <v>3.22</v>
      </c>
      <c r="G856" s="8">
        <f t="shared" si="13"/>
        <v>28.136645962732917</v>
      </c>
    </row>
    <row r="857" spans="1:7" x14ac:dyDescent="0.25">
      <c r="A857" s="5">
        <v>45809.677083333336</v>
      </c>
      <c r="B857">
        <v>44</v>
      </c>
      <c r="C857" t="s">
        <v>54</v>
      </c>
      <c r="D857" t="s">
        <v>55</v>
      </c>
      <c r="E857">
        <v>1.51</v>
      </c>
      <c r="F857">
        <v>3.77</v>
      </c>
      <c r="G857" s="8">
        <f t="shared" si="13"/>
        <v>24.031830238726791</v>
      </c>
    </row>
    <row r="858" spans="1:7" x14ac:dyDescent="0.25">
      <c r="A858" s="5">
        <v>45809.677083333336</v>
      </c>
      <c r="B858">
        <v>45</v>
      </c>
      <c r="C858" t="s">
        <v>55</v>
      </c>
      <c r="D858" t="s">
        <v>56</v>
      </c>
      <c r="E858">
        <v>1.49</v>
      </c>
      <c r="F858">
        <v>3.02</v>
      </c>
      <c r="G858" s="8">
        <f t="shared" si="13"/>
        <v>29.602649006622517</v>
      </c>
    </row>
    <row r="859" spans="1:7" x14ac:dyDescent="0.25">
      <c r="A859" s="5">
        <v>45809.677083333336</v>
      </c>
      <c r="B859">
        <v>46</v>
      </c>
      <c r="C859" t="s">
        <v>56</v>
      </c>
      <c r="D859" t="s">
        <v>57</v>
      </c>
      <c r="E859">
        <v>1.52</v>
      </c>
      <c r="F859">
        <v>3.43</v>
      </c>
      <c r="G859" s="8">
        <f t="shared" si="13"/>
        <v>26.588921282798832</v>
      </c>
    </row>
    <row r="860" spans="1:7" x14ac:dyDescent="0.25">
      <c r="A860" s="5">
        <v>45809.677083333336</v>
      </c>
      <c r="B860">
        <v>47</v>
      </c>
      <c r="C860" t="s">
        <v>58</v>
      </c>
      <c r="D860" t="s">
        <v>59</v>
      </c>
      <c r="E860">
        <v>1.52</v>
      </c>
      <c r="F860">
        <v>3.43</v>
      </c>
      <c r="G860" s="8">
        <f t="shared" si="13"/>
        <v>26.588921282798832</v>
      </c>
    </row>
    <row r="861" spans="1:7" x14ac:dyDescent="0.25">
      <c r="A861" s="5">
        <v>45809.677083333336</v>
      </c>
      <c r="B861">
        <v>48</v>
      </c>
      <c r="C861" t="s">
        <v>59</v>
      </c>
      <c r="D861" t="s">
        <v>60</v>
      </c>
      <c r="E861">
        <v>1.5</v>
      </c>
      <c r="F861">
        <v>3.38</v>
      </c>
      <c r="G861" s="8">
        <f t="shared" si="13"/>
        <v>26.627218934911244</v>
      </c>
    </row>
    <row r="862" spans="1:7" x14ac:dyDescent="0.25">
      <c r="A862" s="5">
        <v>45809.677083333336</v>
      </c>
      <c r="B862">
        <v>49</v>
      </c>
      <c r="C862" t="s">
        <v>60</v>
      </c>
      <c r="D862" t="s">
        <v>61</v>
      </c>
      <c r="E862">
        <v>1.54</v>
      </c>
      <c r="F862">
        <v>3.78</v>
      </c>
      <c r="G862" s="8">
        <f t="shared" si="13"/>
        <v>24.444444444444446</v>
      </c>
    </row>
    <row r="863" spans="1:7" x14ac:dyDescent="0.25">
      <c r="A863" s="5">
        <v>45809.677083333336</v>
      </c>
      <c r="B863">
        <v>50</v>
      </c>
      <c r="C863" t="s">
        <v>62</v>
      </c>
      <c r="D863" t="s">
        <v>63</v>
      </c>
      <c r="E863">
        <v>1.38</v>
      </c>
      <c r="F863">
        <v>3</v>
      </c>
      <c r="G863" s="8">
        <f t="shared" si="13"/>
        <v>27.599999999999998</v>
      </c>
    </row>
    <row r="864" spans="1:7" x14ac:dyDescent="0.25">
      <c r="A864" s="5">
        <v>45809.677083333336</v>
      </c>
      <c r="B864">
        <v>51</v>
      </c>
      <c r="C864" t="s">
        <v>63</v>
      </c>
      <c r="D864" t="s">
        <v>64</v>
      </c>
      <c r="E864">
        <v>2.79</v>
      </c>
      <c r="F864">
        <v>5.27</v>
      </c>
      <c r="G864" s="8">
        <f t="shared" si="13"/>
        <v>31.764705882352946</v>
      </c>
    </row>
    <row r="865" spans="1:7" x14ac:dyDescent="0.25">
      <c r="A865" s="5">
        <v>45809.677083333336</v>
      </c>
      <c r="B865">
        <v>52</v>
      </c>
      <c r="C865" t="s">
        <v>64</v>
      </c>
      <c r="D865" t="s">
        <v>65</v>
      </c>
      <c r="E865">
        <v>1.5</v>
      </c>
      <c r="F865">
        <v>2.72</v>
      </c>
      <c r="G865" s="8">
        <f t="shared" si="13"/>
        <v>33.088235294117645</v>
      </c>
    </row>
    <row r="866" spans="1:7" x14ac:dyDescent="0.25">
      <c r="A866" s="5">
        <v>45809.677083333336</v>
      </c>
      <c r="B866">
        <v>53</v>
      </c>
      <c r="C866" t="s">
        <v>65</v>
      </c>
      <c r="D866" t="s">
        <v>66</v>
      </c>
      <c r="E866">
        <v>1.46</v>
      </c>
      <c r="F866">
        <v>3.95</v>
      </c>
      <c r="G866" s="8">
        <f t="shared" si="13"/>
        <v>22.177215189873415</v>
      </c>
    </row>
    <row r="867" spans="1:7" x14ac:dyDescent="0.25">
      <c r="A867" s="5">
        <v>45809.677083333336</v>
      </c>
      <c r="B867">
        <v>54</v>
      </c>
      <c r="C867" t="s">
        <v>67</v>
      </c>
      <c r="D867" t="s">
        <v>68</v>
      </c>
      <c r="E867">
        <v>1.46</v>
      </c>
      <c r="F867">
        <v>2.38</v>
      </c>
      <c r="G867" s="8">
        <f t="shared" si="13"/>
        <v>36.806722689075627</v>
      </c>
    </row>
    <row r="868" spans="1:7" x14ac:dyDescent="0.25">
      <c r="A868" s="5">
        <v>45809.677083333336</v>
      </c>
      <c r="B868">
        <v>55</v>
      </c>
      <c r="C868" t="s">
        <v>68</v>
      </c>
      <c r="D868" t="s">
        <v>69</v>
      </c>
      <c r="E868">
        <v>1.5</v>
      </c>
      <c r="F868">
        <v>1.87</v>
      </c>
      <c r="G868" s="8">
        <f t="shared" si="13"/>
        <v>48.128342245989302</v>
      </c>
    </row>
    <row r="869" spans="1:7" x14ac:dyDescent="0.25">
      <c r="A869" s="5">
        <v>45809.677083333336</v>
      </c>
      <c r="B869">
        <v>56</v>
      </c>
      <c r="C869" t="s">
        <v>70</v>
      </c>
      <c r="D869" t="s">
        <v>71</v>
      </c>
      <c r="E869">
        <v>1.51</v>
      </c>
      <c r="F869">
        <v>3.75</v>
      </c>
      <c r="G869" s="8">
        <f t="shared" si="13"/>
        <v>24.16</v>
      </c>
    </row>
    <row r="870" spans="1:7" x14ac:dyDescent="0.25">
      <c r="A870" s="5">
        <v>45809.677083333336</v>
      </c>
      <c r="B870">
        <v>57</v>
      </c>
      <c r="C870" t="s">
        <v>71</v>
      </c>
      <c r="D870" t="s">
        <v>72</v>
      </c>
      <c r="E870">
        <v>1.52</v>
      </c>
      <c r="F870">
        <v>3.68</v>
      </c>
      <c r="G870" s="8">
        <f t="shared" si="13"/>
        <v>24.782608695652172</v>
      </c>
    </row>
    <row r="871" spans="1:7" x14ac:dyDescent="0.25">
      <c r="A871" s="5">
        <v>45809.677083333336</v>
      </c>
      <c r="B871">
        <v>58</v>
      </c>
      <c r="C871" t="s">
        <v>72</v>
      </c>
      <c r="D871" t="s">
        <v>73</v>
      </c>
      <c r="E871">
        <v>1.5</v>
      </c>
      <c r="F871">
        <v>3.22</v>
      </c>
      <c r="G871" s="8">
        <f t="shared" si="13"/>
        <v>27.950310559006208</v>
      </c>
    </row>
    <row r="872" spans="1:7" x14ac:dyDescent="0.25">
      <c r="A872" s="5">
        <v>45809.6875</v>
      </c>
      <c r="B872">
        <v>1</v>
      </c>
      <c r="C872" t="s">
        <v>6</v>
      </c>
      <c r="D872" t="s">
        <v>7</v>
      </c>
      <c r="E872">
        <v>1.53</v>
      </c>
      <c r="F872">
        <v>3.05</v>
      </c>
      <c r="G872" s="8">
        <f t="shared" si="13"/>
        <v>30.098360655737707</v>
      </c>
    </row>
    <row r="873" spans="1:7" x14ac:dyDescent="0.25">
      <c r="A873" s="5">
        <v>45809.6875</v>
      </c>
      <c r="B873">
        <v>2</v>
      </c>
      <c r="C873" t="s">
        <v>7</v>
      </c>
      <c r="D873" t="s">
        <v>8</v>
      </c>
      <c r="E873">
        <v>1.57</v>
      </c>
      <c r="F873">
        <v>4.2</v>
      </c>
      <c r="G873" s="8">
        <f t="shared" si="13"/>
        <v>22.428571428571427</v>
      </c>
    </row>
    <row r="874" spans="1:7" x14ac:dyDescent="0.25">
      <c r="A874" s="5">
        <v>45809.6875</v>
      </c>
      <c r="B874">
        <v>3</v>
      </c>
      <c r="C874" t="s">
        <v>8</v>
      </c>
      <c r="D874" t="s">
        <v>9</v>
      </c>
      <c r="E874">
        <v>1.5</v>
      </c>
      <c r="F874">
        <v>2.82</v>
      </c>
      <c r="G874" s="8">
        <f t="shared" si="13"/>
        <v>31.914893617021278</v>
      </c>
    </row>
    <row r="875" spans="1:7" x14ac:dyDescent="0.25">
      <c r="A875" s="5">
        <v>45809.6875</v>
      </c>
      <c r="B875">
        <v>4</v>
      </c>
      <c r="C875" t="s">
        <v>9</v>
      </c>
      <c r="D875" t="s">
        <v>10</v>
      </c>
      <c r="E875">
        <v>1.5</v>
      </c>
      <c r="F875">
        <v>2.73</v>
      </c>
      <c r="G875" s="8">
        <f t="shared" si="13"/>
        <v>32.967032967032971</v>
      </c>
    </row>
    <row r="876" spans="1:7" x14ac:dyDescent="0.25">
      <c r="A876" s="5">
        <v>45809.6875</v>
      </c>
      <c r="B876">
        <v>5</v>
      </c>
      <c r="C876" t="s">
        <v>10</v>
      </c>
      <c r="D876" t="s">
        <v>11</v>
      </c>
      <c r="E876">
        <v>1.52</v>
      </c>
      <c r="F876">
        <v>3</v>
      </c>
      <c r="G876" s="8">
        <f t="shared" si="13"/>
        <v>30.400000000000002</v>
      </c>
    </row>
    <row r="877" spans="1:7" x14ac:dyDescent="0.25">
      <c r="A877" s="5">
        <v>45809.6875</v>
      </c>
      <c r="B877">
        <v>6</v>
      </c>
      <c r="C877" t="s">
        <v>11</v>
      </c>
      <c r="D877" t="s">
        <v>12</v>
      </c>
      <c r="E877">
        <v>1.5</v>
      </c>
      <c r="F877">
        <v>2.5299999999999998</v>
      </c>
      <c r="G877" s="8">
        <f t="shared" si="13"/>
        <v>35.573122529644273</v>
      </c>
    </row>
    <row r="878" spans="1:7" x14ac:dyDescent="0.25">
      <c r="A878" s="5">
        <v>45809.6875</v>
      </c>
      <c r="B878">
        <v>7</v>
      </c>
      <c r="C878" t="s">
        <v>12</v>
      </c>
      <c r="D878" t="s">
        <v>13</v>
      </c>
      <c r="E878">
        <v>1.54</v>
      </c>
      <c r="F878">
        <v>2.73</v>
      </c>
      <c r="G878" s="8">
        <f t="shared" si="13"/>
        <v>33.846153846153847</v>
      </c>
    </row>
    <row r="879" spans="1:7" x14ac:dyDescent="0.25">
      <c r="A879" s="5">
        <v>45809.6875</v>
      </c>
      <c r="B879">
        <v>8</v>
      </c>
      <c r="C879" t="s">
        <v>13</v>
      </c>
      <c r="D879" t="s">
        <v>14</v>
      </c>
      <c r="E879">
        <v>1.54</v>
      </c>
      <c r="F879">
        <v>3.07</v>
      </c>
      <c r="G879" s="8">
        <f t="shared" si="13"/>
        <v>30.097719869706843</v>
      </c>
    </row>
    <row r="880" spans="1:7" x14ac:dyDescent="0.25">
      <c r="A880" s="5">
        <v>45809.6875</v>
      </c>
      <c r="B880">
        <v>9</v>
      </c>
      <c r="C880" t="s">
        <v>14</v>
      </c>
      <c r="D880" t="s">
        <v>15</v>
      </c>
      <c r="E880">
        <v>1.52</v>
      </c>
      <c r="F880">
        <v>3.33</v>
      </c>
      <c r="G880" s="8">
        <f t="shared" si="13"/>
        <v>27.387387387387388</v>
      </c>
    </row>
    <row r="881" spans="1:7" x14ac:dyDescent="0.25">
      <c r="A881" s="5">
        <v>45809.6875</v>
      </c>
      <c r="B881">
        <v>10</v>
      </c>
      <c r="C881" t="s">
        <v>15</v>
      </c>
      <c r="D881" t="s">
        <v>16</v>
      </c>
      <c r="E881">
        <v>1.5</v>
      </c>
      <c r="F881">
        <v>3.35</v>
      </c>
      <c r="G881" s="8">
        <f t="shared" si="13"/>
        <v>26.865671641791042</v>
      </c>
    </row>
    <row r="882" spans="1:7" x14ac:dyDescent="0.25">
      <c r="A882" s="5">
        <v>45809.6875</v>
      </c>
      <c r="B882">
        <v>11</v>
      </c>
      <c r="C882" t="s">
        <v>16</v>
      </c>
      <c r="D882" t="s">
        <v>17</v>
      </c>
      <c r="E882">
        <v>1.48</v>
      </c>
      <c r="F882">
        <v>2.33</v>
      </c>
      <c r="G882" s="8">
        <f t="shared" si="13"/>
        <v>38.111587982832617</v>
      </c>
    </row>
    <row r="883" spans="1:7" x14ac:dyDescent="0.25">
      <c r="A883" s="5">
        <v>45809.6875</v>
      </c>
      <c r="B883">
        <v>12</v>
      </c>
      <c r="C883" t="s">
        <v>17</v>
      </c>
      <c r="D883" t="s">
        <v>18</v>
      </c>
      <c r="E883">
        <v>1.46</v>
      </c>
      <c r="F883">
        <v>3.22</v>
      </c>
      <c r="G883" s="8">
        <f t="shared" si="13"/>
        <v>27.204968944099374</v>
      </c>
    </row>
    <row r="884" spans="1:7" x14ac:dyDescent="0.25">
      <c r="A884" s="5">
        <v>45809.6875</v>
      </c>
      <c r="B884">
        <v>13</v>
      </c>
      <c r="C884" t="s">
        <v>18</v>
      </c>
      <c r="D884" t="s">
        <v>19</v>
      </c>
      <c r="E884">
        <v>1.52</v>
      </c>
      <c r="F884">
        <v>3.17</v>
      </c>
      <c r="G884" s="8">
        <f t="shared" si="13"/>
        <v>28.769716088328078</v>
      </c>
    </row>
    <row r="885" spans="1:7" x14ac:dyDescent="0.25">
      <c r="A885" s="5">
        <v>45809.6875</v>
      </c>
      <c r="B885">
        <v>14</v>
      </c>
      <c r="C885" t="s">
        <v>19</v>
      </c>
      <c r="D885" t="s">
        <v>20</v>
      </c>
      <c r="E885">
        <v>1.51</v>
      </c>
      <c r="F885">
        <v>3.1</v>
      </c>
      <c r="G885" s="8">
        <f t="shared" si="13"/>
        <v>29.2258064516129</v>
      </c>
    </row>
    <row r="886" spans="1:7" x14ac:dyDescent="0.25">
      <c r="A886" s="5">
        <v>45809.6875</v>
      </c>
      <c r="B886">
        <v>15</v>
      </c>
      <c r="C886" t="s">
        <v>20</v>
      </c>
      <c r="D886" t="s">
        <v>21</v>
      </c>
      <c r="E886">
        <v>1.47</v>
      </c>
      <c r="F886">
        <v>2.15</v>
      </c>
      <c r="G886" s="8">
        <f t="shared" si="13"/>
        <v>41.02325581395349</v>
      </c>
    </row>
    <row r="887" spans="1:7" x14ac:dyDescent="0.25">
      <c r="A887" s="5">
        <v>45809.6875</v>
      </c>
      <c r="B887">
        <v>16</v>
      </c>
      <c r="C887" t="s">
        <v>21</v>
      </c>
      <c r="D887" t="s">
        <v>22</v>
      </c>
      <c r="E887">
        <v>1.5</v>
      </c>
      <c r="F887">
        <v>1.75</v>
      </c>
      <c r="G887" s="8">
        <f t="shared" si="13"/>
        <v>51.428571428571431</v>
      </c>
    </row>
    <row r="888" spans="1:7" x14ac:dyDescent="0.25">
      <c r="A888" s="5">
        <v>45809.6875</v>
      </c>
      <c r="B888">
        <v>17</v>
      </c>
      <c r="C888" t="s">
        <v>22</v>
      </c>
      <c r="D888" t="s">
        <v>23</v>
      </c>
      <c r="E888">
        <v>1.51</v>
      </c>
      <c r="F888">
        <v>2.57</v>
      </c>
      <c r="G888" s="8">
        <f t="shared" si="13"/>
        <v>35.252918287937746</v>
      </c>
    </row>
    <row r="889" spans="1:7" x14ac:dyDescent="0.25">
      <c r="A889" s="5">
        <v>45809.6875</v>
      </c>
      <c r="B889">
        <v>18</v>
      </c>
      <c r="C889" t="s">
        <v>23</v>
      </c>
      <c r="D889" t="s">
        <v>24</v>
      </c>
      <c r="E889">
        <v>1.51</v>
      </c>
      <c r="F889">
        <v>2.73</v>
      </c>
      <c r="G889" s="8">
        <f t="shared" si="13"/>
        <v>33.186813186813183</v>
      </c>
    </row>
    <row r="890" spans="1:7" x14ac:dyDescent="0.25">
      <c r="A890" s="5">
        <v>45809.6875</v>
      </c>
      <c r="B890">
        <v>19</v>
      </c>
      <c r="C890" t="s">
        <v>25</v>
      </c>
      <c r="D890" t="s">
        <v>26</v>
      </c>
      <c r="E890">
        <v>1.5</v>
      </c>
      <c r="F890">
        <v>3.33</v>
      </c>
      <c r="G890" s="8">
        <f t="shared" si="13"/>
        <v>27.027027027027028</v>
      </c>
    </row>
    <row r="891" spans="1:7" x14ac:dyDescent="0.25">
      <c r="A891" s="5">
        <v>45809.6875</v>
      </c>
      <c r="B891">
        <v>20</v>
      </c>
      <c r="C891" t="s">
        <v>26</v>
      </c>
      <c r="D891" t="s">
        <v>27</v>
      </c>
      <c r="E891">
        <v>1.48</v>
      </c>
      <c r="F891">
        <v>3.13</v>
      </c>
      <c r="G891" s="8">
        <f t="shared" si="13"/>
        <v>28.370607028753994</v>
      </c>
    </row>
    <row r="892" spans="1:7" x14ac:dyDescent="0.25">
      <c r="A892" s="5">
        <v>45809.6875</v>
      </c>
      <c r="B892">
        <v>21</v>
      </c>
      <c r="C892" t="s">
        <v>27</v>
      </c>
      <c r="D892" t="s">
        <v>28</v>
      </c>
      <c r="E892">
        <v>1.51</v>
      </c>
      <c r="F892">
        <v>2.8</v>
      </c>
      <c r="G892" s="8">
        <f t="shared" si="13"/>
        <v>32.357142857142854</v>
      </c>
    </row>
    <row r="893" spans="1:7" x14ac:dyDescent="0.25">
      <c r="A893" s="5">
        <v>45809.6875</v>
      </c>
      <c r="B893">
        <v>22</v>
      </c>
      <c r="C893" t="s">
        <v>28</v>
      </c>
      <c r="D893" t="s">
        <v>29</v>
      </c>
      <c r="E893">
        <v>1.57</v>
      </c>
      <c r="F893">
        <v>3.1</v>
      </c>
      <c r="G893" s="8">
        <f t="shared" si="13"/>
        <v>30.387096774193548</v>
      </c>
    </row>
    <row r="894" spans="1:7" x14ac:dyDescent="0.25">
      <c r="A894" s="5">
        <v>45809.6875</v>
      </c>
      <c r="B894">
        <v>23</v>
      </c>
      <c r="C894" t="s">
        <v>29</v>
      </c>
      <c r="D894" t="s">
        <v>30</v>
      </c>
      <c r="E894">
        <v>1.43</v>
      </c>
      <c r="F894">
        <v>3.18</v>
      </c>
      <c r="G894" s="8">
        <f t="shared" si="13"/>
        <v>26.981132075471695</v>
      </c>
    </row>
    <row r="895" spans="1:7" x14ac:dyDescent="0.25">
      <c r="A895" s="5">
        <v>45809.6875</v>
      </c>
      <c r="B895">
        <v>24</v>
      </c>
      <c r="C895" t="s">
        <v>30</v>
      </c>
      <c r="D895" t="s">
        <v>31</v>
      </c>
      <c r="E895">
        <v>1.52</v>
      </c>
      <c r="F895">
        <v>2.93</v>
      </c>
      <c r="G895" s="8">
        <f t="shared" si="13"/>
        <v>31.126279863481226</v>
      </c>
    </row>
    <row r="896" spans="1:7" x14ac:dyDescent="0.25">
      <c r="A896" s="5">
        <v>45809.6875</v>
      </c>
      <c r="B896">
        <v>25</v>
      </c>
      <c r="C896" t="s">
        <v>31</v>
      </c>
      <c r="D896" t="s">
        <v>32</v>
      </c>
      <c r="E896">
        <v>1.52</v>
      </c>
      <c r="F896">
        <v>3.05</v>
      </c>
      <c r="G896" s="8">
        <f t="shared" si="13"/>
        <v>29.901639344262296</v>
      </c>
    </row>
    <row r="897" spans="1:7" x14ac:dyDescent="0.25">
      <c r="A897" s="5">
        <v>45809.6875</v>
      </c>
      <c r="B897">
        <v>26</v>
      </c>
      <c r="C897" t="s">
        <v>32</v>
      </c>
      <c r="D897" t="s">
        <v>33</v>
      </c>
      <c r="E897">
        <v>1.49</v>
      </c>
      <c r="F897">
        <v>3.3</v>
      </c>
      <c r="G897" s="8">
        <f t="shared" si="13"/>
        <v>27.090909090909093</v>
      </c>
    </row>
    <row r="898" spans="1:7" x14ac:dyDescent="0.25">
      <c r="A898" s="5">
        <v>45809.6875</v>
      </c>
      <c r="B898">
        <v>27</v>
      </c>
      <c r="C898" t="s">
        <v>33</v>
      </c>
      <c r="D898" t="s">
        <v>34</v>
      </c>
      <c r="E898">
        <v>1.53</v>
      </c>
      <c r="F898">
        <v>3.73</v>
      </c>
      <c r="G898" s="8">
        <f t="shared" si="13"/>
        <v>24.611260053619301</v>
      </c>
    </row>
    <row r="899" spans="1:7" x14ac:dyDescent="0.25">
      <c r="A899" s="5">
        <v>45809.6875</v>
      </c>
      <c r="B899">
        <v>28</v>
      </c>
      <c r="C899" t="s">
        <v>34</v>
      </c>
      <c r="D899" t="s">
        <v>35</v>
      </c>
      <c r="E899">
        <v>1.51</v>
      </c>
      <c r="F899">
        <v>3.67</v>
      </c>
      <c r="G899" s="8">
        <f t="shared" ref="G899:G962" si="14">E899*60/F899</f>
        <v>24.686648501362395</v>
      </c>
    </row>
    <row r="900" spans="1:7" x14ac:dyDescent="0.25">
      <c r="A900" s="5">
        <v>45809.6875</v>
      </c>
      <c r="B900">
        <v>29</v>
      </c>
      <c r="C900" t="s">
        <v>36</v>
      </c>
      <c r="D900" t="s">
        <v>37</v>
      </c>
      <c r="E900">
        <v>1.57</v>
      </c>
      <c r="F900">
        <v>3.1</v>
      </c>
      <c r="G900" s="8">
        <f t="shared" si="14"/>
        <v>30.387096774193548</v>
      </c>
    </row>
    <row r="901" spans="1:7" x14ac:dyDescent="0.25">
      <c r="A901" s="5">
        <v>45809.6875</v>
      </c>
      <c r="B901">
        <v>30</v>
      </c>
      <c r="C901" t="s">
        <v>37</v>
      </c>
      <c r="D901" t="s">
        <v>38</v>
      </c>
      <c r="E901">
        <v>1.57</v>
      </c>
      <c r="F901">
        <v>3.58</v>
      </c>
      <c r="G901" s="8">
        <f t="shared" si="14"/>
        <v>26.312849162011172</v>
      </c>
    </row>
    <row r="902" spans="1:7" x14ac:dyDescent="0.25">
      <c r="A902" s="5">
        <v>45809.6875</v>
      </c>
      <c r="B902">
        <v>31</v>
      </c>
      <c r="C902" t="s">
        <v>38</v>
      </c>
      <c r="D902" t="s">
        <v>39</v>
      </c>
      <c r="E902">
        <v>1.52</v>
      </c>
      <c r="F902">
        <v>2.5299999999999998</v>
      </c>
      <c r="G902" s="8">
        <f t="shared" si="14"/>
        <v>36.047430830039531</v>
      </c>
    </row>
    <row r="903" spans="1:7" x14ac:dyDescent="0.25">
      <c r="A903" s="5">
        <v>45809.6875</v>
      </c>
      <c r="B903">
        <v>32</v>
      </c>
      <c r="C903" t="s">
        <v>39</v>
      </c>
      <c r="D903" t="s">
        <v>40</v>
      </c>
      <c r="E903">
        <v>1.5</v>
      </c>
      <c r="F903">
        <v>1.77</v>
      </c>
      <c r="G903" s="8">
        <f t="shared" si="14"/>
        <v>50.847457627118644</v>
      </c>
    </row>
    <row r="904" spans="1:7" x14ac:dyDescent="0.25">
      <c r="A904" s="5">
        <v>45809.6875</v>
      </c>
      <c r="B904">
        <v>33</v>
      </c>
      <c r="C904" t="s">
        <v>40</v>
      </c>
      <c r="D904" t="s">
        <v>41</v>
      </c>
      <c r="E904">
        <v>1.51</v>
      </c>
      <c r="F904">
        <v>1.7</v>
      </c>
      <c r="G904" s="8">
        <f t="shared" si="14"/>
        <v>53.294117647058819</v>
      </c>
    </row>
    <row r="905" spans="1:7" x14ac:dyDescent="0.25">
      <c r="A905" s="5">
        <v>45809.6875</v>
      </c>
      <c r="B905">
        <v>34</v>
      </c>
      <c r="C905" t="s">
        <v>41</v>
      </c>
      <c r="D905" t="s">
        <v>42</v>
      </c>
      <c r="E905">
        <v>1.5</v>
      </c>
      <c r="F905">
        <v>1.9</v>
      </c>
      <c r="G905" s="8">
        <f t="shared" si="14"/>
        <v>47.368421052631582</v>
      </c>
    </row>
    <row r="906" spans="1:7" x14ac:dyDescent="0.25">
      <c r="A906" s="5">
        <v>45809.6875</v>
      </c>
      <c r="B906">
        <v>35</v>
      </c>
      <c r="C906" t="s">
        <v>43</v>
      </c>
      <c r="D906" t="s">
        <v>44</v>
      </c>
      <c r="E906">
        <v>1.55</v>
      </c>
      <c r="F906">
        <v>3.22</v>
      </c>
      <c r="G906" s="8">
        <f t="shared" si="14"/>
        <v>28.881987577639748</v>
      </c>
    </row>
    <row r="907" spans="1:7" x14ac:dyDescent="0.25">
      <c r="A907" s="5">
        <v>45809.6875</v>
      </c>
      <c r="B907">
        <v>36</v>
      </c>
      <c r="C907" t="s">
        <v>44</v>
      </c>
      <c r="D907" t="s">
        <v>45</v>
      </c>
      <c r="E907">
        <v>1.5</v>
      </c>
      <c r="F907">
        <v>2.85</v>
      </c>
      <c r="G907" s="8">
        <f t="shared" si="14"/>
        <v>31.578947368421051</v>
      </c>
    </row>
    <row r="908" spans="1:7" x14ac:dyDescent="0.25">
      <c r="A908" s="5">
        <v>45809.6875</v>
      </c>
      <c r="B908">
        <v>37</v>
      </c>
      <c r="C908" t="s">
        <v>45</v>
      </c>
      <c r="D908" t="s">
        <v>46</v>
      </c>
      <c r="E908">
        <v>1.38</v>
      </c>
      <c r="F908">
        <v>3.43</v>
      </c>
      <c r="G908" s="8">
        <f t="shared" si="14"/>
        <v>24.139941690962097</v>
      </c>
    </row>
    <row r="909" spans="1:7" x14ac:dyDescent="0.25">
      <c r="A909" s="5">
        <v>45809.6875</v>
      </c>
      <c r="B909">
        <v>38</v>
      </c>
      <c r="C909" t="s">
        <v>46</v>
      </c>
      <c r="D909" t="s">
        <v>47</v>
      </c>
      <c r="E909">
        <v>1.61</v>
      </c>
      <c r="F909">
        <v>3.78</v>
      </c>
      <c r="G909" s="8">
        <f t="shared" si="14"/>
        <v>25.555555555555561</v>
      </c>
    </row>
    <row r="910" spans="1:7" x14ac:dyDescent="0.25">
      <c r="A910" s="5">
        <v>45809.6875</v>
      </c>
      <c r="B910">
        <v>39</v>
      </c>
      <c r="C910" t="s">
        <v>47</v>
      </c>
      <c r="D910" t="s">
        <v>48</v>
      </c>
      <c r="E910">
        <v>1.55</v>
      </c>
      <c r="F910">
        <v>3.2</v>
      </c>
      <c r="G910" s="8">
        <f t="shared" si="14"/>
        <v>29.0625</v>
      </c>
    </row>
    <row r="911" spans="1:7" x14ac:dyDescent="0.25">
      <c r="A911" s="5">
        <v>45809.6875</v>
      </c>
      <c r="B911">
        <v>40</v>
      </c>
      <c r="C911" t="s">
        <v>48</v>
      </c>
      <c r="D911" t="s">
        <v>49</v>
      </c>
      <c r="E911">
        <v>1.39</v>
      </c>
      <c r="F911">
        <v>2.78</v>
      </c>
      <c r="G911" s="8">
        <f t="shared" si="14"/>
        <v>30</v>
      </c>
    </row>
    <row r="912" spans="1:7" x14ac:dyDescent="0.25">
      <c r="A912" s="5">
        <v>45809.6875</v>
      </c>
      <c r="B912">
        <v>41</v>
      </c>
      <c r="C912" t="s">
        <v>50</v>
      </c>
      <c r="D912" t="s">
        <v>51</v>
      </c>
      <c r="E912">
        <v>1.56</v>
      </c>
      <c r="F912">
        <v>3.63</v>
      </c>
      <c r="G912" s="8">
        <f t="shared" si="14"/>
        <v>25.785123966942152</v>
      </c>
    </row>
    <row r="913" spans="1:7" x14ac:dyDescent="0.25">
      <c r="A913" s="5">
        <v>45809.6875</v>
      </c>
      <c r="B913">
        <v>42</v>
      </c>
      <c r="C913" t="s">
        <v>51</v>
      </c>
      <c r="D913" t="s">
        <v>52</v>
      </c>
      <c r="E913">
        <v>1.56</v>
      </c>
      <c r="F913">
        <v>3.35</v>
      </c>
      <c r="G913" s="8">
        <f t="shared" si="14"/>
        <v>27.940298507462689</v>
      </c>
    </row>
    <row r="914" spans="1:7" x14ac:dyDescent="0.25">
      <c r="A914" s="5">
        <v>45809.6875</v>
      </c>
      <c r="B914">
        <v>43</v>
      </c>
      <c r="C914" t="s">
        <v>52</v>
      </c>
      <c r="D914" t="s">
        <v>53</v>
      </c>
      <c r="E914">
        <v>1.51</v>
      </c>
      <c r="F914">
        <v>3.03</v>
      </c>
      <c r="G914" s="8">
        <f t="shared" si="14"/>
        <v>29.900990099009903</v>
      </c>
    </row>
    <row r="915" spans="1:7" x14ac:dyDescent="0.25">
      <c r="A915" s="5">
        <v>45809.6875</v>
      </c>
      <c r="B915">
        <v>44</v>
      </c>
      <c r="C915" t="s">
        <v>54</v>
      </c>
      <c r="D915" t="s">
        <v>55</v>
      </c>
      <c r="E915">
        <v>1.51</v>
      </c>
      <c r="F915">
        <v>3.92</v>
      </c>
      <c r="G915" s="8">
        <f t="shared" si="14"/>
        <v>23.112244897959183</v>
      </c>
    </row>
    <row r="916" spans="1:7" x14ac:dyDescent="0.25">
      <c r="A916" s="5">
        <v>45809.6875</v>
      </c>
      <c r="B916">
        <v>45</v>
      </c>
      <c r="C916" t="s">
        <v>55</v>
      </c>
      <c r="D916" t="s">
        <v>56</v>
      </c>
      <c r="E916">
        <v>1.49</v>
      </c>
      <c r="F916">
        <v>3.12</v>
      </c>
      <c r="G916" s="8">
        <f t="shared" si="14"/>
        <v>28.653846153846153</v>
      </c>
    </row>
    <row r="917" spans="1:7" x14ac:dyDescent="0.25">
      <c r="A917" s="5">
        <v>45809.6875</v>
      </c>
      <c r="B917">
        <v>46</v>
      </c>
      <c r="C917" t="s">
        <v>56</v>
      </c>
      <c r="D917" t="s">
        <v>57</v>
      </c>
      <c r="E917">
        <v>1.52</v>
      </c>
      <c r="F917">
        <v>3.47</v>
      </c>
      <c r="G917" s="8">
        <f t="shared" si="14"/>
        <v>26.282420749279538</v>
      </c>
    </row>
    <row r="918" spans="1:7" x14ac:dyDescent="0.25">
      <c r="A918" s="5">
        <v>45809.6875</v>
      </c>
      <c r="B918">
        <v>47</v>
      </c>
      <c r="C918" t="s">
        <v>58</v>
      </c>
      <c r="D918" t="s">
        <v>59</v>
      </c>
      <c r="E918">
        <v>1.52</v>
      </c>
      <c r="F918">
        <v>3.53</v>
      </c>
      <c r="G918" s="8">
        <f t="shared" si="14"/>
        <v>25.835694050991503</v>
      </c>
    </row>
    <row r="919" spans="1:7" x14ac:dyDescent="0.25">
      <c r="A919" s="5">
        <v>45809.6875</v>
      </c>
      <c r="B919">
        <v>48</v>
      </c>
      <c r="C919" t="s">
        <v>59</v>
      </c>
      <c r="D919" t="s">
        <v>60</v>
      </c>
      <c r="E919">
        <v>1.5</v>
      </c>
      <c r="F919">
        <v>3.27</v>
      </c>
      <c r="G919" s="8">
        <f t="shared" si="14"/>
        <v>27.522935779816514</v>
      </c>
    </row>
    <row r="920" spans="1:7" x14ac:dyDescent="0.25">
      <c r="A920" s="5">
        <v>45809.6875</v>
      </c>
      <c r="B920">
        <v>49</v>
      </c>
      <c r="C920" t="s">
        <v>60</v>
      </c>
      <c r="D920" t="s">
        <v>61</v>
      </c>
      <c r="E920">
        <v>1.54</v>
      </c>
      <c r="F920">
        <v>3.97</v>
      </c>
      <c r="G920" s="8">
        <f t="shared" si="14"/>
        <v>23.274559193954659</v>
      </c>
    </row>
    <row r="921" spans="1:7" x14ac:dyDescent="0.25">
      <c r="A921" s="5">
        <v>45809.6875</v>
      </c>
      <c r="B921">
        <v>50</v>
      </c>
      <c r="C921" t="s">
        <v>62</v>
      </c>
      <c r="D921" t="s">
        <v>63</v>
      </c>
      <c r="E921">
        <v>1.38</v>
      </c>
      <c r="F921">
        <v>3</v>
      </c>
      <c r="G921" s="8">
        <f t="shared" si="14"/>
        <v>27.599999999999998</v>
      </c>
    </row>
    <row r="922" spans="1:7" x14ac:dyDescent="0.25">
      <c r="A922" s="5">
        <v>45809.6875</v>
      </c>
      <c r="B922">
        <v>51</v>
      </c>
      <c r="C922" t="s">
        <v>63</v>
      </c>
      <c r="D922" t="s">
        <v>64</v>
      </c>
      <c r="E922">
        <v>2.79</v>
      </c>
      <c r="F922">
        <v>5.4</v>
      </c>
      <c r="G922" s="8">
        <f t="shared" si="14"/>
        <v>31</v>
      </c>
    </row>
    <row r="923" spans="1:7" x14ac:dyDescent="0.25">
      <c r="A923" s="5">
        <v>45809.6875</v>
      </c>
      <c r="B923">
        <v>52</v>
      </c>
      <c r="C923" t="s">
        <v>64</v>
      </c>
      <c r="D923" t="s">
        <v>65</v>
      </c>
      <c r="E923">
        <v>1.5</v>
      </c>
      <c r="F923">
        <v>2.73</v>
      </c>
      <c r="G923" s="8">
        <f t="shared" si="14"/>
        <v>32.967032967032971</v>
      </c>
    </row>
    <row r="924" spans="1:7" x14ac:dyDescent="0.25">
      <c r="A924" s="5">
        <v>45809.6875</v>
      </c>
      <c r="B924">
        <v>53</v>
      </c>
      <c r="C924" t="s">
        <v>65</v>
      </c>
      <c r="D924" t="s">
        <v>66</v>
      </c>
      <c r="E924">
        <v>1.46</v>
      </c>
      <c r="F924">
        <v>3.5</v>
      </c>
      <c r="G924" s="8">
        <f t="shared" si="14"/>
        <v>25.028571428571428</v>
      </c>
    </row>
    <row r="925" spans="1:7" x14ac:dyDescent="0.25">
      <c r="A925" s="5">
        <v>45809.6875</v>
      </c>
      <c r="B925">
        <v>54</v>
      </c>
      <c r="C925" t="s">
        <v>67</v>
      </c>
      <c r="D925" t="s">
        <v>68</v>
      </c>
      <c r="E925">
        <v>1.46</v>
      </c>
      <c r="F925">
        <v>2.48</v>
      </c>
      <c r="G925" s="8">
        <f t="shared" si="14"/>
        <v>35.322580645161288</v>
      </c>
    </row>
    <row r="926" spans="1:7" x14ac:dyDescent="0.25">
      <c r="A926" s="5">
        <v>45809.6875</v>
      </c>
      <c r="B926">
        <v>55</v>
      </c>
      <c r="C926" t="s">
        <v>68</v>
      </c>
      <c r="D926" t="s">
        <v>69</v>
      </c>
      <c r="E926">
        <v>1.5</v>
      </c>
      <c r="F926">
        <v>2.12</v>
      </c>
      <c r="G926" s="8">
        <f t="shared" si="14"/>
        <v>42.452830188679243</v>
      </c>
    </row>
    <row r="927" spans="1:7" x14ac:dyDescent="0.25">
      <c r="A927" s="5">
        <v>45809.6875</v>
      </c>
      <c r="B927">
        <v>56</v>
      </c>
      <c r="C927" t="s">
        <v>70</v>
      </c>
      <c r="D927" t="s">
        <v>71</v>
      </c>
      <c r="E927">
        <v>1.51</v>
      </c>
      <c r="F927">
        <v>3.85</v>
      </c>
      <c r="G927" s="8">
        <f t="shared" si="14"/>
        <v>23.532467532467532</v>
      </c>
    </row>
    <row r="928" spans="1:7" x14ac:dyDescent="0.25">
      <c r="A928" s="5">
        <v>45809.6875</v>
      </c>
      <c r="B928">
        <v>57</v>
      </c>
      <c r="C928" t="s">
        <v>71</v>
      </c>
      <c r="D928" t="s">
        <v>72</v>
      </c>
      <c r="E928">
        <v>1.52</v>
      </c>
      <c r="F928">
        <v>3.45</v>
      </c>
      <c r="G928" s="8">
        <f t="shared" si="14"/>
        <v>26.434782608695652</v>
      </c>
    </row>
    <row r="929" spans="1:7" x14ac:dyDescent="0.25">
      <c r="A929" s="5">
        <v>45809.6875</v>
      </c>
      <c r="B929">
        <v>58</v>
      </c>
      <c r="C929" t="s">
        <v>72</v>
      </c>
      <c r="D929" t="s">
        <v>73</v>
      </c>
      <c r="E929">
        <v>1.5</v>
      </c>
      <c r="F929">
        <v>3.35</v>
      </c>
      <c r="G929" s="8">
        <f t="shared" si="14"/>
        <v>26.865671641791042</v>
      </c>
    </row>
    <row r="930" spans="1:7" x14ac:dyDescent="0.25">
      <c r="A930" s="5">
        <v>45809.697916666664</v>
      </c>
      <c r="B930">
        <v>1</v>
      </c>
      <c r="C930" t="s">
        <v>6</v>
      </c>
      <c r="D930" t="s">
        <v>7</v>
      </c>
      <c r="E930">
        <v>1.53</v>
      </c>
      <c r="F930">
        <v>2.93</v>
      </c>
      <c r="G930" s="8">
        <f t="shared" si="14"/>
        <v>31.331058020477812</v>
      </c>
    </row>
    <row r="931" spans="1:7" x14ac:dyDescent="0.25">
      <c r="A931" s="5">
        <v>45809.697916666664</v>
      </c>
      <c r="B931">
        <v>2</v>
      </c>
      <c r="C931" t="s">
        <v>7</v>
      </c>
      <c r="D931" t="s">
        <v>8</v>
      </c>
      <c r="E931">
        <v>1.57</v>
      </c>
      <c r="F931">
        <v>4.43</v>
      </c>
      <c r="G931" s="8">
        <f t="shared" si="14"/>
        <v>21.264108352144472</v>
      </c>
    </row>
    <row r="932" spans="1:7" x14ac:dyDescent="0.25">
      <c r="A932" s="5">
        <v>45809.697916666664</v>
      </c>
      <c r="B932">
        <v>3</v>
      </c>
      <c r="C932" t="s">
        <v>8</v>
      </c>
      <c r="D932" t="s">
        <v>9</v>
      </c>
      <c r="E932">
        <v>1.5</v>
      </c>
      <c r="F932">
        <v>2.88</v>
      </c>
      <c r="G932" s="8">
        <f t="shared" si="14"/>
        <v>31.25</v>
      </c>
    </row>
    <row r="933" spans="1:7" x14ac:dyDescent="0.25">
      <c r="A933" s="5">
        <v>45809.697916666664</v>
      </c>
      <c r="B933">
        <v>4</v>
      </c>
      <c r="C933" t="s">
        <v>9</v>
      </c>
      <c r="D933" t="s">
        <v>10</v>
      </c>
      <c r="E933">
        <v>1.5</v>
      </c>
      <c r="F933">
        <v>3.23</v>
      </c>
      <c r="G933" s="8">
        <f t="shared" si="14"/>
        <v>27.86377708978328</v>
      </c>
    </row>
    <row r="934" spans="1:7" x14ac:dyDescent="0.25">
      <c r="A934" s="5">
        <v>45809.697916666664</v>
      </c>
      <c r="B934">
        <v>5</v>
      </c>
      <c r="C934" t="s">
        <v>10</v>
      </c>
      <c r="D934" t="s">
        <v>11</v>
      </c>
      <c r="E934">
        <v>1.52</v>
      </c>
      <c r="F934">
        <v>3.52</v>
      </c>
      <c r="G934" s="8">
        <f t="shared" si="14"/>
        <v>25.90909090909091</v>
      </c>
    </row>
    <row r="935" spans="1:7" x14ac:dyDescent="0.25">
      <c r="A935" s="5">
        <v>45809.697916666664</v>
      </c>
      <c r="B935">
        <v>6</v>
      </c>
      <c r="C935" t="s">
        <v>11</v>
      </c>
      <c r="D935" t="s">
        <v>12</v>
      </c>
      <c r="E935">
        <v>1.5</v>
      </c>
      <c r="F935">
        <v>2.5</v>
      </c>
      <c r="G935" s="8">
        <f t="shared" si="14"/>
        <v>36</v>
      </c>
    </row>
    <row r="936" spans="1:7" x14ac:dyDescent="0.25">
      <c r="A936" s="5">
        <v>45809.697916666664</v>
      </c>
      <c r="B936">
        <v>7</v>
      </c>
      <c r="C936" t="s">
        <v>12</v>
      </c>
      <c r="D936" t="s">
        <v>13</v>
      </c>
      <c r="E936">
        <v>1.54</v>
      </c>
      <c r="F936">
        <v>2.7</v>
      </c>
      <c r="G936" s="8">
        <f t="shared" si="14"/>
        <v>34.222222222222221</v>
      </c>
    </row>
    <row r="937" spans="1:7" x14ac:dyDescent="0.25">
      <c r="A937" s="5">
        <v>45809.697916666664</v>
      </c>
      <c r="B937">
        <v>8</v>
      </c>
      <c r="C937" t="s">
        <v>13</v>
      </c>
      <c r="D937" t="s">
        <v>14</v>
      </c>
      <c r="E937">
        <v>1.54</v>
      </c>
      <c r="F937">
        <v>3</v>
      </c>
      <c r="G937" s="8">
        <f t="shared" si="14"/>
        <v>30.8</v>
      </c>
    </row>
    <row r="938" spans="1:7" x14ac:dyDescent="0.25">
      <c r="A938" s="5">
        <v>45809.697916666664</v>
      </c>
      <c r="B938">
        <v>9</v>
      </c>
      <c r="C938" t="s">
        <v>14</v>
      </c>
      <c r="D938" t="s">
        <v>15</v>
      </c>
      <c r="E938">
        <v>1.52</v>
      </c>
      <c r="F938">
        <v>2.97</v>
      </c>
      <c r="G938" s="8">
        <f t="shared" si="14"/>
        <v>30.707070707070706</v>
      </c>
    </row>
    <row r="939" spans="1:7" x14ac:dyDescent="0.25">
      <c r="A939" s="5">
        <v>45809.697916666664</v>
      </c>
      <c r="B939">
        <v>10</v>
      </c>
      <c r="C939" t="s">
        <v>15</v>
      </c>
      <c r="D939" t="s">
        <v>16</v>
      </c>
      <c r="E939">
        <v>1.5</v>
      </c>
      <c r="F939">
        <v>3.27</v>
      </c>
      <c r="G939" s="8">
        <f t="shared" si="14"/>
        <v>27.522935779816514</v>
      </c>
    </row>
    <row r="940" spans="1:7" x14ac:dyDescent="0.25">
      <c r="A940" s="5">
        <v>45809.697916666664</v>
      </c>
      <c r="B940">
        <v>11</v>
      </c>
      <c r="C940" t="s">
        <v>16</v>
      </c>
      <c r="D940" t="s">
        <v>17</v>
      </c>
      <c r="E940">
        <v>1.48</v>
      </c>
      <c r="F940">
        <v>2.25</v>
      </c>
      <c r="G940" s="8">
        <f t="shared" si="14"/>
        <v>39.466666666666669</v>
      </c>
    </row>
    <row r="941" spans="1:7" x14ac:dyDescent="0.25">
      <c r="A941" s="5">
        <v>45809.697916666664</v>
      </c>
      <c r="B941">
        <v>12</v>
      </c>
      <c r="C941" t="s">
        <v>17</v>
      </c>
      <c r="D941" t="s">
        <v>18</v>
      </c>
      <c r="E941">
        <v>1.46</v>
      </c>
      <c r="F941">
        <v>3.12</v>
      </c>
      <c r="G941" s="8">
        <f t="shared" si="14"/>
        <v>28.076923076923073</v>
      </c>
    </row>
    <row r="942" spans="1:7" x14ac:dyDescent="0.25">
      <c r="A942" s="5">
        <v>45809.697916666664</v>
      </c>
      <c r="B942">
        <v>13</v>
      </c>
      <c r="C942" t="s">
        <v>18</v>
      </c>
      <c r="D942" t="s">
        <v>19</v>
      </c>
      <c r="E942">
        <v>1.52</v>
      </c>
      <c r="F942">
        <v>3.18</v>
      </c>
      <c r="G942" s="8">
        <f t="shared" si="14"/>
        <v>28.679245283018869</v>
      </c>
    </row>
    <row r="943" spans="1:7" x14ac:dyDescent="0.25">
      <c r="A943" s="5">
        <v>45809.697916666664</v>
      </c>
      <c r="B943">
        <v>14</v>
      </c>
      <c r="C943" t="s">
        <v>19</v>
      </c>
      <c r="D943" t="s">
        <v>20</v>
      </c>
      <c r="E943">
        <v>1.51</v>
      </c>
      <c r="F943">
        <v>3.07</v>
      </c>
      <c r="G943" s="8">
        <f t="shared" si="14"/>
        <v>29.511400651465799</v>
      </c>
    </row>
    <row r="944" spans="1:7" x14ac:dyDescent="0.25">
      <c r="A944" s="5">
        <v>45809.697916666664</v>
      </c>
      <c r="B944">
        <v>15</v>
      </c>
      <c r="C944" t="s">
        <v>20</v>
      </c>
      <c r="D944" t="s">
        <v>21</v>
      </c>
      <c r="E944">
        <v>1.47</v>
      </c>
      <c r="F944">
        <v>2.23</v>
      </c>
      <c r="G944" s="8">
        <f t="shared" si="14"/>
        <v>39.551569506726459</v>
      </c>
    </row>
    <row r="945" spans="1:7" x14ac:dyDescent="0.25">
      <c r="A945" s="5">
        <v>45809.697916666664</v>
      </c>
      <c r="B945">
        <v>16</v>
      </c>
      <c r="C945" t="s">
        <v>21</v>
      </c>
      <c r="D945" t="s">
        <v>22</v>
      </c>
      <c r="E945">
        <v>1.5</v>
      </c>
      <c r="F945">
        <v>1.72</v>
      </c>
      <c r="G945" s="8">
        <f t="shared" si="14"/>
        <v>52.325581395348841</v>
      </c>
    </row>
    <row r="946" spans="1:7" x14ac:dyDescent="0.25">
      <c r="A946" s="5">
        <v>45809.697916666664</v>
      </c>
      <c r="B946">
        <v>17</v>
      </c>
      <c r="C946" t="s">
        <v>22</v>
      </c>
      <c r="D946" t="s">
        <v>23</v>
      </c>
      <c r="E946">
        <v>1.51</v>
      </c>
      <c r="F946">
        <v>2.5499999999999998</v>
      </c>
      <c r="G946" s="8">
        <f t="shared" si="14"/>
        <v>35.529411764705884</v>
      </c>
    </row>
    <row r="947" spans="1:7" x14ac:dyDescent="0.25">
      <c r="A947" s="5">
        <v>45809.697916666664</v>
      </c>
      <c r="B947">
        <v>18</v>
      </c>
      <c r="C947" t="s">
        <v>23</v>
      </c>
      <c r="D947" t="s">
        <v>24</v>
      </c>
      <c r="E947">
        <v>1.51</v>
      </c>
      <c r="F947">
        <v>2.72</v>
      </c>
      <c r="G947" s="8">
        <f t="shared" si="14"/>
        <v>33.308823529411761</v>
      </c>
    </row>
    <row r="948" spans="1:7" x14ac:dyDescent="0.25">
      <c r="A948" s="5">
        <v>45809.697916666664</v>
      </c>
      <c r="B948">
        <v>19</v>
      </c>
      <c r="C948" t="s">
        <v>25</v>
      </c>
      <c r="D948" t="s">
        <v>26</v>
      </c>
      <c r="E948">
        <v>1.5</v>
      </c>
      <c r="F948">
        <v>3.33</v>
      </c>
      <c r="G948" s="8">
        <f t="shared" si="14"/>
        <v>27.027027027027028</v>
      </c>
    </row>
    <row r="949" spans="1:7" x14ac:dyDescent="0.25">
      <c r="A949" s="5">
        <v>45809.697916666664</v>
      </c>
      <c r="B949">
        <v>20</v>
      </c>
      <c r="C949" t="s">
        <v>26</v>
      </c>
      <c r="D949" t="s">
        <v>27</v>
      </c>
      <c r="E949">
        <v>1.48</v>
      </c>
      <c r="F949">
        <v>3.22</v>
      </c>
      <c r="G949" s="8">
        <f t="shared" si="14"/>
        <v>27.577639751552791</v>
      </c>
    </row>
    <row r="950" spans="1:7" x14ac:dyDescent="0.25">
      <c r="A950" s="5">
        <v>45809.697916666664</v>
      </c>
      <c r="B950">
        <v>21</v>
      </c>
      <c r="C950" t="s">
        <v>27</v>
      </c>
      <c r="D950" t="s">
        <v>28</v>
      </c>
      <c r="E950">
        <v>1.51</v>
      </c>
      <c r="F950">
        <v>3.02</v>
      </c>
      <c r="G950" s="8">
        <f t="shared" si="14"/>
        <v>29.999999999999996</v>
      </c>
    </row>
    <row r="951" spans="1:7" x14ac:dyDescent="0.25">
      <c r="A951" s="5">
        <v>45809.697916666664</v>
      </c>
      <c r="B951">
        <v>22</v>
      </c>
      <c r="C951" t="s">
        <v>28</v>
      </c>
      <c r="D951" t="s">
        <v>29</v>
      </c>
      <c r="E951">
        <v>1.57</v>
      </c>
      <c r="F951">
        <v>3.18</v>
      </c>
      <c r="G951" s="8">
        <f t="shared" si="14"/>
        <v>29.622641509433961</v>
      </c>
    </row>
    <row r="952" spans="1:7" x14ac:dyDescent="0.25">
      <c r="A952" s="5">
        <v>45809.697916666664</v>
      </c>
      <c r="B952">
        <v>23</v>
      </c>
      <c r="C952" t="s">
        <v>29</v>
      </c>
      <c r="D952" t="s">
        <v>30</v>
      </c>
      <c r="E952">
        <v>1.43</v>
      </c>
      <c r="F952">
        <v>3.22</v>
      </c>
      <c r="G952" s="8">
        <f t="shared" si="14"/>
        <v>26.645962732919251</v>
      </c>
    </row>
    <row r="953" spans="1:7" x14ac:dyDescent="0.25">
      <c r="A953" s="5">
        <v>45809.697916666664</v>
      </c>
      <c r="B953">
        <v>24</v>
      </c>
      <c r="C953" t="s">
        <v>30</v>
      </c>
      <c r="D953" t="s">
        <v>31</v>
      </c>
      <c r="E953">
        <v>1.52</v>
      </c>
      <c r="F953">
        <v>3</v>
      </c>
      <c r="G953" s="8">
        <f t="shared" si="14"/>
        <v>30.400000000000002</v>
      </c>
    </row>
    <row r="954" spans="1:7" x14ac:dyDescent="0.25">
      <c r="A954" s="5">
        <v>45809.697916666664</v>
      </c>
      <c r="B954">
        <v>25</v>
      </c>
      <c r="C954" t="s">
        <v>31</v>
      </c>
      <c r="D954" t="s">
        <v>32</v>
      </c>
      <c r="E954">
        <v>1.52</v>
      </c>
      <c r="F954">
        <v>3.13</v>
      </c>
      <c r="G954" s="8">
        <f t="shared" si="14"/>
        <v>29.137380191693293</v>
      </c>
    </row>
    <row r="955" spans="1:7" x14ac:dyDescent="0.25">
      <c r="A955" s="5">
        <v>45809.697916666664</v>
      </c>
      <c r="B955">
        <v>26</v>
      </c>
      <c r="C955" t="s">
        <v>32</v>
      </c>
      <c r="D955" t="s">
        <v>33</v>
      </c>
      <c r="E955">
        <v>1.49</v>
      </c>
      <c r="F955">
        <v>3.42</v>
      </c>
      <c r="G955" s="8">
        <f t="shared" si="14"/>
        <v>26.140350877192983</v>
      </c>
    </row>
    <row r="956" spans="1:7" x14ac:dyDescent="0.25">
      <c r="A956" s="5">
        <v>45809.697916666664</v>
      </c>
      <c r="B956">
        <v>27</v>
      </c>
      <c r="C956" t="s">
        <v>33</v>
      </c>
      <c r="D956" t="s">
        <v>34</v>
      </c>
      <c r="E956">
        <v>1.53</v>
      </c>
      <c r="F956">
        <v>3.77</v>
      </c>
      <c r="G956" s="8">
        <f t="shared" si="14"/>
        <v>24.350132625994693</v>
      </c>
    </row>
    <row r="957" spans="1:7" x14ac:dyDescent="0.25">
      <c r="A957" s="5">
        <v>45809.697916666664</v>
      </c>
      <c r="B957">
        <v>28</v>
      </c>
      <c r="C957" t="s">
        <v>34</v>
      </c>
      <c r="D957" t="s">
        <v>35</v>
      </c>
      <c r="E957">
        <v>1.51</v>
      </c>
      <c r="F957">
        <v>3.75</v>
      </c>
      <c r="G957" s="8">
        <f t="shared" si="14"/>
        <v>24.16</v>
      </c>
    </row>
    <row r="958" spans="1:7" x14ac:dyDescent="0.25">
      <c r="A958" s="5">
        <v>45809.697916666664</v>
      </c>
      <c r="B958">
        <v>29</v>
      </c>
      <c r="C958" t="s">
        <v>36</v>
      </c>
      <c r="D958" t="s">
        <v>37</v>
      </c>
      <c r="E958">
        <v>1.57</v>
      </c>
      <c r="F958">
        <v>3.15</v>
      </c>
      <c r="G958" s="8">
        <f t="shared" si="14"/>
        <v>29.904761904761905</v>
      </c>
    </row>
    <row r="959" spans="1:7" x14ac:dyDescent="0.25">
      <c r="A959" s="5">
        <v>45809.697916666664</v>
      </c>
      <c r="B959">
        <v>30</v>
      </c>
      <c r="C959" t="s">
        <v>37</v>
      </c>
      <c r="D959" t="s">
        <v>38</v>
      </c>
      <c r="E959">
        <v>1.57</v>
      </c>
      <c r="F959">
        <v>3.42</v>
      </c>
      <c r="G959" s="8">
        <f t="shared" si="14"/>
        <v>27.543859649122808</v>
      </c>
    </row>
    <row r="960" spans="1:7" x14ac:dyDescent="0.25">
      <c r="A960" s="5">
        <v>45809.697916666664</v>
      </c>
      <c r="B960">
        <v>31</v>
      </c>
      <c r="C960" t="s">
        <v>38</v>
      </c>
      <c r="D960" t="s">
        <v>39</v>
      </c>
      <c r="E960">
        <v>1.52</v>
      </c>
      <c r="F960">
        <v>2.5</v>
      </c>
      <c r="G960" s="8">
        <f t="shared" si="14"/>
        <v>36.480000000000004</v>
      </c>
    </row>
    <row r="961" spans="1:7" x14ac:dyDescent="0.25">
      <c r="A961" s="5">
        <v>45809.697916666664</v>
      </c>
      <c r="B961">
        <v>32</v>
      </c>
      <c r="C961" t="s">
        <v>39</v>
      </c>
      <c r="D961" t="s">
        <v>40</v>
      </c>
      <c r="E961">
        <v>1.5</v>
      </c>
      <c r="F961">
        <v>1.73</v>
      </c>
      <c r="G961" s="8">
        <f t="shared" si="14"/>
        <v>52.02312138728324</v>
      </c>
    </row>
    <row r="962" spans="1:7" x14ac:dyDescent="0.25">
      <c r="A962" s="5">
        <v>45809.697916666664</v>
      </c>
      <c r="B962">
        <v>33</v>
      </c>
      <c r="C962" t="s">
        <v>40</v>
      </c>
      <c r="D962" t="s">
        <v>41</v>
      </c>
      <c r="E962">
        <v>1.51</v>
      </c>
      <c r="F962">
        <v>1.75</v>
      </c>
      <c r="G962" s="8">
        <f t="shared" si="14"/>
        <v>51.771428571428565</v>
      </c>
    </row>
    <row r="963" spans="1:7" x14ac:dyDescent="0.25">
      <c r="A963" s="5">
        <v>45809.697916666664</v>
      </c>
      <c r="B963">
        <v>34</v>
      </c>
      <c r="C963" t="s">
        <v>41</v>
      </c>
      <c r="D963" t="s">
        <v>42</v>
      </c>
      <c r="E963">
        <v>1.5</v>
      </c>
      <c r="F963">
        <v>1.78</v>
      </c>
      <c r="G963" s="8">
        <f t="shared" ref="G963:G1026" si="15">E963*60/F963</f>
        <v>50.561797752808985</v>
      </c>
    </row>
    <row r="964" spans="1:7" x14ac:dyDescent="0.25">
      <c r="A964" s="5">
        <v>45809.697916666664</v>
      </c>
      <c r="B964">
        <v>35</v>
      </c>
      <c r="C964" t="s">
        <v>43</v>
      </c>
      <c r="D964" t="s">
        <v>44</v>
      </c>
      <c r="E964">
        <v>1.55</v>
      </c>
      <c r="F964">
        <v>3.27</v>
      </c>
      <c r="G964" s="8">
        <f t="shared" si="15"/>
        <v>28.440366972477065</v>
      </c>
    </row>
    <row r="965" spans="1:7" x14ac:dyDescent="0.25">
      <c r="A965" s="5">
        <v>45809.697916666664</v>
      </c>
      <c r="B965">
        <v>36</v>
      </c>
      <c r="C965" t="s">
        <v>44</v>
      </c>
      <c r="D965" t="s">
        <v>45</v>
      </c>
      <c r="E965">
        <v>1.5</v>
      </c>
      <c r="F965">
        <v>2.73</v>
      </c>
      <c r="G965" s="8">
        <f t="shared" si="15"/>
        <v>32.967032967032971</v>
      </c>
    </row>
    <row r="966" spans="1:7" x14ac:dyDescent="0.25">
      <c r="A966" s="5">
        <v>45809.697916666664</v>
      </c>
      <c r="B966">
        <v>37</v>
      </c>
      <c r="C966" t="s">
        <v>45</v>
      </c>
      <c r="D966" t="s">
        <v>46</v>
      </c>
      <c r="E966">
        <v>1.38</v>
      </c>
      <c r="F966">
        <v>3.4</v>
      </c>
      <c r="G966" s="8">
        <f t="shared" si="15"/>
        <v>24.352941176470587</v>
      </c>
    </row>
    <row r="967" spans="1:7" x14ac:dyDescent="0.25">
      <c r="A967" s="5">
        <v>45809.697916666664</v>
      </c>
      <c r="B967">
        <v>38</v>
      </c>
      <c r="C967" t="s">
        <v>46</v>
      </c>
      <c r="D967" t="s">
        <v>47</v>
      </c>
      <c r="E967">
        <v>1.61</v>
      </c>
      <c r="F967">
        <v>3.85</v>
      </c>
      <c r="G967" s="8">
        <f t="shared" si="15"/>
        <v>25.090909090909093</v>
      </c>
    </row>
    <row r="968" spans="1:7" x14ac:dyDescent="0.25">
      <c r="A968" s="5">
        <v>45809.697916666664</v>
      </c>
      <c r="B968">
        <v>39</v>
      </c>
      <c r="C968" t="s">
        <v>47</v>
      </c>
      <c r="D968" t="s">
        <v>48</v>
      </c>
      <c r="E968">
        <v>1.55</v>
      </c>
      <c r="F968">
        <v>3.25</v>
      </c>
      <c r="G968" s="8">
        <f t="shared" si="15"/>
        <v>28.615384615384617</v>
      </c>
    </row>
    <row r="969" spans="1:7" x14ac:dyDescent="0.25">
      <c r="A969" s="5">
        <v>45809.697916666664</v>
      </c>
      <c r="B969">
        <v>40</v>
      </c>
      <c r="C969" t="s">
        <v>48</v>
      </c>
      <c r="D969" t="s">
        <v>49</v>
      </c>
      <c r="E969">
        <v>1.39</v>
      </c>
      <c r="F969">
        <v>2.78</v>
      </c>
      <c r="G969" s="8">
        <f t="shared" si="15"/>
        <v>30</v>
      </c>
    </row>
    <row r="970" spans="1:7" x14ac:dyDescent="0.25">
      <c r="A970" s="5">
        <v>45809.697916666664</v>
      </c>
      <c r="B970">
        <v>41</v>
      </c>
      <c r="C970" t="s">
        <v>50</v>
      </c>
      <c r="D970" t="s">
        <v>51</v>
      </c>
      <c r="E970">
        <v>1.56</v>
      </c>
      <c r="F970">
        <v>3.52</v>
      </c>
      <c r="G970" s="8">
        <f t="shared" si="15"/>
        <v>26.590909090909093</v>
      </c>
    </row>
    <row r="971" spans="1:7" x14ac:dyDescent="0.25">
      <c r="A971" s="5">
        <v>45809.697916666664</v>
      </c>
      <c r="B971">
        <v>42</v>
      </c>
      <c r="C971" t="s">
        <v>51</v>
      </c>
      <c r="D971" t="s">
        <v>52</v>
      </c>
      <c r="E971">
        <v>1.56</v>
      </c>
      <c r="F971">
        <v>3.58</v>
      </c>
      <c r="G971" s="8">
        <f t="shared" si="15"/>
        <v>26.145251396648046</v>
      </c>
    </row>
    <row r="972" spans="1:7" x14ac:dyDescent="0.25">
      <c r="A972" s="5">
        <v>45809.697916666664</v>
      </c>
      <c r="B972">
        <v>43</v>
      </c>
      <c r="C972" t="s">
        <v>52</v>
      </c>
      <c r="D972" t="s">
        <v>53</v>
      </c>
      <c r="E972">
        <v>1.51</v>
      </c>
      <c r="F972">
        <v>3.15</v>
      </c>
      <c r="G972" s="8">
        <f t="shared" si="15"/>
        <v>28.761904761904759</v>
      </c>
    </row>
    <row r="973" spans="1:7" x14ac:dyDescent="0.25">
      <c r="A973" s="5">
        <v>45809.697916666664</v>
      </c>
      <c r="B973">
        <v>44</v>
      </c>
      <c r="C973" t="s">
        <v>54</v>
      </c>
      <c r="D973" t="s">
        <v>55</v>
      </c>
      <c r="E973">
        <v>1.51</v>
      </c>
      <c r="F973">
        <v>3.68</v>
      </c>
      <c r="G973" s="8">
        <f t="shared" si="15"/>
        <v>24.619565217391301</v>
      </c>
    </row>
    <row r="974" spans="1:7" x14ac:dyDescent="0.25">
      <c r="A974" s="5">
        <v>45809.697916666664</v>
      </c>
      <c r="B974">
        <v>45</v>
      </c>
      <c r="C974" t="s">
        <v>55</v>
      </c>
      <c r="D974" t="s">
        <v>56</v>
      </c>
      <c r="E974">
        <v>1.49</v>
      </c>
      <c r="F974">
        <v>3.05</v>
      </c>
      <c r="G974" s="8">
        <f t="shared" si="15"/>
        <v>29.311475409836071</v>
      </c>
    </row>
    <row r="975" spans="1:7" x14ac:dyDescent="0.25">
      <c r="A975" s="5">
        <v>45809.697916666664</v>
      </c>
      <c r="B975">
        <v>46</v>
      </c>
      <c r="C975" t="s">
        <v>56</v>
      </c>
      <c r="D975" t="s">
        <v>57</v>
      </c>
      <c r="E975">
        <v>1.52</v>
      </c>
      <c r="F975">
        <v>3.43</v>
      </c>
      <c r="G975" s="8">
        <f t="shared" si="15"/>
        <v>26.588921282798832</v>
      </c>
    </row>
    <row r="976" spans="1:7" x14ac:dyDescent="0.25">
      <c r="A976" s="5">
        <v>45809.697916666664</v>
      </c>
      <c r="B976">
        <v>47</v>
      </c>
      <c r="C976" t="s">
        <v>58</v>
      </c>
      <c r="D976" t="s">
        <v>59</v>
      </c>
      <c r="E976">
        <v>1.52</v>
      </c>
      <c r="F976">
        <v>3.45</v>
      </c>
      <c r="G976" s="8">
        <f t="shared" si="15"/>
        <v>26.434782608695652</v>
      </c>
    </row>
    <row r="977" spans="1:7" x14ac:dyDescent="0.25">
      <c r="A977" s="5">
        <v>45809.697916666664</v>
      </c>
      <c r="B977">
        <v>48</v>
      </c>
      <c r="C977" t="s">
        <v>59</v>
      </c>
      <c r="D977" t="s">
        <v>60</v>
      </c>
      <c r="E977">
        <v>1.5</v>
      </c>
      <c r="F977">
        <v>3.15</v>
      </c>
      <c r="G977" s="8">
        <f t="shared" si="15"/>
        <v>28.571428571428573</v>
      </c>
    </row>
    <row r="978" spans="1:7" x14ac:dyDescent="0.25">
      <c r="A978" s="5">
        <v>45809.697916666664</v>
      </c>
      <c r="B978">
        <v>49</v>
      </c>
      <c r="C978" t="s">
        <v>60</v>
      </c>
      <c r="D978" t="s">
        <v>61</v>
      </c>
      <c r="E978">
        <v>1.54</v>
      </c>
      <c r="F978">
        <v>3.63</v>
      </c>
      <c r="G978" s="8">
        <f t="shared" si="15"/>
        <v>25.454545454545457</v>
      </c>
    </row>
    <row r="979" spans="1:7" x14ac:dyDescent="0.25">
      <c r="A979" s="5">
        <v>45809.697916666664</v>
      </c>
      <c r="B979">
        <v>50</v>
      </c>
      <c r="C979" t="s">
        <v>62</v>
      </c>
      <c r="D979" t="s">
        <v>63</v>
      </c>
      <c r="E979">
        <v>1.38</v>
      </c>
      <c r="F979">
        <v>2.93</v>
      </c>
      <c r="G979" s="8">
        <f t="shared" si="15"/>
        <v>28.259385665529006</v>
      </c>
    </row>
    <row r="980" spans="1:7" x14ac:dyDescent="0.25">
      <c r="A980" s="5">
        <v>45809.697916666664</v>
      </c>
      <c r="B980">
        <v>51</v>
      </c>
      <c r="C980" t="s">
        <v>63</v>
      </c>
      <c r="D980" t="s">
        <v>64</v>
      </c>
      <c r="E980">
        <v>2.79</v>
      </c>
      <c r="F980">
        <v>5.3</v>
      </c>
      <c r="G980" s="8">
        <f t="shared" si="15"/>
        <v>31.584905660377359</v>
      </c>
    </row>
    <row r="981" spans="1:7" x14ac:dyDescent="0.25">
      <c r="A981" s="5">
        <v>45809.697916666664</v>
      </c>
      <c r="B981">
        <v>52</v>
      </c>
      <c r="C981" t="s">
        <v>64</v>
      </c>
      <c r="D981" t="s">
        <v>65</v>
      </c>
      <c r="E981">
        <v>1.5</v>
      </c>
      <c r="F981">
        <v>2.65</v>
      </c>
      <c r="G981" s="8">
        <f t="shared" si="15"/>
        <v>33.962264150943398</v>
      </c>
    </row>
    <row r="982" spans="1:7" x14ac:dyDescent="0.25">
      <c r="A982" s="5">
        <v>45809.697916666664</v>
      </c>
      <c r="B982">
        <v>53</v>
      </c>
      <c r="C982" t="s">
        <v>65</v>
      </c>
      <c r="D982" t="s">
        <v>66</v>
      </c>
      <c r="E982">
        <v>1.46</v>
      </c>
      <c r="F982">
        <v>3.47</v>
      </c>
      <c r="G982" s="8">
        <f t="shared" si="15"/>
        <v>25.244956772334291</v>
      </c>
    </row>
    <row r="983" spans="1:7" x14ac:dyDescent="0.25">
      <c r="A983" s="5">
        <v>45809.697916666664</v>
      </c>
      <c r="B983">
        <v>54</v>
      </c>
      <c r="C983" t="s">
        <v>67</v>
      </c>
      <c r="D983" t="s">
        <v>68</v>
      </c>
      <c r="E983">
        <v>1.46</v>
      </c>
      <c r="F983">
        <v>2.38</v>
      </c>
      <c r="G983" s="8">
        <f t="shared" si="15"/>
        <v>36.806722689075627</v>
      </c>
    </row>
    <row r="984" spans="1:7" x14ac:dyDescent="0.25">
      <c r="A984" s="5">
        <v>45809.697916666664</v>
      </c>
      <c r="B984">
        <v>55</v>
      </c>
      <c r="C984" t="s">
        <v>68</v>
      </c>
      <c r="D984" t="s">
        <v>69</v>
      </c>
      <c r="E984">
        <v>1.5</v>
      </c>
      <c r="F984">
        <v>1.78</v>
      </c>
      <c r="G984" s="8">
        <f t="shared" si="15"/>
        <v>50.561797752808985</v>
      </c>
    </row>
    <row r="985" spans="1:7" x14ac:dyDescent="0.25">
      <c r="A985" s="5">
        <v>45809.697916666664</v>
      </c>
      <c r="B985">
        <v>56</v>
      </c>
      <c r="C985" t="s">
        <v>70</v>
      </c>
      <c r="D985" t="s">
        <v>71</v>
      </c>
      <c r="E985">
        <v>1.51</v>
      </c>
      <c r="F985">
        <v>3.75</v>
      </c>
      <c r="G985" s="8">
        <f t="shared" si="15"/>
        <v>24.16</v>
      </c>
    </row>
    <row r="986" spans="1:7" x14ac:dyDescent="0.25">
      <c r="A986" s="5">
        <v>45809.697916666664</v>
      </c>
      <c r="B986">
        <v>57</v>
      </c>
      <c r="C986" t="s">
        <v>71</v>
      </c>
      <c r="D986" t="s">
        <v>72</v>
      </c>
      <c r="E986">
        <v>1.52</v>
      </c>
      <c r="F986">
        <v>3.58</v>
      </c>
      <c r="G986" s="8">
        <f t="shared" si="15"/>
        <v>25.47486033519553</v>
      </c>
    </row>
    <row r="987" spans="1:7" x14ac:dyDescent="0.25">
      <c r="A987" s="5">
        <v>45809.697916666664</v>
      </c>
      <c r="B987">
        <v>58</v>
      </c>
      <c r="C987" t="s">
        <v>72</v>
      </c>
      <c r="D987" t="s">
        <v>73</v>
      </c>
      <c r="E987">
        <v>1.5</v>
      </c>
      <c r="F987">
        <v>3.37</v>
      </c>
      <c r="G987" s="8">
        <f t="shared" si="15"/>
        <v>26.706231454005934</v>
      </c>
    </row>
    <row r="988" spans="1:7" x14ac:dyDescent="0.25">
      <c r="A988" s="5">
        <v>45809.708333333336</v>
      </c>
      <c r="B988">
        <v>1</v>
      </c>
      <c r="C988" t="s">
        <v>6</v>
      </c>
      <c r="D988" t="s">
        <v>7</v>
      </c>
      <c r="E988">
        <v>1.53</v>
      </c>
      <c r="F988">
        <v>2.9</v>
      </c>
      <c r="G988" s="8">
        <f t="shared" si="15"/>
        <v>31.655172413793103</v>
      </c>
    </row>
    <row r="989" spans="1:7" x14ac:dyDescent="0.25">
      <c r="A989" s="5">
        <v>45809.708333333336</v>
      </c>
      <c r="B989">
        <v>2</v>
      </c>
      <c r="C989" t="s">
        <v>7</v>
      </c>
      <c r="D989" t="s">
        <v>8</v>
      </c>
      <c r="E989">
        <v>1.57</v>
      </c>
      <c r="F989">
        <v>4.28</v>
      </c>
      <c r="G989" s="8">
        <f t="shared" si="15"/>
        <v>22.009345794392523</v>
      </c>
    </row>
    <row r="990" spans="1:7" x14ac:dyDescent="0.25">
      <c r="A990" s="5">
        <v>45809.708333333336</v>
      </c>
      <c r="B990">
        <v>3</v>
      </c>
      <c r="C990" t="s">
        <v>8</v>
      </c>
      <c r="D990" t="s">
        <v>9</v>
      </c>
      <c r="E990">
        <v>1.5</v>
      </c>
      <c r="F990">
        <v>2.85</v>
      </c>
      <c r="G990" s="8">
        <f t="shared" si="15"/>
        <v>31.578947368421051</v>
      </c>
    </row>
    <row r="991" spans="1:7" x14ac:dyDescent="0.25">
      <c r="A991" s="5">
        <v>45809.708333333336</v>
      </c>
      <c r="B991">
        <v>4</v>
      </c>
      <c r="C991" t="s">
        <v>9</v>
      </c>
      <c r="D991" t="s">
        <v>10</v>
      </c>
      <c r="E991">
        <v>1.5</v>
      </c>
      <c r="F991">
        <v>2.52</v>
      </c>
      <c r="G991" s="8">
        <f t="shared" si="15"/>
        <v>35.714285714285715</v>
      </c>
    </row>
    <row r="992" spans="1:7" x14ac:dyDescent="0.25">
      <c r="A992" s="5">
        <v>45809.708333333336</v>
      </c>
      <c r="B992">
        <v>5</v>
      </c>
      <c r="C992" t="s">
        <v>10</v>
      </c>
      <c r="D992" t="s">
        <v>11</v>
      </c>
      <c r="E992">
        <v>1.52</v>
      </c>
      <c r="F992">
        <v>3.05</v>
      </c>
      <c r="G992" s="8">
        <f t="shared" si="15"/>
        <v>29.901639344262296</v>
      </c>
    </row>
    <row r="993" spans="1:7" x14ac:dyDescent="0.25">
      <c r="A993" s="5">
        <v>45809.708333333336</v>
      </c>
      <c r="B993">
        <v>6</v>
      </c>
      <c r="C993" t="s">
        <v>11</v>
      </c>
      <c r="D993" t="s">
        <v>12</v>
      </c>
      <c r="E993">
        <v>1.5</v>
      </c>
      <c r="F993">
        <v>2.52</v>
      </c>
      <c r="G993" s="8">
        <f t="shared" si="15"/>
        <v>35.714285714285715</v>
      </c>
    </row>
    <row r="994" spans="1:7" x14ac:dyDescent="0.25">
      <c r="A994" s="5">
        <v>45809.708333333336</v>
      </c>
      <c r="B994">
        <v>7</v>
      </c>
      <c r="C994" t="s">
        <v>12</v>
      </c>
      <c r="D994" t="s">
        <v>13</v>
      </c>
      <c r="E994">
        <v>1.54</v>
      </c>
      <c r="F994">
        <v>2.9</v>
      </c>
      <c r="G994" s="8">
        <f t="shared" si="15"/>
        <v>31.862068965517246</v>
      </c>
    </row>
    <row r="995" spans="1:7" x14ac:dyDescent="0.25">
      <c r="A995" s="5">
        <v>45809.708333333336</v>
      </c>
      <c r="B995">
        <v>8</v>
      </c>
      <c r="C995" t="s">
        <v>13</v>
      </c>
      <c r="D995" t="s">
        <v>14</v>
      </c>
      <c r="E995">
        <v>1.54</v>
      </c>
      <c r="F995">
        <v>2.88</v>
      </c>
      <c r="G995" s="8">
        <f t="shared" si="15"/>
        <v>32.083333333333336</v>
      </c>
    </row>
    <row r="996" spans="1:7" x14ac:dyDescent="0.25">
      <c r="A996" s="5">
        <v>45809.708333333336</v>
      </c>
      <c r="B996">
        <v>9</v>
      </c>
      <c r="C996" t="s">
        <v>14</v>
      </c>
      <c r="D996" t="s">
        <v>15</v>
      </c>
      <c r="E996">
        <v>1.52</v>
      </c>
      <c r="F996">
        <v>3.08</v>
      </c>
      <c r="G996" s="8">
        <f t="shared" si="15"/>
        <v>29.61038961038961</v>
      </c>
    </row>
    <row r="997" spans="1:7" x14ac:dyDescent="0.25">
      <c r="A997" s="5">
        <v>45809.708333333336</v>
      </c>
      <c r="B997">
        <v>10</v>
      </c>
      <c r="C997" t="s">
        <v>15</v>
      </c>
      <c r="D997" t="s">
        <v>16</v>
      </c>
      <c r="E997">
        <v>1.5</v>
      </c>
      <c r="F997">
        <v>3.43</v>
      </c>
      <c r="G997" s="8">
        <f t="shared" si="15"/>
        <v>26.239067055393583</v>
      </c>
    </row>
    <row r="998" spans="1:7" x14ac:dyDescent="0.25">
      <c r="A998" s="5">
        <v>45809.708333333336</v>
      </c>
      <c r="B998">
        <v>11</v>
      </c>
      <c r="C998" t="s">
        <v>16</v>
      </c>
      <c r="D998" t="s">
        <v>17</v>
      </c>
      <c r="E998">
        <v>1.48</v>
      </c>
      <c r="F998">
        <v>2.3199999999999998</v>
      </c>
      <c r="G998" s="8">
        <f t="shared" si="15"/>
        <v>38.275862068965516</v>
      </c>
    </row>
    <row r="999" spans="1:7" x14ac:dyDescent="0.25">
      <c r="A999" s="5">
        <v>45809.708333333336</v>
      </c>
      <c r="B999">
        <v>12</v>
      </c>
      <c r="C999" t="s">
        <v>17</v>
      </c>
      <c r="D999" t="s">
        <v>18</v>
      </c>
      <c r="E999">
        <v>1.46</v>
      </c>
      <c r="F999">
        <v>3.25</v>
      </c>
      <c r="G999" s="8">
        <f t="shared" si="15"/>
        <v>26.95384615384615</v>
      </c>
    </row>
    <row r="1000" spans="1:7" x14ac:dyDescent="0.25">
      <c r="A1000" s="5">
        <v>45809.708333333336</v>
      </c>
      <c r="B1000">
        <v>13</v>
      </c>
      <c r="C1000" t="s">
        <v>18</v>
      </c>
      <c r="D1000" t="s">
        <v>19</v>
      </c>
      <c r="E1000">
        <v>1.52</v>
      </c>
      <c r="F1000">
        <v>3.2</v>
      </c>
      <c r="G1000" s="8">
        <f t="shared" si="15"/>
        <v>28.5</v>
      </c>
    </row>
    <row r="1001" spans="1:7" x14ac:dyDescent="0.25">
      <c r="A1001" s="5">
        <v>45809.708333333336</v>
      </c>
      <c r="B1001">
        <v>14</v>
      </c>
      <c r="C1001" t="s">
        <v>19</v>
      </c>
      <c r="D1001" t="s">
        <v>20</v>
      </c>
      <c r="E1001">
        <v>1.51</v>
      </c>
      <c r="F1001">
        <v>2.97</v>
      </c>
      <c r="G1001" s="8">
        <f t="shared" si="15"/>
        <v>30.505050505050502</v>
      </c>
    </row>
    <row r="1002" spans="1:7" x14ac:dyDescent="0.25">
      <c r="A1002" s="5">
        <v>45809.708333333336</v>
      </c>
      <c r="B1002">
        <v>15</v>
      </c>
      <c r="C1002" t="s">
        <v>20</v>
      </c>
      <c r="D1002" t="s">
        <v>21</v>
      </c>
      <c r="E1002">
        <v>1.47</v>
      </c>
      <c r="F1002">
        <v>2.23</v>
      </c>
      <c r="G1002" s="8">
        <f t="shared" si="15"/>
        <v>39.551569506726459</v>
      </c>
    </row>
    <row r="1003" spans="1:7" x14ac:dyDescent="0.25">
      <c r="A1003" s="5">
        <v>45809.708333333336</v>
      </c>
      <c r="B1003">
        <v>16</v>
      </c>
      <c r="C1003" t="s">
        <v>21</v>
      </c>
      <c r="D1003" t="s">
        <v>22</v>
      </c>
      <c r="E1003">
        <v>1.5</v>
      </c>
      <c r="F1003">
        <v>1.77</v>
      </c>
      <c r="G1003" s="8">
        <f t="shared" si="15"/>
        <v>50.847457627118644</v>
      </c>
    </row>
    <row r="1004" spans="1:7" x14ac:dyDescent="0.25">
      <c r="A1004" s="5">
        <v>45809.708333333336</v>
      </c>
      <c r="B1004">
        <v>17</v>
      </c>
      <c r="C1004" t="s">
        <v>22</v>
      </c>
      <c r="D1004" t="s">
        <v>23</v>
      </c>
      <c r="E1004">
        <v>1.51</v>
      </c>
      <c r="F1004">
        <v>2.52</v>
      </c>
      <c r="G1004" s="8">
        <f t="shared" si="15"/>
        <v>35.952380952380949</v>
      </c>
    </row>
    <row r="1005" spans="1:7" x14ac:dyDescent="0.25">
      <c r="A1005" s="5">
        <v>45809.708333333336</v>
      </c>
      <c r="B1005">
        <v>18</v>
      </c>
      <c r="C1005" t="s">
        <v>23</v>
      </c>
      <c r="D1005" t="s">
        <v>24</v>
      </c>
      <c r="E1005">
        <v>1.51</v>
      </c>
      <c r="F1005">
        <v>2.75</v>
      </c>
      <c r="G1005" s="8">
        <f t="shared" si="15"/>
        <v>32.945454545454545</v>
      </c>
    </row>
    <row r="1006" spans="1:7" x14ac:dyDescent="0.25">
      <c r="A1006" s="5">
        <v>45809.708333333336</v>
      </c>
      <c r="B1006">
        <v>19</v>
      </c>
      <c r="C1006" t="s">
        <v>25</v>
      </c>
      <c r="D1006" t="s">
        <v>26</v>
      </c>
      <c r="E1006">
        <v>1.5</v>
      </c>
      <c r="F1006">
        <v>3.22</v>
      </c>
      <c r="G1006" s="8">
        <f t="shared" si="15"/>
        <v>27.950310559006208</v>
      </c>
    </row>
    <row r="1007" spans="1:7" x14ac:dyDescent="0.25">
      <c r="A1007" s="5">
        <v>45809.708333333336</v>
      </c>
      <c r="B1007">
        <v>20</v>
      </c>
      <c r="C1007" t="s">
        <v>26</v>
      </c>
      <c r="D1007" t="s">
        <v>27</v>
      </c>
      <c r="E1007">
        <v>1.48</v>
      </c>
      <c r="F1007">
        <v>3.22</v>
      </c>
      <c r="G1007" s="8">
        <f t="shared" si="15"/>
        <v>27.577639751552791</v>
      </c>
    </row>
    <row r="1008" spans="1:7" x14ac:dyDescent="0.25">
      <c r="A1008" s="5">
        <v>45809.708333333336</v>
      </c>
      <c r="B1008">
        <v>21</v>
      </c>
      <c r="C1008" t="s">
        <v>27</v>
      </c>
      <c r="D1008" t="s">
        <v>28</v>
      </c>
      <c r="E1008">
        <v>1.51</v>
      </c>
      <c r="F1008">
        <v>2.83</v>
      </c>
      <c r="G1008" s="8">
        <f t="shared" si="15"/>
        <v>32.014134275618375</v>
      </c>
    </row>
    <row r="1009" spans="1:7" x14ac:dyDescent="0.25">
      <c r="A1009" s="5">
        <v>45809.708333333336</v>
      </c>
      <c r="B1009">
        <v>22</v>
      </c>
      <c r="C1009" t="s">
        <v>28</v>
      </c>
      <c r="D1009" t="s">
        <v>29</v>
      </c>
      <c r="E1009">
        <v>1.57</v>
      </c>
      <c r="F1009">
        <v>2.98</v>
      </c>
      <c r="G1009" s="8">
        <f t="shared" si="15"/>
        <v>31.610738255033556</v>
      </c>
    </row>
    <row r="1010" spans="1:7" x14ac:dyDescent="0.25">
      <c r="A1010" s="5">
        <v>45809.708333333336</v>
      </c>
      <c r="B1010">
        <v>23</v>
      </c>
      <c r="C1010" t="s">
        <v>29</v>
      </c>
      <c r="D1010" t="s">
        <v>30</v>
      </c>
      <c r="E1010">
        <v>1.43</v>
      </c>
      <c r="F1010">
        <v>3.33</v>
      </c>
      <c r="G1010" s="8">
        <f t="shared" si="15"/>
        <v>25.765765765765764</v>
      </c>
    </row>
    <row r="1011" spans="1:7" x14ac:dyDescent="0.25">
      <c r="A1011" s="5">
        <v>45809.708333333336</v>
      </c>
      <c r="B1011">
        <v>24</v>
      </c>
      <c r="C1011" t="s">
        <v>30</v>
      </c>
      <c r="D1011" t="s">
        <v>31</v>
      </c>
      <c r="E1011">
        <v>1.52</v>
      </c>
      <c r="F1011">
        <v>3</v>
      </c>
      <c r="G1011" s="8">
        <f t="shared" si="15"/>
        <v>30.400000000000002</v>
      </c>
    </row>
    <row r="1012" spans="1:7" x14ac:dyDescent="0.25">
      <c r="A1012" s="5">
        <v>45809.708333333336</v>
      </c>
      <c r="B1012">
        <v>25</v>
      </c>
      <c r="C1012" t="s">
        <v>31</v>
      </c>
      <c r="D1012" t="s">
        <v>32</v>
      </c>
      <c r="E1012">
        <v>1.52</v>
      </c>
      <c r="F1012">
        <v>2.93</v>
      </c>
      <c r="G1012" s="8">
        <f t="shared" si="15"/>
        <v>31.126279863481226</v>
      </c>
    </row>
    <row r="1013" spans="1:7" x14ac:dyDescent="0.25">
      <c r="A1013" s="5">
        <v>45809.708333333336</v>
      </c>
      <c r="B1013">
        <v>26</v>
      </c>
      <c r="C1013" t="s">
        <v>32</v>
      </c>
      <c r="D1013" t="s">
        <v>33</v>
      </c>
      <c r="E1013">
        <v>1.49</v>
      </c>
      <c r="F1013">
        <v>3.25</v>
      </c>
      <c r="G1013" s="8">
        <f t="shared" si="15"/>
        <v>27.507692307692309</v>
      </c>
    </row>
    <row r="1014" spans="1:7" x14ac:dyDescent="0.25">
      <c r="A1014" s="5">
        <v>45809.708333333336</v>
      </c>
      <c r="B1014">
        <v>27</v>
      </c>
      <c r="C1014" t="s">
        <v>33</v>
      </c>
      <c r="D1014" t="s">
        <v>34</v>
      </c>
      <c r="E1014">
        <v>1.53</v>
      </c>
      <c r="F1014">
        <v>3.53</v>
      </c>
      <c r="G1014" s="8">
        <f t="shared" si="15"/>
        <v>26.005665722379604</v>
      </c>
    </row>
    <row r="1015" spans="1:7" x14ac:dyDescent="0.25">
      <c r="A1015" s="5">
        <v>45809.708333333336</v>
      </c>
      <c r="B1015">
        <v>28</v>
      </c>
      <c r="C1015" t="s">
        <v>34</v>
      </c>
      <c r="D1015" t="s">
        <v>35</v>
      </c>
      <c r="E1015">
        <v>1.51</v>
      </c>
      <c r="F1015">
        <v>3.63</v>
      </c>
      <c r="G1015" s="8">
        <f t="shared" si="15"/>
        <v>24.958677685950413</v>
      </c>
    </row>
    <row r="1016" spans="1:7" x14ac:dyDescent="0.25">
      <c r="A1016" s="5">
        <v>45809.708333333336</v>
      </c>
      <c r="B1016">
        <v>29</v>
      </c>
      <c r="C1016" t="s">
        <v>36</v>
      </c>
      <c r="D1016" t="s">
        <v>37</v>
      </c>
      <c r="E1016">
        <v>1.57</v>
      </c>
      <c r="F1016">
        <v>3.27</v>
      </c>
      <c r="G1016" s="8">
        <f t="shared" si="15"/>
        <v>28.807339449541285</v>
      </c>
    </row>
    <row r="1017" spans="1:7" x14ac:dyDescent="0.25">
      <c r="A1017" s="5">
        <v>45809.708333333336</v>
      </c>
      <c r="B1017">
        <v>30</v>
      </c>
      <c r="C1017" t="s">
        <v>37</v>
      </c>
      <c r="D1017" t="s">
        <v>38</v>
      </c>
      <c r="E1017">
        <v>1.57</v>
      </c>
      <c r="F1017">
        <v>3.72</v>
      </c>
      <c r="G1017" s="8">
        <f t="shared" si="15"/>
        <v>25.322580645161288</v>
      </c>
    </row>
    <row r="1018" spans="1:7" x14ac:dyDescent="0.25">
      <c r="A1018" s="5">
        <v>45809.708333333336</v>
      </c>
      <c r="B1018">
        <v>31</v>
      </c>
      <c r="C1018" t="s">
        <v>38</v>
      </c>
      <c r="D1018" t="s">
        <v>39</v>
      </c>
      <c r="E1018">
        <v>1.52</v>
      </c>
      <c r="F1018">
        <v>2.62</v>
      </c>
      <c r="G1018" s="8">
        <f t="shared" si="15"/>
        <v>34.809160305343511</v>
      </c>
    </row>
    <row r="1019" spans="1:7" x14ac:dyDescent="0.25">
      <c r="A1019" s="5">
        <v>45809.708333333336</v>
      </c>
      <c r="B1019">
        <v>32</v>
      </c>
      <c r="C1019" t="s">
        <v>39</v>
      </c>
      <c r="D1019" t="s">
        <v>40</v>
      </c>
      <c r="E1019">
        <v>1.5</v>
      </c>
      <c r="F1019">
        <v>1.75</v>
      </c>
      <c r="G1019" s="8">
        <f t="shared" si="15"/>
        <v>51.428571428571431</v>
      </c>
    </row>
    <row r="1020" spans="1:7" x14ac:dyDescent="0.25">
      <c r="A1020" s="5">
        <v>45809.708333333336</v>
      </c>
      <c r="B1020">
        <v>33</v>
      </c>
      <c r="C1020" t="s">
        <v>40</v>
      </c>
      <c r="D1020" t="s">
        <v>41</v>
      </c>
      <c r="E1020">
        <v>1.51</v>
      </c>
      <c r="F1020">
        <v>1.68</v>
      </c>
      <c r="G1020" s="8">
        <f t="shared" si="15"/>
        <v>53.928571428571431</v>
      </c>
    </row>
    <row r="1021" spans="1:7" x14ac:dyDescent="0.25">
      <c r="A1021" s="5">
        <v>45809.708333333336</v>
      </c>
      <c r="B1021">
        <v>34</v>
      </c>
      <c r="C1021" t="s">
        <v>41</v>
      </c>
      <c r="D1021" t="s">
        <v>42</v>
      </c>
      <c r="E1021">
        <v>1.5</v>
      </c>
      <c r="F1021">
        <v>1.77</v>
      </c>
      <c r="G1021" s="8">
        <f t="shared" si="15"/>
        <v>50.847457627118644</v>
      </c>
    </row>
    <row r="1022" spans="1:7" x14ac:dyDescent="0.25">
      <c r="A1022" s="5">
        <v>45809.708333333336</v>
      </c>
      <c r="B1022">
        <v>35</v>
      </c>
      <c r="C1022" t="s">
        <v>43</v>
      </c>
      <c r="D1022" t="s">
        <v>44</v>
      </c>
      <c r="E1022">
        <v>1.55</v>
      </c>
      <c r="F1022">
        <v>3.1</v>
      </c>
      <c r="G1022" s="8">
        <f t="shared" si="15"/>
        <v>30</v>
      </c>
    </row>
    <row r="1023" spans="1:7" x14ac:dyDescent="0.25">
      <c r="A1023" s="5">
        <v>45809.708333333336</v>
      </c>
      <c r="B1023">
        <v>36</v>
      </c>
      <c r="C1023" t="s">
        <v>44</v>
      </c>
      <c r="D1023" t="s">
        <v>45</v>
      </c>
      <c r="E1023">
        <v>1.5</v>
      </c>
      <c r="F1023">
        <v>2.8</v>
      </c>
      <c r="G1023" s="8">
        <f t="shared" si="15"/>
        <v>32.142857142857146</v>
      </c>
    </row>
    <row r="1024" spans="1:7" x14ac:dyDescent="0.25">
      <c r="A1024" s="5">
        <v>45809.708333333336</v>
      </c>
      <c r="B1024">
        <v>37</v>
      </c>
      <c r="C1024" t="s">
        <v>45</v>
      </c>
      <c r="D1024" t="s">
        <v>46</v>
      </c>
      <c r="E1024">
        <v>1.38</v>
      </c>
      <c r="F1024">
        <v>3.55</v>
      </c>
      <c r="G1024" s="8">
        <f t="shared" si="15"/>
        <v>23.323943661971832</v>
      </c>
    </row>
    <row r="1025" spans="1:7" x14ac:dyDescent="0.25">
      <c r="A1025" s="5">
        <v>45809.708333333336</v>
      </c>
      <c r="B1025">
        <v>38</v>
      </c>
      <c r="C1025" t="s">
        <v>46</v>
      </c>
      <c r="D1025" t="s">
        <v>47</v>
      </c>
      <c r="E1025">
        <v>1.61</v>
      </c>
      <c r="F1025">
        <v>3.93</v>
      </c>
      <c r="G1025" s="8">
        <f t="shared" si="15"/>
        <v>24.580152671755727</v>
      </c>
    </row>
    <row r="1026" spans="1:7" x14ac:dyDescent="0.25">
      <c r="A1026" s="5">
        <v>45809.708333333336</v>
      </c>
      <c r="B1026">
        <v>39</v>
      </c>
      <c r="C1026" t="s">
        <v>47</v>
      </c>
      <c r="D1026" t="s">
        <v>48</v>
      </c>
      <c r="E1026">
        <v>1.55</v>
      </c>
      <c r="F1026">
        <v>3.22</v>
      </c>
      <c r="G1026" s="8">
        <f t="shared" si="15"/>
        <v>28.881987577639748</v>
      </c>
    </row>
    <row r="1027" spans="1:7" x14ac:dyDescent="0.25">
      <c r="A1027" s="5">
        <v>45809.708333333336</v>
      </c>
      <c r="B1027">
        <v>40</v>
      </c>
      <c r="C1027" t="s">
        <v>48</v>
      </c>
      <c r="D1027" t="s">
        <v>49</v>
      </c>
      <c r="E1027">
        <v>1.39</v>
      </c>
      <c r="F1027">
        <v>2.8</v>
      </c>
      <c r="G1027" s="8">
        <f t="shared" ref="G1027:G1090" si="16">E1027*60/F1027</f>
        <v>29.785714285714285</v>
      </c>
    </row>
    <row r="1028" spans="1:7" x14ac:dyDescent="0.25">
      <c r="A1028" s="5">
        <v>45809.708333333336</v>
      </c>
      <c r="B1028">
        <v>41</v>
      </c>
      <c r="C1028" t="s">
        <v>50</v>
      </c>
      <c r="D1028" t="s">
        <v>51</v>
      </c>
      <c r="E1028">
        <v>1.56</v>
      </c>
      <c r="F1028">
        <v>3.43</v>
      </c>
      <c r="G1028" s="8">
        <f t="shared" si="16"/>
        <v>27.28862973760933</v>
      </c>
    </row>
    <row r="1029" spans="1:7" x14ac:dyDescent="0.25">
      <c r="A1029" s="5">
        <v>45809.708333333336</v>
      </c>
      <c r="B1029">
        <v>42</v>
      </c>
      <c r="C1029" t="s">
        <v>51</v>
      </c>
      <c r="D1029" t="s">
        <v>52</v>
      </c>
      <c r="E1029">
        <v>1.56</v>
      </c>
      <c r="F1029">
        <v>3.45</v>
      </c>
      <c r="G1029" s="8">
        <f t="shared" si="16"/>
        <v>27.130434782608695</v>
      </c>
    </row>
    <row r="1030" spans="1:7" x14ac:dyDescent="0.25">
      <c r="A1030" s="5">
        <v>45809.708333333336</v>
      </c>
      <c r="B1030">
        <v>43</v>
      </c>
      <c r="C1030" t="s">
        <v>52</v>
      </c>
      <c r="D1030" t="s">
        <v>53</v>
      </c>
      <c r="E1030">
        <v>1.51</v>
      </c>
      <c r="F1030">
        <v>3.15</v>
      </c>
      <c r="G1030" s="8">
        <f t="shared" si="16"/>
        <v>28.761904761904759</v>
      </c>
    </row>
    <row r="1031" spans="1:7" x14ac:dyDescent="0.25">
      <c r="A1031" s="5">
        <v>45809.708333333336</v>
      </c>
      <c r="B1031">
        <v>44</v>
      </c>
      <c r="C1031" t="s">
        <v>54</v>
      </c>
      <c r="D1031" t="s">
        <v>55</v>
      </c>
      <c r="E1031">
        <v>1.51</v>
      </c>
      <c r="F1031">
        <v>3.8</v>
      </c>
      <c r="G1031" s="8">
        <f t="shared" si="16"/>
        <v>23.842105263157894</v>
      </c>
    </row>
    <row r="1032" spans="1:7" x14ac:dyDescent="0.25">
      <c r="A1032" s="5">
        <v>45809.708333333336</v>
      </c>
      <c r="B1032">
        <v>45</v>
      </c>
      <c r="C1032" t="s">
        <v>55</v>
      </c>
      <c r="D1032" t="s">
        <v>56</v>
      </c>
      <c r="E1032">
        <v>1.49</v>
      </c>
      <c r="F1032">
        <v>3.03</v>
      </c>
      <c r="G1032" s="8">
        <f t="shared" si="16"/>
        <v>29.50495049504951</v>
      </c>
    </row>
    <row r="1033" spans="1:7" x14ac:dyDescent="0.25">
      <c r="A1033" s="5">
        <v>45809.708333333336</v>
      </c>
      <c r="B1033">
        <v>46</v>
      </c>
      <c r="C1033" t="s">
        <v>56</v>
      </c>
      <c r="D1033" t="s">
        <v>57</v>
      </c>
      <c r="E1033">
        <v>1.52</v>
      </c>
      <c r="F1033">
        <v>3.4</v>
      </c>
      <c r="G1033" s="8">
        <f t="shared" si="16"/>
        <v>26.823529411764707</v>
      </c>
    </row>
    <row r="1034" spans="1:7" x14ac:dyDescent="0.25">
      <c r="A1034" s="5">
        <v>45809.708333333336</v>
      </c>
      <c r="B1034">
        <v>47</v>
      </c>
      <c r="C1034" t="s">
        <v>58</v>
      </c>
      <c r="D1034" t="s">
        <v>59</v>
      </c>
      <c r="E1034">
        <v>1.52</v>
      </c>
      <c r="F1034">
        <v>3.58</v>
      </c>
      <c r="G1034" s="8">
        <f t="shared" si="16"/>
        <v>25.47486033519553</v>
      </c>
    </row>
    <row r="1035" spans="1:7" x14ac:dyDescent="0.25">
      <c r="A1035" s="5">
        <v>45809.708333333336</v>
      </c>
      <c r="B1035">
        <v>48</v>
      </c>
      <c r="C1035" t="s">
        <v>59</v>
      </c>
      <c r="D1035" t="s">
        <v>60</v>
      </c>
      <c r="E1035">
        <v>1.5</v>
      </c>
      <c r="F1035">
        <v>3.22</v>
      </c>
      <c r="G1035" s="8">
        <f t="shared" si="16"/>
        <v>27.950310559006208</v>
      </c>
    </row>
    <row r="1036" spans="1:7" x14ac:dyDescent="0.25">
      <c r="A1036" s="5">
        <v>45809.708333333336</v>
      </c>
      <c r="B1036">
        <v>49</v>
      </c>
      <c r="C1036" t="s">
        <v>60</v>
      </c>
      <c r="D1036" t="s">
        <v>61</v>
      </c>
      <c r="E1036">
        <v>1.54</v>
      </c>
      <c r="F1036">
        <v>3.68</v>
      </c>
      <c r="G1036" s="8">
        <f t="shared" si="16"/>
        <v>25.108695652173914</v>
      </c>
    </row>
    <row r="1037" spans="1:7" x14ac:dyDescent="0.25">
      <c r="A1037" s="5">
        <v>45809.708333333336</v>
      </c>
      <c r="B1037">
        <v>50</v>
      </c>
      <c r="C1037" t="s">
        <v>62</v>
      </c>
      <c r="D1037" t="s">
        <v>63</v>
      </c>
      <c r="E1037">
        <v>1.38</v>
      </c>
      <c r="F1037">
        <v>3.03</v>
      </c>
      <c r="G1037" s="8">
        <f t="shared" si="16"/>
        <v>27.326732673267326</v>
      </c>
    </row>
    <row r="1038" spans="1:7" x14ac:dyDescent="0.25">
      <c r="A1038" s="5">
        <v>45809.708333333336</v>
      </c>
      <c r="B1038">
        <v>51</v>
      </c>
      <c r="C1038" t="s">
        <v>63</v>
      </c>
      <c r="D1038" t="s">
        <v>64</v>
      </c>
      <c r="E1038">
        <v>2.79</v>
      </c>
      <c r="F1038">
        <v>5.22</v>
      </c>
      <c r="G1038" s="8">
        <f t="shared" si="16"/>
        <v>32.068965517241381</v>
      </c>
    </row>
    <row r="1039" spans="1:7" x14ac:dyDescent="0.25">
      <c r="A1039" s="5">
        <v>45809.708333333336</v>
      </c>
      <c r="B1039">
        <v>52</v>
      </c>
      <c r="C1039" t="s">
        <v>64</v>
      </c>
      <c r="D1039" t="s">
        <v>65</v>
      </c>
      <c r="E1039">
        <v>1.5</v>
      </c>
      <c r="F1039">
        <v>2.72</v>
      </c>
      <c r="G1039" s="8">
        <f t="shared" si="16"/>
        <v>33.088235294117645</v>
      </c>
    </row>
    <row r="1040" spans="1:7" x14ac:dyDescent="0.25">
      <c r="A1040" s="5">
        <v>45809.708333333336</v>
      </c>
      <c r="B1040">
        <v>53</v>
      </c>
      <c r="C1040" t="s">
        <v>65</v>
      </c>
      <c r="D1040" t="s">
        <v>66</v>
      </c>
      <c r="E1040">
        <v>1.46</v>
      </c>
      <c r="F1040">
        <v>3.43</v>
      </c>
      <c r="G1040" s="8">
        <f t="shared" si="16"/>
        <v>25.539358600583089</v>
      </c>
    </row>
    <row r="1041" spans="1:7" x14ac:dyDescent="0.25">
      <c r="A1041" s="5">
        <v>45809.708333333336</v>
      </c>
      <c r="B1041">
        <v>54</v>
      </c>
      <c r="C1041" t="s">
        <v>67</v>
      </c>
      <c r="D1041" t="s">
        <v>68</v>
      </c>
      <c r="E1041">
        <v>1.46</v>
      </c>
      <c r="F1041">
        <v>2.5</v>
      </c>
      <c r="G1041" s="8">
        <f t="shared" si="16"/>
        <v>35.04</v>
      </c>
    </row>
    <row r="1042" spans="1:7" x14ac:dyDescent="0.25">
      <c r="A1042" s="5">
        <v>45809.708333333336</v>
      </c>
      <c r="B1042">
        <v>55</v>
      </c>
      <c r="C1042" t="s">
        <v>68</v>
      </c>
      <c r="D1042" t="s">
        <v>69</v>
      </c>
      <c r="E1042">
        <v>1.5</v>
      </c>
      <c r="F1042">
        <v>2.17</v>
      </c>
      <c r="G1042" s="8">
        <f t="shared" si="16"/>
        <v>41.474654377880185</v>
      </c>
    </row>
    <row r="1043" spans="1:7" x14ac:dyDescent="0.25">
      <c r="A1043" s="5">
        <v>45809.708333333336</v>
      </c>
      <c r="B1043">
        <v>56</v>
      </c>
      <c r="C1043" t="s">
        <v>70</v>
      </c>
      <c r="D1043" t="s">
        <v>71</v>
      </c>
      <c r="E1043">
        <v>1.51</v>
      </c>
      <c r="F1043">
        <v>3.73</v>
      </c>
      <c r="G1043" s="8">
        <f t="shared" si="16"/>
        <v>24.289544235924932</v>
      </c>
    </row>
    <row r="1044" spans="1:7" x14ac:dyDescent="0.25">
      <c r="A1044" s="5">
        <v>45809.708333333336</v>
      </c>
      <c r="B1044">
        <v>57</v>
      </c>
      <c r="C1044" t="s">
        <v>71</v>
      </c>
      <c r="D1044" t="s">
        <v>72</v>
      </c>
      <c r="E1044">
        <v>1.52</v>
      </c>
      <c r="F1044">
        <v>3.52</v>
      </c>
      <c r="G1044" s="8">
        <f t="shared" si="16"/>
        <v>25.90909090909091</v>
      </c>
    </row>
    <row r="1045" spans="1:7" x14ac:dyDescent="0.25">
      <c r="A1045" s="5">
        <v>45809.708333333336</v>
      </c>
      <c r="B1045">
        <v>58</v>
      </c>
      <c r="C1045" t="s">
        <v>72</v>
      </c>
      <c r="D1045" t="s">
        <v>73</v>
      </c>
      <c r="E1045">
        <v>1.5</v>
      </c>
      <c r="F1045">
        <v>3.47</v>
      </c>
      <c r="G1045" s="8">
        <f t="shared" si="16"/>
        <v>25.936599423631122</v>
      </c>
    </row>
    <row r="1046" spans="1:7" x14ac:dyDescent="0.25">
      <c r="A1046" s="5">
        <v>45809.71875</v>
      </c>
      <c r="B1046">
        <v>1</v>
      </c>
      <c r="C1046" t="s">
        <v>6</v>
      </c>
      <c r="D1046" t="s">
        <v>7</v>
      </c>
      <c r="E1046">
        <v>1.53</v>
      </c>
      <c r="F1046">
        <v>2.83</v>
      </c>
      <c r="G1046" s="8">
        <f t="shared" si="16"/>
        <v>32.438162544169607</v>
      </c>
    </row>
    <row r="1047" spans="1:7" x14ac:dyDescent="0.25">
      <c r="A1047" s="5">
        <v>45809.71875</v>
      </c>
      <c r="B1047">
        <v>2</v>
      </c>
      <c r="C1047" t="s">
        <v>7</v>
      </c>
      <c r="D1047" t="s">
        <v>8</v>
      </c>
      <c r="E1047">
        <v>1.57</v>
      </c>
      <c r="F1047">
        <v>4.13</v>
      </c>
      <c r="G1047" s="8">
        <f t="shared" si="16"/>
        <v>22.808716707021794</v>
      </c>
    </row>
    <row r="1048" spans="1:7" x14ac:dyDescent="0.25">
      <c r="A1048" s="5">
        <v>45809.71875</v>
      </c>
      <c r="B1048">
        <v>3</v>
      </c>
      <c r="C1048" t="s">
        <v>8</v>
      </c>
      <c r="D1048" t="s">
        <v>9</v>
      </c>
      <c r="E1048">
        <v>1.5</v>
      </c>
      <c r="F1048">
        <v>2.85</v>
      </c>
      <c r="G1048" s="8">
        <f t="shared" si="16"/>
        <v>31.578947368421051</v>
      </c>
    </row>
    <row r="1049" spans="1:7" x14ac:dyDescent="0.25">
      <c r="A1049" s="5">
        <v>45809.71875</v>
      </c>
      <c r="B1049">
        <v>4</v>
      </c>
      <c r="C1049" t="s">
        <v>9</v>
      </c>
      <c r="D1049" t="s">
        <v>10</v>
      </c>
      <c r="E1049">
        <v>1.5</v>
      </c>
      <c r="F1049">
        <v>2.7</v>
      </c>
      <c r="G1049" s="8">
        <f t="shared" si="16"/>
        <v>33.333333333333329</v>
      </c>
    </row>
    <row r="1050" spans="1:7" x14ac:dyDescent="0.25">
      <c r="A1050" s="5">
        <v>45809.71875</v>
      </c>
      <c r="B1050">
        <v>5</v>
      </c>
      <c r="C1050" t="s">
        <v>10</v>
      </c>
      <c r="D1050" t="s">
        <v>11</v>
      </c>
      <c r="E1050">
        <v>1.52</v>
      </c>
      <c r="F1050">
        <v>3.25</v>
      </c>
      <c r="G1050" s="8">
        <f t="shared" si="16"/>
        <v>28.061538461538461</v>
      </c>
    </row>
    <row r="1051" spans="1:7" x14ac:dyDescent="0.25">
      <c r="A1051" s="5">
        <v>45809.71875</v>
      </c>
      <c r="B1051">
        <v>6</v>
      </c>
      <c r="C1051" t="s">
        <v>11</v>
      </c>
      <c r="D1051" t="s">
        <v>12</v>
      </c>
      <c r="E1051">
        <v>1.5</v>
      </c>
      <c r="F1051">
        <v>2.48</v>
      </c>
      <c r="G1051" s="8">
        <f t="shared" si="16"/>
        <v>36.29032258064516</v>
      </c>
    </row>
    <row r="1052" spans="1:7" x14ac:dyDescent="0.25">
      <c r="A1052" s="5">
        <v>45809.71875</v>
      </c>
      <c r="B1052">
        <v>7</v>
      </c>
      <c r="C1052" t="s">
        <v>12</v>
      </c>
      <c r="D1052" t="s">
        <v>13</v>
      </c>
      <c r="E1052">
        <v>1.54</v>
      </c>
      <c r="F1052">
        <v>2.5499999999999998</v>
      </c>
      <c r="G1052" s="8">
        <f t="shared" si="16"/>
        <v>36.235294117647065</v>
      </c>
    </row>
    <row r="1053" spans="1:7" x14ac:dyDescent="0.25">
      <c r="A1053" s="5">
        <v>45809.71875</v>
      </c>
      <c r="B1053">
        <v>8</v>
      </c>
      <c r="C1053" t="s">
        <v>13</v>
      </c>
      <c r="D1053" t="s">
        <v>14</v>
      </c>
      <c r="E1053">
        <v>1.54</v>
      </c>
      <c r="F1053">
        <v>3.05</v>
      </c>
      <c r="G1053" s="8">
        <f t="shared" si="16"/>
        <v>30.295081967213118</v>
      </c>
    </row>
    <row r="1054" spans="1:7" x14ac:dyDescent="0.25">
      <c r="A1054" s="5">
        <v>45809.71875</v>
      </c>
      <c r="B1054">
        <v>9</v>
      </c>
      <c r="C1054" t="s">
        <v>14</v>
      </c>
      <c r="D1054" t="s">
        <v>15</v>
      </c>
      <c r="E1054">
        <v>1.52</v>
      </c>
      <c r="F1054">
        <v>3.52</v>
      </c>
      <c r="G1054" s="8">
        <f t="shared" si="16"/>
        <v>25.90909090909091</v>
      </c>
    </row>
    <row r="1055" spans="1:7" x14ac:dyDescent="0.25">
      <c r="A1055" s="5">
        <v>45809.71875</v>
      </c>
      <c r="B1055">
        <v>10</v>
      </c>
      <c r="C1055" t="s">
        <v>15</v>
      </c>
      <c r="D1055" t="s">
        <v>16</v>
      </c>
      <c r="E1055">
        <v>1.5</v>
      </c>
      <c r="F1055">
        <v>3.73</v>
      </c>
      <c r="G1055" s="8">
        <f t="shared" si="16"/>
        <v>24.128686327077748</v>
      </c>
    </row>
    <row r="1056" spans="1:7" x14ac:dyDescent="0.25">
      <c r="A1056" s="5">
        <v>45809.71875</v>
      </c>
      <c r="B1056">
        <v>11</v>
      </c>
      <c r="C1056" t="s">
        <v>16</v>
      </c>
      <c r="D1056" t="s">
        <v>17</v>
      </c>
      <c r="E1056">
        <v>1.48</v>
      </c>
      <c r="F1056">
        <v>2.33</v>
      </c>
      <c r="G1056" s="8">
        <f t="shared" si="16"/>
        <v>38.111587982832617</v>
      </c>
    </row>
    <row r="1057" spans="1:7" x14ac:dyDescent="0.25">
      <c r="A1057" s="5">
        <v>45809.71875</v>
      </c>
      <c r="B1057">
        <v>12</v>
      </c>
      <c r="C1057" t="s">
        <v>17</v>
      </c>
      <c r="D1057" t="s">
        <v>18</v>
      </c>
      <c r="E1057">
        <v>1.46</v>
      </c>
      <c r="F1057">
        <v>3.27</v>
      </c>
      <c r="G1057" s="8">
        <f t="shared" si="16"/>
        <v>26.788990825688071</v>
      </c>
    </row>
    <row r="1058" spans="1:7" x14ac:dyDescent="0.25">
      <c r="A1058" s="5">
        <v>45809.71875</v>
      </c>
      <c r="B1058">
        <v>13</v>
      </c>
      <c r="C1058" t="s">
        <v>18</v>
      </c>
      <c r="D1058" t="s">
        <v>19</v>
      </c>
      <c r="E1058">
        <v>1.52</v>
      </c>
      <c r="F1058">
        <v>3.22</v>
      </c>
      <c r="G1058" s="8">
        <f t="shared" si="16"/>
        <v>28.322981366459626</v>
      </c>
    </row>
    <row r="1059" spans="1:7" x14ac:dyDescent="0.25">
      <c r="A1059" s="5">
        <v>45809.71875</v>
      </c>
      <c r="B1059">
        <v>14</v>
      </c>
      <c r="C1059" t="s">
        <v>19</v>
      </c>
      <c r="D1059" t="s">
        <v>20</v>
      </c>
      <c r="E1059">
        <v>1.51</v>
      </c>
      <c r="F1059">
        <v>3.28</v>
      </c>
      <c r="G1059" s="8">
        <f t="shared" si="16"/>
        <v>27.621951219512194</v>
      </c>
    </row>
    <row r="1060" spans="1:7" x14ac:dyDescent="0.25">
      <c r="A1060" s="5">
        <v>45809.71875</v>
      </c>
      <c r="B1060">
        <v>15</v>
      </c>
      <c r="C1060" t="s">
        <v>20</v>
      </c>
      <c r="D1060" t="s">
        <v>21</v>
      </c>
      <c r="E1060">
        <v>1.47</v>
      </c>
      <c r="F1060">
        <v>2.2200000000000002</v>
      </c>
      <c r="G1060" s="8">
        <f t="shared" si="16"/>
        <v>39.729729729729726</v>
      </c>
    </row>
    <row r="1061" spans="1:7" x14ac:dyDescent="0.25">
      <c r="A1061" s="5">
        <v>45809.71875</v>
      </c>
      <c r="B1061">
        <v>16</v>
      </c>
      <c r="C1061" t="s">
        <v>21</v>
      </c>
      <c r="D1061" t="s">
        <v>22</v>
      </c>
      <c r="E1061">
        <v>1.5</v>
      </c>
      <c r="F1061">
        <v>1.72</v>
      </c>
      <c r="G1061" s="8">
        <f t="shared" si="16"/>
        <v>52.325581395348841</v>
      </c>
    </row>
    <row r="1062" spans="1:7" x14ac:dyDescent="0.25">
      <c r="A1062" s="5">
        <v>45809.71875</v>
      </c>
      <c r="B1062">
        <v>17</v>
      </c>
      <c r="C1062" t="s">
        <v>22</v>
      </c>
      <c r="D1062" t="s">
        <v>23</v>
      </c>
      <c r="E1062">
        <v>1.51</v>
      </c>
      <c r="F1062">
        <v>2.5</v>
      </c>
      <c r="G1062" s="8">
        <f t="shared" si="16"/>
        <v>36.239999999999995</v>
      </c>
    </row>
    <row r="1063" spans="1:7" x14ac:dyDescent="0.25">
      <c r="A1063" s="5">
        <v>45809.71875</v>
      </c>
      <c r="B1063">
        <v>18</v>
      </c>
      <c r="C1063" t="s">
        <v>23</v>
      </c>
      <c r="D1063" t="s">
        <v>24</v>
      </c>
      <c r="E1063">
        <v>1.51</v>
      </c>
      <c r="F1063">
        <v>2.5299999999999998</v>
      </c>
      <c r="G1063" s="8">
        <f t="shared" si="16"/>
        <v>35.810276679841898</v>
      </c>
    </row>
    <row r="1064" spans="1:7" x14ac:dyDescent="0.25">
      <c r="A1064" s="5">
        <v>45809.71875</v>
      </c>
      <c r="B1064">
        <v>19</v>
      </c>
      <c r="C1064" t="s">
        <v>25</v>
      </c>
      <c r="D1064" t="s">
        <v>26</v>
      </c>
      <c r="E1064">
        <v>1.5</v>
      </c>
      <c r="F1064">
        <v>2.85</v>
      </c>
      <c r="G1064" s="8">
        <f t="shared" si="16"/>
        <v>31.578947368421051</v>
      </c>
    </row>
    <row r="1065" spans="1:7" x14ac:dyDescent="0.25">
      <c r="A1065" s="5">
        <v>45809.71875</v>
      </c>
      <c r="B1065">
        <v>20</v>
      </c>
      <c r="C1065" t="s">
        <v>26</v>
      </c>
      <c r="D1065" t="s">
        <v>27</v>
      </c>
      <c r="E1065">
        <v>1.48</v>
      </c>
      <c r="F1065">
        <v>3.15</v>
      </c>
      <c r="G1065" s="8">
        <f t="shared" si="16"/>
        <v>28.19047619047619</v>
      </c>
    </row>
    <row r="1066" spans="1:7" x14ac:dyDescent="0.25">
      <c r="A1066" s="5">
        <v>45809.71875</v>
      </c>
      <c r="B1066">
        <v>21</v>
      </c>
      <c r="C1066" t="s">
        <v>27</v>
      </c>
      <c r="D1066" t="s">
        <v>28</v>
      </c>
      <c r="E1066">
        <v>1.51</v>
      </c>
      <c r="F1066">
        <v>2.98</v>
      </c>
      <c r="G1066" s="8">
        <f t="shared" si="16"/>
        <v>30.402684563758388</v>
      </c>
    </row>
    <row r="1067" spans="1:7" x14ac:dyDescent="0.25">
      <c r="A1067" s="5">
        <v>45809.71875</v>
      </c>
      <c r="B1067">
        <v>22</v>
      </c>
      <c r="C1067" t="s">
        <v>28</v>
      </c>
      <c r="D1067" t="s">
        <v>29</v>
      </c>
      <c r="E1067">
        <v>1.57</v>
      </c>
      <c r="F1067">
        <v>3.08</v>
      </c>
      <c r="G1067" s="8">
        <f t="shared" si="16"/>
        <v>30.584415584415584</v>
      </c>
    </row>
    <row r="1068" spans="1:7" x14ac:dyDescent="0.25">
      <c r="A1068" s="5">
        <v>45809.71875</v>
      </c>
      <c r="B1068">
        <v>23</v>
      </c>
      <c r="C1068" t="s">
        <v>29</v>
      </c>
      <c r="D1068" t="s">
        <v>30</v>
      </c>
      <c r="E1068">
        <v>1.43</v>
      </c>
      <c r="F1068">
        <v>3.08</v>
      </c>
      <c r="G1068" s="8">
        <f t="shared" si="16"/>
        <v>27.857142857142854</v>
      </c>
    </row>
    <row r="1069" spans="1:7" x14ac:dyDescent="0.25">
      <c r="A1069" s="5">
        <v>45809.71875</v>
      </c>
      <c r="B1069">
        <v>24</v>
      </c>
      <c r="C1069" t="s">
        <v>30</v>
      </c>
      <c r="D1069" t="s">
        <v>31</v>
      </c>
      <c r="E1069">
        <v>1.52</v>
      </c>
      <c r="F1069">
        <v>2.92</v>
      </c>
      <c r="G1069" s="8">
        <f t="shared" si="16"/>
        <v>31.232876712328768</v>
      </c>
    </row>
    <row r="1070" spans="1:7" x14ac:dyDescent="0.25">
      <c r="A1070" s="5">
        <v>45809.71875</v>
      </c>
      <c r="B1070">
        <v>25</v>
      </c>
      <c r="C1070" t="s">
        <v>31</v>
      </c>
      <c r="D1070" t="s">
        <v>32</v>
      </c>
      <c r="E1070">
        <v>1.52</v>
      </c>
      <c r="F1070">
        <v>2.97</v>
      </c>
      <c r="G1070" s="8">
        <f t="shared" si="16"/>
        <v>30.707070707070706</v>
      </c>
    </row>
    <row r="1071" spans="1:7" x14ac:dyDescent="0.25">
      <c r="A1071" s="5">
        <v>45809.71875</v>
      </c>
      <c r="B1071">
        <v>26</v>
      </c>
      <c r="C1071" t="s">
        <v>32</v>
      </c>
      <c r="D1071" t="s">
        <v>33</v>
      </c>
      <c r="E1071">
        <v>1.49</v>
      </c>
      <c r="F1071">
        <v>3.55</v>
      </c>
      <c r="G1071" s="8">
        <f t="shared" si="16"/>
        <v>25.1830985915493</v>
      </c>
    </row>
    <row r="1072" spans="1:7" x14ac:dyDescent="0.25">
      <c r="A1072" s="5">
        <v>45809.71875</v>
      </c>
      <c r="B1072">
        <v>27</v>
      </c>
      <c r="C1072" t="s">
        <v>33</v>
      </c>
      <c r="D1072" t="s">
        <v>34</v>
      </c>
      <c r="E1072">
        <v>1.53</v>
      </c>
      <c r="F1072">
        <v>3.73</v>
      </c>
      <c r="G1072" s="8">
        <f t="shared" si="16"/>
        <v>24.611260053619301</v>
      </c>
    </row>
    <row r="1073" spans="1:7" x14ac:dyDescent="0.25">
      <c r="A1073" s="5">
        <v>45809.71875</v>
      </c>
      <c r="B1073">
        <v>28</v>
      </c>
      <c r="C1073" t="s">
        <v>34</v>
      </c>
      <c r="D1073" t="s">
        <v>35</v>
      </c>
      <c r="E1073">
        <v>1.51</v>
      </c>
      <c r="F1073">
        <v>3.62</v>
      </c>
      <c r="G1073" s="8">
        <f t="shared" si="16"/>
        <v>25.027624309392262</v>
      </c>
    </row>
    <row r="1074" spans="1:7" x14ac:dyDescent="0.25">
      <c r="A1074" s="5">
        <v>45809.71875</v>
      </c>
      <c r="B1074">
        <v>29</v>
      </c>
      <c r="C1074" t="s">
        <v>36</v>
      </c>
      <c r="D1074" t="s">
        <v>37</v>
      </c>
      <c r="E1074">
        <v>1.57</v>
      </c>
      <c r="F1074">
        <v>3.18</v>
      </c>
      <c r="G1074" s="8">
        <f t="shared" si="16"/>
        <v>29.622641509433961</v>
      </c>
    </row>
    <row r="1075" spans="1:7" x14ac:dyDescent="0.25">
      <c r="A1075" s="5">
        <v>45809.71875</v>
      </c>
      <c r="B1075">
        <v>30</v>
      </c>
      <c r="C1075" t="s">
        <v>37</v>
      </c>
      <c r="D1075" t="s">
        <v>38</v>
      </c>
      <c r="E1075">
        <v>1.57</v>
      </c>
      <c r="F1075">
        <v>3.83</v>
      </c>
      <c r="G1075" s="8">
        <f t="shared" si="16"/>
        <v>24.595300261096607</v>
      </c>
    </row>
    <row r="1076" spans="1:7" x14ac:dyDescent="0.25">
      <c r="A1076" s="5">
        <v>45809.71875</v>
      </c>
      <c r="B1076">
        <v>31</v>
      </c>
      <c r="C1076" t="s">
        <v>38</v>
      </c>
      <c r="D1076" t="s">
        <v>39</v>
      </c>
      <c r="E1076">
        <v>1.52</v>
      </c>
      <c r="F1076">
        <v>2.5</v>
      </c>
      <c r="G1076" s="8">
        <f t="shared" si="16"/>
        <v>36.480000000000004</v>
      </c>
    </row>
    <row r="1077" spans="1:7" x14ac:dyDescent="0.25">
      <c r="A1077" s="5">
        <v>45809.71875</v>
      </c>
      <c r="B1077">
        <v>32</v>
      </c>
      <c r="C1077" t="s">
        <v>39</v>
      </c>
      <c r="D1077" t="s">
        <v>40</v>
      </c>
      <c r="E1077">
        <v>1.5</v>
      </c>
      <c r="F1077">
        <v>1.7</v>
      </c>
      <c r="G1077" s="8">
        <f t="shared" si="16"/>
        <v>52.941176470588239</v>
      </c>
    </row>
    <row r="1078" spans="1:7" x14ac:dyDescent="0.25">
      <c r="A1078" s="5">
        <v>45809.71875</v>
      </c>
      <c r="B1078">
        <v>33</v>
      </c>
      <c r="C1078" t="s">
        <v>40</v>
      </c>
      <c r="D1078" t="s">
        <v>41</v>
      </c>
      <c r="E1078">
        <v>1.51</v>
      </c>
      <c r="F1078">
        <v>1.75</v>
      </c>
      <c r="G1078" s="8">
        <f t="shared" si="16"/>
        <v>51.771428571428565</v>
      </c>
    </row>
    <row r="1079" spans="1:7" x14ac:dyDescent="0.25">
      <c r="A1079" s="5">
        <v>45809.71875</v>
      </c>
      <c r="B1079">
        <v>34</v>
      </c>
      <c r="C1079" t="s">
        <v>41</v>
      </c>
      <c r="D1079" t="s">
        <v>42</v>
      </c>
      <c r="E1079">
        <v>1.5</v>
      </c>
      <c r="F1079">
        <v>1.83</v>
      </c>
      <c r="G1079" s="8">
        <f t="shared" si="16"/>
        <v>49.180327868852459</v>
      </c>
    </row>
    <row r="1080" spans="1:7" x14ac:dyDescent="0.25">
      <c r="A1080" s="5">
        <v>45809.71875</v>
      </c>
      <c r="B1080">
        <v>35</v>
      </c>
      <c r="C1080" t="s">
        <v>43</v>
      </c>
      <c r="D1080" t="s">
        <v>44</v>
      </c>
      <c r="E1080">
        <v>1.55</v>
      </c>
      <c r="F1080">
        <v>3.18</v>
      </c>
      <c r="G1080" s="8">
        <f t="shared" si="16"/>
        <v>29.245283018867923</v>
      </c>
    </row>
    <row r="1081" spans="1:7" x14ac:dyDescent="0.25">
      <c r="A1081" s="5">
        <v>45809.71875</v>
      </c>
      <c r="B1081">
        <v>36</v>
      </c>
      <c r="C1081" t="s">
        <v>44</v>
      </c>
      <c r="D1081" t="s">
        <v>45</v>
      </c>
      <c r="E1081">
        <v>1.5</v>
      </c>
      <c r="F1081">
        <v>2.75</v>
      </c>
      <c r="G1081" s="8">
        <f t="shared" si="16"/>
        <v>32.727272727272727</v>
      </c>
    </row>
    <row r="1082" spans="1:7" x14ac:dyDescent="0.25">
      <c r="A1082" s="5">
        <v>45809.71875</v>
      </c>
      <c r="B1082">
        <v>37</v>
      </c>
      <c r="C1082" t="s">
        <v>45</v>
      </c>
      <c r="D1082" t="s">
        <v>46</v>
      </c>
      <c r="E1082">
        <v>1.38</v>
      </c>
      <c r="F1082">
        <v>3.47</v>
      </c>
      <c r="G1082" s="8">
        <f t="shared" si="16"/>
        <v>23.861671469740632</v>
      </c>
    </row>
    <row r="1083" spans="1:7" x14ac:dyDescent="0.25">
      <c r="A1083" s="5">
        <v>45809.71875</v>
      </c>
      <c r="B1083">
        <v>38</v>
      </c>
      <c r="C1083" t="s">
        <v>46</v>
      </c>
      <c r="D1083" t="s">
        <v>47</v>
      </c>
      <c r="E1083">
        <v>1.61</v>
      </c>
      <c r="F1083">
        <v>3.73</v>
      </c>
      <c r="G1083" s="8">
        <f t="shared" si="16"/>
        <v>25.898123324396785</v>
      </c>
    </row>
    <row r="1084" spans="1:7" x14ac:dyDescent="0.25">
      <c r="A1084" s="5">
        <v>45809.71875</v>
      </c>
      <c r="B1084">
        <v>39</v>
      </c>
      <c r="C1084" t="s">
        <v>47</v>
      </c>
      <c r="D1084" t="s">
        <v>48</v>
      </c>
      <c r="E1084">
        <v>1.55</v>
      </c>
      <c r="F1084">
        <v>3.25</v>
      </c>
      <c r="G1084" s="8">
        <f t="shared" si="16"/>
        <v>28.615384615384617</v>
      </c>
    </row>
    <row r="1085" spans="1:7" x14ac:dyDescent="0.25">
      <c r="A1085" s="5">
        <v>45809.71875</v>
      </c>
      <c r="B1085">
        <v>40</v>
      </c>
      <c r="C1085" t="s">
        <v>48</v>
      </c>
      <c r="D1085" t="s">
        <v>49</v>
      </c>
      <c r="E1085">
        <v>1.39</v>
      </c>
      <c r="F1085">
        <v>2.85</v>
      </c>
      <c r="G1085" s="8">
        <f t="shared" si="16"/>
        <v>29.263157894736839</v>
      </c>
    </row>
    <row r="1086" spans="1:7" x14ac:dyDescent="0.25">
      <c r="A1086" s="5">
        <v>45809.71875</v>
      </c>
      <c r="B1086">
        <v>41</v>
      </c>
      <c r="C1086" t="s">
        <v>50</v>
      </c>
      <c r="D1086" t="s">
        <v>51</v>
      </c>
      <c r="E1086">
        <v>1.56</v>
      </c>
      <c r="F1086">
        <v>3.5</v>
      </c>
      <c r="G1086" s="8">
        <f t="shared" si="16"/>
        <v>26.742857142857144</v>
      </c>
    </row>
    <row r="1087" spans="1:7" x14ac:dyDescent="0.25">
      <c r="A1087" s="5">
        <v>45809.71875</v>
      </c>
      <c r="B1087">
        <v>42</v>
      </c>
      <c r="C1087" t="s">
        <v>51</v>
      </c>
      <c r="D1087" t="s">
        <v>52</v>
      </c>
      <c r="E1087">
        <v>1.56</v>
      </c>
      <c r="F1087">
        <v>3.62</v>
      </c>
      <c r="G1087" s="8">
        <f t="shared" si="16"/>
        <v>25.856353591160222</v>
      </c>
    </row>
    <row r="1088" spans="1:7" x14ac:dyDescent="0.25">
      <c r="A1088" s="5">
        <v>45809.71875</v>
      </c>
      <c r="B1088">
        <v>43</v>
      </c>
      <c r="C1088" t="s">
        <v>52</v>
      </c>
      <c r="D1088" t="s">
        <v>53</v>
      </c>
      <c r="E1088">
        <v>1.51</v>
      </c>
      <c r="F1088">
        <v>3.3</v>
      </c>
      <c r="G1088" s="8">
        <f t="shared" si="16"/>
        <v>27.454545454545453</v>
      </c>
    </row>
    <row r="1089" spans="1:7" x14ac:dyDescent="0.25">
      <c r="A1089" s="5">
        <v>45809.71875</v>
      </c>
      <c r="B1089">
        <v>44</v>
      </c>
      <c r="C1089" t="s">
        <v>54</v>
      </c>
      <c r="D1089" t="s">
        <v>55</v>
      </c>
      <c r="E1089">
        <v>1.51</v>
      </c>
      <c r="F1089">
        <v>3.75</v>
      </c>
      <c r="G1089" s="8">
        <f t="shared" si="16"/>
        <v>24.16</v>
      </c>
    </row>
    <row r="1090" spans="1:7" x14ac:dyDescent="0.25">
      <c r="A1090" s="5">
        <v>45809.71875</v>
      </c>
      <c r="B1090">
        <v>45</v>
      </c>
      <c r="C1090" t="s">
        <v>55</v>
      </c>
      <c r="D1090" t="s">
        <v>56</v>
      </c>
      <c r="E1090">
        <v>1.49</v>
      </c>
      <c r="F1090">
        <v>3.18</v>
      </c>
      <c r="G1090" s="8">
        <f t="shared" si="16"/>
        <v>28.113207547169811</v>
      </c>
    </row>
    <row r="1091" spans="1:7" x14ac:dyDescent="0.25">
      <c r="A1091" s="5">
        <v>45809.71875</v>
      </c>
      <c r="B1091">
        <v>46</v>
      </c>
      <c r="C1091" t="s">
        <v>56</v>
      </c>
      <c r="D1091" t="s">
        <v>57</v>
      </c>
      <c r="E1091">
        <v>1.52</v>
      </c>
      <c r="F1091">
        <v>3.45</v>
      </c>
      <c r="G1091" s="8">
        <f t="shared" ref="G1091:G1154" si="17">E1091*60/F1091</f>
        <v>26.434782608695652</v>
      </c>
    </row>
    <row r="1092" spans="1:7" x14ac:dyDescent="0.25">
      <c r="A1092" s="5">
        <v>45809.71875</v>
      </c>
      <c r="B1092">
        <v>47</v>
      </c>
      <c r="C1092" t="s">
        <v>58</v>
      </c>
      <c r="D1092" t="s">
        <v>59</v>
      </c>
      <c r="E1092">
        <v>1.52</v>
      </c>
      <c r="F1092">
        <v>3.57</v>
      </c>
      <c r="G1092" s="8">
        <f t="shared" si="17"/>
        <v>25.54621848739496</v>
      </c>
    </row>
    <row r="1093" spans="1:7" x14ac:dyDescent="0.25">
      <c r="A1093" s="5">
        <v>45809.71875</v>
      </c>
      <c r="B1093">
        <v>48</v>
      </c>
      <c r="C1093" t="s">
        <v>59</v>
      </c>
      <c r="D1093" t="s">
        <v>60</v>
      </c>
      <c r="E1093">
        <v>1.5</v>
      </c>
      <c r="F1093">
        <v>3.57</v>
      </c>
      <c r="G1093" s="8">
        <f t="shared" si="17"/>
        <v>25.210084033613448</v>
      </c>
    </row>
    <row r="1094" spans="1:7" x14ac:dyDescent="0.25">
      <c r="A1094" s="5">
        <v>45809.71875</v>
      </c>
      <c r="B1094">
        <v>49</v>
      </c>
      <c r="C1094" t="s">
        <v>60</v>
      </c>
      <c r="D1094" t="s">
        <v>61</v>
      </c>
      <c r="E1094">
        <v>1.54</v>
      </c>
      <c r="F1094">
        <v>3.78</v>
      </c>
      <c r="G1094" s="8">
        <f t="shared" si="17"/>
        <v>24.444444444444446</v>
      </c>
    </row>
    <row r="1095" spans="1:7" x14ac:dyDescent="0.25">
      <c r="A1095" s="5">
        <v>45809.71875</v>
      </c>
      <c r="B1095">
        <v>50</v>
      </c>
      <c r="C1095" t="s">
        <v>62</v>
      </c>
      <c r="D1095" t="s">
        <v>63</v>
      </c>
      <c r="E1095">
        <v>1.38</v>
      </c>
      <c r="F1095">
        <v>3.02</v>
      </c>
      <c r="G1095" s="8">
        <f t="shared" si="17"/>
        <v>27.417218543046356</v>
      </c>
    </row>
    <row r="1096" spans="1:7" x14ac:dyDescent="0.25">
      <c r="A1096" s="5">
        <v>45809.71875</v>
      </c>
      <c r="B1096">
        <v>51</v>
      </c>
      <c r="C1096" t="s">
        <v>63</v>
      </c>
      <c r="D1096" t="s">
        <v>64</v>
      </c>
      <c r="E1096">
        <v>2.79</v>
      </c>
      <c r="F1096">
        <v>5.4</v>
      </c>
      <c r="G1096" s="8">
        <f t="shared" si="17"/>
        <v>31</v>
      </c>
    </row>
    <row r="1097" spans="1:7" x14ac:dyDescent="0.25">
      <c r="A1097" s="5">
        <v>45809.71875</v>
      </c>
      <c r="B1097">
        <v>52</v>
      </c>
      <c r="C1097" t="s">
        <v>64</v>
      </c>
      <c r="D1097" t="s">
        <v>65</v>
      </c>
      <c r="E1097">
        <v>1.5</v>
      </c>
      <c r="F1097">
        <v>2.7</v>
      </c>
      <c r="G1097" s="8">
        <f t="shared" si="17"/>
        <v>33.333333333333329</v>
      </c>
    </row>
    <row r="1098" spans="1:7" x14ac:dyDescent="0.25">
      <c r="A1098" s="5">
        <v>45809.71875</v>
      </c>
      <c r="B1098">
        <v>53</v>
      </c>
      <c r="C1098" t="s">
        <v>65</v>
      </c>
      <c r="D1098" t="s">
        <v>66</v>
      </c>
      <c r="E1098">
        <v>1.46</v>
      </c>
      <c r="F1098">
        <v>3.48</v>
      </c>
      <c r="G1098" s="8">
        <f t="shared" si="17"/>
        <v>25.172413793103448</v>
      </c>
    </row>
    <row r="1099" spans="1:7" x14ac:dyDescent="0.25">
      <c r="A1099" s="5">
        <v>45809.71875</v>
      </c>
      <c r="B1099">
        <v>54</v>
      </c>
      <c r="C1099" t="s">
        <v>67</v>
      </c>
      <c r="D1099" t="s">
        <v>68</v>
      </c>
      <c r="E1099">
        <v>1.46</v>
      </c>
      <c r="F1099">
        <v>2.4700000000000002</v>
      </c>
      <c r="G1099" s="8">
        <f t="shared" si="17"/>
        <v>35.465587044534409</v>
      </c>
    </row>
    <row r="1100" spans="1:7" x14ac:dyDescent="0.25">
      <c r="A1100" s="5">
        <v>45809.71875</v>
      </c>
      <c r="B1100">
        <v>55</v>
      </c>
      <c r="C1100" t="s">
        <v>68</v>
      </c>
      <c r="D1100" t="s">
        <v>69</v>
      </c>
      <c r="E1100">
        <v>1.5</v>
      </c>
      <c r="F1100">
        <v>1.82</v>
      </c>
      <c r="G1100" s="8">
        <f t="shared" si="17"/>
        <v>49.450549450549445</v>
      </c>
    </row>
    <row r="1101" spans="1:7" x14ac:dyDescent="0.25">
      <c r="A1101" s="5">
        <v>45809.71875</v>
      </c>
      <c r="B1101">
        <v>56</v>
      </c>
      <c r="C1101" t="s">
        <v>70</v>
      </c>
      <c r="D1101" t="s">
        <v>71</v>
      </c>
      <c r="E1101">
        <v>1.51</v>
      </c>
      <c r="F1101">
        <v>4.0999999999999996</v>
      </c>
      <c r="G1101" s="8">
        <f t="shared" si="17"/>
        <v>22.097560975609756</v>
      </c>
    </row>
    <row r="1102" spans="1:7" x14ac:dyDescent="0.25">
      <c r="A1102" s="5">
        <v>45809.71875</v>
      </c>
      <c r="B1102">
        <v>57</v>
      </c>
      <c r="C1102" t="s">
        <v>71</v>
      </c>
      <c r="D1102" t="s">
        <v>72</v>
      </c>
      <c r="E1102">
        <v>1.52</v>
      </c>
      <c r="F1102">
        <v>3.58</v>
      </c>
      <c r="G1102" s="8">
        <f t="shared" si="17"/>
        <v>25.47486033519553</v>
      </c>
    </row>
    <row r="1103" spans="1:7" x14ac:dyDescent="0.25">
      <c r="A1103" s="5">
        <v>45809.71875</v>
      </c>
      <c r="B1103">
        <v>58</v>
      </c>
      <c r="C1103" t="s">
        <v>72</v>
      </c>
      <c r="D1103" t="s">
        <v>73</v>
      </c>
      <c r="E1103">
        <v>1.5</v>
      </c>
      <c r="F1103">
        <v>3.27</v>
      </c>
      <c r="G1103" s="8">
        <f t="shared" si="17"/>
        <v>27.522935779816514</v>
      </c>
    </row>
    <row r="1104" spans="1:7" x14ac:dyDescent="0.25">
      <c r="A1104" s="5">
        <v>45809.729166666664</v>
      </c>
      <c r="B1104">
        <v>1</v>
      </c>
      <c r="C1104" t="s">
        <v>6</v>
      </c>
      <c r="D1104" t="s">
        <v>7</v>
      </c>
      <c r="E1104">
        <v>1.53</v>
      </c>
      <c r="F1104">
        <v>2.88</v>
      </c>
      <c r="G1104" s="8">
        <f t="shared" si="17"/>
        <v>31.875</v>
      </c>
    </row>
    <row r="1105" spans="1:7" x14ac:dyDescent="0.25">
      <c r="A1105" s="5">
        <v>45809.729166666664</v>
      </c>
      <c r="B1105">
        <v>2</v>
      </c>
      <c r="C1105" t="s">
        <v>7</v>
      </c>
      <c r="D1105" t="s">
        <v>8</v>
      </c>
      <c r="E1105">
        <v>1.57</v>
      </c>
      <c r="F1105">
        <v>4.28</v>
      </c>
      <c r="G1105" s="8">
        <f t="shared" si="17"/>
        <v>22.009345794392523</v>
      </c>
    </row>
    <row r="1106" spans="1:7" x14ac:dyDescent="0.25">
      <c r="A1106" s="5">
        <v>45809.729166666664</v>
      </c>
      <c r="B1106">
        <v>3</v>
      </c>
      <c r="C1106" t="s">
        <v>8</v>
      </c>
      <c r="D1106" t="s">
        <v>9</v>
      </c>
      <c r="E1106">
        <v>1.5</v>
      </c>
      <c r="F1106">
        <v>2.88</v>
      </c>
      <c r="G1106" s="8">
        <f t="shared" si="17"/>
        <v>31.25</v>
      </c>
    </row>
    <row r="1107" spans="1:7" x14ac:dyDescent="0.25">
      <c r="A1107" s="5">
        <v>45809.729166666664</v>
      </c>
      <c r="B1107">
        <v>4</v>
      </c>
      <c r="C1107" t="s">
        <v>9</v>
      </c>
      <c r="D1107" t="s">
        <v>10</v>
      </c>
      <c r="E1107">
        <v>1.5</v>
      </c>
      <c r="F1107">
        <v>2.67</v>
      </c>
      <c r="G1107" s="8">
        <f t="shared" si="17"/>
        <v>33.707865168539328</v>
      </c>
    </row>
    <row r="1108" spans="1:7" x14ac:dyDescent="0.25">
      <c r="A1108" s="5">
        <v>45809.729166666664</v>
      </c>
      <c r="B1108">
        <v>5</v>
      </c>
      <c r="C1108" t="s">
        <v>10</v>
      </c>
      <c r="D1108" t="s">
        <v>11</v>
      </c>
      <c r="E1108">
        <v>1.52</v>
      </c>
      <c r="F1108">
        <v>3.12</v>
      </c>
      <c r="G1108" s="8">
        <f t="shared" si="17"/>
        <v>29.23076923076923</v>
      </c>
    </row>
    <row r="1109" spans="1:7" x14ac:dyDescent="0.25">
      <c r="A1109" s="5">
        <v>45809.729166666664</v>
      </c>
      <c r="B1109">
        <v>6</v>
      </c>
      <c r="C1109" t="s">
        <v>11</v>
      </c>
      <c r="D1109" t="s">
        <v>12</v>
      </c>
      <c r="E1109">
        <v>1.5</v>
      </c>
      <c r="F1109">
        <v>2.48</v>
      </c>
      <c r="G1109" s="8">
        <f t="shared" si="17"/>
        <v>36.29032258064516</v>
      </c>
    </row>
    <row r="1110" spans="1:7" x14ac:dyDescent="0.25">
      <c r="A1110" s="5">
        <v>45809.729166666664</v>
      </c>
      <c r="B1110">
        <v>7</v>
      </c>
      <c r="C1110" t="s">
        <v>12</v>
      </c>
      <c r="D1110" t="s">
        <v>13</v>
      </c>
      <c r="E1110">
        <v>1.54</v>
      </c>
      <c r="F1110">
        <v>2.77</v>
      </c>
      <c r="G1110" s="8">
        <f t="shared" si="17"/>
        <v>33.357400722021666</v>
      </c>
    </row>
    <row r="1111" spans="1:7" x14ac:dyDescent="0.25">
      <c r="A1111" s="5">
        <v>45809.729166666664</v>
      </c>
      <c r="B1111">
        <v>8</v>
      </c>
      <c r="C1111" t="s">
        <v>13</v>
      </c>
      <c r="D1111" t="s">
        <v>14</v>
      </c>
      <c r="E1111">
        <v>1.54</v>
      </c>
      <c r="F1111">
        <v>2.95</v>
      </c>
      <c r="G1111" s="8">
        <f t="shared" si="17"/>
        <v>31.322033898305087</v>
      </c>
    </row>
    <row r="1112" spans="1:7" x14ac:dyDescent="0.25">
      <c r="A1112" s="5">
        <v>45809.729166666664</v>
      </c>
      <c r="B1112">
        <v>9</v>
      </c>
      <c r="C1112" t="s">
        <v>14</v>
      </c>
      <c r="D1112" t="s">
        <v>15</v>
      </c>
      <c r="E1112">
        <v>1.52</v>
      </c>
      <c r="F1112">
        <v>3.25</v>
      </c>
      <c r="G1112" s="8">
        <f t="shared" si="17"/>
        <v>28.061538461538461</v>
      </c>
    </row>
    <row r="1113" spans="1:7" x14ac:dyDescent="0.25">
      <c r="A1113" s="5">
        <v>45809.729166666664</v>
      </c>
      <c r="B1113">
        <v>10</v>
      </c>
      <c r="C1113" t="s">
        <v>15</v>
      </c>
      <c r="D1113" t="s">
        <v>16</v>
      </c>
      <c r="E1113">
        <v>1.5</v>
      </c>
      <c r="F1113">
        <v>3.48</v>
      </c>
      <c r="G1113" s="8">
        <f t="shared" si="17"/>
        <v>25.862068965517242</v>
      </c>
    </row>
    <row r="1114" spans="1:7" x14ac:dyDescent="0.25">
      <c r="A1114" s="5">
        <v>45809.729166666664</v>
      </c>
      <c r="B1114">
        <v>11</v>
      </c>
      <c r="C1114" t="s">
        <v>16</v>
      </c>
      <c r="D1114" t="s">
        <v>17</v>
      </c>
      <c r="E1114">
        <v>1.48</v>
      </c>
      <c r="F1114">
        <v>2.2999999999999998</v>
      </c>
      <c r="G1114" s="8">
        <f t="shared" si="17"/>
        <v>38.608695652173914</v>
      </c>
    </row>
    <row r="1115" spans="1:7" x14ac:dyDescent="0.25">
      <c r="A1115" s="5">
        <v>45809.729166666664</v>
      </c>
      <c r="B1115">
        <v>12</v>
      </c>
      <c r="C1115" t="s">
        <v>17</v>
      </c>
      <c r="D1115" t="s">
        <v>18</v>
      </c>
      <c r="E1115">
        <v>1.46</v>
      </c>
      <c r="F1115">
        <v>3.37</v>
      </c>
      <c r="G1115" s="8">
        <f t="shared" si="17"/>
        <v>25.994065281899108</v>
      </c>
    </row>
    <row r="1116" spans="1:7" x14ac:dyDescent="0.25">
      <c r="A1116" s="5">
        <v>45809.729166666664</v>
      </c>
      <c r="B1116">
        <v>13</v>
      </c>
      <c r="C1116" t="s">
        <v>18</v>
      </c>
      <c r="D1116" t="s">
        <v>19</v>
      </c>
      <c r="E1116">
        <v>1.52</v>
      </c>
      <c r="F1116">
        <v>3.58</v>
      </c>
      <c r="G1116" s="8">
        <f t="shared" si="17"/>
        <v>25.47486033519553</v>
      </c>
    </row>
    <row r="1117" spans="1:7" x14ac:dyDescent="0.25">
      <c r="A1117" s="5">
        <v>45809.729166666664</v>
      </c>
      <c r="B1117">
        <v>14</v>
      </c>
      <c r="C1117" t="s">
        <v>19</v>
      </c>
      <c r="D1117" t="s">
        <v>20</v>
      </c>
      <c r="E1117">
        <v>1.51</v>
      </c>
      <c r="F1117">
        <v>3.13</v>
      </c>
      <c r="G1117" s="8">
        <f t="shared" si="17"/>
        <v>28.945686900958467</v>
      </c>
    </row>
    <row r="1118" spans="1:7" x14ac:dyDescent="0.25">
      <c r="A1118" s="5">
        <v>45809.729166666664</v>
      </c>
      <c r="B1118">
        <v>15</v>
      </c>
      <c r="C1118" t="s">
        <v>20</v>
      </c>
      <c r="D1118" t="s">
        <v>21</v>
      </c>
      <c r="E1118">
        <v>1.47</v>
      </c>
      <c r="F1118">
        <v>2.2200000000000002</v>
      </c>
      <c r="G1118" s="8">
        <f t="shared" si="17"/>
        <v>39.729729729729726</v>
      </c>
    </row>
    <row r="1119" spans="1:7" x14ac:dyDescent="0.25">
      <c r="A1119" s="5">
        <v>45809.729166666664</v>
      </c>
      <c r="B1119">
        <v>16</v>
      </c>
      <c r="C1119" t="s">
        <v>21</v>
      </c>
      <c r="D1119" t="s">
        <v>22</v>
      </c>
      <c r="E1119">
        <v>1.5</v>
      </c>
      <c r="F1119">
        <v>1.73</v>
      </c>
      <c r="G1119" s="8">
        <f t="shared" si="17"/>
        <v>52.02312138728324</v>
      </c>
    </row>
    <row r="1120" spans="1:7" x14ac:dyDescent="0.25">
      <c r="A1120" s="5">
        <v>45809.729166666664</v>
      </c>
      <c r="B1120">
        <v>17</v>
      </c>
      <c r="C1120" t="s">
        <v>22</v>
      </c>
      <c r="D1120" t="s">
        <v>23</v>
      </c>
      <c r="E1120">
        <v>1.51</v>
      </c>
      <c r="F1120">
        <v>2.5499999999999998</v>
      </c>
      <c r="G1120" s="8">
        <f t="shared" si="17"/>
        <v>35.529411764705884</v>
      </c>
    </row>
    <row r="1121" spans="1:7" x14ac:dyDescent="0.25">
      <c r="A1121" s="5">
        <v>45809.729166666664</v>
      </c>
      <c r="B1121">
        <v>18</v>
      </c>
      <c r="C1121" t="s">
        <v>23</v>
      </c>
      <c r="D1121" t="s">
        <v>24</v>
      </c>
      <c r="E1121">
        <v>1.51</v>
      </c>
      <c r="F1121">
        <v>2.73</v>
      </c>
      <c r="G1121" s="8">
        <f t="shared" si="17"/>
        <v>33.186813186813183</v>
      </c>
    </row>
    <row r="1122" spans="1:7" x14ac:dyDescent="0.25">
      <c r="A1122" s="5">
        <v>45809.729166666664</v>
      </c>
      <c r="B1122">
        <v>19</v>
      </c>
      <c r="C1122" t="s">
        <v>25</v>
      </c>
      <c r="D1122" t="s">
        <v>26</v>
      </c>
      <c r="E1122">
        <v>1.5</v>
      </c>
      <c r="F1122">
        <v>3.17</v>
      </c>
      <c r="G1122" s="8">
        <f t="shared" si="17"/>
        <v>28.391167192429023</v>
      </c>
    </row>
    <row r="1123" spans="1:7" x14ac:dyDescent="0.25">
      <c r="A1123" s="5">
        <v>45809.729166666664</v>
      </c>
      <c r="B1123">
        <v>20</v>
      </c>
      <c r="C1123" t="s">
        <v>26</v>
      </c>
      <c r="D1123" t="s">
        <v>27</v>
      </c>
      <c r="E1123">
        <v>1.48</v>
      </c>
      <c r="F1123">
        <v>3.28</v>
      </c>
      <c r="G1123" s="8">
        <f t="shared" si="17"/>
        <v>27.073170731707318</v>
      </c>
    </row>
    <row r="1124" spans="1:7" x14ac:dyDescent="0.25">
      <c r="A1124" s="5">
        <v>45809.729166666664</v>
      </c>
      <c r="B1124">
        <v>21</v>
      </c>
      <c r="C1124" t="s">
        <v>27</v>
      </c>
      <c r="D1124" t="s">
        <v>28</v>
      </c>
      <c r="E1124">
        <v>1.51</v>
      </c>
      <c r="F1124">
        <v>2.78</v>
      </c>
      <c r="G1124" s="8">
        <f t="shared" si="17"/>
        <v>32.589928057553955</v>
      </c>
    </row>
    <row r="1125" spans="1:7" x14ac:dyDescent="0.25">
      <c r="A1125" s="5">
        <v>45809.729166666664</v>
      </c>
      <c r="B1125">
        <v>22</v>
      </c>
      <c r="C1125" t="s">
        <v>28</v>
      </c>
      <c r="D1125" t="s">
        <v>29</v>
      </c>
      <c r="E1125">
        <v>1.57</v>
      </c>
      <c r="F1125">
        <v>3.15</v>
      </c>
      <c r="G1125" s="8">
        <f t="shared" si="17"/>
        <v>29.904761904761905</v>
      </c>
    </row>
    <row r="1126" spans="1:7" x14ac:dyDescent="0.25">
      <c r="A1126" s="5">
        <v>45809.729166666664</v>
      </c>
      <c r="B1126">
        <v>23</v>
      </c>
      <c r="C1126" t="s">
        <v>29</v>
      </c>
      <c r="D1126" t="s">
        <v>30</v>
      </c>
      <c r="E1126">
        <v>1.43</v>
      </c>
      <c r="F1126">
        <v>3.12</v>
      </c>
      <c r="G1126" s="8">
        <f t="shared" si="17"/>
        <v>27.499999999999996</v>
      </c>
    </row>
    <row r="1127" spans="1:7" x14ac:dyDescent="0.25">
      <c r="A1127" s="5">
        <v>45809.729166666664</v>
      </c>
      <c r="B1127">
        <v>24</v>
      </c>
      <c r="C1127" t="s">
        <v>30</v>
      </c>
      <c r="D1127" t="s">
        <v>31</v>
      </c>
      <c r="E1127">
        <v>1.52</v>
      </c>
      <c r="F1127">
        <v>3.02</v>
      </c>
      <c r="G1127" s="8">
        <f t="shared" si="17"/>
        <v>30.198675496688743</v>
      </c>
    </row>
    <row r="1128" spans="1:7" x14ac:dyDescent="0.25">
      <c r="A1128" s="5">
        <v>45809.729166666664</v>
      </c>
      <c r="B1128">
        <v>25</v>
      </c>
      <c r="C1128" t="s">
        <v>31</v>
      </c>
      <c r="D1128" t="s">
        <v>32</v>
      </c>
      <c r="E1128">
        <v>1.52</v>
      </c>
      <c r="F1128">
        <v>3.22</v>
      </c>
      <c r="G1128" s="8">
        <f t="shared" si="17"/>
        <v>28.322981366459626</v>
      </c>
    </row>
    <row r="1129" spans="1:7" x14ac:dyDescent="0.25">
      <c r="A1129" s="5">
        <v>45809.729166666664</v>
      </c>
      <c r="B1129">
        <v>26</v>
      </c>
      <c r="C1129" t="s">
        <v>32</v>
      </c>
      <c r="D1129" t="s">
        <v>33</v>
      </c>
      <c r="E1129">
        <v>1.49</v>
      </c>
      <c r="F1129">
        <v>3.45</v>
      </c>
      <c r="G1129" s="8">
        <f t="shared" si="17"/>
        <v>25.913043478260871</v>
      </c>
    </row>
    <row r="1130" spans="1:7" x14ac:dyDescent="0.25">
      <c r="A1130" s="5">
        <v>45809.729166666664</v>
      </c>
      <c r="B1130">
        <v>27</v>
      </c>
      <c r="C1130" t="s">
        <v>33</v>
      </c>
      <c r="D1130" t="s">
        <v>34</v>
      </c>
      <c r="E1130">
        <v>1.53</v>
      </c>
      <c r="F1130">
        <v>3.35</v>
      </c>
      <c r="G1130" s="8">
        <f t="shared" si="17"/>
        <v>27.402985074626866</v>
      </c>
    </row>
    <row r="1131" spans="1:7" x14ac:dyDescent="0.25">
      <c r="A1131" s="5">
        <v>45809.729166666664</v>
      </c>
      <c r="B1131">
        <v>28</v>
      </c>
      <c r="C1131" t="s">
        <v>34</v>
      </c>
      <c r="D1131" t="s">
        <v>35</v>
      </c>
      <c r="E1131">
        <v>1.51</v>
      </c>
      <c r="F1131">
        <v>3.62</v>
      </c>
      <c r="G1131" s="8">
        <f t="shared" si="17"/>
        <v>25.027624309392262</v>
      </c>
    </row>
    <row r="1132" spans="1:7" x14ac:dyDescent="0.25">
      <c r="A1132" s="5">
        <v>45809.729166666664</v>
      </c>
      <c r="B1132">
        <v>29</v>
      </c>
      <c r="C1132" t="s">
        <v>36</v>
      </c>
      <c r="D1132" t="s">
        <v>37</v>
      </c>
      <c r="E1132">
        <v>1.57</v>
      </c>
      <c r="F1132">
        <v>3.2</v>
      </c>
      <c r="G1132" s="8">
        <f t="shared" si="17"/>
        <v>29.4375</v>
      </c>
    </row>
    <row r="1133" spans="1:7" x14ac:dyDescent="0.25">
      <c r="A1133" s="5">
        <v>45809.729166666664</v>
      </c>
      <c r="B1133">
        <v>30</v>
      </c>
      <c r="C1133" t="s">
        <v>37</v>
      </c>
      <c r="D1133" t="s">
        <v>38</v>
      </c>
      <c r="E1133">
        <v>1.57</v>
      </c>
      <c r="F1133">
        <v>3.65</v>
      </c>
      <c r="G1133" s="8">
        <f t="shared" si="17"/>
        <v>25.808219178082194</v>
      </c>
    </row>
    <row r="1134" spans="1:7" x14ac:dyDescent="0.25">
      <c r="A1134" s="5">
        <v>45809.729166666664</v>
      </c>
      <c r="B1134">
        <v>31</v>
      </c>
      <c r="C1134" t="s">
        <v>38</v>
      </c>
      <c r="D1134" t="s">
        <v>39</v>
      </c>
      <c r="E1134">
        <v>1.52</v>
      </c>
      <c r="F1134">
        <v>2.52</v>
      </c>
      <c r="G1134" s="8">
        <f t="shared" si="17"/>
        <v>36.19047619047619</v>
      </c>
    </row>
    <row r="1135" spans="1:7" x14ac:dyDescent="0.25">
      <c r="A1135" s="5">
        <v>45809.729166666664</v>
      </c>
      <c r="B1135">
        <v>32</v>
      </c>
      <c r="C1135" t="s">
        <v>39</v>
      </c>
      <c r="D1135" t="s">
        <v>40</v>
      </c>
      <c r="E1135">
        <v>1.5</v>
      </c>
      <c r="F1135">
        <v>1.75</v>
      </c>
      <c r="G1135" s="8">
        <f t="shared" si="17"/>
        <v>51.428571428571431</v>
      </c>
    </row>
    <row r="1136" spans="1:7" x14ac:dyDescent="0.25">
      <c r="A1136" s="5">
        <v>45809.729166666664</v>
      </c>
      <c r="B1136">
        <v>33</v>
      </c>
      <c r="C1136" t="s">
        <v>40</v>
      </c>
      <c r="D1136" t="s">
        <v>41</v>
      </c>
      <c r="E1136">
        <v>1.51</v>
      </c>
      <c r="F1136">
        <v>1.75</v>
      </c>
      <c r="G1136" s="8">
        <f t="shared" si="17"/>
        <v>51.771428571428565</v>
      </c>
    </row>
    <row r="1137" spans="1:7" x14ac:dyDescent="0.25">
      <c r="A1137" s="5">
        <v>45809.729166666664</v>
      </c>
      <c r="B1137">
        <v>34</v>
      </c>
      <c r="C1137" t="s">
        <v>41</v>
      </c>
      <c r="D1137" t="s">
        <v>42</v>
      </c>
      <c r="E1137">
        <v>1.5</v>
      </c>
      <c r="F1137">
        <v>1.78</v>
      </c>
      <c r="G1137" s="8">
        <f t="shared" si="17"/>
        <v>50.561797752808985</v>
      </c>
    </row>
    <row r="1138" spans="1:7" x14ac:dyDescent="0.25">
      <c r="A1138" s="5">
        <v>45809.729166666664</v>
      </c>
      <c r="B1138">
        <v>35</v>
      </c>
      <c r="C1138" t="s">
        <v>43</v>
      </c>
      <c r="D1138" t="s">
        <v>44</v>
      </c>
      <c r="E1138">
        <v>1.55</v>
      </c>
      <c r="F1138">
        <v>3.08</v>
      </c>
      <c r="G1138" s="8">
        <f t="shared" si="17"/>
        <v>30.194805194805195</v>
      </c>
    </row>
    <row r="1139" spans="1:7" x14ac:dyDescent="0.25">
      <c r="A1139" s="5">
        <v>45809.729166666664</v>
      </c>
      <c r="B1139">
        <v>36</v>
      </c>
      <c r="C1139" t="s">
        <v>44</v>
      </c>
      <c r="D1139" t="s">
        <v>45</v>
      </c>
      <c r="E1139">
        <v>1.5</v>
      </c>
      <c r="F1139">
        <v>2.77</v>
      </c>
      <c r="G1139" s="8">
        <f t="shared" si="17"/>
        <v>32.490974729241877</v>
      </c>
    </row>
    <row r="1140" spans="1:7" x14ac:dyDescent="0.25">
      <c r="A1140" s="5">
        <v>45809.729166666664</v>
      </c>
      <c r="B1140">
        <v>37</v>
      </c>
      <c r="C1140" t="s">
        <v>45</v>
      </c>
      <c r="D1140" t="s">
        <v>46</v>
      </c>
      <c r="E1140">
        <v>1.38</v>
      </c>
      <c r="F1140">
        <v>3.62</v>
      </c>
      <c r="G1140" s="8">
        <f t="shared" si="17"/>
        <v>22.872928176795579</v>
      </c>
    </row>
    <row r="1141" spans="1:7" x14ac:dyDescent="0.25">
      <c r="A1141" s="5">
        <v>45809.729166666664</v>
      </c>
      <c r="B1141">
        <v>38</v>
      </c>
      <c r="C1141" t="s">
        <v>46</v>
      </c>
      <c r="D1141" t="s">
        <v>47</v>
      </c>
      <c r="E1141">
        <v>1.61</v>
      </c>
      <c r="F1141">
        <v>3.88</v>
      </c>
      <c r="G1141" s="8">
        <f t="shared" si="17"/>
        <v>24.896907216494849</v>
      </c>
    </row>
    <row r="1142" spans="1:7" x14ac:dyDescent="0.25">
      <c r="A1142" s="5">
        <v>45809.729166666664</v>
      </c>
      <c r="B1142">
        <v>39</v>
      </c>
      <c r="C1142" t="s">
        <v>47</v>
      </c>
      <c r="D1142" t="s">
        <v>48</v>
      </c>
      <c r="E1142">
        <v>1.55</v>
      </c>
      <c r="F1142">
        <v>3.23</v>
      </c>
      <c r="G1142" s="8">
        <f t="shared" si="17"/>
        <v>28.792569659442723</v>
      </c>
    </row>
    <row r="1143" spans="1:7" x14ac:dyDescent="0.25">
      <c r="A1143" s="5">
        <v>45809.729166666664</v>
      </c>
      <c r="B1143">
        <v>40</v>
      </c>
      <c r="C1143" t="s">
        <v>48</v>
      </c>
      <c r="D1143" t="s">
        <v>49</v>
      </c>
      <c r="E1143">
        <v>1.39</v>
      </c>
      <c r="F1143">
        <v>2.8</v>
      </c>
      <c r="G1143" s="8">
        <f t="shared" si="17"/>
        <v>29.785714285714285</v>
      </c>
    </row>
    <row r="1144" spans="1:7" x14ac:dyDescent="0.25">
      <c r="A1144" s="5">
        <v>45809.729166666664</v>
      </c>
      <c r="B1144">
        <v>41</v>
      </c>
      <c r="C1144" t="s">
        <v>50</v>
      </c>
      <c r="D1144" t="s">
        <v>51</v>
      </c>
      <c r="E1144">
        <v>1.56</v>
      </c>
      <c r="F1144">
        <v>3.47</v>
      </c>
      <c r="G1144" s="8">
        <f t="shared" si="17"/>
        <v>26.97406340057637</v>
      </c>
    </row>
    <row r="1145" spans="1:7" x14ac:dyDescent="0.25">
      <c r="A1145" s="5">
        <v>45809.729166666664</v>
      </c>
      <c r="B1145">
        <v>42</v>
      </c>
      <c r="C1145" t="s">
        <v>51</v>
      </c>
      <c r="D1145" t="s">
        <v>52</v>
      </c>
      <c r="E1145">
        <v>1.56</v>
      </c>
      <c r="F1145">
        <v>3.6</v>
      </c>
      <c r="G1145" s="8">
        <f t="shared" si="17"/>
        <v>26</v>
      </c>
    </row>
    <row r="1146" spans="1:7" x14ac:dyDescent="0.25">
      <c r="A1146" s="5">
        <v>45809.729166666664</v>
      </c>
      <c r="B1146">
        <v>43</v>
      </c>
      <c r="C1146" t="s">
        <v>52</v>
      </c>
      <c r="D1146" t="s">
        <v>53</v>
      </c>
      <c r="E1146">
        <v>1.51</v>
      </c>
      <c r="F1146">
        <v>3.42</v>
      </c>
      <c r="G1146" s="8">
        <f t="shared" si="17"/>
        <v>26.491228070175438</v>
      </c>
    </row>
    <row r="1147" spans="1:7" x14ac:dyDescent="0.25">
      <c r="A1147" s="5">
        <v>45809.729166666664</v>
      </c>
      <c r="B1147">
        <v>44</v>
      </c>
      <c r="C1147" t="s">
        <v>54</v>
      </c>
      <c r="D1147" t="s">
        <v>55</v>
      </c>
      <c r="E1147">
        <v>1.51</v>
      </c>
      <c r="F1147">
        <v>3.73</v>
      </c>
      <c r="G1147" s="8">
        <f t="shared" si="17"/>
        <v>24.289544235924932</v>
      </c>
    </row>
    <row r="1148" spans="1:7" x14ac:dyDescent="0.25">
      <c r="A1148" s="5">
        <v>45809.729166666664</v>
      </c>
      <c r="B1148">
        <v>45</v>
      </c>
      <c r="C1148" t="s">
        <v>55</v>
      </c>
      <c r="D1148" t="s">
        <v>56</v>
      </c>
      <c r="E1148">
        <v>1.49</v>
      </c>
      <c r="F1148">
        <v>3.25</v>
      </c>
      <c r="G1148" s="8">
        <f t="shared" si="17"/>
        <v>27.507692307692309</v>
      </c>
    </row>
    <row r="1149" spans="1:7" x14ac:dyDescent="0.25">
      <c r="A1149" s="5">
        <v>45809.729166666664</v>
      </c>
      <c r="B1149">
        <v>46</v>
      </c>
      <c r="C1149" t="s">
        <v>56</v>
      </c>
      <c r="D1149" t="s">
        <v>57</v>
      </c>
      <c r="E1149">
        <v>1.52</v>
      </c>
      <c r="F1149">
        <v>3.52</v>
      </c>
      <c r="G1149" s="8">
        <f t="shared" si="17"/>
        <v>25.90909090909091</v>
      </c>
    </row>
    <row r="1150" spans="1:7" x14ac:dyDescent="0.25">
      <c r="A1150" s="5">
        <v>45809.729166666664</v>
      </c>
      <c r="B1150">
        <v>47</v>
      </c>
      <c r="C1150" t="s">
        <v>58</v>
      </c>
      <c r="D1150" t="s">
        <v>59</v>
      </c>
      <c r="E1150">
        <v>1.52</v>
      </c>
      <c r="F1150">
        <v>3.67</v>
      </c>
      <c r="G1150" s="8">
        <f t="shared" si="17"/>
        <v>24.850136239782017</v>
      </c>
    </row>
    <row r="1151" spans="1:7" x14ac:dyDescent="0.25">
      <c r="A1151" s="5">
        <v>45809.729166666664</v>
      </c>
      <c r="B1151">
        <v>48</v>
      </c>
      <c r="C1151" t="s">
        <v>59</v>
      </c>
      <c r="D1151" t="s">
        <v>60</v>
      </c>
      <c r="E1151">
        <v>1.5</v>
      </c>
      <c r="F1151">
        <v>3.42</v>
      </c>
      <c r="G1151" s="8">
        <f t="shared" si="17"/>
        <v>26.315789473684212</v>
      </c>
    </row>
    <row r="1152" spans="1:7" x14ac:dyDescent="0.25">
      <c r="A1152" s="5">
        <v>45809.729166666664</v>
      </c>
      <c r="B1152">
        <v>49</v>
      </c>
      <c r="C1152" t="s">
        <v>60</v>
      </c>
      <c r="D1152" t="s">
        <v>61</v>
      </c>
      <c r="E1152">
        <v>1.54</v>
      </c>
      <c r="F1152">
        <v>3.7</v>
      </c>
      <c r="G1152" s="8">
        <f t="shared" si="17"/>
        <v>24.972972972972972</v>
      </c>
    </row>
    <row r="1153" spans="1:7" x14ac:dyDescent="0.25">
      <c r="A1153" s="5">
        <v>45809.729166666664</v>
      </c>
      <c r="B1153">
        <v>50</v>
      </c>
      <c r="C1153" t="s">
        <v>62</v>
      </c>
      <c r="D1153" t="s">
        <v>63</v>
      </c>
      <c r="E1153">
        <v>1.38</v>
      </c>
      <c r="F1153">
        <v>3.07</v>
      </c>
      <c r="G1153" s="8">
        <f t="shared" si="17"/>
        <v>26.970684039087949</v>
      </c>
    </row>
    <row r="1154" spans="1:7" x14ac:dyDescent="0.25">
      <c r="A1154" s="5">
        <v>45809.729166666664</v>
      </c>
      <c r="B1154">
        <v>51</v>
      </c>
      <c r="C1154" t="s">
        <v>63</v>
      </c>
      <c r="D1154" t="s">
        <v>64</v>
      </c>
      <c r="E1154">
        <v>2.79</v>
      </c>
      <c r="F1154">
        <v>5.35</v>
      </c>
      <c r="G1154" s="8">
        <f t="shared" si="17"/>
        <v>31.289719626168228</v>
      </c>
    </row>
    <row r="1155" spans="1:7" x14ac:dyDescent="0.25">
      <c r="A1155" s="5">
        <v>45809.729166666664</v>
      </c>
      <c r="B1155">
        <v>52</v>
      </c>
      <c r="C1155" t="s">
        <v>64</v>
      </c>
      <c r="D1155" t="s">
        <v>65</v>
      </c>
      <c r="E1155">
        <v>1.5</v>
      </c>
      <c r="F1155">
        <v>2.68</v>
      </c>
      <c r="G1155" s="8">
        <f t="shared" ref="G1155:G1218" si="18">E1155*60/F1155</f>
        <v>33.582089552238806</v>
      </c>
    </row>
    <row r="1156" spans="1:7" x14ac:dyDescent="0.25">
      <c r="A1156" s="5">
        <v>45809.729166666664</v>
      </c>
      <c r="B1156">
        <v>53</v>
      </c>
      <c r="C1156" t="s">
        <v>65</v>
      </c>
      <c r="D1156" t="s">
        <v>66</v>
      </c>
      <c r="E1156">
        <v>1.46</v>
      </c>
      <c r="F1156">
        <v>3.52</v>
      </c>
      <c r="G1156" s="8">
        <f t="shared" si="18"/>
        <v>24.886363636363633</v>
      </c>
    </row>
    <row r="1157" spans="1:7" x14ac:dyDescent="0.25">
      <c r="A1157" s="5">
        <v>45809.729166666664</v>
      </c>
      <c r="B1157">
        <v>54</v>
      </c>
      <c r="C1157" t="s">
        <v>67</v>
      </c>
      <c r="D1157" t="s">
        <v>68</v>
      </c>
      <c r="E1157">
        <v>1.46</v>
      </c>
      <c r="F1157">
        <v>2.5299999999999998</v>
      </c>
      <c r="G1157" s="8">
        <f t="shared" si="18"/>
        <v>34.624505928853758</v>
      </c>
    </row>
    <row r="1158" spans="1:7" x14ac:dyDescent="0.25">
      <c r="A1158" s="5">
        <v>45809.729166666664</v>
      </c>
      <c r="B1158">
        <v>55</v>
      </c>
      <c r="C1158" t="s">
        <v>68</v>
      </c>
      <c r="D1158" t="s">
        <v>69</v>
      </c>
      <c r="E1158">
        <v>1.5</v>
      </c>
      <c r="F1158">
        <v>2.15</v>
      </c>
      <c r="G1158" s="8">
        <f t="shared" si="18"/>
        <v>41.860465116279073</v>
      </c>
    </row>
    <row r="1159" spans="1:7" x14ac:dyDescent="0.25">
      <c r="A1159" s="5">
        <v>45809.729166666664</v>
      </c>
      <c r="B1159">
        <v>56</v>
      </c>
      <c r="C1159" t="s">
        <v>70</v>
      </c>
      <c r="D1159" t="s">
        <v>71</v>
      </c>
      <c r="E1159">
        <v>1.51</v>
      </c>
      <c r="F1159">
        <v>4.0199999999999996</v>
      </c>
      <c r="G1159" s="8">
        <f t="shared" si="18"/>
        <v>22.537313432835823</v>
      </c>
    </row>
    <row r="1160" spans="1:7" x14ac:dyDescent="0.25">
      <c r="A1160" s="5">
        <v>45809.729166666664</v>
      </c>
      <c r="B1160">
        <v>57</v>
      </c>
      <c r="C1160" t="s">
        <v>71</v>
      </c>
      <c r="D1160" t="s">
        <v>72</v>
      </c>
      <c r="E1160">
        <v>1.52</v>
      </c>
      <c r="F1160">
        <v>3.5</v>
      </c>
      <c r="G1160" s="8">
        <f t="shared" si="18"/>
        <v>26.057142857142857</v>
      </c>
    </row>
    <row r="1161" spans="1:7" x14ac:dyDescent="0.25">
      <c r="A1161" s="5">
        <v>45809.729166666664</v>
      </c>
      <c r="B1161">
        <v>58</v>
      </c>
      <c r="C1161" t="s">
        <v>72</v>
      </c>
      <c r="D1161" t="s">
        <v>73</v>
      </c>
      <c r="E1161">
        <v>1.5</v>
      </c>
      <c r="F1161">
        <v>3.32</v>
      </c>
      <c r="G1161" s="8">
        <f t="shared" si="18"/>
        <v>27.108433734939759</v>
      </c>
    </row>
    <row r="1162" spans="1:7" x14ac:dyDescent="0.25">
      <c r="A1162" s="5">
        <v>45809.739583333336</v>
      </c>
      <c r="B1162">
        <v>1</v>
      </c>
      <c r="C1162" t="s">
        <v>6</v>
      </c>
      <c r="D1162" t="s">
        <v>7</v>
      </c>
      <c r="E1162">
        <v>1.53</v>
      </c>
      <c r="F1162">
        <v>3.03</v>
      </c>
      <c r="G1162" s="8">
        <f t="shared" si="18"/>
        <v>30.297029702970299</v>
      </c>
    </row>
    <row r="1163" spans="1:7" x14ac:dyDescent="0.25">
      <c r="A1163" s="5">
        <v>45809.739583333336</v>
      </c>
      <c r="B1163">
        <v>2</v>
      </c>
      <c r="C1163" t="s">
        <v>7</v>
      </c>
      <c r="D1163" t="s">
        <v>8</v>
      </c>
      <c r="E1163">
        <v>1.57</v>
      </c>
      <c r="F1163">
        <v>4.38</v>
      </c>
      <c r="G1163" s="8">
        <f t="shared" si="18"/>
        <v>21.506849315068493</v>
      </c>
    </row>
    <row r="1164" spans="1:7" x14ac:dyDescent="0.25">
      <c r="A1164" s="5">
        <v>45809.739583333336</v>
      </c>
      <c r="B1164">
        <v>3</v>
      </c>
      <c r="C1164" t="s">
        <v>8</v>
      </c>
      <c r="D1164" t="s">
        <v>9</v>
      </c>
      <c r="E1164">
        <v>1.5</v>
      </c>
      <c r="F1164">
        <v>2.98</v>
      </c>
      <c r="G1164" s="8">
        <f t="shared" si="18"/>
        <v>30.201342281879196</v>
      </c>
    </row>
    <row r="1165" spans="1:7" x14ac:dyDescent="0.25">
      <c r="A1165" s="5">
        <v>45809.739583333336</v>
      </c>
      <c r="B1165">
        <v>4</v>
      </c>
      <c r="C1165" t="s">
        <v>9</v>
      </c>
      <c r="D1165" t="s">
        <v>10</v>
      </c>
      <c r="E1165">
        <v>1.5</v>
      </c>
      <c r="F1165">
        <v>2.88</v>
      </c>
      <c r="G1165" s="8">
        <f t="shared" si="18"/>
        <v>31.25</v>
      </c>
    </row>
    <row r="1166" spans="1:7" x14ac:dyDescent="0.25">
      <c r="A1166" s="5">
        <v>45809.739583333336</v>
      </c>
      <c r="B1166">
        <v>5</v>
      </c>
      <c r="C1166" t="s">
        <v>10</v>
      </c>
      <c r="D1166" t="s">
        <v>11</v>
      </c>
      <c r="E1166">
        <v>1.52</v>
      </c>
      <c r="F1166">
        <v>3.33</v>
      </c>
      <c r="G1166" s="8">
        <f t="shared" si="18"/>
        <v>27.387387387387388</v>
      </c>
    </row>
    <row r="1167" spans="1:7" x14ac:dyDescent="0.25">
      <c r="A1167" s="5">
        <v>45809.739583333336</v>
      </c>
      <c r="B1167">
        <v>6</v>
      </c>
      <c r="C1167" t="s">
        <v>11</v>
      </c>
      <c r="D1167" t="s">
        <v>12</v>
      </c>
      <c r="E1167">
        <v>1.5</v>
      </c>
      <c r="F1167">
        <v>2.48</v>
      </c>
      <c r="G1167" s="8">
        <f t="shared" si="18"/>
        <v>36.29032258064516</v>
      </c>
    </row>
    <row r="1168" spans="1:7" x14ac:dyDescent="0.25">
      <c r="A1168" s="5">
        <v>45809.739583333336</v>
      </c>
      <c r="B1168">
        <v>7</v>
      </c>
      <c r="C1168" t="s">
        <v>12</v>
      </c>
      <c r="D1168" t="s">
        <v>13</v>
      </c>
      <c r="E1168">
        <v>1.54</v>
      </c>
      <c r="F1168">
        <v>2.6</v>
      </c>
      <c r="G1168" s="8">
        <f t="shared" si="18"/>
        <v>35.53846153846154</v>
      </c>
    </row>
    <row r="1169" spans="1:7" x14ac:dyDescent="0.25">
      <c r="A1169" s="5">
        <v>45809.739583333336</v>
      </c>
      <c r="B1169">
        <v>8</v>
      </c>
      <c r="C1169" t="s">
        <v>13</v>
      </c>
      <c r="D1169" t="s">
        <v>14</v>
      </c>
      <c r="E1169">
        <v>1.54</v>
      </c>
      <c r="F1169">
        <v>3.15</v>
      </c>
      <c r="G1169" s="8">
        <f t="shared" si="18"/>
        <v>29.333333333333336</v>
      </c>
    </row>
    <row r="1170" spans="1:7" x14ac:dyDescent="0.25">
      <c r="A1170" s="5">
        <v>45809.739583333336</v>
      </c>
      <c r="B1170">
        <v>9</v>
      </c>
      <c r="C1170" t="s">
        <v>14</v>
      </c>
      <c r="D1170" t="s">
        <v>15</v>
      </c>
      <c r="E1170">
        <v>1.52</v>
      </c>
      <c r="F1170">
        <v>3.12</v>
      </c>
      <c r="G1170" s="8">
        <f t="shared" si="18"/>
        <v>29.23076923076923</v>
      </c>
    </row>
    <row r="1171" spans="1:7" x14ac:dyDescent="0.25">
      <c r="A1171" s="5">
        <v>45809.739583333336</v>
      </c>
      <c r="B1171">
        <v>10</v>
      </c>
      <c r="C1171" t="s">
        <v>15</v>
      </c>
      <c r="D1171" t="s">
        <v>16</v>
      </c>
      <c r="E1171">
        <v>1.5</v>
      </c>
      <c r="F1171">
        <v>3.37</v>
      </c>
      <c r="G1171" s="8">
        <f t="shared" si="18"/>
        <v>26.706231454005934</v>
      </c>
    </row>
    <row r="1172" spans="1:7" x14ac:dyDescent="0.25">
      <c r="A1172" s="5">
        <v>45809.739583333336</v>
      </c>
      <c r="B1172">
        <v>11</v>
      </c>
      <c r="C1172" t="s">
        <v>16</v>
      </c>
      <c r="D1172" t="s">
        <v>17</v>
      </c>
      <c r="E1172">
        <v>1.48</v>
      </c>
      <c r="F1172">
        <v>2.37</v>
      </c>
      <c r="G1172" s="8">
        <f t="shared" si="18"/>
        <v>37.46835443037974</v>
      </c>
    </row>
    <row r="1173" spans="1:7" x14ac:dyDescent="0.25">
      <c r="A1173" s="5">
        <v>45809.739583333336</v>
      </c>
      <c r="B1173">
        <v>12</v>
      </c>
      <c r="C1173" t="s">
        <v>17</v>
      </c>
      <c r="D1173" t="s">
        <v>18</v>
      </c>
      <c r="E1173">
        <v>1.46</v>
      </c>
      <c r="F1173">
        <v>3.25</v>
      </c>
      <c r="G1173" s="8">
        <f t="shared" si="18"/>
        <v>26.95384615384615</v>
      </c>
    </row>
    <row r="1174" spans="1:7" x14ac:dyDescent="0.25">
      <c r="A1174" s="5">
        <v>45809.739583333336</v>
      </c>
      <c r="B1174">
        <v>13</v>
      </c>
      <c r="C1174" t="s">
        <v>18</v>
      </c>
      <c r="D1174" t="s">
        <v>19</v>
      </c>
      <c r="E1174">
        <v>1.52</v>
      </c>
      <c r="F1174">
        <v>3.32</v>
      </c>
      <c r="G1174" s="8">
        <f t="shared" si="18"/>
        <v>27.46987951807229</v>
      </c>
    </row>
    <row r="1175" spans="1:7" x14ac:dyDescent="0.25">
      <c r="A1175" s="5">
        <v>45809.739583333336</v>
      </c>
      <c r="B1175">
        <v>14</v>
      </c>
      <c r="C1175" t="s">
        <v>19</v>
      </c>
      <c r="D1175" t="s">
        <v>20</v>
      </c>
      <c r="E1175">
        <v>1.51</v>
      </c>
      <c r="F1175">
        <v>2.97</v>
      </c>
      <c r="G1175" s="8">
        <f t="shared" si="18"/>
        <v>30.505050505050502</v>
      </c>
    </row>
    <row r="1176" spans="1:7" x14ac:dyDescent="0.25">
      <c r="A1176" s="5">
        <v>45809.739583333336</v>
      </c>
      <c r="B1176">
        <v>15</v>
      </c>
      <c r="C1176" t="s">
        <v>20</v>
      </c>
      <c r="D1176" t="s">
        <v>21</v>
      </c>
      <c r="E1176">
        <v>1.47</v>
      </c>
      <c r="F1176">
        <v>2.2200000000000002</v>
      </c>
      <c r="G1176" s="8">
        <f t="shared" si="18"/>
        <v>39.729729729729726</v>
      </c>
    </row>
    <row r="1177" spans="1:7" x14ac:dyDescent="0.25">
      <c r="A1177" s="5">
        <v>45809.739583333336</v>
      </c>
      <c r="B1177">
        <v>16</v>
      </c>
      <c r="C1177" t="s">
        <v>21</v>
      </c>
      <c r="D1177" t="s">
        <v>22</v>
      </c>
      <c r="E1177">
        <v>1.5</v>
      </c>
      <c r="F1177">
        <v>1.77</v>
      </c>
      <c r="G1177" s="8">
        <f t="shared" si="18"/>
        <v>50.847457627118644</v>
      </c>
    </row>
    <row r="1178" spans="1:7" x14ac:dyDescent="0.25">
      <c r="A1178" s="5">
        <v>45809.739583333336</v>
      </c>
      <c r="B1178">
        <v>17</v>
      </c>
      <c r="C1178" t="s">
        <v>22</v>
      </c>
      <c r="D1178" t="s">
        <v>23</v>
      </c>
      <c r="E1178">
        <v>1.51</v>
      </c>
      <c r="F1178">
        <v>2.57</v>
      </c>
      <c r="G1178" s="8">
        <f t="shared" si="18"/>
        <v>35.252918287937746</v>
      </c>
    </row>
    <row r="1179" spans="1:7" x14ac:dyDescent="0.25">
      <c r="A1179" s="5">
        <v>45809.739583333336</v>
      </c>
      <c r="B1179">
        <v>18</v>
      </c>
      <c r="C1179" t="s">
        <v>23</v>
      </c>
      <c r="D1179" t="s">
        <v>24</v>
      </c>
      <c r="E1179">
        <v>1.51</v>
      </c>
      <c r="F1179">
        <v>2.77</v>
      </c>
      <c r="G1179" s="8">
        <f t="shared" si="18"/>
        <v>32.707581227436819</v>
      </c>
    </row>
    <row r="1180" spans="1:7" x14ac:dyDescent="0.25">
      <c r="A1180" s="5">
        <v>45809.739583333336</v>
      </c>
      <c r="B1180">
        <v>19</v>
      </c>
      <c r="C1180" t="s">
        <v>25</v>
      </c>
      <c r="D1180" t="s">
        <v>26</v>
      </c>
      <c r="E1180">
        <v>1.5</v>
      </c>
      <c r="F1180">
        <v>3.5</v>
      </c>
      <c r="G1180" s="8">
        <f t="shared" si="18"/>
        <v>25.714285714285715</v>
      </c>
    </row>
    <row r="1181" spans="1:7" x14ac:dyDescent="0.25">
      <c r="A1181" s="5">
        <v>45809.739583333336</v>
      </c>
      <c r="B1181">
        <v>20</v>
      </c>
      <c r="C1181" t="s">
        <v>26</v>
      </c>
      <c r="D1181" t="s">
        <v>27</v>
      </c>
      <c r="E1181">
        <v>1.48</v>
      </c>
      <c r="F1181">
        <v>3.23</v>
      </c>
      <c r="G1181" s="8">
        <f t="shared" si="18"/>
        <v>27.492260061919502</v>
      </c>
    </row>
    <row r="1182" spans="1:7" x14ac:dyDescent="0.25">
      <c r="A1182" s="5">
        <v>45809.739583333336</v>
      </c>
      <c r="B1182">
        <v>21</v>
      </c>
      <c r="C1182" t="s">
        <v>27</v>
      </c>
      <c r="D1182" t="s">
        <v>28</v>
      </c>
      <c r="E1182">
        <v>1.51</v>
      </c>
      <c r="F1182">
        <v>2.87</v>
      </c>
      <c r="G1182" s="8">
        <f t="shared" si="18"/>
        <v>31.567944250871076</v>
      </c>
    </row>
    <row r="1183" spans="1:7" x14ac:dyDescent="0.25">
      <c r="A1183" s="5">
        <v>45809.739583333336</v>
      </c>
      <c r="B1183">
        <v>22</v>
      </c>
      <c r="C1183" t="s">
        <v>28</v>
      </c>
      <c r="D1183" t="s">
        <v>29</v>
      </c>
      <c r="E1183">
        <v>1.57</v>
      </c>
      <c r="F1183">
        <v>2.97</v>
      </c>
      <c r="G1183" s="8">
        <f t="shared" si="18"/>
        <v>31.717171717171716</v>
      </c>
    </row>
    <row r="1184" spans="1:7" x14ac:dyDescent="0.25">
      <c r="A1184" s="5">
        <v>45809.739583333336</v>
      </c>
      <c r="B1184">
        <v>23</v>
      </c>
      <c r="C1184" t="s">
        <v>29</v>
      </c>
      <c r="D1184" t="s">
        <v>30</v>
      </c>
      <c r="E1184">
        <v>1.43</v>
      </c>
      <c r="F1184">
        <v>3.2</v>
      </c>
      <c r="G1184" s="8">
        <f t="shared" si="18"/>
        <v>26.812499999999996</v>
      </c>
    </row>
    <row r="1185" spans="1:7" x14ac:dyDescent="0.25">
      <c r="A1185" s="5">
        <v>45809.739583333336</v>
      </c>
      <c r="B1185">
        <v>24</v>
      </c>
      <c r="C1185" t="s">
        <v>30</v>
      </c>
      <c r="D1185" t="s">
        <v>31</v>
      </c>
      <c r="E1185">
        <v>1.52</v>
      </c>
      <c r="F1185">
        <v>2.95</v>
      </c>
      <c r="G1185" s="8">
        <f t="shared" si="18"/>
        <v>30.915254237288135</v>
      </c>
    </row>
    <row r="1186" spans="1:7" x14ac:dyDescent="0.25">
      <c r="A1186" s="5">
        <v>45809.739583333336</v>
      </c>
      <c r="B1186">
        <v>25</v>
      </c>
      <c r="C1186" t="s">
        <v>31</v>
      </c>
      <c r="D1186" t="s">
        <v>32</v>
      </c>
      <c r="E1186">
        <v>1.52</v>
      </c>
      <c r="F1186">
        <v>3.15</v>
      </c>
      <c r="G1186" s="8">
        <f t="shared" si="18"/>
        <v>28.952380952380953</v>
      </c>
    </row>
    <row r="1187" spans="1:7" x14ac:dyDescent="0.25">
      <c r="A1187" s="5">
        <v>45809.739583333336</v>
      </c>
      <c r="B1187">
        <v>26</v>
      </c>
      <c r="C1187" t="s">
        <v>32</v>
      </c>
      <c r="D1187" t="s">
        <v>33</v>
      </c>
      <c r="E1187">
        <v>1.49</v>
      </c>
      <c r="F1187">
        <v>3.42</v>
      </c>
      <c r="G1187" s="8">
        <f t="shared" si="18"/>
        <v>26.140350877192983</v>
      </c>
    </row>
    <row r="1188" spans="1:7" x14ac:dyDescent="0.25">
      <c r="A1188" s="5">
        <v>45809.739583333336</v>
      </c>
      <c r="B1188">
        <v>27</v>
      </c>
      <c r="C1188" t="s">
        <v>33</v>
      </c>
      <c r="D1188" t="s">
        <v>34</v>
      </c>
      <c r="E1188">
        <v>1.53</v>
      </c>
      <c r="F1188">
        <v>3.57</v>
      </c>
      <c r="G1188" s="8">
        <f t="shared" si="18"/>
        <v>25.714285714285715</v>
      </c>
    </row>
    <row r="1189" spans="1:7" x14ac:dyDescent="0.25">
      <c r="A1189" s="5">
        <v>45809.739583333336</v>
      </c>
      <c r="B1189">
        <v>28</v>
      </c>
      <c r="C1189" t="s">
        <v>34</v>
      </c>
      <c r="D1189" t="s">
        <v>35</v>
      </c>
      <c r="E1189">
        <v>1.51</v>
      </c>
      <c r="F1189">
        <v>3.67</v>
      </c>
      <c r="G1189" s="8">
        <f t="shared" si="18"/>
        <v>24.686648501362395</v>
      </c>
    </row>
    <row r="1190" spans="1:7" x14ac:dyDescent="0.25">
      <c r="A1190" s="5">
        <v>45809.739583333336</v>
      </c>
      <c r="B1190">
        <v>29</v>
      </c>
      <c r="C1190" t="s">
        <v>36</v>
      </c>
      <c r="D1190" t="s">
        <v>37</v>
      </c>
      <c r="E1190">
        <v>1.57</v>
      </c>
      <c r="F1190">
        <v>3.38</v>
      </c>
      <c r="G1190" s="8">
        <f t="shared" si="18"/>
        <v>27.869822485207102</v>
      </c>
    </row>
    <row r="1191" spans="1:7" x14ac:dyDescent="0.25">
      <c r="A1191" s="5">
        <v>45809.739583333336</v>
      </c>
      <c r="B1191">
        <v>30</v>
      </c>
      <c r="C1191" t="s">
        <v>37</v>
      </c>
      <c r="D1191" t="s">
        <v>38</v>
      </c>
      <c r="E1191">
        <v>1.57</v>
      </c>
      <c r="F1191">
        <v>3.7</v>
      </c>
      <c r="G1191" s="8">
        <f t="shared" si="18"/>
        <v>25.45945945945946</v>
      </c>
    </row>
    <row r="1192" spans="1:7" x14ac:dyDescent="0.25">
      <c r="A1192" s="5">
        <v>45809.739583333336</v>
      </c>
      <c r="B1192">
        <v>31</v>
      </c>
      <c r="C1192" t="s">
        <v>38</v>
      </c>
      <c r="D1192" t="s">
        <v>39</v>
      </c>
      <c r="E1192">
        <v>1.52</v>
      </c>
      <c r="F1192">
        <v>2.63</v>
      </c>
      <c r="G1192" s="8">
        <f t="shared" si="18"/>
        <v>34.676806083650192</v>
      </c>
    </row>
    <row r="1193" spans="1:7" x14ac:dyDescent="0.25">
      <c r="A1193" s="5">
        <v>45809.739583333336</v>
      </c>
      <c r="B1193">
        <v>32</v>
      </c>
      <c r="C1193" t="s">
        <v>39</v>
      </c>
      <c r="D1193" t="s">
        <v>40</v>
      </c>
      <c r="E1193">
        <v>1.5</v>
      </c>
      <c r="F1193">
        <v>1.75</v>
      </c>
      <c r="G1193" s="8">
        <f t="shared" si="18"/>
        <v>51.428571428571431</v>
      </c>
    </row>
    <row r="1194" spans="1:7" x14ac:dyDescent="0.25">
      <c r="A1194" s="5">
        <v>45809.739583333336</v>
      </c>
      <c r="B1194">
        <v>33</v>
      </c>
      <c r="C1194" t="s">
        <v>40</v>
      </c>
      <c r="D1194" t="s">
        <v>41</v>
      </c>
      <c r="E1194">
        <v>1.51</v>
      </c>
      <c r="F1194">
        <v>1.75</v>
      </c>
      <c r="G1194" s="8">
        <f t="shared" si="18"/>
        <v>51.771428571428565</v>
      </c>
    </row>
    <row r="1195" spans="1:7" x14ac:dyDescent="0.25">
      <c r="A1195" s="5">
        <v>45809.739583333336</v>
      </c>
      <c r="B1195">
        <v>34</v>
      </c>
      <c r="C1195" t="s">
        <v>41</v>
      </c>
      <c r="D1195" t="s">
        <v>42</v>
      </c>
      <c r="E1195">
        <v>1.5</v>
      </c>
      <c r="F1195">
        <v>1.82</v>
      </c>
      <c r="G1195" s="8">
        <f t="shared" si="18"/>
        <v>49.450549450549445</v>
      </c>
    </row>
    <row r="1196" spans="1:7" x14ac:dyDescent="0.25">
      <c r="A1196" s="5">
        <v>45809.739583333336</v>
      </c>
      <c r="B1196">
        <v>35</v>
      </c>
      <c r="C1196" t="s">
        <v>43</v>
      </c>
      <c r="D1196" t="s">
        <v>44</v>
      </c>
      <c r="E1196">
        <v>1.55</v>
      </c>
      <c r="F1196">
        <v>3.23</v>
      </c>
      <c r="G1196" s="8">
        <f t="shared" si="18"/>
        <v>28.792569659442723</v>
      </c>
    </row>
    <row r="1197" spans="1:7" x14ac:dyDescent="0.25">
      <c r="A1197" s="5">
        <v>45809.739583333336</v>
      </c>
      <c r="B1197">
        <v>36</v>
      </c>
      <c r="C1197" t="s">
        <v>44</v>
      </c>
      <c r="D1197" t="s">
        <v>45</v>
      </c>
      <c r="E1197">
        <v>1.5</v>
      </c>
      <c r="F1197">
        <v>2.88</v>
      </c>
      <c r="G1197" s="8">
        <f t="shared" si="18"/>
        <v>31.25</v>
      </c>
    </row>
    <row r="1198" spans="1:7" x14ac:dyDescent="0.25">
      <c r="A1198" s="5">
        <v>45809.739583333336</v>
      </c>
      <c r="B1198">
        <v>37</v>
      </c>
      <c r="C1198" t="s">
        <v>45</v>
      </c>
      <c r="D1198" t="s">
        <v>46</v>
      </c>
      <c r="E1198">
        <v>1.38</v>
      </c>
      <c r="F1198">
        <v>3.87</v>
      </c>
      <c r="G1198" s="8">
        <f t="shared" si="18"/>
        <v>21.395348837209301</v>
      </c>
    </row>
    <row r="1199" spans="1:7" x14ac:dyDescent="0.25">
      <c r="A1199" s="5">
        <v>45809.739583333336</v>
      </c>
      <c r="B1199">
        <v>38</v>
      </c>
      <c r="C1199" t="s">
        <v>46</v>
      </c>
      <c r="D1199" t="s">
        <v>47</v>
      </c>
      <c r="E1199">
        <v>1.61</v>
      </c>
      <c r="F1199">
        <v>3.87</v>
      </c>
      <c r="G1199" s="8">
        <f t="shared" si="18"/>
        <v>24.961240310077521</v>
      </c>
    </row>
    <row r="1200" spans="1:7" x14ac:dyDescent="0.25">
      <c r="A1200" s="5">
        <v>45809.739583333336</v>
      </c>
      <c r="B1200">
        <v>39</v>
      </c>
      <c r="C1200" t="s">
        <v>47</v>
      </c>
      <c r="D1200" t="s">
        <v>48</v>
      </c>
      <c r="E1200">
        <v>1.55</v>
      </c>
      <c r="F1200">
        <v>3.38</v>
      </c>
      <c r="G1200" s="8">
        <f t="shared" si="18"/>
        <v>27.514792899408285</v>
      </c>
    </row>
    <row r="1201" spans="1:7" x14ac:dyDescent="0.25">
      <c r="A1201" s="5">
        <v>45809.739583333336</v>
      </c>
      <c r="B1201">
        <v>40</v>
      </c>
      <c r="C1201" t="s">
        <v>48</v>
      </c>
      <c r="D1201" t="s">
        <v>49</v>
      </c>
      <c r="E1201">
        <v>1.39</v>
      </c>
      <c r="F1201">
        <v>2.87</v>
      </c>
      <c r="G1201" s="8">
        <f t="shared" si="18"/>
        <v>29.059233449477347</v>
      </c>
    </row>
    <row r="1202" spans="1:7" x14ac:dyDescent="0.25">
      <c r="A1202" s="5">
        <v>45809.739583333336</v>
      </c>
      <c r="B1202">
        <v>41</v>
      </c>
      <c r="C1202" t="s">
        <v>50</v>
      </c>
      <c r="D1202" t="s">
        <v>51</v>
      </c>
      <c r="E1202">
        <v>1.56</v>
      </c>
      <c r="F1202">
        <v>3.27</v>
      </c>
      <c r="G1202" s="8">
        <f t="shared" si="18"/>
        <v>28.623853211009177</v>
      </c>
    </row>
    <row r="1203" spans="1:7" x14ac:dyDescent="0.25">
      <c r="A1203" s="5">
        <v>45809.739583333336</v>
      </c>
      <c r="B1203">
        <v>42</v>
      </c>
      <c r="C1203" t="s">
        <v>51</v>
      </c>
      <c r="D1203" t="s">
        <v>52</v>
      </c>
      <c r="E1203">
        <v>1.56</v>
      </c>
      <c r="F1203">
        <v>3.43</v>
      </c>
      <c r="G1203" s="8">
        <f t="shared" si="18"/>
        <v>27.28862973760933</v>
      </c>
    </row>
    <row r="1204" spans="1:7" x14ac:dyDescent="0.25">
      <c r="A1204" s="5">
        <v>45809.739583333336</v>
      </c>
      <c r="B1204">
        <v>43</v>
      </c>
      <c r="C1204" t="s">
        <v>52</v>
      </c>
      <c r="D1204" t="s">
        <v>53</v>
      </c>
      <c r="E1204">
        <v>1.51</v>
      </c>
      <c r="F1204">
        <v>3.17</v>
      </c>
      <c r="G1204" s="8">
        <f t="shared" si="18"/>
        <v>28.580441640378549</v>
      </c>
    </row>
    <row r="1205" spans="1:7" x14ac:dyDescent="0.25">
      <c r="A1205" s="5">
        <v>45809.739583333336</v>
      </c>
      <c r="B1205">
        <v>44</v>
      </c>
      <c r="C1205" t="s">
        <v>54</v>
      </c>
      <c r="D1205" t="s">
        <v>55</v>
      </c>
      <c r="E1205">
        <v>1.51</v>
      </c>
      <c r="F1205">
        <v>3.72</v>
      </c>
      <c r="G1205" s="8">
        <f t="shared" si="18"/>
        <v>24.354838709677416</v>
      </c>
    </row>
    <row r="1206" spans="1:7" x14ac:dyDescent="0.25">
      <c r="A1206" s="5">
        <v>45809.739583333336</v>
      </c>
      <c r="B1206">
        <v>45</v>
      </c>
      <c r="C1206" t="s">
        <v>55</v>
      </c>
      <c r="D1206" t="s">
        <v>56</v>
      </c>
      <c r="E1206">
        <v>1.49</v>
      </c>
      <c r="F1206">
        <v>3.03</v>
      </c>
      <c r="G1206" s="8">
        <f t="shared" si="18"/>
        <v>29.50495049504951</v>
      </c>
    </row>
    <row r="1207" spans="1:7" x14ac:dyDescent="0.25">
      <c r="A1207" s="5">
        <v>45809.739583333336</v>
      </c>
      <c r="B1207">
        <v>46</v>
      </c>
      <c r="C1207" t="s">
        <v>56</v>
      </c>
      <c r="D1207" t="s">
        <v>57</v>
      </c>
      <c r="E1207">
        <v>1.52</v>
      </c>
      <c r="F1207">
        <v>3.5</v>
      </c>
      <c r="G1207" s="8">
        <f t="shared" si="18"/>
        <v>26.057142857142857</v>
      </c>
    </row>
    <row r="1208" spans="1:7" x14ac:dyDescent="0.25">
      <c r="A1208" s="5">
        <v>45809.739583333336</v>
      </c>
      <c r="B1208">
        <v>47</v>
      </c>
      <c r="C1208" t="s">
        <v>58</v>
      </c>
      <c r="D1208" t="s">
        <v>59</v>
      </c>
      <c r="E1208">
        <v>1.52</v>
      </c>
      <c r="F1208">
        <v>3.45</v>
      </c>
      <c r="G1208" s="8">
        <f t="shared" si="18"/>
        <v>26.434782608695652</v>
      </c>
    </row>
    <row r="1209" spans="1:7" x14ac:dyDescent="0.25">
      <c r="A1209" s="5">
        <v>45809.739583333336</v>
      </c>
      <c r="B1209">
        <v>48</v>
      </c>
      <c r="C1209" t="s">
        <v>59</v>
      </c>
      <c r="D1209" t="s">
        <v>60</v>
      </c>
      <c r="E1209">
        <v>1.5</v>
      </c>
      <c r="F1209">
        <v>3.48</v>
      </c>
      <c r="G1209" s="8">
        <f t="shared" si="18"/>
        <v>25.862068965517242</v>
      </c>
    </row>
    <row r="1210" spans="1:7" x14ac:dyDescent="0.25">
      <c r="A1210" s="5">
        <v>45809.739583333336</v>
      </c>
      <c r="B1210">
        <v>49</v>
      </c>
      <c r="C1210" t="s">
        <v>60</v>
      </c>
      <c r="D1210" t="s">
        <v>61</v>
      </c>
      <c r="E1210">
        <v>1.54</v>
      </c>
      <c r="F1210">
        <v>3.88</v>
      </c>
      <c r="G1210" s="8">
        <f t="shared" si="18"/>
        <v>23.814432989690722</v>
      </c>
    </row>
    <row r="1211" spans="1:7" x14ac:dyDescent="0.25">
      <c r="A1211" s="5">
        <v>45809.739583333336</v>
      </c>
      <c r="B1211">
        <v>50</v>
      </c>
      <c r="C1211" t="s">
        <v>62</v>
      </c>
      <c r="D1211" t="s">
        <v>63</v>
      </c>
      <c r="E1211">
        <v>1.38</v>
      </c>
      <c r="F1211">
        <v>3.22</v>
      </c>
      <c r="G1211" s="8">
        <f t="shared" si="18"/>
        <v>25.714285714285712</v>
      </c>
    </row>
    <row r="1212" spans="1:7" x14ac:dyDescent="0.25">
      <c r="A1212" s="5">
        <v>45809.739583333336</v>
      </c>
      <c r="B1212">
        <v>51</v>
      </c>
      <c r="C1212" t="s">
        <v>63</v>
      </c>
      <c r="D1212" t="s">
        <v>64</v>
      </c>
      <c r="E1212">
        <v>2.79</v>
      </c>
      <c r="F1212">
        <v>5.32</v>
      </c>
      <c r="G1212" s="8">
        <f t="shared" si="18"/>
        <v>31.466165413533833</v>
      </c>
    </row>
    <row r="1213" spans="1:7" x14ac:dyDescent="0.25">
      <c r="A1213" s="5">
        <v>45809.739583333336</v>
      </c>
      <c r="B1213">
        <v>52</v>
      </c>
      <c r="C1213" t="s">
        <v>64</v>
      </c>
      <c r="D1213" t="s">
        <v>65</v>
      </c>
      <c r="E1213">
        <v>1.5</v>
      </c>
      <c r="F1213">
        <v>2.65</v>
      </c>
      <c r="G1213" s="8">
        <f t="shared" si="18"/>
        <v>33.962264150943398</v>
      </c>
    </row>
    <row r="1214" spans="1:7" x14ac:dyDescent="0.25">
      <c r="A1214" s="5">
        <v>45809.739583333336</v>
      </c>
      <c r="B1214">
        <v>53</v>
      </c>
      <c r="C1214" t="s">
        <v>65</v>
      </c>
      <c r="D1214" t="s">
        <v>66</v>
      </c>
      <c r="E1214">
        <v>1.46</v>
      </c>
      <c r="F1214">
        <v>3.5</v>
      </c>
      <c r="G1214" s="8">
        <f t="shared" si="18"/>
        <v>25.028571428571428</v>
      </c>
    </row>
    <row r="1215" spans="1:7" x14ac:dyDescent="0.25">
      <c r="A1215" s="5">
        <v>45809.739583333336</v>
      </c>
      <c r="B1215">
        <v>54</v>
      </c>
      <c r="C1215" t="s">
        <v>67</v>
      </c>
      <c r="D1215" t="s">
        <v>68</v>
      </c>
      <c r="E1215">
        <v>1.46</v>
      </c>
      <c r="F1215">
        <v>2.4700000000000002</v>
      </c>
      <c r="G1215" s="8">
        <f t="shared" si="18"/>
        <v>35.465587044534409</v>
      </c>
    </row>
    <row r="1216" spans="1:7" x14ac:dyDescent="0.25">
      <c r="A1216" s="5">
        <v>45809.739583333336</v>
      </c>
      <c r="B1216">
        <v>55</v>
      </c>
      <c r="C1216" t="s">
        <v>68</v>
      </c>
      <c r="D1216" t="s">
        <v>69</v>
      </c>
      <c r="E1216">
        <v>1.5</v>
      </c>
      <c r="F1216">
        <v>1.82</v>
      </c>
      <c r="G1216" s="8">
        <f t="shared" si="18"/>
        <v>49.450549450549445</v>
      </c>
    </row>
    <row r="1217" spans="1:7" x14ac:dyDescent="0.25">
      <c r="A1217" s="5">
        <v>45809.739583333336</v>
      </c>
      <c r="B1217">
        <v>56</v>
      </c>
      <c r="C1217" t="s">
        <v>70</v>
      </c>
      <c r="D1217" t="s">
        <v>71</v>
      </c>
      <c r="E1217">
        <v>1.51</v>
      </c>
      <c r="F1217">
        <v>4.37</v>
      </c>
      <c r="G1217" s="8">
        <f t="shared" si="18"/>
        <v>20.732265446224254</v>
      </c>
    </row>
    <row r="1218" spans="1:7" x14ac:dyDescent="0.25">
      <c r="A1218" s="5">
        <v>45809.739583333336</v>
      </c>
      <c r="B1218">
        <v>57</v>
      </c>
      <c r="C1218" t="s">
        <v>71</v>
      </c>
      <c r="D1218" t="s">
        <v>72</v>
      </c>
      <c r="E1218">
        <v>1.52</v>
      </c>
      <c r="F1218">
        <v>3.62</v>
      </c>
      <c r="G1218" s="8">
        <f t="shared" si="18"/>
        <v>25.193370165745858</v>
      </c>
    </row>
    <row r="1219" spans="1:7" x14ac:dyDescent="0.25">
      <c r="A1219" s="5">
        <v>45809.739583333336</v>
      </c>
      <c r="B1219">
        <v>58</v>
      </c>
      <c r="C1219" t="s">
        <v>72</v>
      </c>
      <c r="D1219" t="s">
        <v>73</v>
      </c>
      <c r="E1219">
        <v>1.5</v>
      </c>
      <c r="F1219">
        <v>3.47</v>
      </c>
      <c r="G1219" s="8">
        <f t="shared" ref="G1219:G1282" si="19">E1219*60/F1219</f>
        <v>25.936599423631122</v>
      </c>
    </row>
    <row r="1220" spans="1:7" x14ac:dyDescent="0.25">
      <c r="A1220" s="5">
        <v>45809.75</v>
      </c>
      <c r="B1220">
        <v>1</v>
      </c>
      <c r="C1220" t="s">
        <v>6</v>
      </c>
      <c r="D1220" t="s">
        <v>7</v>
      </c>
      <c r="E1220">
        <v>1.53</v>
      </c>
      <c r="F1220">
        <v>2.95</v>
      </c>
      <c r="G1220" s="8">
        <f t="shared" si="19"/>
        <v>31.118644067796609</v>
      </c>
    </row>
    <row r="1221" spans="1:7" x14ac:dyDescent="0.25">
      <c r="A1221" s="5">
        <v>45809.75</v>
      </c>
      <c r="B1221">
        <v>2</v>
      </c>
      <c r="C1221" t="s">
        <v>7</v>
      </c>
      <c r="D1221" t="s">
        <v>8</v>
      </c>
      <c r="E1221">
        <v>1.57</v>
      </c>
      <c r="F1221">
        <v>4.17</v>
      </c>
      <c r="G1221" s="8">
        <f t="shared" si="19"/>
        <v>22.589928057553958</v>
      </c>
    </row>
    <row r="1222" spans="1:7" x14ac:dyDescent="0.25">
      <c r="A1222" s="5">
        <v>45809.75</v>
      </c>
      <c r="B1222">
        <v>3</v>
      </c>
      <c r="C1222" t="s">
        <v>8</v>
      </c>
      <c r="D1222" t="s">
        <v>9</v>
      </c>
      <c r="E1222">
        <v>1.5</v>
      </c>
      <c r="F1222">
        <v>2.9</v>
      </c>
      <c r="G1222" s="8">
        <f t="shared" si="19"/>
        <v>31.03448275862069</v>
      </c>
    </row>
    <row r="1223" spans="1:7" x14ac:dyDescent="0.25">
      <c r="A1223" s="5">
        <v>45809.75</v>
      </c>
      <c r="B1223">
        <v>4</v>
      </c>
      <c r="C1223" t="s">
        <v>9</v>
      </c>
      <c r="D1223" t="s">
        <v>10</v>
      </c>
      <c r="E1223">
        <v>1.5</v>
      </c>
      <c r="F1223">
        <v>2.9</v>
      </c>
      <c r="G1223" s="8">
        <f t="shared" si="19"/>
        <v>31.03448275862069</v>
      </c>
    </row>
    <row r="1224" spans="1:7" x14ac:dyDescent="0.25">
      <c r="A1224" s="5">
        <v>45809.75</v>
      </c>
      <c r="B1224">
        <v>5</v>
      </c>
      <c r="C1224" t="s">
        <v>10</v>
      </c>
      <c r="D1224" t="s">
        <v>11</v>
      </c>
      <c r="E1224">
        <v>1.52</v>
      </c>
      <c r="F1224">
        <v>3.45</v>
      </c>
      <c r="G1224" s="8">
        <f t="shared" si="19"/>
        <v>26.434782608695652</v>
      </c>
    </row>
    <row r="1225" spans="1:7" x14ac:dyDescent="0.25">
      <c r="A1225" s="5">
        <v>45809.75</v>
      </c>
      <c r="B1225">
        <v>6</v>
      </c>
      <c r="C1225" t="s">
        <v>11</v>
      </c>
      <c r="D1225" t="s">
        <v>12</v>
      </c>
      <c r="E1225">
        <v>1.5</v>
      </c>
      <c r="F1225">
        <v>2.5499999999999998</v>
      </c>
      <c r="G1225" s="8">
        <f t="shared" si="19"/>
        <v>35.294117647058826</v>
      </c>
    </row>
    <row r="1226" spans="1:7" x14ac:dyDescent="0.25">
      <c r="A1226" s="5">
        <v>45809.75</v>
      </c>
      <c r="B1226">
        <v>7</v>
      </c>
      <c r="C1226" t="s">
        <v>12</v>
      </c>
      <c r="D1226" t="s">
        <v>13</v>
      </c>
      <c r="E1226">
        <v>1.54</v>
      </c>
      <c r="F1226">
        <v>2.73</v>
      </c>
      <c r="G1226" s="8">
        <f t="shared" si="19"/>
        <v>33.846153846153847</v>
      </c>
    </row>
    <row r="1227" spans="1:7" x14ac:dyDescent="0.25">
      <c r="A1227" s="5">
        <v>45809.75</v>
      </c>
      <c r="B1227">
        <v>8</v>
      </c>
      <c r="C1227" t="s">
        <v>13</v>
      </c>
      <c r="D1227" t="s">
        <v>14</v>
      </c>
      <c r="E1227">
        <v>1.54</v>
      </c>
      <c r="F1227">
        <v>3.13</v>
      </c>
      <c r="G1227" s="8">
        <f t="shared" si="19"/>
        <v>29.520766773162944</v>
      </c>
    </row>
    <row r="1228" spans="1:7" x14ac:dyDescent="0.25">
      <c r="A1228" s="5">
        <v>45809.75</v>
      </c>
      <c r="B1228">
        <v>9</v>
      </c>
      <c r="C1228" t="s">
        <v>14</v>
      </c>
      <c r="D1228" t="s">
        <v>15</v>
      </c>
      <c r="E1228">
        <v>1.52</v>
      </c>
      <c r="F1228">
        <v>3.58</v>
      </c>
      <c r="G1228" s="8">
        <f t="shared" si="19"/>
        <v>25.47486033519553</v>
      </c>
    </row>
    <row r="1229" spans="1:7" x14ac:dyDescent="0.25">
      <c r="A1229" s="5">
        <v>45809.75</v>
      </c>
      <c r="B1229">
        <v>10</v>
      </c>
      <c r="C1229" t="s">
        <v>15</v>
      </c>
      <c r="D1229" t="s">
        <v>16</v>
      </c>
      <c r="E1229">
        <v>1.5</v>
      </c>
      <c r="F1229">
        <v>3.57</v>
      </c>
      <c r="G1229" s="8">
        <f t="shared" si="19"/>
        <v>25.210084033613448</v>
      </c>
    </row>
    <row r="1230" spans="1:7" x14ac:dyDescent="0.25">
      <c r="A1230" s="5">
        <v>45809.75</v>
      </c>
      <c r="B1230">
        <v>11</v>
      </c>
      <c r="C1230" t="s">
        <v>16</v>
      </c>
      <c r="D1230" t="s">
        <v>17</v>
      </c>
      <c r="E1230">
        <v>1.48</v>
      </c>
      <c r="F1230">
        <v>2.5</v>
      </c>
      <c r="G1230" s="8">
        <f t="shared" si="19"/>
        <v>35.519999999999996</v>
      </c>
    </row>
    <row r="1231" spans="1:7" x14ac:dyDescent="0.25">
      <c r="A1231" s="5">
        <v>45809.75</v>
      </c>
      <c r="B1231">
        <v>12</v>
      </c>
      <c r="C1231" t="s">
        <v>17</v>
      </c>
      <c r="D1231" t="s">
        <v>18</v>
      </c>
      <c r="E1231">
        <v>1.46</v>
      </c>
      <c r="F1231">
        <v>3.57</v>
      </c>
      <c r="G1231" s="8">
        <f t="shared" si="19"/>
        <v>24.537815126050418</v>
      </c>
    </row>
    <row r="1232" spans="1:7" x14ac:dyDescent="0.25">
      <c r="A1232" s="5">
        <v>45809.75</v>
      </c>
      <c r="B1232">
        <v>13</v>
      </c>
      <c r="C1232" t="s">
        <v>18</v>
      </c>
      <c r="D1232" t="s">
        <v>19</v>
      </c>
      <c r="E1232">
        <v>1.52</v>
      </c>
      <c r="F1232">
        <v>3.5</v>
      </c>
      <c r="G1232" s="8">
        <f t="shared" si="19"/>
        <v>26.057142857142857</v>
      </c>
    </row>
    <row r="1233" spans="1:7" x14ac:dyDescent="0.25">
      <c r="A1233" s="5">
        <v>45809.75</v>
      </c>
      <c r="B1233">
        <v>14</v>
      </c>
      <c r="C1233" t="s">
        <v>19</v>
      </c>
      <c r="D1233" t="s">
        <v>20</v>
      </c>
      <c r="E1233">
        <v>1.51</v>
      </c>
      <c r="F1233">
        <v>3.17</v>
      </c>
      <c r="G1233" s="8">
        <f t="shared" si="19"/>
        <v>28.580441640378549</v>
      </c>
    </row>
    <row r="1234" spans="1:7" x14ac:dyDescent="0.25">
      <c r="A1234" s="5">
        <v>45809.75</v>
      </c>
      <c r="B1234">
        <v>15</v>
      </c>
      <c r="C1234" t="s">
        <v>20</v>
      </c>
      <c r="D1234" t="s">
        <v>21</v>
      </c>
      <c r="E1234">
        <v>1.47</v>
      </c>
      <c r="F1234">
        <v>2.5499999999999998</v>
      </c>
      <c r="G1234" s="8">
        <f t="shared" si="19"/>
        <v>34.588235294117652</v>
      </c>
    </row>
    <row r="1235" spans="1:7" x14ac:dyDescent="0.25">
      <c r="A1235" s="5">
        <v>45809.75</v>
      </c>
      <c r="B1235">
        <v>16</v>
      </c>
      <c r="C1235" t="s">
        <v>21</v>
      </c>
      <c r="D1235" t="s">
        <v>22</v>
      </c>
      <c r="E1235">
        <v>1.5</v>
      </c>
      <c r="F1235">
        <v>1.75</v>
      </c>
      <c r="G1235" s="8">
        <f t="shared" si="19"/>
        <v>51.428571428571431</v>
      </c>
    </row>
    <row r="1236" spans="1:7" x14ac:dyDescent="0.25">
      <c r="A1236" s="5">
        <v>45809.75</v>
      </c>
      <c r="B1236">
        <v>17</v>
      </c>
      <c r="C1236" t="s">
        <v>22</v>
      </c>
      <c r="D1236" t="s">
        <v>23</v>
      </c>
      <c r="E1236">
        <v>1.51</v>
      </c>
      <c r="F1236">
        <v>2.63</v>
      </c>
      <c r="G1236" s="8">
        <f t="shared" si="19"/>
        <v>34.448669201520914</v>
      </c>
    </row>
    <row r="1237" spans="1:7" x14ac:dyDescent="0.25">
      <c r="A1237" s="5">
        <v>45809.75</v>
      </c>
      <c r="B1237">
        <v>18</v>
      </c>
      <c r="C1237" t="s">
        <v>23</v>
      </c>
      <c r="D1237" t="s">
        <v>24</v>
      </c>
      <c r="E1237">
        <v>1.51</v>
      </c>
      <c r="F1237">
        <v>2.83</v>
      </c>
      <c r="G1237" s="8">
        <f t="shared" si="19"/>
        <v>32.014134275618375</v>
      </c>
    </row>
    <row r="1238" spans="1:7" x14ac:dyDescent="0.25">
      <c r="A1238" s="5">
        <v>45809.75</v>
      </c>
      <c r="B1238">
        <v>19</v>
      </c>
      <c r="C1238" t="s">
        <v>25</v>
      </c>
      <c r="D1238" t="s">
        <v>26</v>
      </c>
      <c r="E1238">
        <v>1.5</v>
      </c>
      <c r="F1238">
        <v>3.45</v>
      </c>
      <c r="G1238" s="8">
        <f t="shared" si="19"/>
        <v>26.086956521739129</v>
      </c>
    </row>
    <row r="1239" spans="1:7" x14ac:dyDescent="0.25">
      <c r="A1239" s="5">
        <v>45809.75</v>
      </c>
      <c r="B1239">
        <v>20</v>
      </c>
      <c r="C1239" t="s">
        <v>26</v>
      </c>
      <c r="D1239" t="s">
        <v>27</v>
      </c>
      <c r="E1239">
        <v>1.48</v>
      </c>
      <c r="F1239">
        <v>2.98</v>
      </c>
      <c r="G1239" s="8">
        <f t="shared" si="19"/>
        <v>29.798657718120804</v>
      </c>
    </row>
    <row r="1240" spans="1:7" x14ac:dyDescent="0.25">
      <c r="A1240" s="5">
        <v>45809.75</v>
      </c>
      <c r="B1240">
        <v>21</v>
      </c>
      <c r="C1240" t="s">
        <v>27</v>
      </c>
      <c r="D1240" t="s">
        <v>28</v>
      </c>
      <c r="E1240">
        <v>1.51</v>
      </c>
      <c r="F1240">
        <v>3.05</v>
      </c>
      <c r="G1240" s="8">
        <f t="shared" si="19"/>
        <v>29.704918032786885</v>
      </c>
    </row>
    <row r="1241" spans="1:7" x14ac:dyDescent="0.25">
      <c r="A1241" s="5">
        <v>45809.75</v>
      </c>
      <c r="B1241">
        <v>22</v>
      </c>
      <c r="C1241" t="s">
        <v>28</v>
      </c>
      <c r="D1241" t="s">
        <v>29</v>
      </c>
      <c r="E1241">
        <v>1.57</v>
      </c>
      <c r="F1241">
        <v>3.13</v>
      </c>
      <c r="G1241" s="8">
        <f t="shared" si="19"/>
        <v>30.095846645367413</v>
      </c>
    </row>
    <row r="1242" spans="1:7" x14ac:dyDescent="0.25">
      <c r="A1242" s="5">
        <v>45809.75</v>
      </c>
      <c r="B1242">
        <v>23</v>
      </c>
      <c r="C1242" t="s">
        <v>29</v>
      </c>
      <c r="D1242" t="s">
        <v>30</v>
      </c>
      <c r="E1242">
        <v>1.43</v>
      </c>
      <c r="F1242">
        <v>3.45</v>
      </c>
      <c r="G1242" s="8">
        <f t="shared" si="19"/>
        <v>24.869565217391301</v>
      </c>
    </row>
    <row r="1243" spans="1:7" x14ac:dyDescent="0.25">
      <c r="A1243" s="5">
        <v>45809.75</v>
      </c>
      <c r="B1243">
        <v>24</v>
      </c>
      <c r="C1243" t="s">
        <v>30</v>
      </c>
      <c r="D1243" t="s">
        <v>31</v>
      </c>
      <c r="E1243">
        <v>1.52</v>
      </c>
      <c r="F1243">
        <v>3.18</v>
      </c>
      <c r="G1243" s="8">
        <f t="shared" si="19"/>
        <v>28.679245283018869</v>
      </c>
    </row>
    <row r="1244" spans="1:7" x14ac:dyDescent="0.25">
      <c r="A1244" s="5">
        <v>45809.75</v>
      </c>
      <c r="B1244">
        <v>25</v>
      </c>
      <c r="C1244" t="s">
        <v>31</v>
      </c>
      <c r="D1244" t="s">
        <v>32</v>
      </c>
      <c r="E1244">
        <v>1.52</v>
      </c>
      <c r="F1244">
        <v>3.12</v>
      </c>
      <c r="G1244" s="8">
        <f t="shared" si="19"/>
        <v>29.23076923076923</v>
      </c>
    </row>
    <row r="1245" spans="1:7" x14ac:dyDescent="0.25">
      <c r="A1245" s="5">
        <v>45809.75</v>
      </c>
      <c r="B1245">
        <v>26</v>
      </c>
      <c r="C1245" t="s">
        <v>32</v>
      </c>
      <c r="D1245" t="s">
        <v>33</v>
      </c>
      <c r="E1245">
        <v>1.49</v>
      </c>
      <c r="F1245">
        <v>3.37</v>
      </c>
      <c r="G1245" s="8">
        <f t="shared" si="19"/>
        <v>26.528189910979229</v>
      </c>
    </row>
    <row r="1246" spans="1:7" x14ac:dyDescent="0.25">
      <c r="A1246" s="5">
        <v>45809.75</v>
      </c>
      <c r="B1246">
        <v>27</v>
      </c>
      <c r="C1246" t="s">
        <v>33</v>
      </c>
      <c r="D1246" t="s">
        <v>34</v>
      </c>
      <c r="E1246">
        <v>1.53</v>
      </c>
      <c r="F1246">
        <v>4.38</v>
      </c>
      <c r="G1246" s="8">
        <f t="shared" si="19"/>
        <v>20.958904109589042</v>
      </c>
    </row>
    <row r="1247" spans="1:7" x14ac:dyDescent="0.25">
      <c r="A1247" s="5">
        <v>45809.75</v>
      </c>
      <c r="B1247">
        <v>28</v>
      </c>
      <c r="C1247" t="s">
        <v>34</v>
      </c>
      <c r="D1247" t="s">
        <v>35</v>
      </c>
      <c r="E1247">
        <v>1.51</v>
      </c>
      <c r="F1247">
        <v>3.95</v>
      </c>
      <c r="G1247" s="8">
        <f t="shared" si="19"/>
        <v>22.936708860759492</v>
      </c>
    </row>
    <row r="1248" spans="1:7" x14ac:dyDescent="0.25">
      <c r="A1248" s="5">
        <v>45809.75</v>
      </c>
      <c r="B1248">
        <v>29</v>
      </c>
      <c r="C1248" t="s">
        <v>36</v>
      </c>
      <c r="D1248" t="s">
        <v>37</v>
      </c>
      <c r="E1248">
        <v>1.57</v>
      </c>
      <c r="F1248">
        <v>3.47</v>
      </c>
      <c r="G1248" s="8">
        <f t="shared" si="19"/>
        <v>27.146974063400577</v>
      </c>
    </row>
    <row r="1249" spans="1:7" x14ac:dyDescent="0.25">
      <c r="A1249" s="5">
        <v>45809.75</v>
      </c>
      <c r="B1249">
        <v>30</v>
      </c>
      <c r="C1249" t="s">
        <v>37</v>
      </c>
      <c r="D1249" t="s">
        <v>38</v>
      </c>
      <c r="E1249">
        <v>1.57</v>
      </c>
      <c r="F1249">
        <v>3.77</v>
      </c>
      <c r="G1249" s="8">
        <f t="shared" si="19"/>
        <v>24.986737400530505</v>
      </c>
    </row>
    <row r="1250" spans="1:7" x14ac:dyDescent="0.25">
      <c r="A1250" s="5">
        <v>45809.75</v>
      </c>
      <c r="B1250">
        <v>31</v>
      </c>
      <c r="C1250" t="s">
        <v>38</v>
      </c>
      <c r="D1250" t="s">
        <v>39</v>
      </c>
      <c r="E1250">
        <v>1.52</v>
      </c>
      <c r="F1250">
        <v>2.5299999999999998</v>
      </c>
      <c r="G1250" s="8">
        <f t="shared" si="19"/>
        <v>36.047430830039531</v>
      </c>
    </row>
    <row r="1251" spans="1:7" x14ac:dyDescent="0.25">
      <c r="A1251" s="5">
        <v>45809.75</v>
      </c>
      <c r="B1251">
        <v>32</v>
      </c>
      <c r="C1251" t="s">
        <v>39</v>
      </c>
      <c r="D1251" t="s">
        <v>40</v>
      </c>
      <c r="E1251">
        <v>1.5</v>
      </c>
      <c r="F1251">
        <v>1.78</v>
      </c>
      <c r="G1251" s="8">
        <f t="shared" si="19"/>
        <v>50.561797752808985</v>
      </c>
    </row>
    <row r="1252" spans="1:7" x14ac:dyDescent="0.25">
      <c r="A1252" s="5">
        <v>45809.75</v>
      </c>
      <c r="B1252">
        <v>33</v>
      </c>
      <c r="C1252" t="s">
        <v>40</v>
      </c>
      <c r="D1252" t="s">
        <v>41</v>
      </c>
      <c r="E1252">
        <v>1.51</v>
      </c>
      <c r="F1252">
        <v>1.78</v>
      </c>
      <c r="G1252" s="8">
        <f t="shared" si="19"/>
        <v>50.898876404494381</v>
      </c>
    </row>
    <row r="1253" spans="1:7" x14ac:dyDescent="0.25">
      <c r="A1253" s="5">
        <v>45809.75</v>
      </c>
      <c r="B1253">
        <v>34</v>
      </c>
      <c r="C1253" t="s">
        <v>41</v>
      </c>
      <c r="D1253" t="s">
        <v>42</v>
      </c>
      <c r="E1253">
        <v>1.5</v>
      </c>
      <c r="F1253">
        <v>1.8</v>
      </c>
      <c r="G1253" s="8">
        <f t="shared" si="19"/>
        <v>50</v>
      </c>
    </row>
    <row r="1254" spans="1:7" x14ac:dyDescent="0.25">
      <c r="A1254" s="5">
        <v>45809.75</v>
      </c>
      <c r="B1254">
        <v>35</v>
      </c>
      <c r="C1254" t="s">
        <v>43</v>
      </c>
      <c r="D1254" t="s">
        <v>44</v>
      </c>
      <c r="E1254">
        <v>1.55</v>
      </c>
      <c r="F1254">
        <v>3.27</v>
      </c>
      <c r="G1254" s="8">
        <f t="shared" si="19"/>
        <v>28.440366972477065</v>
      </c>
    </row>
    <row r="1255" spans="1:7" x14ac:dyDescent="0.25">
      <c r="A1255" s="5">
        <v>45809.75</v>
      </c>
      <c r="B1255">
        <v>36</v>
      </c>
      <c r="C1255" t="s">
        <v>44</v>
      </c>
      <c r="D1255" t="s">
        <v>45</v>
      </c>
      <c r="E1255">
        <v>1.5</v>
      </c>
      <c r="F1255">
        <v>2.95</v>
      </c>
      <c r="G1255" s="8">
        <f t="shared" si="19"/>
        <v>30.508474576271183</v>
      </c>
    </row>
    <row r="1256" spans="1:7" x14ac:dyDescent="0.25">
      <c r="A1256" s="5">
        <v>45809.75</v>
      </c>
      <c r="B1256">
        <v>37</v>
      </c>
      <c r="C1256" t="s">
        <v>45</v>
      </c>
      <c r="D1256" t="s">
        <v>46</v>
      </c>
      <c r="E1256">
        <v>1.38</v>
      </c>
      <c r="F1256">
        <v>3.75</v>
      </c>
      <c r="G1256" s="8">
        <f t="shared" si="19"/>
        <v>22.08</v>
      </c>
    </row>
    <row r="1257" spans="1:7" x14ac:dyDescent="0.25">
      <c r="A1257" s="5">
        <v>45809.75</v>
      </c>
      <c r="B1257">
        <v>38</v>
      </c>
      <c r="C1257" t="s">
        <v>46</v>
      </c>
      <c r="D1257" t="s">
        <v>47</v>
      </c>
      <c r="E1257">
        <v>1.61</v>
      </c>
      <c r="F1257">
        <v>3.98</v>
      </c>
      <c r="G1257" s="8">
        <f t="shared" si="19"/>
        <v>24.2713567839196</v>
      </c>
    </row>
    <row r="1258" spans="1:7" x14ac:dyDescent="0.25">
      <c r="A1258" s="5">
        <v>45809.75</v>
      </c>
      <c r="B1258">
        <v>39</v>
      </c>
      <c r="C1258" t="s">
        <v>47</v>
      </c>
      <c r="D1258" t="s">
        <v>48</v>
      </c>
      <c r="E1258">
        <v>1.55</v>
      </c>
      <c r="F1258">
        <v>3.4</v>
      </c>
      <c r="G1258" s="8">
        <f t="shared" si="19"/>
        <v>27.352941176470591</v>
      </c>
    </row>
    <row r="1259" spans="1:7" x14ac:dyDescent="0.25">
      <c r="A1259" s="5">
        <v>45809.75</v>
      </c>
      <c r="B1259">
        <v>40</v>
      </c>
      <c r="C1259" t="s">
        <v>48</v>
      </c>
      <c r="D1259" t="s">
        <v>49</v>
      </c>
      <c r="E1259">
        <v>1.39</v>
      </c>
      <c r="F1259">
        <v>2.87</v>
      </c>
      <c r="G1259" s="8">
        <f t="shared" si="19"/>
        <v>29.059233449477347</v>
      </c>
    </row>
    <row r="1260" spans="1:7" x14ac:dyDescent="0.25">
      <c r="A1260" s="5">
        <v>45809.75</v>
      </c>
      <c r="B1260">
        <v>41</v>
      </c>
      <c r="C1260" t="s">
        <v>50</v>
      </c>
      <c r="D1260" t="s">
        <v>51</v>
      </c>
      <c r="E1260">
        <v>1.56</v>
      </c>
      <c r="F1260">
        <v>3.63</v>
      </c>
      <c r="G1260" s="8">
        <f t="shared" si="19"/>
        <v>25.785123966942152</v>
      </c>
    </row>
    <row r="1261" spans="1:7" x14ac:dyDescent="0.25">
      <c r="A1261" s="5">
        <v>45809.75</v>
      </c>
      <c r="B1261">
        <v>42</v>
      </c>
      <c r="C1261" t="s">
        <v>51</v>
      </c>
      <c r="D1261" t="s">
        <v>52</v>
      </c>
      <c r="E1261">
        <v>1.56</v>
      </c>
      <c r="F1261">
        <v>3.52</v>
      </c>
      <c r="G1261" s="8">
        <f t="shared" si="19"/>
        <v>26.590909090909093</v>
      </c>
    </row>
    <row r="1262" spans="1:7" x14ac:dyDescent="0.25">
      <c r="A1262" s="5">
        <v>45809.75</v>
      </c>
      <c r="B1262">
        <v>43</v>
      </c>
      <c r="C1262" t="s">
        <v>52</v>
      </c>
      <c r="D1262" t="s">
        <v>53</v>
      </c>
      <c r="E1262">
        <v>1.51</v>
      </c>
      <c r="F1262">
        <v>3.15</v>
      </c>
      <c r="G1262" s="8">
        <f t="shared" si="19"/>
        <v>28.761904761904759</v>
      </c>
    </row>
    <row r="1263" spans="1:7" x14ac:dyDescent="0.25">
      <c r="A1263" s="5">
        <v>45809.75</v>
      </c>
      <c r="B1263">
        <v>44</v>
      </c>
      <c r="C1263" t="s">
        <v>54</v>
      </c>
      <c r="D1263" t="s">
        <v>55</v>
      </c>
      <c r="E1263">
        <v>1.51</v>
      </c>
      <c r="F1263">
        <v>3.85</v>
      </c>
      <c r="G1263" s="8">
        <f t="shared" si="19"/>
        <v>23.532467532467532</v>
      </c>
    </row>
    <row r="1264" spans="1:7" x14ac:dyDescent="0.25">
      <c r="A1264" s="5">
        <v>45809.75</v>
      </c>
      <c r="B1264">
        <v>45</v>
      </c>
      <c r="C1264" t="s">
        <v>55</v>
      </c>
      <c r="D1264" t="s">
        <v>56</v>
      </c>
      <c r="E1264">
        <v>1.49</v>
      </c>
      <c r="F1264">
        <v>3.33</v>
      </c>
      <c r="G1264" s="8">
        <f t="shared" si="19"/>
        <v>26.846846846846848</v>
      </c>
    </row>
    <row r="1265" spans="1:7" x14ac:dyDescent="0.25">
      <c r="A1265" s="5">
        <v>45809.75</v>
      </c>
      <c r="B1265">
        <v>46</v>
      </c>
      <c r="C1265" t="s">
        <v>56</v>
      </c>
      <c r="D1265" t="s">
        <v>57</v>
      </c>
      <c r="E1265">
        <v>1.52</v>
      </c>
      <c r="F1265">
        <v>3.53</v>
      </c>
      <c r="G1265" s="8">
        <f t="shared" si="19"/>
        <v>25.835694050991503</v>
      </c>
    </row>
    <row r="1266" spans="1:7" x14ac:dyDescent="0.25">
      <c r="A1266" s="5">
        <v>45809.75</v>
      </c>
      <c r="B1266">
        <v>47</v>
      </c>
      <c r="C1266" t="s">
        <v>58</v>
      </c>
      <c r="D1266" t="s">
        <v>59</v>
      </c>
      <c r="E1266">
        <v>1.52</v>
      </c>
      <c r="F1266">
        <v>3.83</v>
      </c>
      <c r="G1266" s="8">
        <f t="shared" si="19"/>
        <v>23.812010443864231</v>
      </c>
    </row>
    <row r="1267" spans="1:7" x14ac:dyDescent="0.25">
      <c r="A1267" s="5">
        <v>45809.75</v>
      </c>
      <c r="B1267">
        <v>48</v>
      </c>
      <c r="C1267" t="s">
        <v>59</v>
      </c>
      <c r="D1267" t="s">
        <v>60</v>
      </c>
      <c r="E1267">
        <v>1.5</v>
      </c>
      <c r="F1267">
        <v>3.28</v>
      </c>
      <c r="G1267" s="8">
        <f t="shared" si="19"/>
        <v>27.439024390243905</v>
      </c>
    </row>
    <row r="1268" spans="1:7" x14ac:dyDescent="0.25">
      <c r="A1268" s="5">
        <v>45809.75</v>
      </c>
      <c r="B1268">
        <v>49</v>
      </c>
      <c r="C1268" t="s">
        <v>60</v>
      </c>
      <c r="D1268" t="s">
        <v>61</v>
      </c>
      <c r="E1268">
        <v>1.54</v>
      </c>
      <c r="F1268">
        <v>3.98</v>
      </c>
      <c r="G1268" s="8">
        <f t="shared" si="19"/>
        <v>23.216080402010054</v>
      </c>
    </row>
    <row r="1269" spans="1:7" x14ac:dyDescent="0.25">
      <c r="A1269" s="5">
        <v>45809.75</v>
      </c>
      <c r="B1269">
        <v>50</v>
      </c>
      <c r="C1269" t="s">
        <v>62</v>
      </c>
      <c r="D1269" t="s">
        <v>63</v>
      </c>
      <c r="E1269">
        <v>1.38</v>
      </c>
      <c r="F1269">
        <v>3.02</v>
      </c>
      <c r="G1269" s="8">
        <f t="shared" si="19"/>
        <v>27.417218543046356</v>
      </c>
    </row>
    <row r="1270" spans="1:7" x14ac:dyDescent="0.25">
      <c r="A1270" s="5">
        <v>45809.75</v>
      </c>
      <c r="B1270">
        <v>51</v>
      </c>
      <c r="C1270" t="s">
        <v>63</v>
      </c>
      <c r="D1270" t="s">
        <v>64</v>
      </c>
      <c r="E1270">
        <v>2.79</v>
      </c>
      <c r="F1270">
        <v>5.32</v>
      </c>
      <c r="G1270" s="8">
        <f t="shared" si="19"/>
        <v>31.466165413533833</v>
      </c>
    </row>
    <row r="1271" spans="1:7" x14ac:dyDescent="0.25">
      <c r="A1271" s="5">
        <v>45809.75</v>
      </c>
      <c r="B1271">
        <v>52</v>
      </c>
      <c r="C1271" t="s">
        <v>64</v>
      </c>
      <c r="D1271" t="s">
        <v>65</v>
      </c>
      <c r="E1271">
        <v>1.5</v>
      </c>
      <c r="F1271">
        <v>2.73</v>
      </c>
      <c r="G1271" s="8">
        <f t="shared" si="19"/>
        <v>32.967032967032971</v>
      </c>
    </row>
    <row r="1272" spans="1:7" x14ac:dyDescent="0.25">
      <c r="A1272" s="5">
        <v>45809.75</v>
      </c>
      <c r="B1272">
        <v>53</v>
      </c>
      <c r="C1272" t="s">
        <v>65</v>
      </c>
      <c r="D1272" t="s">
        <v>66</v>
      </c>
      <c r="E1272">
        <v>1.46</v>
      </c>
      <c r="F1272">
        <v>3.52</v>
      </c>
      <c r="G1272" s="8">
        <f t="shared" si="19"/>
        <v>24.886363636363633</v>
      </c>
    </row>
    <row r="1273" spans="1:7" x14ac:dyDescent="0.25">
      <c r="A1273" s="5">
        <v>45809.75</v>
      </c>
      <c r="B1273">
        <v>54</v>
      </c>
      <c r="C1273" t="s">
        <v>67</v>
      </c>
      <c r="D1273" t="s">
        <v>68</v>
      </c>
      <c r="E1273">
        <v>1.46</v>
      </c>
      <c r="F1273">
        <v>2.52</v>
      </c>
      <c r="G1273" s="8">
        <f t="shared" si="19"/>
        <v>34.761904761904759</v>
      </c>
    </row>
    <row r="1274" spans="1:7" x14ac:dyDescent="0.25">
      <c r="A1274" s="5">
        <v>45809.75</v>
      </c>
      <c r="B1274">
        <v>55</v>
      </c>
      <c r="C1274" t="s">
        <v>68</v>
      </c>
      <c r="D1274" t="s">
        <v>69</v>
      </c>
      <c r="E1274">
        <v>1.5</v>
      </c>
      <c r="F1274">
        <v>2.1</v>
      </c>
      <c r="G1274" s="8">
        <f t="shared" si="19"/>
        <v>42.857142857142854</v>
      </c>
    </row>
    <row r="1275" spans="1:7" x14ac:dyDescent="0.25">
      <c r="A1275" s="5">
        <v>45809.75</v>
      </c>
      <c r="B1275">
        <v>56</v>
      </c>
      <c r="C1275" t="s">
        <v>70</v>
      </c>
      <c r="D1275" t="s">
        <v>71</v>
      </c>
      <c r="E1275">
        <v>1.51</v>
      </c>
      <c r="F1275">
        <v>4.28</v>
      </c>
      <c r="G1275" s="8">
        <f t="shared" si="19"/>
        <v>21.168224299065418</v>
      </c>
    </row>
    <row r="1276" spans="1:7" x14ac:dyDescent="0.25">
      <c r="A1276" s="5">
        <v>45809.75</v>
      </c>
      <c r="B1276">
        <v>57</v>
      </c>
      <c r="C1276" t="s">
        <v>71</v>
      </c>
      <c r="D1276" t="s">
        <v>72</v>
      </c>
      <c r="E1276">
        <v>1.52</v>
      </c>
      <c r="F1276">
        <v>3.58</v>
      </c>
      <c r="G1276" s="8">
        <f t="shared" si="19"/>
        <v>25.47486033519553</v>
      </c>
    </row>
    <row r="1277" spans="1:7" x14ac:dyDescent="0.25">
      <c r="A1277" s="5">
        <v>45809.75</v>
      </c>
      <c r="B1277">
        <v>58</v>
      </c>
      <c r="C1277" t="s">
        <v>72</v>
      </c>
      <c r="D1277" t="s">
        <v>73</v>
      </c>
      <c r="E1277">
        <v>1.5</v>
      </c>
      <c r="F1277">
        <v>3.47</v>
      </c>
      <c r="G1277" s="8">
        <f t="shared" si="19"/>
        <v>25.936599423631122</v>
      </c>
    </row>
    <row r="1278" spans="1:7" x14ac:dyDescent="0.25">
      <c r="A1278" s="5">
        <v>45809.760416666664</v>
      </c>
      <c r="B1278">
        <v>1</v>
      </c>
      <c r="C1278" t="s">
        <v>6</v>
      </c>
      <c r="D1278" t="s">
        <v>7</v>
      </c>
      <c r="E1278">
        <v>1.53</v>
      </c>
      <c r="F1278">
        <v>2.93</v>
      </c>
      <c r="G1278" s="8">
        <f t="shared" si="19"/>
        <v>31.331058020477812</v>
      </c>
    </row>
    <row r="1279" spans="1:7" x14ac:dyDescent="0.25">
      <c r="A1279" s="5">
        <v>45809.760416666664</v>
      </c>
      <c r="B1279">
        <v>2</v>
      </c>
      <c r="C1279" t="s">
        <v>7</v>
      </c>
      <c r="D1279" t="s">
        <v>8</v>
      </c>
      <c r="E1279">
        <v>1.57</v>
      </c>
      <c r="F1279">
        <v>4.17</v>
      </c>
      <c r="G1279" s="8">
        <f t="shared" si="19"/>
        <v>22.589928057553958</v>
      </c>
    </row>
    <row r="1280" spans="1:7" x14ac:dyDescent="0.25">
      <c r="A1280" s="5">
        <v>45809.760416666664</v>
      </c>
      <c r="B1280">
        <v>3</v>
      </c>
      <c r="C1280" t="s">
        <v>8</v>
      </c>
      <c r="D1280" t="s">
        <v>9</v>
      </c>
      <c r="E1280">
        <v>1.5</v>
      </c>
      <c r="F1280">
        <v>3</v>
      </c>
      <c r="G1280" s="8">
        <f t="shared" si="19"/>
        <v>30</v>
      </c>
    </row>
    <row r="1281" spans="1:7" x14ac:dyDescent="0.25">
      <c r="A1281" s="5">
        <v>45809.760416666664</v>
      </c>
      <c r="B1281">
        <v>4</v>
      </c>
      <c r="C1281" t="s">
        <v>9</v>
      </c>
      <c r="D1281" t="s">
        <v>10</v>
      </c>
      <c r="E1281">
        <v>1.5</v>
      </c>
      <c r="F1281">
        <v>2.98</v>
      </c>
      <c r="G1281" s="8">
        <f t="shared" si="19"/>
        <v>30.201342281879196</v>
      </c>
    </row>
    <row r="1282" spans="1:7" x14ac:dyDescent="0.25">
      <c r="A1282" s="5">
        <v>45809.760416666664</v>
      </c>
      <c r="B1282">
        <v>5</v>
      </c>
      <c r="C1282" t="s">
        <v>10</v>
      </c>
      <c r="D1282" t="s">
        <v>11</v>
      </c>
      <c r="E1282">
        <v>1.52</v>
      </c>
      <c r="F1282">
        <v>3.73</v>
      </c>
      <c r="G1282" s="8">
        <f t="shared" si="19"/>
        <v>24.45040214477212</v>
      </c>
    </row>
    <row r="1283" spans="1:7" x14ac:dyDescent="0.25">
      <c r="A1283" s="5">
        <v>45809.760416666664</v>
      </c>
      <c r="B1283">
        <v>6</v>
      </c>
      <c r="C1283" t="s">
        <v>11</v>
      </c>
      <c r="D1283" t="s">
        <v>12</v>
      </c>
      <c r="E1283">
        <v>1.5</v>
      </c>
      <c r="F1283">
        <v>2.5499999999999998</v>
      </c>
      <c r="G1283" s="8">
        <f t="shared" ref="G1283:G1346" si="20">E1283*60/F1283</f>
        <v>35.294117647058826</v>
      </c>
    </row>
    <row r="1284" spans="1:7" x14ac:dyDescent="0.25">
      <c r="A1284" s="5">
        <v>45809.760416666664</v>
      </c>
      <c r="B1284">
        <v>7</v>
      </c>
      <c r="C1284" t="s">
        <v>12</v>
      </c>
      <c r="D1284" t="s">
        <v>13</v>
      </c>
      <c r="E1284">
        <v>1.54</v>
      </c>
      <c r="F1284">
        <v>2.77</v>
      </c>
      <c r="G1284" s="8">
        <f t="shared" si="20"/>
        <v>33.357400722021666</v>
      </c>
    </row>
    <row r="1285" spans="1:7" x14ac:dyDescent="0.25">
      <c r="A1285" s="5">
        <v>45809.760416666664</v>
      </c>
      <c r="B1285">
        <v>8</v>
      </c>
      <c r="C1285" t="s">
        <v>13</v>
      </c>
      <c r="D1285" t="s">
        <v>14</v>
      </c>
      <c r="E1285">
        <v>1.54</v>
      </c>
      <c r="F1285">
        <v>2.97</v>
      </c>
      <c r="G1285" s="8">
        <f t="shared" si="20"/>
        <v>31.111111111111111</v>
      </c>
    </row>
    <row r="1286" spans="1:7" x14ac:dyDescent="0.25">
      <c r="A1286" s="5">
        <v>45809.760416666664</v>
      </c>
      <c r="B1286">
        <v>9</v>
      </c>
      <c r="C1286" t="s">
        <v>14</v>
      </c>
      <c r="D1286" t="s">
        <v>15</v>
      </c>
      <c r="E1286">
        <v>1.52</v>
      </c>
      <c r="F1286">
        <v>3.25</v>
      </c>
      <c r="G1286" s="8">
        <f t="shared" si="20"/>
        <v>28.061538461538461</v>
      </c>
    </row>
    <row r="1287" spans="1:7" x14ac:dyDescent="0.25">
      <c r="A1287" s="5">
        <v>45809.760416666664</v>
      </c>
      <c r="B1287">
        <v>10</v>
      </c>
      <c r="C1287" t="s">
        <v>15</v>
      </c>
      <c r="D1287" t="s">
        <v>16</v>
      </c>
      <c r="E1287">
        <v>1.5</v>
      </c>
      <c r="F1287">
        <v>3.65</v>
      </c>
      <c r="G1287" s="8">
        <f t="shared" si="20"/>
        <v>24.657534246575342</v>
      </c>
    </row>
    <row r="1288" spans="1:7" x14ac:dyDescent="0.25">
      <c r="A1288" s="5">
        <v>45809.760416666664</v>
      </c>
      <c r="B1288">
        <v>11</v>
      </c>
      <c r="C1288" t="s">
        <v>16</v>
      </c>
      <c r="D1288" t="s">
        <v>17</v>
      </c>
      <c r="E1288">
        <v>1.48</v>
      </c>
      <c r="F1288">
        <v>2.37</v>
      </c>
      <c r="G1288" s="8">
        <f t="shared" si="20"/>
        <v>37.46835443037974</v>
      </c>
    </row>
    <row r="1289" spans="1:7" x14ac:dyDescent="0.25">
      <c r="A1289" s="5">
        <v>45809.760416666664</v>
      </c>
      <c r="B1289">
        <v>12</v>
      </c>
      <c r="C1289" t="s">
        <v>17</v>
      </c>
      <c r="D1289" t="s">
        <v>18</v>
      </c>
      <c r="E1289">
        <v>1.46</v>
      </c>
      <c r="F1289">
        <v>3.45</v>
      </c>
      <c r="G1289" s="8">
        <f t="shared" si="20"/>
        <v>25.391304347826082</v>
      </c>
    </row>
    <row r="1290" spans="1:7" x14ac:dyDescent="0.25">
      <c r="A1290" s="5">
        <v>45809.760416666664</v>
      </c>
      <c r="B1290">
        <v>13</v>
      </c>
      <c r="C1290" t="s">
        <v>18</v>
      </c>
      <c r="D1290" t="s">
        <v>19</v>
      </c>
      <c r="E1290">
        <v>1.52</v>
      </c>
      <c r="F1290">
        <v>3.3</v>
      </c>
      <c r="G1290" s="8">
        <f t="shared" si="20"/>
        <v>27.63636363636364</v>
      </c>
    </row>
    <row r="1291" spans="1:7" x14ac:dyDescent="0.25">
      <c r="A1291" s="5">
        <v>45809.760416666664</v>
      </c>
      <c r="B1291">
        <v>14</v>
      </c>
      <c r="C1291" t="s">
        <v>19</v>
      </c>
      <c r="D1291" t="s">
        <v>20</v>
      </c>
      <c r="E1291">
        <v>1.51</v>
      </c>
      <c r="F1291">
        <v>3.12</v>
      </c>
      <c r="G1291" s="8">
        <f t="shared" si="20"/>
        <v>29.038461538461537</v>
      </c>
    </row>
    <row r="1292" spans="1:7" x14ac:dyDescent="0.25">
      <c r="A1292" s="5">
        <v>45809.760416666664</v>
      </c>
      <c r="B1292">
        <v>15</v>
      </c>
      <c r="C1292" t="s">
        <v>20</v>
      </c>
      <c r="D1292" t="s">
        <v>21</v>
      </c>
      <c r="E1292">
        <v>1.47</v>
      </c>
      <c r="F1292">
        <v>2.2999999999999998</v>
      </c>
      <c r="G1292" s="8">
        <f t="shared" si="20"/>
        <v>38.347826086956523</v>
      </c>
    </row>
    <row r="1293" spans="1:7" x14ac:dyDescent="0.25">
      <c r="A1293" s="5">
        <v>45809.760416666664</v>
      </c>
      <c r="B1293">
        <v>16</v>
      </c>
      <c r="C1293" t="s">
        <v>21</v>
      </c>
      <c r="D1293" t="s">
        <v>22</v>
      </c>
      <c r="E1293">
        <v>1.5</v>
      </c>
      <c r="F1293">
        <v>1.72</v>
      </c>
      <c r="G1293" s="8">
        <f t="shared" si="20"/>
        <v>52.325581395348841</v>
      </c>
    </row>
    <row r="1294" spans="1:7" x14ac:dyDescent="0.25">
      <c r="A1294" s="5">
        <v>45809.760416666664</v>
      </c>
      <c r="B1294">
        <v>17</v>
      </c>
      <c r="C1294" t="s">
        <v>22</v>
      </c>
      <c r="D1294" t="s">
        <v>23</v>
      </c>
      <c r="E1294">
        <v>1.51</v>
      </c>
      <c r="F1294">
        <v>2.5499999999999998</v>
      </c>
      <c r="G1294" s="8">
        <f t="shared" si="20"/>
        <v>35.529411764705884</v>
      </c>
    </row>
    <row r="1295" spans="1:7" x14ac:dyDescent="0.25">
      <c r="A1295" s="5">
        <v>45809.760416666664</v>
      </c>
      <c r="B1295">
        <v>18</v>
      </c>
      <c r="C1295" t="s">
        <v>23</v>
      </c>
      <c r="D1295" t="s">
        <v>24</v>
      </c>
      <c r="E1295">
        <v>1.51</v>
      </c>
      <c r="F1295">
        <v>2.7</v>
      </c>
      <c r="G1295" s="8">
        <f t="shared" si="20"/>
        <v>33.55555555555555</v>
      </c>
    </row>
    <row r="1296" spans="1:7" x14ac:dyDescent="0.25">
      <c r="A1296" s="5">
        <v>45809.760416666664</v>
      </c>
      <c r="B1296">
        <v>19</v>
      </c>
      <c r="C1296" t="s">
        <v>25</v>
      </c>
      <c r="D1296" t="s">
        <v>26</v>
      </c>
      <c r="E1296">
        <v>1.5</v>
      </c>
      <c r="F1296">
        <v>3.47</v>
      </c>
      <c r="G1296" s="8">
        <f t="shared" si="20"/>
        <v>25.936599423631122</v>
      </c>
    </row>
    <row r="1297" spans="1:7" x14ac:dyDescent="0.25">
      <c r="A1297" s="5">
        <v>45809.760416666664</v>
      </c>
      <c r="B1297">
        <v>20</v>
      </c>
      <c r="C1297" t="s">
        <v>26</v>
      </c>
      <c r="D1297" t="s">
        <v>27</v>
      </c>
      <c r="E1297">
        <v>1.48</v>
      </c>
      <c r="F1297">
        <v>3.33</v>
      </c>
      <c r="G1297" s="8">
        <f t="shared" si="20"/>
        <v>26.666666666666664</v>
      </c>
    </row>
    <row r="1298" spans="1:7" x14ac:dyDescent="0.25">
      <c r="A1298" s="5">
        <v>45809.760416666664</v>
      </c>
      <c r="B1298">
        <v>21</v>
      </c>
      <c r="C1298" t="s">
        <v>27</v>
      </c>
      <c r="D1298" t="s">
        <v>28</v>
      </c>
      <c r="E1298">
        <v>1.51</v>
      </c>
      <c r="F1298">
        <v>3.15</v>
      </c>
      <c r="G1298" s="8">
        <f t="shared" si="20"/>
        <v>28.761904761904759</v>
      </c>
    </row>
    <row r="1299" spans="1:7" x14ac:dyDescent="0.25">
      <c r="A1299" s="5">
        <v>45809.760416666664</v>
      </c>
      <c r="B1299">
        <v>22</v>
      </c>
      <c r="C1299" t="s">
        <v>28</v>
      </c>
      <c r="D1299" t="s">
        <v>29</v>
      </c>
      <c r="E1299">
        <v>1.57</v>
      </c>
      <c r="F1299">
        <v>3.32</v>
      </c>
      <c r="G1299" s="8">
        <f t="shared" si="20"/>
        <v>28.373493975903617</v>
      </c>
    </row>
    <row r="1300" spans="1:7" x14ac:dyDescent="0.25">
      <c r="A1300" s="5">
        <v>45809.760416666664</v>
      </c>
      <c r="B1300">
        <v>23</v>
      </c>
      <c r="C1300" t="s">
        <v>29</v>
      </c>
      <c r="D1300" t="s">
        <v>30</v>
      </c>
      <c r="E1300">
        <v>1.43</v>
      </c>
      <c r="F1300">
        <v>3.15</v>
      </c>
      <c r="G1300" s="8">
        <f t="shared" si="20"/>
        <v>27.238095238095237</v>
      </c>
    </row>
    <row r="1301" spans="1:7" x14ac:dyDescent="0.25">
      <c r="A1301" s="5">
        <v>45809.760416666664</v>
      </c>
      <c r="B1301">
        <v>24</v>
      </c>
      <c r="C1301" t="s">
        <v>30</v>
      </c>
      <c r="D1301" t="s">
        <v>31</v>
      </c>
      <c r="E1301">
        <v>1.52</v>
      </c>
      <c r="F1301">
        <v>3.18</v>
      </c>
      <c r="G1301" s="8">
        <f t="shared" si="20"/>
        <v>28.679245283018869</v>
      </c>
    </row>
    <row r="1302" spans="1:7" x14ac:dyDescent="0.25">
      <c r="A1302" s="5">
        <v>45809.760416666664</v>
      </c>
      <c r="B1302">
        <v>25</v>
      </c>
      <c r="C1302" t="s">
        <v>31</v>
      </c>
      <c r="D1302" t="s">
        <v>32</v>
      </c>
      <c r="E1302">
        <v>1.52</v>
      </c>
      <c r="F1302">
        <v>3.15</v>
      </c>
      <c r="G1302" s="8">
        <f t="shared" si="20"/>
        <v>28.952380952380953</v>
      </c>
    </row>
    <row r="1303" spans="1:7" x14ac:dyDescent="0.25">
      <c r="A1303" s="5">
        <v>45809.760416666664</v>
      </c>
      <c r="B1303">
        <v>26</v>
      </c>
      <c r="C1303" t="s">
        <v>32</v>
      </c>
      <c r="D1303" t="s">
        <v>33</v>
      </c>
      <c r="E1303">
        <v>1.49</v>
      </c>
      <c r="F1303">
        <v>3.3</v>
      </c>
      <c r="G1303" s="8">
        <f t="shared" si="20"/>
        <v>27.090909090909093</v>
      </c>
    </row>
    <row r="1304" spans="1:7" x14ac:dyDescent="0.25">
      <c r="A1304" s="5">
        <v>45809.760416666664</v>
      </c>
      <c r="B1304">
        <v>27</v>
      </c>
      <c r="C1304" t="s">
        <v>33</v>
      </c>
      <c r="D1304" t="s">
        <v>34</v>
      </c>
      <c r="E1304">
        <v>1.53</v>
      </c>
      <c r="F1304">
        <v>4.1500000000000004</v>
      </c>
      <c r="G1304" s="8">
        <f t="shared" si="20"/>
        <v>22.120481927710841</v>
      </c>
    </row>
    <row r="1305" spans="1:7" x14ac:dyDescent="0.25">
      <c r="A1305" s="5">
        <v>45809.760416666664</v>
      </c>
      <c r="B1305">
        <v>28</v>
      </c>
      <c r="C1305" t="s">
        <v>34</v>
      </c>
      <c r="D1305" t="s">
        <v>35</v>
      </c>
      <c r="E1305">
        <v>1.51</v>
      </c>
      <c r="F1305">
        <v>3.85</v>
      </c>
      <c r="G1305" s="8">
        <f t="shared" si="20"/>
        <v>23.532467532467532</v>
      </c>
    </row>
    <row r="1306" spans="1:7" x14ac:dyDescent="0.25">
      <c r="A1306" s="5">
        <v>45809.760416666664</v>
      </c>
      <c r="B1306">
        <v>29</v>
      </c>
      <c r="C1306" t="s">
        <v>36</v>
      </c>
      <c r="D1306" t="s">
        <v>37</v>
      </c>
      <c r="E1306">
        <v>1.57</v>
      </c>
      <c r="F1306">
        <v>3.55</v>
      </c>
      <c r="G1306" s="8">
        <f t="shared" si="20"/>
        <v>26.535211267605636</v>
      </c>
    </row>
    <row r="1307" spans="1:7" x14ac:dyDescent="0.25">
      <c r="A1307" s="5">
        <v>45809.760416666664</v>
      </c>
      <c r="B1307">
        <v>30</v>
      </c>
      <c r="C1307" t="s">
        <v>37</v>
      </c>
      <c r="D1307" t="s">
        <v>38</v>
      </c>
      <c r="E1307">
        <v>1.57</v>
      </c>
      <c r="F1307">
        <v>3.8</v>
      </c>
      <c r="G1307" s="8">
        <f t="shared" si="20"/>
        <v>24.789473684210527</v>
      </c>
    </row>
    <row r="1308" spans="1:7" x14ac:dyDescent="0.25">
      <c r="A1308" s="5">
        <v>45809.760416666664</v>
      </c>
      <c r="B1308">
        <v>31</v>
      </c>
      <c r="C1308" t="s">
        <v>38</v>
      </c>
      <c r="D1308" t="s">
        <v>39</v>
      </c>
      <c r="E1308">
        <v>1.52</v>
      </c>
      <c r="F1308">
        <v>3.18</v>
      </c>
      <c r="G1308" s="8">
        <f t="shared" si="20"/>
        <v>28.679245283018869</v>
      </c>
    </row>
    <row r="1309" spans="1:7" x14ac:dyDescent="0.25">
      <c r="A1309" s="5">
        <v>45809.760416666664</v>
      </c>
      <c r="B1309">
        <v>32</v>
      </c>
      <c r="C1309" t="s">
        <v>39</v>
      </c>
      <c r="D1309" t="s">
        <v>40</v>
      </c>
      <c r="E1309">
        <v>1.5</v>
      </c>
      <c r="F1309">
        <v>1.77</v>
      </c>
      <c r="G1309" s="8">
        <f t="shared" si="20"/>
        <v>50.847457627118644</v>
      </c>
    </row>
    <row r="1310" spans="1:7" x14ac:dyDescent="0.25">
      <c r="A1310" s="5">
        <v>45809.760416666664</v>
      </c>
      <c r="B1310">
        <v>33</v>
      </c>
      <c r="C1310" t="s">
        <v>40</v>
      </c>
      <c r="D1310" t="s">
        <v>41</v>
      </c>
      <c r="E1310">
        <v>1.51</v>
      </c>
      <c r="F1310">
        <v>1.77</v>
      </c>
      <c r="G1310" s="8">
        <f t="shared" si="20"/>
        <v>51.186440677966097</v>
      </c>
    </row>
    <row r="1311" spans="1:7" x14ac:dyDescent="0.25">
      <c r="A1311" s="5">
        <v>45809.760416666664</v>
      </c>
      <c r="B1311">
        <v>34</v>
      </c>
      <c r="C1311" t="s">
        <v>41</v>
      </c>
      <c r="D1311" t="s">
        <v>42</v>
      </c>
      <c r="E1311">
        <v>1.5</v>
      </c>
      <c r="F1311">
        <v>1.92</v>
      </c>
      <c r="G1311" s="8">
        <f t="shared" si="20"/>
        <v>46.875</v>
      </c>
    </row>
    <row r="1312" spans="1:7" x14ac:dyDescent="0.25">
      <c r="A1312" s="5">
        <v>45809.760416666664</v>
      </c>
      <c r="B1312">
        <v>35</v>
      </c>
      <c r="C1312" t="s">
        <v>43</v>
      </c>
      <c r="D1312" t="s">
        <v>44</v>
      </c>
      <c r="E1312">
        <v>1.55</v>
      </c>
      <c r="F1312">
        <v>3.3</v>
      </c>
      <c r="G1312" s="8">
        <f t="shared" si="20"/>
        <v>28.181818181818183</v>
      </c>
    </row>
    <row r="1313" spans="1:7" x14ac:dyDescent="0.25">
      <c r="A1313" s="5">
        <v>45809.760416666664</v>
      </c>
      <c r="B1313">
        <v>36</v>
      </c>
      <c r="C1313" t="s">
        <v>44</v>
      </c>
      <c r="D1313" t="s">
        <v>45</v>
      </c>
      <c r="E1313">
        <v>1.5</v>
      </c>
      <c r="F1313">
        <v>2.92</v>
      </c>
      <c r="G1313" s="8">
        <f t="shared" si="20"/>
        <v>30.82191780821918</v>
      </c>
    </row>
    <row r="1314" spans="1:7" x14ac:dyDescent="0.25">
      <c r="A1314" s="5">
        <v>45809.760416666664</v>
      </c>
      <c r="B1314">
        <v>37</v>
      </c>
      <c r="C1314" t="s">
        <v>45</v>
      </c>
      <c r="D1314" t="s">
        <v>46</v>
      </c>
      <c r="E1314">
        <v>1.38</v>
      </c>
      <c r="F1314">
        <v>3.77</v>
      </c>
      <c r="G1314" s="8">
        <f t="shared" si="20"/>
        <v>21.96286472148541</v>
      </c>
    </row>
    <row r="1315" spans="1:7" x14ac:dyDescent="0.25">
      <c r="A1315" s="5">
        <v>45809.760416666664</v>
      </c>
      <c r="B1315">
        <v>38</v>
      </c>
      <c r="C1315" t="s">
        <v>46</v>
      </c>
      <c r="D1315" t="s">
        <v>47</v>
      </c>
      <c r="E1315">
        <v>1.61</v>
      </c>
      <c r="F1315">
        <v>3.85</v>
      </c>
      <c r="G1315" s="8">
        <f t="shared" si="20"/>
        <v>25.090909090909093</v>
      </c>
    </row>
    <row r="1316" spans="1:7" x14ac:dyDescent="0.25">
      <c r="A1316" s="5">
        <v>45809.760416666664</v>
      </c>
      <c r="B1316">
        <v>39</v>
      </c>
      <c r="C1316" t="s">
        <v>47</v>
      </c>
      <c r="D1316" t="s">
        <v>48</v>
      </c>
      <c r="E1316">
        <v>1.55</v>
      </c>
      <c r="F1316">
        <v>3.4</v>
      </c>
      <c r="G1316" s="8">
        <f t="shared" si="20"/>
        <v>27.352941176470591</v>
      </c>
    </row>
    <row r="1317" spans="1:7" x14ac:dyDescent="0.25">
      <c r="A1317" s="5">
        <v>45809.760416666664</v>
      </c>
      <c r="B1317">
        <v>40</v>
      </c>
      <c r="C1317" t="s">
        <v>48</v>
      </c>
      <c r="D1317" t="s">
        <v>49</v>
      </c>
      <c r="E1317">
        <v>1.39</v>
      </c>
      <c r="F1317">
        <v>2.9</v>
      </c>
      <c r="G1317" s="8">
        <f t="shared" si="20"/>
        <v>28.758620689655171</v>
      </c>
    </row>
    <row r="1318" spans="1:7" x14ac:dyDescent="0.25">
      <c r="A1318" s="5">
        <v>45809.760416666664</v>
      </c>
      <c r="B1318">
        <v>41</v>
      </c>
      <c r="C1318" t="s">
        <v>50</v>
      </c>
      <c r="D1318" t="s">
        <v>51</v>
      </c>
      <c r="E1318">
        <v>1.56</v>
      </c>
      <c r="F1318">
        <v>3.32</v>
      </c>
      <c r="G1318" s="8">
        <f t="shared" si="20"/>
        <v>28.192771084337352</v>
      </c>
    </row>
    <row r="1319" spans="1:7" x14ac:dyDescent="0.25">
      <c r="A1319" s="5">
        <v>45809.760416666664</v>
      </c>
      <c r="B1319">
        <v>42</v>
      </c>
      <c r="C1319" t="s">
        <v>51</v>
      </c>
      <c r="D1319" t="s">
        <v>52</v>
      </c>
      <c r="E1319">
        <v>1.56</v>
      </c>
      <c r="F1319">
        <v>3.42</v>
      </c>
      <c r="G1319" s="8">
        <f t="shared" si="20"/>
        <v>27.368421052631582</v>
      </c>
    </row>
    <row r="1320" spans="1:7" x14ac:dyDescent="0.25">
      <c r="A1320" s="5">
        <v>45809.760416666664</v>
      </c>
      <c r="B1320">
        <v>43</v>
      </c>
      <c r="C1320" t="s">
        <v>52</v>
      </c>
      <c r="D1320" t="s">
        <v>53</v>
      </c>
      <c r="E1320">
        <v>1.51</v>
      </c>
      <c r="F1320">
        <v>3.2</v>
      </c>
      <c r="G1320" s="8">
        <f t="shared" si="20"/>
        <v>28.312499999999996</v>
      </c>
    </row>
    <row r="1321" spans="1:7" x14ac:dyDescent="0.25">
      <c r="A1321" s="5">
        <v>45809.760416666664</v>
      </c>
      <c r="B1321">
        <v>44</v>
      </c>
      <c r="C1321" t="s">
        <v>54</v>
      </c>
      <c r="D1321" t="s">
        <v>55</v>
      </c>
      <c r="E1321">
        <v>1.51</v>
      </c>
      <c r="F1321">
        <v>4.2699999999999996</v>
      </c>
      <c r="G1321" s="8">
        <f t="shared" si="20"/>
        <v>21.217798594847775</v>
      </c>
    </row>
    <row r="1322" spans="1:7" x14ac:dyDescent="0.25">
      <c r="A1322" s="5">
        <v>45809.760416666664</v>
      </c>
      <c r="B1322">
        <v>45</v>
      </c>
      <c r="C1322" t="s">
        <v>55</v>
      </c>
      <c r="D1322" t="s">
        <v>56</v>
      </c>
      <c r="E1322">
        <v>1.49</v>
      </c>
      <c r="F1322">
        <v>3.28</v>
      </c>
      <c r="G1322" s="8">
        <f t="shared" si="20"/>
        <v>27.256097560975615</v>
      </c>
    </row>
    <row r="1323" spans="1:7" x14ac:dyDescent="0.25">
      <c r="A1323" s="5">
        <v>45809.760416666664</v>
      </c>
      <c r="B1323">
        <v>46</v>
      </c>
      <c r="C1323" t="s">
        <v>56</v>
      </c>
      <c r="D1323" t="s">
        <v>57</v>
      </c>
      <c r="E1323">
        <v>1.52</v>
      </c>
      <c r="F1323">
        <v>3.68</v>
      </c>
      <c r="G1323" s="8">
        <f t="shared" si="20"/>
        <v>24.782608695652172</v>
      </c>
    </row>
    <row r="1324" spans="1:7" x14ac:dyDescent="0.25">
      <c r="A1324" s="5">
        <v>45809.760416666664</v>
      </c>
      <c r="B1324">
        <v>47</v>
      </c>
      <c r="C1324" t="s">
        <v>58</v>
      </c>
      <c r="D1324" t="s">
        <v>59</v>
      </c>
      <c r="E1324">
        <v>1.52</v>
      </c>
      <c r="F1324">
        <v>3.48</v>
      </c>
      <c r="G1324" s="8">
        <f t="shared" si="20"/>
        <v>26.206896551724139</v>
      </c>
    </row>
    <row r="1325" spans="1:7" x14ac:dyDescent="0.25">
      <c r="A1325" s="5">
        <v>45809.760416666664</v>
      </c>
      <c r="B1325">
        <v>48</v>
      </c>
      <c r="C1325" t="s">
        <v>59</v>
      </c>
      <c r="D1325" t="s">
        <v>60</v>
      </c>
      <c r="E1325">
        <v>1.5</v>
      </c>
      <c r="F1325">
        <v>3.5</v>
      </c>
      <c r="G1325" s="8">
        <f t="shared" si="20"/>
        <v>25.714285714285715</v>
      </c>
    </row>
    <row r="1326" spans="1:7" x14ac:dyDescent="0.25">
      <c r="A1326" s="5">
        <v>45809.760416666664</v>
      </c>
      <c r="B1326">
        <v>49</v>
      </c>
      <c r="C1326" t="s">
        <v>60</v>
      </c>
      <c r="D1326" t="s">
        <v>61</v>
      </c>
      <c r="E1326">
        <v>1.54</v>
      </c>
      <c r="F1326">
        <v>4.43</v>
      </c>
      <c r="G1326" s="8">
        <f t="shared" si="20"/>
        <v>20.857787810383751</v>
      </c>
    </row>
    <row r="1327" spans="1:7" x14ac:dyDescent="0.25">
      <c r="A1327" s="5">
        <v>45809.760416666664</v>
      </c>
      <c r="B1327">
        <v>50</v>
      </c>
      <c r="C1327" t="s">
        <v>62</v>
      </c>
      <c r="D1327" t="s">
        <v>63</v>
      </c>
      <c r="E1327">
        <v>1.38</v>
      </c>
      <c r="F1327">
        <v>3.07</v>
      </c>
      <c r="G1327" s="8">
        <f t="shared" si="20"/>
        <v>26.970684039087949</v>
      </c>
    </row>
    <row r="1328" spans="1:7" x14ac:dyDescent="0.25">
      <c r="A1328" s="5">
        <v>45809.760416666664</v>
      </c>
      <c r="B1328">
        <v>51</v>
      </c>
      <c r="C1328" t="s">
        <v>63</v>
      </c>
      <c r="D1328" t="s">
        <v>64</v>
      </c>
      <c r="E1328">
        <v>2.79</v>
      </c>
      <c r="F1328">
        <v>5.45</v>
      </c>
      <c r="G1328" s="8">
        <f t="shared" si="20"/>
        <v>30.715596330275229</v>
      </c>
    </row>
    <row r="1329" spans="1:7" x14ac:dyDescent="0.25">
      <c r="A1329" s="5">
        <v>45809.760416666664</v>
      </c>
      <c r="B1329">
        <v>52</v>
      </c>
      <c r="C1329" t="s">
        <v>64</v>
      </c>
      <c r="D1329" t="s">
        <v>65</v>
      </c>
      <c r="E1329">
        <v>1.5</v>
      </c>
      <c r="F1329">
        <v>2.68</v>
      </c>
      <c r="G1329" s="8">
        <f t="shared" si="20"/>
        <v>33.582089552238806</v>
      </c>
    </row>
    <row r="1330" spans="1:7" x14ac:dyDescent="0.25">
      <c r="A1330" s="5">
        <v>45809.760416666664</v>
      </c>
      <c r="B1330">
        <v>53</v>
      </c>
      <c r="C1330" t="s">
        <v>65</v>
      </c>
      <c r="D1330" t="s">
        <v>66</v>
      </c>
      <c r="E1330">
        <v>1.46</v>
      </c>
      <c r="F1330">
        <v>3.42</v>
      </c>
      <c r="G1330" s="8">
        <f t="shared" si="20"/>
        <v>25.614035087719298</v>
      </c>
    </row>
    <row r="1331" spans="1:7" x14ac:dyDescent="0.25">
      <c r="A1331" s="5">
        <v>45809.760416666664</v>
      </c>
      <c r="B1331">
        <v>54</v>
      </c>
      <c r="C1331" t="s">
        <v>67</v>
      </c>
      <c r="D1331" t="s">
        <v>68</v>
      </c>
      <c r="E1331">
        <v>1.46</v>
      </c>
      <c r="F1331">
        <v>2.5499999999999998</v>
      </c>
      <c r="G1331" s="8">
        <f t="shared" si="20"/>
        <v>34.352941176470587</v>
      </c>
    </row>
    <row r="1332" spans="1:7" x14ac:dyDescent="0.25">
      <c r="A1332" s="5">
        <v>45809.760416666664</v>
      </c>
      <c r="B1332">
        <v>55</v>
      </c>
      <c r="C1332" t="s">
        <v>68</v>
      </c>
      <c r="D1332" t="s">
        <v>69</v>
      </c>
      <c r="E1332">
        <v>1.5</v>
      </c>
      <c r="F1332">
        <v>1.83</v>
      </c>
      <c r="G1332" s="8">
        <f t="shared" si="20"/>
        <v>49.180327868852459</v>
      </c>
    </row>
    <row r="1333" spans="1:7" x14ac:dyDescent="0.25">
      <c r="A1333" s="5">
        <v>45809.760416666664</v>
      </c>
      <c r="B1333">
        <v>56</v>
      </c>
      <c r="C1333" t="s">
        <v>70</v>
      </c>
      <c r="D1333" t="s">
        <v>71</v>
      </c>
      <c r="E1333">
        <v>1.51</v>
      </c>
      <c r="F1333">
        <v>4.53</v>
      </c>
      <c r="G1333" s="8">
        <f t="shared" si="20"/>
        <v>19.999999999999996</v>
      </c>
    </row>
    <row r="1334" spans="1:7" x14ac:dyDescent="0.25">
      <c r="A1334" s="5">
        <v>45809.760416666664</v>
      </c>
      <c r="B1334">
        <v>57</v>
      </c>
      <c r="C1334" t="s">
        <v>71</v>
      </c>
      <c r="D1334" t="s">
        <v>72</v>
      </c>
      <c r="E1334">
        <v>1.52</v>
      </c>
      <c r="F1334">
        <v>3.5</v>
      </c>
      <c r="G1334" s="8">
        <f t="shared" si="20"/>
        <v>26.057142857142857</v>
      </c>
    </row>
    <row r="1335" spans="1:7" x14ac:dyDescent="0.25">
      <c r="A1335" s="5">
        <v>45809.760416666664</v>
      </c>
      <c r="B1335">
        <v>58</v>
      </c>
      <c r="C1335" t="s">
        <v>72</v>
      </c>
      <c r="D1335" t="s">
        <v>73</v>
      </c>
      <c r="E1335">
        <v>1.5</v>
      </c>
      <c r="F1335">
        <v>3.4</v>
      </c>
      <c r="G1335" s="8">
        <f t="shared" si="20"/>
        <v>26.47058823529412</v>
      </c>
    </row>
    <row r="1336" spans="1:7" x14ac:dyDescent="0.25">
      <c r="A1336" s="5">
        <v>45809.770833333336</v>
      </c>
      <c r="B1336">
        <v>1</v>
      </c>
      <c r="C1336" t="s">
        <v>6</v>
      </c>
      <c r="D1336" t="s">
        <v>7</v>
      </c>
      <c r="E1336">
        <v>1.53</v>
      </c>
      <c r="F1336">
        <v>3.07</v>
      </c>
      <c r="G1336" s="8">
        <f t="shared" si="20"/>
        <v>29.90228013029316</v>
      </c>
    </row>
    <row r="1337" spans="1:7" x14ac:dyDescent="0.25">
      <c r="A1337" s="5">
        <v>45809.770833333336</v>
      </c>
      <c r="B1337">
        <v>2</v>
      </c>
      <c r="C1337" t="s">
        <v>7</v>
      </c>
      <c r="D1337" t="s">
        <v>8</v>
      </c>
      <c r="E1337">
        <v>1.57</v>
      </c>
      <c r="F1337">
        <v>4.13</v>
      </c>
      <c r="G1337" s="8">
        <f t="shared" si="20"/>
        <v>22.808716707021794</v>
      </c>
    </row>
    <row r="1338" spans="1:7" x14ac:dyDescent="0.25">
      <c r="A1338" s="5">
        <v>45809.770833333336</v>
      </c>
      <c r="B1338">
        <v>3</v>
      </c>
      <c r="C1338" t="s">
        <v>8</v>
      </c>
      <c r="D1338" t="s">
        <v>9</v>
      </c>
      <c r="E1338">
        <v>1.5</v>
      </c>
      <c r="F1338">
        <v>3.02</v>
      </c>
      <c r="G1338" s="8">
        <f t="shared" si="20"/>
        <v>29.801324503311257</v>
      </c>
    </row>
    <row r="1339" spans="1:7" x14ac:dyDescent="0.25">
      <c r="A1339" s="5">
        <v>45809.770833333336</v>
      </c>
      <c r="B1339">
        <v>4</v>
      </c>
      <c r="C1339" t="s">
        <v>9</v>
      </c>
      <c r="D1339" t="s">
        <v>10</v>
      </c>
      <c r="E1339">
        <v>1.5</v>
      </c>
      <c r="F1339">
        <v>2.97</v>
      </c>
      <c r="G1339" s="8">
        <f t="shared" si="20"/>
        <v>30.303030303030301</v>
      </c>
    </row>
    <row r="1340" spans="1:7" x14ac:dyDescent="0.25">
      <c r="A1340" s="5">
        <v>45809.770833333336</v>
      </c>
      <c r="B1340">
        <v>5</v>
      </c>
      <c r="C1340" t="s">
        <v>10</v>
      </c>
      <c r="D1340" t="s">
        <v>11</v>
      </c>
      <c r="E1340">
        <v>1.52</v>
      </c>
      <c r="F1340">
        <v>3.03</v>
      </c>
      <c r="G1340" s="8">
        <f t="shared" si="20"/>
        <v>30.099009900990101</v>
      </c>
    </row>
    <row r="1341" spans="1:7" x14ac:dyDescent="0.25">
      <c r="A1341" s="5">
        <v>45809.770833333336</v>
      </c>
      <c r="B1341">
        <v>6</v>
      </c>
      <c r="C1341" t="s">
        <v>11</v>
      </c>
      <c r="D1341" t="s">
        <v>12</v>
      </c>
      <c r="E1341">
        <v>1.5</v>
      </c>
      <c r="F1341">
        <v>2.48</v>
      </c>
      <c r="G1341" s="8">
        <f t="shared" si="20"/>
        <v>36.29032258064516</v>
      </c>
    </row>
    <row r="1342" spans="1:7" x14ac:dyDescent="0.25">
      <c r="A1342" s="5">
        <v>45809.770833333336</v>
      </c>
      <c r="B1342">
        <v>7</v>
      </c>
      <c r="C1342" t="s">
        <v>12</v>
      </c>
      <c r="D1342" t="s">
        <v>13</v>
      </c>
      <c r="E1342">
        <v>1.54</v>
      </c>
      <c r="F1342">
        <v>2.7</v>
      </c>
      <c r="G1342" s="8">
        <f t="shared" si="20"/>
        <v>34.222222222222221</v>
      </c>
    </row>
    <row r="1343" spans="1:7" x14ac:dyDescent="0.25">
      <c r="A1343" s="5">
        <v>45809.770833333336</v>
      </c>
      <c r="B1343">
        <v>8</v>
      </c>
      <c r="C1343" t="s">
        <v>13</v>
      </c>
      <c r="D1343" t="s">
        <v>14</v>
      </c>
      <c r="E1343">
        <v>1.54</v>
      </c>
      <c r="F1343">
        <v>3.05</v>
      </c>
      <c r="G1343" s="8">
        <f t="shared" si="20"/>
        <v>30.295081967213118</v>
      </c>
    </row>
    <row r="1344" spans="1:7" x14ac:dyDescent="0.25">
      <c r="A1344" s="5">
        <v>45809.770833333336</v>
      </c>
      <c r="B1344">
        <v>9</v>
      </c>
      <c r="C1344" t="s">
        <v>14</v>
      </c>
      <c r="D1344" t="s">
        <v>15</v>
      </c>
      <c r="E1344">
        <v>1.52</v>
      </c>
      <c r="F1344">
        <v>3.32</v>
      </c>
      <c r="G1344" s="8">
        <f t="shared" si="20"/>
        <v>27.46987951807229</v>
      </c>
    </row>
    <row r="1345" spans="1:7" x14ac:dyDescent="0.25">
      <c r="A1345" s="5">
        <v>45809.770833333336</v>
      </c>
      <c r="B1345">
        <v>10</v>
      </c>
      <c r="C1345" t="s">
        <v>15</v>
      </c>
      <c r="D1345" t="s">
        <v>16</v>
      </c>
      <c r="E1345">
        <v>1.5</v>
      </c>
      <c r="F1345">
        <v>3.67</v>
      </c>
      <c r="G1345" s="8">
        <f t="shared" si="20"/>
        <v>24.52316076294278</v>
      </c>
    </row>
    <row r="1346" spans="1:7" x14ac:dyDescent="0.25">
      <c r="A1346" s="5">
        <v>45809.770833333336</v>
      </c>
      <c r="B1346">
        <v>11</v>
      </c>
      <c r="C1346" t="s">
        <v>16</v>
      </c>
      <c r="D1346" t="s">
        <v>17</v>
      </c>
      <c r="E1346">
        <v>1.48</v>
      </c>
      <c r="F1346">
        <v>2.37</v>
      </c>
      <c r="G1346" s="8">
        <f t="shared" si="20"/>
        <v>37.46835443037974</v>
      </c>
    </row>
    <row r="1347" spans="1:7" x14ac:dyDescent="0.25">
      <c r="A1347" s="5">
        <v>45809.770833333336</v>
      </c>
      <c r="B1347">
        <v>12</v>
      </c>
      <c r="C1347" t="s">
        <v>17</v>
      </c>
      <c r="D1347" t="s">
        <v>18</v>
      </c>
      <c r="E1347">
        <v>1.46</v>
      </c>
      <c r="F1347">
        <v>3.4</v>
      </c>
      <c r="G1347" s="8">
        <f t="shared" ref="G1347:G1410" si="21">E1347*60/F1347</f>
        <v>25.764705882352938</v>
      </c>
    </row>
    <row r="1348" spans="1:7" x14ac:dyDescent="0.25">
      <c r="A1348" s="5">
        <v>45809.770833333336</v>
      </c>
      <c r="B1348">
        <v>13</v>
      </c>
      <c r="C1348" t="s">
        <v>18</v>
      </c>
      <c r="D1348" t="s">
        <v>19</v>
      </c>
      <c r="E1348">
        <v>1.52</v>
      </c>
      <c r="F1348">
        <v>3.4</v>
      </c>
      <c r="G1348" s="8">
        <f t="shared" si="21"/>
        <v>26.823529411764707</v>
      </c>
    </row>
    <row r="1349" spans="1:7" x14ac:dyDescent="0.25">
      <c r="A1349" s="5">
        <v>45809.770833333336</v>
      </c>
      <c r="B1349">
        <v>14</v>
      </c>
      <c r="C1349" t="s">
        <v>19</v>
      </c>
      <c r="D1349" t="s">
        <v>20</v>
      </c>
      <c r="E1349">
        <v>1.51</v>
      </c>
      <c r="F1349">
        <v>3</v>
      </c>
      <c r="G1349" s="8">
        <f t="shared" si="21"/>
        <v>30.2</v>
      </c>
    </row>
    <row r="1350" spans="1:7" x14ac:dyDescent="0.25">
      <c r="A1350" s="5">
        <v>45809.770833333336</v>
      </c>
      <c r="B1350">
        <v>15</v>
      </c>
      <c r="C1350" t="s">
        <v>20</v>
      </c>
      <c r="D1350" t="s">
        <v>21</v>
      </c>
      <c r="E1350">
        <v>1.47</v>
      </c>
      <c r="F1350">
        <v>2.3199999999999998</v>
      </c>
      <c r="G1350" s="8">
        <f t="shared" si="21"/>
        <v>38.017241379310349</v>
      </c>
    </row>
    <row r="1351" spans="1:7" x14ac:dyDescent="0.25">
      <c r="A1351" s="5">
        <v>45809.770833333336</v>
      </c>
      <c r="B1351">
        <v>16</v>
      </c>
      <c r="C1351" t="s">
        <v>21</v>
      </c>
      <c r="D1351" t="s">
        <v>22</v>
      </c>
      <c r="E1351">
        <v>1.5</v>
      </c>
      <c r="F1351">
        <v>1.72</v>
      </c>
      <c r="G1351" s="8">
        <f t="shared" si="21"/>
        <v>52.325581395348841</v>
      </c>
    </row>
    <row r="1352" spans="1:7" x14ac:dyDescent="0.25">
      <c r="A1352" s="5">
        <v>45809.770833333336</v>
      </c>
      <c r="B1352">
        <v>17</v>
      </c>
      <c r="C1352" t="s">
        <v>22</v>
      </c>
      <c r="D1352" t="s">
        <v>23</v>
      </c>
      <c r="E1352">
        <v>1.51</v>
      </c>
      <c r="F1352">
        <v>2.6</v>
      </c>
      <c r="G1352" s="8">
        <f t="shared" si="21"/>
        <v>34.84615384615384</v>
      </c>
    </row>
    <row r="1353" spans="1:7" x14ac:dyDescent="0.25">
      <c r="A1353" s="5">
        <v>45809.770833333336</v>
      </c>
      <c r="B1353">
        <v>18</v>
      </c>
      <c r="C1353" t="s">
        <v>23</v>
      </c>
      <c r="D1353" t="s">
        <v>24</v>
      </c>
      <c r="E1353">
        <v>1.51</v>
      </c>
      <c r="F1353">
        <v>2.82</v>
      </c>
      <c r="G1353" s="8">
        <f t="shared" si="21"/>
        <v>32.127659574468083</v>
      </c>
    </row>
    <row r="1354" spans="1:7" x14ac:dyDescent="0.25">
      <c r="A1354" s="5">
        <v>45809.770833333336</v>
      </c>
      <c r="B1354">
        <v>19</v>
      </c>
      <c r="C1354" t="s">
        <v>25</v>
      </c>
      <c r="D1354" t="s">
        <v>26</v>
      </c>
      <c r="E1354">
        <v>1.5</v>
      </c>
      <c r="F1354">
        <v>3.38</v>
      </c>
      <c r="G1354" s="8">
        <f t="shared" si="21"/>
        <v>26.627218934911244</v>
      </c>
    </row>
    <row r="1355" spans="1:7" x14ac:dyDescent="0.25">
      <c r="A1355" s="5">
        <v>45809.770833333336</v>
      </c>
      <c r="B1355">
        <v>20</v>
      </c>
      <c r="C1355" t="s">
        <v>26</v>
      </c>
      <c r="D1355" t="s">
        <v>27</v>
      </c>
      <c r="E1355">
        <v>1.48</v>
      </c>
      <c r="F1355">
        <v>3.15</v>
      </c>
      <c r="G1355" s="8">
        <f t="shared" si="21"/>
        <v>28.19047619047619</v>
      </c>
    </row>
    <row r="1356" spans="1:7" x14ac:dyDescent="0.25">
      <c r="A1356" s="5">
        <v>45809.770833333336</v>
      </c>
      <c r="B1356">
        <v>21</v>
      </c>
      <c r="C1356" t="s">
        <v>27</v>
      </c>
      <c r="D1356" t="s">
        <v>28</v>
      </c>
      <c r="E1356">
        <v>1.51</v>
      </c>
      <c r="F1356">
        <v>3</v>
      </c>
      <c r="G1356" s="8">
        <f t="shared" si="21"/>
        <v>30.2</v>
      </c>
    </row>
    <row r="1357" spans="1:7" x14ac:dyDescent="0.25">
      <c r="A1357" s="5">
        <v>45809.770833333336</v>
      </c>
      <c r="B1357">
        <v>22</v>
      </c>
      <c r="C1357" t="s">
        <v>28</v>
      </c>
      <c r="D1357" t="s">
        <v>29</v>
      </c>
      <c r="E1357">
        <v>1.57</v>
      </c>
      <c r="F1357">
        <v>2.97</v>
      </c>
      <c r="G1357" s="8">
        <f t="shared" si="21"/>
        <v>31.717171717171716</v>
      </c>
    </row>
    <row r="1358" spans="1:7" x14ac:dyDescent="0.25">
      <c r="A1358" s="5">
        <v>45809.770833333336</v>
      </c>
      <c r="B1358">
        <v>23</v>
      </c>
      <c r="C1358" t="s">
        <v>29</v>
      </c>
      <c r="D1358" t="s">
        <v>30</v>
      </c>
      <c r="E1358">
        <v>1.43</v>
      </c>
      <c r="F1358">
        <v>3.3</v>
      </c>
      <c r="G1358" s="8">
        <f t="shared" si="21"/>
        <v>26</v>
      </c>
    </row>
    <row r="1359" spans="1:7" x14ac:dyDescent="0.25">
      <c r="A1359" s="5">
        <v>45809.770833333336</v>
      </c>
      <c r="B1359">
        <v>24</v>
      </c>
      <c r="C1359" t="s">
        <v>30</v>
      </c>
      <c r="D1359" t="s">
        <v>31</v>
      </c>
      <c r="E1359">
        <v>1.52</v>
      </c>
      <c r="F1359">
        <v>3.1</v>
      </c>
      <c r="G1359" s="8">
        <f t="shared" si="21"/>
        <v>29.419354838709676</v>
      </c>
    </row>
    <row r="1360" spans="1:7" x14ac:dyDescent="0.25">
      <c r="A1360" s="5">
        <v>45809.770833333336</v>
      </c>
      <c r="B1360">
        <v>25</v>
      </c>
      <c r="C1360" t="s">
        <v>31</v>
      </c>
      <c r="D1360" t="s">
        <v>32</v>
      </c>
      <c r="E1360">
        <v>1.52</v>
      </c>
      <c r="F1360">
        <v>3.17</v>
      </c>
      <c r="G1360" s="8">
        <f t="shared" si="21"/>
        <v>28.769716088328078</v>
      </c>
    </row>
    <row r="1361" spans="1:7" x14ac:dyDescent="0.25">
      <c r="A1361" s="5">
        <v>45809.770833333336</v>
      </c>
      <c r="B1361">
        <v>26</v>
      </c>
      <c r="C1361" t="s">
        <v>32</v>
      </c>
      <c r="D1361" t="s">
        <v>33</v>
      </c>
      <c r="E1361">
        <v>1.49</v>
      </c>
      <c r="F1361">
        <v>3.48</v>
      </c>
      <c r="G1361" s="8">
        <f t="shared" si="21"/>
        <v>25.689655172413794</v>
      </c>
    </row>
    <row r="1362" spans="1:7" x14ac:dyDescent="0.25">
      <c r="A1362" s="5">
        <v>45809.770833333336</v>
      </c>
      <c r="B1362">
        <v>27</v>
      </c>
      <c r="C1362" t="s">
        <v>33</v>
      </c>
      <c r="D1362" t="s">
        <v>34</v>
      </c>
      <c r="E1362">
        <v>1.53</v>
      </c>
      <c r="F1362">
        <v>3.8</v>
      </c>
      <c r="G1362" s="8">
        <f t="shared" si="21"/>
        <v>24.157894736842106</v>
      </c>
    </row>
    <row r="1363" spans="1:7" x14ac:dyDescent="0.25">
      <c r="A1363" s="5">
        <v>45809.770833333336</v>
      </c>
      <c r="B1363">
        <v>28</v>
      </c>
      <c r="C1363" t="s">
        <v>34</v>
      </c>
      <c r="D1363" t="s">
        <v>35</v>
      </c>
      <c r="E1363">
        <v>1.51</v>
      </c>
      <c r="F1363">
        <v>3.58</v>
      </c>
      <c r="G1363" s="8">
        <f t="shared" si="21"/>
        <v>25.3072625698324</v>
      </c>
    </row>
    <row r="1364" spans="1:7" x14ac:dyDescent="0.25">
      <c r="A1364" s="5">
        <v>45809.770833333336</v>
      </c>
      <c r="B1364">
        <v>29</v>
      </c>
      <c r="C1364" t="s">
        <v>36</v>
      </c>
      <c r="D1364" t="s">
        <v>37</v>
      </c>
      <c r="E1364">
        <v>1.57</v>
      </c>
      <c r="F1364">
        <v>3.37</v>
      </c>
      <c r="G1364" s="8">
        <f t="shared" si="21"/>
        <v>27.952522255192878</v>
      </c>
    </row>
    <row r="1365" spans="1:7" x14ac:dyDescent="0.25">
      <c r="A1365" s="5">
        <v>45809.770833333336</v>
      </c>
      <c r="B1365">
        <v>30</v>
      </c>
      <c r="C1365" t="s">
        <v>37</v>
      </c>
      <c r="D1365" t="s">
        <v>38</v>
      </c>
      <c r="E1365">
        <v>1.57</v>
      </c>
      <c r="F1365">
        <v>3.78</v>
      </c>
      <c r="G1365" s="8">
        <f t="shared" si="21"/>
        <v>24.920634920634921</v>
      </c>
    </row>
    <row r="1366" spans="1:7" x14ac:dyDescent="0.25">
      <c r="A1366" s="5">
        <v>45809.770833333336</v>
      </c>
      <c r="B1366">
        <v>31</v>
      </c>
      <c r="C1366" t="s">
        <v>38</v>
      </c>
      <c r="D1366" t="s">
        <v>39</v>
      </c>
      <c r="E1366">
        <v>1.52</v>
      </c>
      <c r="F1366">
        <v>2.73</v>
      </c>
      <c r="G1366" s="8">
        <f t="shared" si="21"/>
        <v>33.406593406593409</v>
      </c>
    </row>
    <row r="1367" spans="1:7" x14ac:dyDescent="0.25">
      <c r="A1367" s="5">
        <v>45809.770833333336</v>
      </c>
      <c r="B1367">
        <v>32</v>
      </c>
      <c r="C1367" t="s">
        <v>39</v>
      </c>
      <c r="D1367" t="s">
        <v>40</v>
      </c>
      <c r="E1367">
        <v>1.5</v>
      </c>
      <c r="F1367">
        <v>1.8</v>
      </c>
      <c r="G1367" s="8">
        <f t="shared" si="21"/>
        <v>50</v>
      </c>
    </row>
    <row r="1368" spans="1:7" x14ac:dyDescent="0.25">
      <c r="A1368" s="5">
        <v>45809.770833333336</v>
      </c>
      <c r="B1368">
        <v>33</v>
      </c>
      <c r="C1368" t="s">
        <v>40</v>
      </c>
      <c r="D1368" t="s">
        <v>41</v>
      </c>
      <c r="E1368">
        <v>1.51</v>
      </c>
      <c r="F1368">
        <v>1.77</v>
      </c>
      <c r="G1368" s="8">
        <f t="shared" si="21"/>
        <v>51.186440677966097</v>
      </c>
    </row>
    <row r="1369" spans="1:7" x14ac:dyDescent="0.25">
      <c r="A1369" s="5">
        <v>45809.770833333336</v>
      </c>
      <c r="B1369">
        <v>34</v>
      </c>
      <c r="C1369" t="s">
        <v>41</v>
      </c>
      <c r="D1369" t="s">
        <v>42</v>
      </c>
      <c r="E1369">
        <v>1.5</v>
      </c>
      <c r="F1369">
        <v>1.78</v>
      </c>
      <c r="G1369" s="8">
        <f t="shared" si="21"/>
        <v>50.561797752808985</v>
      </c>
    </row>
    <row r="1370" spans="1:7" x14ac:dyDescent="0.25">
      <c r="A1370" s="5">
        <v>45809.770833333336</v>
      </c>
      <c r="B1370">
        <v>35</v>
      </c>
      <c r="C1370" t="s">
        <v>43</v>
      </c>
      <c r="D1370" t="s">
        <v>44</v>
      </c>
      <c r="E1370">
        <v>1.55</v>
      </c>
      <c r="F1370">
        <v>3.27</v>
      </c>
      <c r="G1370" s="8">
        <f t="shared" si="21"/>
        <v>28.440366972477065</v>
      </c>
    </row>
    <row r="1371" spans="1:7" x14ac:dyDescent="0.25">
      <c r="A1371" s="5">
        <v>45809.770833333336</v>
      </c>
      <c r="B1371">
        <v>36</v>
      </c>
      <c r="C1371" t="s">
        <v>44</v>
      </c>
      <c r="D1371" t="s">
        <v>45</v>
      </c>
      <c r="E1371">
        <v>1.5</v>
      </c>
      <c r="F1371">
        <v>3.05</v>
      </c>
      <c r="G1371" s="8">
        <f t="shared" si="21"/>
        <v>29.508196721311478</v>
      </c>
    </row>
    <row r="1372" spans="1:7" x14ac:dyDescent="0.25">
      <c r="A1372" s="5">
        <v>45809.770833333336</v>
      </c>
      <c r="B1372">
        <v>37</v>
      </c>
      <c r="C1372" t="s">
        <v>45</v>
      </c>
      <c r="D1372" t="s">
        <v>46</v>
      </c>
      <c r="E1372">
        <v>1.38</v>
      </c>
      <c r="F1372">
        <v>3.83</v>
      </c>
      <c r="G1372" s="8">
        <f t="shared" si="21"/>
        <v>21.618798955613578</v>
      </c>
    </row>
    <row r="1373" spans="1:7" x14ac:dyDescent="0.25">
      <c r="A1373" s="5">
        <v>45809.770833333336</v>
      </c>
      <c r="B1373">
        <v>38</v>
      </c>
      <c r="C1373" t="s">
        <v>46</v>
      </c>
      <c r="D1373" t="s">
        <v>47</v>
      </c>
      <c r="E1373">
        <v>1.61</v>
      </c>
      <c r="F1373">
        <v>3.98</v>
      </c>
      <c r="G1373" s="8">
        <f t="shared" si="21"/>
        <v>24.2713567839196</v>
      </c>
    </row>
    <row r="1374" spans="1:7" x14ac:dyDescent="0.25">
      <c r="A1374" s="5">
        <v>45809.770833333336</v>
      </c>
      <c r="B1374">
        <v>39</v>
      </c>
      <c r="C1374" t="s">
        <v>47</v>
      </c>
      <c r="D1374" t="s">
        <v>48</v>
      </c>
      <c r="E1374">
        <v>1.55</v>
      </c>
      <c r="F1374">
        <v>3.53</v>
      </c>
      <c r="G1374" s="8">
        <f t="shared" si="21"/>
        <v>26.345609065155809</v>
      </c>
    </row>
    <row r="1375" spans="1:7" x14ac:dyDescent="0.25">
      <c r="A1375" s="5">
        <v>45809.770833333336</v>
      </c>
      <c r="B1375">
        <v>40</v>
      </c>
      <c r="C1375" t="s">
        <v>48</v>
      </c>
      <c r="D1375" t="s">
        <v>49</v>
      </c>
      <c r="E1375">
        <v>1.39</v>
      </c>
      <c r="F1375">
        <v>3</v>
      </c>
      <c r="G1375" s="8">
        <f t="shared" si="21"/>
        <v>27.799999999999997</v>
      </c>
    </row>
    <row r="1376" spans="1:7" x14ac:dyDescent="0.25">
      <c r="A1376" s="5">
        <v>45809.770833333336</v>
      </c>
      <c r="B1376">
        <v>41</v>
      </c>
      <c r="C1376" t="s">
        <v>50</v>
      </c>
      <c r="D1376" t="s">
        <v>51</v>
      </c>
      <c r="E1376">
        <v>1.56</v>
      </c>
      <c r="F1376">
        <v>3.5</v>
      </c>
      <c r="G1376" s="8">
        <f t="shared" si="21"/>
        <v>26.742857142857144</v>
      </c>
    </row>
    <row r="1377" spans="1:7" x14ac:dyDescent="0.25">
      <c r="A1377" s="5">
        <v>45809.770833333336</v>
      </c>
      <c r="B1377">
        <v>42</v>
      </c>
      <c r="C1377" t="s">
        <v>51</v>
      </c>
      <c r="D1377" t="s">
        <v>52</v>
      </c>
      <c r="E1377">
        <v>1.56</v>
      </c>
      <c r="F1377">
        <v>3.85</v>
      </c>
      <c r="G1377" s="8">
        <f t="shared" si="21"/>
        <v>24.311688311688314</v>
      </c>
    </row>
    <row r="1378" spans="1:7" x14ac:dyDescent="0.25">
      <c r="A1378" s="5">
        <v>45809.770833333336</v>
      </c>
      <c r="B1378">
        <v>43</v>
      </c>
      <c r="C1378" t="s">
        <v>52</v>
      </c>
      <c r="D1378" t="s">
        <v>53</v>
      </c>
      <c r="E1378">
        <v>1.51</v>
      </c>
      <c r="F1378">
        <v>3.32</v>
      </c>
      <c r="G1378" s="8">
        <f t="shared" si="21"/>
        <v>27.289156626506024</v>
      </c>
    </row>
    <row r="1379" spans="1:7" x14ac:dyDescent="0.25">
      <c r="A1379" s="5">
        <v>45809.770833333336</v>
      </c>
      <c r="B1379">
        <v>44</v>
      </c>
      <c r="C1379" t="s">
        <v>54</v>
      </c>
      <c r="D1379" t="s">
        <v>55</v>
      </c>
      <c r="E1379">
        <v>1.51</v>
      </c>
      <c r="F1379">
        <v>3.9</v>
      </c>
      <c r="G1379" s="8">
        <f t="shared" si="21"/>
        <v>23.23076923076923</v>
      </c>
    </row>
    <row r="1380" spans="1:7" x14ac:dyDescent="0.25">
      <c r="A1380" s="5">
        <v>45809.770833333336</v>
      </c>
      <c r="B1380">
        <v>45</v>
      </c>
      <c r="C1380" t="s">
        <v>55</v>
      </c>
      <c r="D1380" t="s">
        <v>56</v>
      </c>
      <c r="E1380">
        <v>1.49</v>
      </c>
      <c r="F1380">
        <v>3.25</v>
      </c>
      <c r="G1380" s="8">
        <f t="shared" si="21"/>
        <v>27.507692307692309</v>
      </c>
    </row>
    <row r="1381" spans="1:7" x14ac:dyDescent="0.25">
      <c r="A1381" s="5">
        <v>45809.770833333336</v>
      </c>
      <c r="B1381">
        <v>46</v>
      </c>
      <c r="C1381" t="s">
        <v>56</v>
      </c>
      <c r="D1381" t="s">
        <v>57</v>
      </c>
      <c r="E1381">
        <v>1.52</v>
      </c>
      <c r="F1381">
        <v>3.6</v>
      </c>
      <c r="G1381" s="8">
        <f t="shared" si="21"/>
        <v>25.333333333333332</v>
      </c>
    </row>
    <row r="1382" spans="1:7" x14ac:dyDescent="0.25">
      <c r="A1382" s="5">
        <v>45809.770833333336</v>
      </c>
      <c r="B1382">
        <v>47</v>
      </c>
      <c r="C1382" t="s">
        <v>58</v>
      </c>
      <c r="D1382" t="s">
        <v>59</v>
      </c>
      <c r="E1382">
        <v>1.52</v>
      </c>
      <c r="F1382">
        <v>3.67</v>
      </c>
      <c r="G1382" s="8">
        <f t="shared" si="21"/>
        <v>24.850136239782017</v>
      </c>
    </row>
    <row r="1383" spans="1:7" x14ac:dyDescent="0.25">
      <c r="A1383" s="5">
        <v>45809.770833333336</v>
      </c>
      <c r="B1383">
        <v>48</v>
      </c>
      <c r="C1383" t="s">
        <v>59</v>
      </c>
      <c r="D1383" t="s">
        <v>60</v>
      </c>
      <c r="E1383">
        <v>1.5</v>
      </c>
      <c r="F1383">
        <v>3.48</v>
      </c>
      <c r="G1383" s="8">
        <f t="shared" si="21"/>
        <v>25.862068965517242</v>
      </c>
    </row>
    <row r="1384" spans="1:7" x14ac:dyDescent="0.25">
      <c r="A1384" s="5">
        <v>45809.770833333336</v>
      </c>
      <c r="B1384">
        <v>49</v>
      </c>
      <c r="C1384" t="s">
        <v>60</v>
      </c>
      <c r="D1384" t="s">
        <v>61</v>
      </c>
      <c r="E1384">
        <v>1.54</v>
      </c>
      <c r="F1384">
        <v>4.2300000000000004</v>
      </c>
      <c r="G1384" s="8">
        <f t="shared" si="21"/>
        <v>21.843971631205672</v>
      </c>
    </row>
    <row r="1385" spans="1:7" x14ac:dyDescent="0.25">
      <c r="A1385" s="5">
        <v>45809.770833333336</v>
      </c>
      <c r="B1385">
        <v>50</v>
      </c>
      <c r="C1385" t="s">
        <v>62</v>
      </c>
      <c r="D1385" t="s">
        <v>63</v>
      </c>
      <c r="E1385">
        <v>1.38</v>
      </c>
      <c r="F1385">
        <v>3</v>
      </c>
      <c r="G1385" s="8">
        <f t="shared" si="21"/>
        <v>27.599999999999998</v>
      </c>
    </row>
    <row r="1386" spans="1:7" x14ac:dyDescent="0.25">
      <c r="A1386" s="5">
        <v>45809.770833333336</v>
      </c>
      <c r="B1386">
        <v>51</v>
      </c>
      <c r="C1386" t="s">
        <v>63</v>
      </c>
      <c r="D1386" t="s">
        <v>64</v>
      </c>
      <c r="E1386">
        <v>2.79</v>
      </c>
      <c r="F1386">
        <v>5.17</v>
      </c>
      <c r="G1386" s="8">
        <f t="shared" si="21"/>
        <v>32.379110251450676</v>
      </c>
    </row>
    <row r="1387" spans="1:7" x14ac:dyDescent="0.25">
      <c r="A1387" s="5">
        <v>45809.770833333336</v>
      </c>
      <c r="B1387">
        <v>52</v>
      </c>
      <c r="C1387" t="s">
        <v>64</v>
      </c>
      <c r="D1387" t="s">
        <v>65</v>
      </c>
      <c r="E1387">
        <v>1.5</v>
      </c>
      <c r="F1387">
        <v>2.68</v>
      </c>
      <c r="G1387" s="8">
        <f t="shared" si="21"/>
        <v>33.582089552238806</v>
      </c>
    </row>
    <row r="1388" spans="1:7" x14ac:dyDescent="0.25">
      <c r="A1388" s="5">
        <v>45809.770833333336</v>
      </c>
      <c r="B1388">
        <v>53</v>
      </c>
      <c r="C1388" t="s">
        <v>65</v>
      </c>
      <c r="D1388" t="s">
        <v>66</v>
      </c>
      <c r="E1388">
        <v>1.46</v>
      </c>
      <c r="F1388">
        <v>3.53</v>
      </c>
      <c r="G1388" s="8">
        <f t="shared" si="21"/>
        <v>24.81586402266289</v>
      </c>
    </row>
    <row r="1389" spans="1:7" x14ac:dyDescent="0.25">
      <c r="A1389" s="5">
        <v>45809.770833333336</v>
      </c>
      <c r="B1389">
        <v>54</v>
      </c>
      <c r="C1389" t="s">
        <v>67</v>
      </c>
      <c r="D1389" t="s">
        <v>68</v>
      </c>
      <c r="E1389">
        <v>1.46</v>
      </c>
      <c r="F1389">
        <v>2.4300000000000002</v>
      </c>
      <c r="G1389" s="8">
        <f t="shared" si="21"/>
        <v>36.049382716049379</v>
      </c>
    </row>
    <row r="1390" spans="1:7" x14ac:dyDescent="0.25">
      <c r="A1390" s="5">
        <v>45809.770833333336</v>
      </c>
      <c r="B1390">
        <v>55</v>
      </c>
      <c r="C1390" t="s">
        <v>68</v>
      </c>
      <c r="D1390" t="s">
        <v>69</v>
      </c>
      <c r="E1390">
        <v>1.5</v>
      </c>
      <c r="F1390">
        <v>2.12</v>
      </c>
      <c r="G1390" s="8">
        <f t="shared" si="21"/>
        <v>42.452830188679243</v>
      </c>
    </row>
    <row r="1391" spans="1:7" x14ac:dyDescent="0.25">
      <c r="A1391" s="5">
        <v>45809.770833333336</v>
      </c>
      <c r="B1391">
        <v>56</v>
      </c>
      <c r="C1391" t="s">
        <v>70</v>
      </c>
      <c r="D1391" t="s">
        <v>71</v>
      </c>
      <c r="E1391">
        <v>1.51</v>
      </c>
      <c r="F1391">
        <v>4.2</v>
      </c>
      <c r="G1391" s="8">
        <f t="shared" si="21"/>
        <v>21.571428571428569</v>
      </c>
    </row>
    <row r="1392" spans="1:7" x14ac:dyDescent="0.25">
      <c r="A1392" s="5">
        <v>45809.770833333336</v>
      </c>
      <c r="B1392">
        <v>57</v>
      </c>
      <c r="C1392" t="s">
        <v>71</v>
      </c>
      <c r="D1392" t="s">
        <v>72</v>
      </c>
      <c r="E1392">
        <v>1.52</v>
      </c>
      <c r="F1392">
        <v>3.48</v>
      </c>
      <c r="G1392" s="8">
        <f t="shared" si="21"/>
        <v>26.206896551724139</v>
      </c>
    </row>
    <row r="1393" spans="1:7" x14ac:dyDescent="0.25">
      <c r="A1393" s="5">
        <v>45809.770833333336</v>
      </c>
      <c r="B1393">
        <v>58</v>
      </c>
      <c r="C1393" t="s">
        <v>72</v>
      </c>
      <c r="D1393" t="s">
        <v>73</v>
      </c>
      <c r="E1393">
        <v>1.5</v>
      </c>
      <c r="F1393">
        <v>3.32</v>
      </c>
      <c r="G1393" s="8">
        <f t="shared" si="21"/>
        <v>27.108433734939759</v>
      </c>
    </row>
    <row r="1394" spans="1:7" x14ac:dyDescent="0.25">
      <c r="A1394" s="5">
        <v>45809.78125</v>
      </c>
      <c r="B1394">
        <v>1</v>
      </c>
      <c r="C1394" t="s">
        <v>6</v>
      </c>
      <c r="D1394" t="s">
        <v>7</v>
      </c>
      <c r="E1394">
        <v>1.53</v>
      </c>
      <c r="F1394">
        <v>3.03</v>
      </c>
      <c r="G1394" s="8">
        <f t="shared" si="21"/>
        <v>30.297029702970299</v>
      </c>
    </row>
    <row r="1395" spans="1:7" x14ac:dyDescent="0.25">
      <c r="A1395" s="5">
        <v>45809.78125</v>
      </c>
      <c r="B1395">
        <v>2</v>
      </c>
      <c r="C1395" t="s">
        <v>7</v>
      </c>
      <c r="D1395" t="s">
        <v>8</v>
      </c>
      <c r="E1395">
        <v>1.57</v>
      </c>
      <c r="F1395">
        <v>4.3</v>
      </c>
      <c r="G1395" s="8">
        <f t="shared" si="21"/>
        <v>21.906976744186046</v>
      </c>
    </row>
    <row r="1396" spans="1:7" x14ac:dyDescent="0.25">
      <c r="A1396" s="5">
        <v>45809.78125</v>
      </c>
      <c r="B1396">
        <v>3</v>
      </c>
      <c r="C1396" t="s">
        <v>8</v>
      </c>
      <c r="D1396" t="s">
        <v>9</v>
      </c>
      <c r="E1396">
        <v>1.5</v>
      </c>
      <c r="F1396">
        <v>3.02</v>
      </c>
      <c r="G1396" s="8">
        <f t="shared" si="21"/>
        <v>29.801324503311257</v>
      </c>
    </row>
    <row r="1397" spans="1:7" x14ac:dyDescent="0.25">
      <c r="A1397" s="5">
        <v>45809.78125</v>
      </c>
      <c r="B1397">
        <v>4</v>
      </c>
      <c r="C1397" t="s">
        <v>9</v>
      </c>
      <c r="D1397" t="s">
        <v>10</v>
      </c>
      <c r="E1397">
        <v>1.5</v>
      </c>
      <c r="F1397">
        <v>2.93</v>
      </c>
      <c r="G1397" s="8">
        <f t="shared" si="21"/>
        <v>30.716723549488052</v>
      </c>
    </row>
    <row r="1398" spans="1:7" x14ac:dyDescent="0.25">
      <c r="A1398" s="5">
        <v>45809.78125</v>
      </c>
      <c r="B1398">
        <v>5</v>
      </c>
      <c r="C1398" t="s">
        <v>10</v>
      </c>
      <c r="D1398" t="s">
        <v>11</v>
      </c>
      <c r="E1398">
        <v>1.52</v>
      </c>
      <c r="F1398">
        <v>3.58</v>
      </c>
      <c r="G1398" s="8">
        <f t="shared" si="21"/>
        <v>25.47486033519553</v>
      </c>
    </row>
    <row r="1399" spans="1:7" x14ac:dyDescent="0.25">
      <c r="A1399" s="5">
        <v>45809.78125</v>
      </c>
      <c r="B1399">
        <v>6</v>
      </c>
      <c r="C1399" t="s">
        <v>11</v>
      </c>
      <c r="D1399" t="s">
        <v>12</v>
      </c>
      <c r="E1399">
        <v>1.5</v>
      </c>
      <c r="F1399">
        <v>2.5299999999999998</v>
      </c>
      <c r="G1399" s="8">
        <f t="shared" si="21"/>
        <v>35.573122529644273</v>
      </c>
    </row>
    <row r="1400" spans="1:7" x14ac:dyDescent="0.25">
      <c r="A1400" s="5">
        <v>45809.78125</v>
      </c>
      <c r="B1400">
        <v>7</v>
      </c>
      <c r="C1400" t="s">
        <v>12</v>
      </c>
      <c r="D1400" t="s">
        <v>13</v>
      </c>
      <c r="E1400">
        <v>1.54</v>
      </c>
      <c r="F1400">
        <v>2.7</v>
      </c>
      <c r="G1400" s="8">
        <f t="shared" si="21"/>
        <v>34.222222222222221</v>
      </c>
    </row>
    <row r="1401" spans="1:7" x14ac:dyDescent="0.25">
      <c r="A1401" s="5">
        <v>45809.78125</v>
      </c>
      <c r="B1401">
        <v>8</v>
      </c>
      <c r="C1401" t="s">
        <v>13</v>
      </c>
      <c r="D1401" t="s">
        <v>14</v>
      </c>
      <c r="E1401">
        <v>1.54</v>
      </c>
      <c r="F1401">
        <v>3.18</v>
      </c>
      <c r="G1401" s="8">
        <f t="shared" si="21"/>
        <v>29.056603773584907</v>
      </c>
    </row>
    <row r="1402" spans="1:7" x14ac:dyDescent="0.25">
      <c r="A1402" s="5">
        <v>45809.78125</v>
      </c>
      <c r="B1402">
        <v>9</v>
      </c>
      <c r="C1402" t="s">
        <v>14</v>
      </c>
      <c r="D1402" t="s">
        <v>15</v>
      </c>
      <c r="E1402">
        <v>1.52</v>
      </c>
      <c r="F1402">
        <v>3.52</v>
      </c>
      <c r="G1402" s="8">
        <f t="shared" si="21"/>
        <v>25.90909090909091</v>
      </c>
    </row>
    <row r="1403" spans="1:7" x14ac:dyDescent="0.25">
      <c r="A1403" s="5">
        <v>45809.78125</v>
      </c>
      <c r="B1403">
        <v>10</v>
      </c>
      <c r="C1403" t="s">
        <v>15</v>
      </c>
      <c r="D1403" t="s">
        <v>16</v>
      </c>
      <c r="E1403">
        <v>1.5</v>
      </c>
      <c r="F1403">
        <v>3.3</v>
      </c>
      <c r="G1403" s="8">
        <f t="shared" si="21"/>
        <v>27.272727272727273</v>
      </c>
    </row>
    <row r="1404" spans="1:7" x14ac:dyDescent="0.25">
      <c r="A1404" s="5">
        <v>45809.78125</v>
      </c>
      <c r="B1404">
        <v>11</v>
      </c>
      <c r="C1404" t="s">
        <v>16</v>
      </c>
      <c r="D1404" t="s">
        <v>17</v>
      </c>
      <c r="E1404">
        <v>1.48</v>
      </c>
      <c r="F1404">
        <v>2.35</v>
      </c>
      <c r="G1404" s="8">
        <f t="shared" si="21"/>
        <v>37.787234042553187</v>
      </c>
    </row>
    <row r="1405" spans="1:7" x14ac:dyDescent="0.25">
      <c r="A1405" s="5">
        <v>45809.78125</v>
      </c>
      <c r="B1405">
        <v>12</v>
      </c>
      <c r="C1405" t="s">
        <v>17</v>
      </c>
      <c r="D1405" t="s">
        <v>18</v>
      </c>
      <c r="E1405">
        <v>1.46</v>
      </c>
      <c r="F1405">
        <v>3.52</v>
      </c>
      <c r="G1405" s="8">
        <f t="shared" si="21"/>
        <v>24.886363636363633</v>
      </c>
    </row>
    <row r="1406" spans="1:7" x14ac:dyDescent="0.25">
      <c r="A1406" s="5">
        <v>45809.78125</v>
      </c>
      <c r="B1406">
        <v>13</v>
      </c>
      <c r="C1406" t="s">
        <v>18</v>
      </c>
      <c r="D1406" t="s">
        <v>19</v>
      </c>
      <c r="E1406">
        <v>1.52</v>
      </c>
      <c r="F1406">
        <v>3.3</v>
      </c>
      <c r="G1406" s="8">
        <f t="shared" si="21"/>
        <v>27.63636363636364</v>
      </c>
    </row>
    <row r="1407" spans="1:7" x14ac:dyDescent="0.25">
      <c r="A1407" s="5">
        <v>45809.78125</v>
      </c>
      <c r="B1407">
        <v>14</v>
      </c>
      <c r="C1407" t="s">
        <v>19</v>
      </c>
      <c r="D1407" t="s">
        <v>20</v>
      </c>
      <c r="E1407">
        <v>1.51</v>
      </c>
      <c r="F1407">
        <v>3.12</v>
      </c>
      <c r="G1407" s="8">
        <f t="shared" si="21"/>
        <v>29.038461538461537</v>
      </c>
    </row>
    <row r="1408" spans="1:7" x14ac:dyDescent="0.25">
      <c r="A1408" s="5">
        <v>45809.78125</v>
      </c>
      <c r="B1408">
        <v>15</v>
      </c>
      <c r="C1408" t="s">
        <v>20</v>
      </c>
      <c r="D1408" t="s">
        <v>21</v>
      </c>
      <c r="E1408">
        <v>1.47</v>
      </c>
      <c r="F1408">
        <v>2.23</v>
      </c>
      <c r="G1408" s="8">
        <f t="shared" si="21"/>
        <v>39.551569506726459</v>
      </c>
    </row>
    <row r="1409" spans="1:7" x14ac:dyDescent="0.25">
      <c r="A1409" s="5">
        <v>45809.78125</v>
      </c>
      <c r="B1409">
        <v>16</v>
      </c>
      <c r="C1409" t="s">
        <v>21</v>
      </c>
      <c r="D1409" t="s">
        <v>22</v>
      </c>
      <c r="E1409">
        <v>1.5</v>
      </c>
      <c r="F1409">
        <v>1.8</v>
      </c>
      <c r="G1409" s="8">
        <f t="shared" si="21"/>
        <v>50</v>
      </c>
    </row>
    <row r="1410" spans="1:7" x14ac:dyDescent="0.25">
      <c r="A1410" s="5">
        <v>45809.78125</v>
      </c>
      <c r="B1410">
        <v>17</v>
      </c>
      <c r="C1410" t="s">
        <v>22</v>
      </c>
      <c r="D1410" t="s">
        <v>23</v>
      </c>
      <c r="E1410">
        <v>1.51</v>
      </c>
      <c r="F1410">
        <v>2.63</v>
      </c>
      <c r="G1410" s="8">
        <f t="shared" si="21"/>
        <v>34.448669201520914</v>
      </c>
    </row>
    <row r="1411" spans="1:7" x14ac:dyDescent="0.25">
      <c r="A1411" s="5">
        <v>45809.78125</v>
      </c>
      <c r="B1411">
        <v>18</v>
      </c>
      <c r="C1411" t="s">
        <v>23</v>
      </c>
      <c r="D1411" t="s">
        <v>24</v>
      </c>
      <c r="E1411">
        <v>1.51</v>
      </c>
      <c r="F1411">
        <v>2.85</v>
      </c>
      <c r="G1411" s="8">
        <f t="shared" ref="G1411:G1474" si="22">E1411*60/F1411</f>
        <v>31.789473684210524</v>
      </c>
    </row>
    <row r="1412" spans="1:7" x14ac:dyDescent="0.25">
      <c r="A1412" s="5">
        <v>45809.78125</v>
      </c>
      <c r="B1412">
        <v>19</v>
      </c>
      <c r="C1412" t="s">
        <v>25</v>
      </c>
      <c r="D1412" t="s">
        <v>26</v>
      </c>
      <c r="E1412">
        <v>1.5</v>
      </c>
      <c r="F1412">
        <v>3.32</v>
      </c>
      <c r="G1412" s="8">
        <f t="shared" si="22"/>
        <v>27.108433734939759</v>
      </c>
    </row>
    <row r="1413" spans="1:7" x14ac:dyDescent="0.25">
      <c r="A1413" s="5">
        <v>45809.78125</v>
      </c>
      <c r="B1413">
        <v>20</v>
      </c>
      <c r="C1413" t="s">
        <v>26</v>
      </c>
      <c r="D1413" t="s">
        <v>27</v>
      </c>
      <c r="E1413">
        <v>1.48</v>
      </c>
      <c r="F1413">
        <v>3.38</v>
      </c>
      <c r="G1413" s="8">
        <f t="shared" si="22"/>
        <v>26.272189349112427</v>
      </c>
    </row>
    <row r="1414" spans="1:7" x14ac:dyDescent="0.25">
      <c r="A1414" s="5">
        <v>45809.78125</v>
      </c>
      <c r="B1414">
        <v>21</v>
      </c>
      <c r="C1414" t="s">
        <v>27</v>
      </c>
      <c r="D1414" t="s">
        <v>28</v>
      </c>
      <c r="E1414">
        <v>1.51</v>
      </c>
      <c r="F1414">
        <v>3.02</v>
      </c>
      <c r="G1414" s="8">
        <f t="shared" si="22"/>
        <v>29.999999999999996</v>
      </c>
    </row>
    <row r="1415" spans="1:7" x14ac:dyDescent="0.25">
      <c r="A1415" s="5">
        <v>45809.78125</v>
      </c>
      <c r="B1415">
        <v>22</v>
      </c>
      <c r="C1415" t="s">
        <v>28</v>
      </c>
      <c r="D1415" t="s">
        <v>29</v>
      </c>
      <c r="E1415">
        <v>1.57</v>
      </c>
      <c r="F1415">
        <v>3.37</v>
      </c>
      <c r="G1415" s="8">
        <f t="shared" si="22"/>
        <v>27.952522255192878</v>
      </c>
    </row>
    <row r="1416" spans="1:7" x14ac:dyDescent="0.25">
      <c r="A1416" s="5">
        <v>45809.78125</v>
      </c>
      <c r="B1416">
        <v>23</v>
      </c>
      <c r="C1416" t="s">
        <v>29</v>
      </c>
      <c r="D1416" t="s">
        <v>30</v>
      </c>
      <c r="E1416">
        <v>1.43</v>
      </c>
      <c r="F1416">
        <v>3.1</v>
      </c>
      <c r="G1416" s="8">
        <f t="shared" si="22"/>
        <v>27.677419354838708</v>
      </c>
    </row>
    <row r="1417" spans="1:7" x14ac:dyDescent="0.25">
      <c r="A1417" s="5">
        <v>45809.78125</v>
      </c>
      <c r="B1417">
        <v>24</v>
      </c>
      <c r="C1417" t="s">
        <v>30</v>
      </c>
      <c r="D1417" t="s">
        <v>31</v>
      </c>
      <c r="E1417">
        <v>1.52</v>
      </c>
      <c r="F1417">
        <v>3.07</v>
      </c>
      <c r="G1417" s="8">
        <f t="shared" si="22"/>
        <v>29.706840390879481</v>
      </c>
    </row>
    <row r="1418" spans="1:7" x14ac:dyDescent="0.25">
      <c r="A1418" s="5">
        <v>45809.78125</v>
      </c>
      <c r="B1418">
        <v>25</v>
      </c>
      <c r="C1418" t="s">
        <v>31</v>
      </c>
      <c r="D1418" t="s">
        <v>32</v>
      </c>
      <c r="E1418">
        <v>1.52</v>
      </c>
      <c r="F1418">
        <v>3.22</v>
      </c>
      <c r="G1418" s="8">
        <f t="shared" si="22"/>
        <v>28.322981366459626</v>
      </c>
    </row>
    <row r="1419" spans="1:7" x14ac:dyDescent="0.25">
      <c r="A1419" s="5">
        <v>45809.78125</v>
      </c>
      <c r="B1419">
        <v>26</v>
      </c>
      <c r="C1419" t="s">
        <v>32</v>
      </c>
      <c r="D1419" t="s">
        <v>33</v>
      </c>
      <c r="E1419">
        <v>1.49</v>
      </c>
      <c r="F1419">
        <v>3.33</v>
      </c>
      <c r="G1419" s="8">
        <f t="shared" si="22"/>
        <v>26.846846846846848</v>
      </c>
    </row>
    <row r="1420" spans="1:7" x14ac:dyDescent="0.25">
      <c r="A1420" s="5">
        <v>45809.78125</v>
      </c>
      <c r="B1420">
        <v>27</v>
      </c>
      <c r="C1420" t="s">
        <v>33</v>
      </c>
      <c r="D1420" t="s">
        <v>34</v>
      </c>
      <c r="E1420">
        <v>1.53</v>
      </c>
      <c r="F1420">
        <v>4.4000000000000004</v>
      </c>
      <c r="G1420" s="8">
        <f t="shared" si="22"/>
        <v>20.86363636363636</v>
      </c>
    </row>
    <row r="1421" spans="1:7" x14ac:dyDescent="0.25">
      <c r="A1421" s="5">
        <v>45809.78125</v>
      </c>
      <c r="B1421">
        <v>28</v>
      </c>
      <c r="C1421" t="s">
        <v>34</v>
      </c>
      <c r="D1421" t="s">
        <v>35</v>
      </c>
      <c r="E1421">
        <v>1.51</v>
      </c>
      <c r="F1421">
        <v>3.77</v>
      </c>
      <c r="G1421" s="8">
        <f t="shared" si="22"/>
        <v>24.031830238726791</v>
      </c>
    </row>
    <row r="1422" spans="1:7" x14ac:dyDescent="0.25">
      <c r="A1422" s="5">
        <v>45809.78125</v>
      </c>
      <c r="B1422">
        <v>29</v>
      </c>
      <c r="C1422" t="s">
        <v>36</v>
      </c>
      <c r="D1422" t="s">
        <v>37</v>
      </c>
      <c r="E1422">
        <v>1.57</v>
      </c>
      <c r="F1422">
        <v>3.4</v>
      </c>
      <c r="G1422" s="8">
        <f t="shared" si="22"/>
        <v>27.705882352941178</v>
      </c>
    </row>
    <row r="1423" spans="1:7" x14ac:dyDescent="0.25">
      <c r="A1423" s="5">
        <v>45809.78125</v>
      </c>
      <c r="B1423">
        <v>30</v>
      </c>
      <c r="C1423" t="s">
        <v>37</v>
      </c>
      <c r="D1423" t="s">
        <v>38</v>
      </c>
      <c r="E1423">
        <v>1.57</v>
      </c>
      <c r="F1423">
        <v>3.53</v>
      </c>
      <c r="G1423" s="8">
        <f t="shared" si="22"/>
        <v>26.685552407932015</v>
      </c>
    </row>
    <row r="1424" spans="1:7" x14ac:dyDescent="0.25">
      <c r="A1424" s="5">
        <v>45809.78125</v>
      </c>
      <c r="B1424">
        <v>31</v>
      </c>
      <c r="C1424" t="s">
        <v>38</v>
      </c>
      <c r="D1424" t="s">
        <v>39</v>
      </c>
      <c r="E1424">
        <v>1.52</v>
      </c>
      <c r="F1424">
        <v>2.58</v>
      </c>
      <c r="G1424" s="8">
        <f t="shared" si="22"/>
        <v>35.348837209302324</v>
      </c>
    </row>
    <row r="1425" spans="1:7" x14ac:dyDescent="0.25">
      <c r="A1425" s="5">
        <v>45809.78125</v>
      </c>
      <c r="B1425">
        <v>32</v>
      </c>
      <c r="C1425" t="s">
        <v>39</v>
      </c>
      <c r="D1425" t="s">
        <v>40</v>
      </c>
      <c r="E1425">
        <v>1.5</v>
      </c>
      <c r="F1425">
        <v>1.75</v>
      </c>
      <c r="G1425" s="8">
        <f t="shared" si="22"/>
        <v>51.428571428571431</v>
      </c>
    </row>
    <row r="1426" spans="1:7" x14ac:dyDescent="0.25">
      <c r="A1426" s="5">
        <v>45809.78125</v>
      </c>
      <c r="B1426">
        <v>33</v>
      </c>
      <c r="C1426" t="s">
        <v>40</v>
      </c>
      <c r="D1426" t="s">
        <v>41</v>
      </c>
      <c r="E1426">
        <v>1.51</v>
      </c>
      <c r="F1426">
        <v>1.75</v>
      </c>
      <c r="G1426" s="8">
        <f t="shared" si="22"/>
        <v>51.771428571428565</v>
      </c>
    </row>
    <row r="1427" spans="1:7" x14ac:dyDescent="0.25">
      <c r="A1427" s="5">
        <v>45809.78125</v>
      </c>
      <c r="B1427">
        <v>34</v>
      </c>
      <c r="C1427" t="s">
        <v>41</v>
      </c>
      <c r="D1427" t="s">
        <v>42</v>
      </c>
      <c r="E1427">
        <v>1.5</v>
      </c>
      <c r="F1427">
        <v>1.8</v>
      </c>
      <c r="G1427" s="8">
        <f t="shared" si="22"/>
        <v>50</v>
      </c>
    </row>
    <row r="1428" spans="1:7" x14ac:dyDescent="0.25">
      <c r="A1428" s="5">
        <v>45809.78125</v>
      </c>
      <c r="B1428">
        <v>35</v>
      </c>
      <c r="C1428" t="s">
        <v>43</v>
      </c>
      <c r="D1428" t="s">
        <v>44</v>
      </c>
      <c r="E1428">
        <v>1.55</v>
      </c>
      <c r="F1428">
        <v>3.2</v>
      </c>
      <c r="G1428" s="8">
        <f t="shared" si="22"/>
        <v>29.0625</v>
      </c>
    </row>
    <row r="1429" spans="1:7" x14ac:dyDescent="0.25">
      <c r="A1429" s="5">
        <v>45809.78125</v>
      </c>
      <c r="B1429">
        <v>36</v>
      </c>
      <c r="C1429" t="s">
        <v>44</v>
      </c>
      <c r="D1429" t="s">
        <v>45</v>
      </c>
      <c r="E1429">
        <v>1.5</v>
      </c>
      <c r="F1429">
        <v>2.98</v>
      </c>
      <c r="G1429" s="8">
        <f t="shared" si="22"/>
        <v>30.201342281879196</v>
      </c>
    </row>
    <row r="1430" spans="1:7" x14ac:dyDescent="0.25">
      <c r="A1430" s="5">
        <v>45809.78125</v>
      </c>
      <c r="B1430">
        <v>37</v>
      </c>
      <c r="C1430" t="s">
        <v>45</v>
      </c>
      <c r="D1430" t="s">
        <v>46</v>
      </c>
      <c r="E1430">
        <v>1.38</v>
      </c>
      <c r="F1430">
        <v>3.87</v>
      </c>
      <c r="G1430" s="8">
        <f t="shared" si="22"/>
        <v>21.395348837209301</v>
      </c>
    </row>
    <row r="1431" spans="1:7" x14ac:dyDescent="0.25">
      <c r="A1431" s="5">
        <v>45809.78125</v>
      </c>
      <c r="B1431">
        <v>38</v>
      </c>
      <c r="C1431" t="s">
        <v>46</v>
      </c>
      <c r="D1431" t="s">
        <v>47</v>
      </c>
      <c r="E1431">
        <v>1.61</v>
      </c>
      <c r="F1431">
        <v>3.85</v>
      </c>
      <c r="G1431" s="8">
        <f t="shared" si="22"/>
        <v>25.090909090909093</v>
      </c>
    </row>
    <row r="1432" spans="1:7" x14ac:dyDescent="0.25">
      <c r="A1432" s="5">
        <v>45809.78125</v>
      </c>
      <c r="B1432">
        <v>39</v>
      </c>
      <c r="C1432" t="s">
        <v>47</v>
      </c>
      <c r="D1432" t="s">
        <v>48</v>
      </c>
      <c r="E1432">
        <v>1.55</v>
      </c>
      <c r="F1432">
        <v>3.38</v>
      </c>
      <c r="G1432" s="8">
        <f t="shared" si="22"/>
        <v>27.514792899408285</v>
      </c>
    </row>
    <row r="1433" spans="1:7" x14ac:dyDescent="0.25">
      <c r="A1433" s="5">
        <v>45809.78125</v>
      </c>
      <c r="B1433">
        <v>40</v>
      </c>
      <c r="C1433" t="s">
        <v>48</v>
      </c>
      <c r="D1433" t="s">
        <v>49</v>
      </c>
      <c r="E1433">
        <v>1.39</v>
      </c>
      <c r="F1433">
        <v>2.87</v>
      </c>
      <c r="G1433" s="8">
        <f t="shared" si="22"/>
        <v>29.059233449477347</v>
      </c>
    </row>
    <row r="1434" spans="1:7" x14ac:dyDescent="0.25">
      <c r="A1434" s="5">
        <v>45809.78125</v>
      </c>
      <c r="B1434">
        <v>41</v>
      </c>
      <c r="C1434" t="s">
        <v>50</v>
      </c>
      <c r="D1434" t="s">
        <v>51</v>
      </c>
      <c r="E1434">
        <v>1.56</v>
      </c>
      <c r="F1434">
        <v>4.0199999999999996</v>
      </c>
      <c r="G1434" s="8">
        <f t="shared" si="22"/>
        <v>23.283582089552244</v>
      </c>
    </row>
    <row r="1435" spans="1:7" x14ac:dyDescent="0.25">
      <c r="A1435" s="5">
        <v>45809.78125</v>
      </c>
      <c r="B1435">
        <v>42</v>
      </c>
      <c r="C1435" t="s">
        <v>51</v>
      </c>
      <c r="D1435" t="s">
        <v>52</v>
      </c>
      <c r="E1435">
        <v>1.56</v>
      </c>
      <c r="F1435">
        <v>3.4</v>
      </c>
      <c r="G1435" s="8">
        <f t="shared" si="22"/>
        <v>27.529411764705884</v>
      </c>
    </row>
    <row r="1436" spans="1:7" x14ac:dyDescent="0.25">
      <c r="A1436" s="5">
        <v>45809.78125</v>
      </c>
      <c r="B1436">
        <v>43</v>
      </c>
      <c r="C1436" t="s">
        <v>52</v>
      </c>
      <c r="D1436" t="s">
        <v>53</v>
      </c>
      <c r="E1436">
        <v>1.51</v>
      </c>
      <c r="F1436">
        <v>3.18</v>
      </c>
      <c r="G1436" s="8">
        <f t="shared" si="22"/>
        <v>28.490566037735846</v>
      </c>
    </row>
    <row r="1437" spans="1:7" x14ac:dyDescent="0.25">
      <c r="A1437" s="5">
        <v>45809.78125</v>
      </c>
      <c r="B1437">
        <v>44</v>
      </c>
      <c r="C1437" t="s">
        <v>54</v>
      </c>
      <c r="D1437" t="s">
        <v>55</v>
      </c>
      <c r="E1437">
        <v>1.51</v>
      </c>
      <c r="F1437">
        <v>3.9</v>
      </c>
      <c r="G1437" s="8">
        <f t="shared" si="22"/>
        <v>23.23076923076923</v>
      </c>
    </row>
    <row r="1438" spans="1:7" x14ac:dyDescent="0.25">
      <c r="A1438" s="5">
        <v>45809.78125</v>
      </c>
      <c r="B1438">
        <v>45</v>
      </c>
      <c r="C1438" t="s">
        <v>55</v>
      </c>
      <c r="D1438" t="s">
        <v>56</v>
      </c>
      <c r="E1438">
        <v>1.49</v>
      </c>
      <c r="F1438">
        <v>3.15</v>
      </c>
      <c r="G1438" s="8">
        <f t="shared" si="22"/>
        <v>28.380952380952383</v>
      </c>
    </row>
    <row r="1439" spans="1:7" x14ac:dyDescent="0.25">
      <c r="A1439" s="5">
        <v>45809.78125</v>
      </c>
      <c r="B1439">
        <v>46</v>
      </c>
      <c r="C1439" t="s">
        <v>56</v>
      </c>
      <c r="D1439" t="s">
        <v>57</v>
      </c>
      <c r="E1439">
        <v>1.52</v>
      </c>
      <c r="F1439">
        <v>3.77</v>
      </c>
      <c r="G1439" s="8">
        <f t="shared" si="22"/>
        <v>24.190981432360743</v>
      </c>
    </row>
    <row r="1440" spans="1:7" x14ac:dyDescent="0.25">
      <c r="A1440" s="5">
        <v>45809.78125</v>
      </c>
      <c r="B1440">
        <v>47</v>
      </c>
      <c r="C1440" t="s">
        <v>58</v>
      </c>
      <c r="D1440" t="s">
        <v>59</v>
      </c>
      <c r="E1440">
        <v>1.52</v>
      </c>
      <c r="F1440">
        <v>3.55</v>
      </c>
      <c r="G1440" s="8">
        <f t="shared" si="22"/>
        <v>25.690140845070424</v>
      </c>
    </row>
    <row r="1441" spans="1:7" x14ac:dyDescent="0.25">
      <c r="A1441" s="5">
        <v>45809.78125</v>
      </c>
      <c r="B1441">
        <v>48</v>
      </c>
      <c r="C1441" t="s">
        <v>59</v>
      </c>
      <c r="D1441" t="s">
        <v>60</v>
      </c>
      <c r="E1441">
        <v>1.5</v>
      </c>
      <c r="F1441">
        <v>3.38</v>
      </c>
      <c r="G1441" s="8">
        <f t="shared" si="22"/>
        <v>26.627218934911244</v>
      </c>
    </row>
    <row r="1442" spans="1:7" x14ac:dyDescent="0.25">
      <c r="A1442" s="5">
        <v>45809.78125</v>
      </c>
      <c r="B1442">
        <v>49</v>
      </c>
      <c r="C1442" t="s">
        <v>60</v>
      </c>
      <c r="D1442" t="s">
        <v>61</v>
      </c>
      <c r="E1442">
        <v>1.54</v>
      </c>
      <c r="F1442">
        <v>4</v>
      </c>
      <c r="G1442" s="8">
        <f t="shared" si="22"/>
        <v>23.1</v>
      </c>
    </row>
    <row r="1443" spans="1:7" x14ac:dyDescent="0.25">
      <c r="A1443" s="5">
        <v>45809.78125</v>
      </c>
      <c r="B1443">
        <v>50</v>
      </c>
      <c r="C1443" t="s">
        <v>62</v>
      </c>
      <c r="D1443" t="s">
        <v>63</v>
      </c>
      <c r="E1443">
        <v>1.38</v>
      </c>
      <c r="F1443">
        <v>3.1</v>
      </c>
      <c r="G1443" s="8">
        <f t="shared" si="22"/>
        <v>26.709677419354836</v>
      </c>
    </row>
    <row r="1444" spans="1:7" x14ac:dyDescent="0.25">
      <c r="A1444" s="5">
        <v>45809.78125</v>
      </c>
      <c r="B1444">
        <v>51</v>
      </c>
      <c r="C1444" t="s">
        <v>63</v>
      </c>
      <c r="D1444" t="s">
        <v>64</v>
      </c>
      <c r="E1444">
        <v>2.79</v>
      </c>
      <c r="F1444">
        <v>5.53</v>
      </c>
      <c r="G1444" s="8">
        <f t="shared" si="22"/>
        <v>30.27124773960217</v>
      </c>
    </row>
    <row r="1445" spans="1:7" x14ac:dyDescent="0.25">
      <c r="A1445" s="5">
        <v>45809.78125</v>
      </c>
      <c r="B1445">
        <v>52</v>
      </c>
      <c r="C1445" t="s">
        <v>64</v>
      </c>
      <c r="D1445" t="s">
        <v>65</v>
      </c>
      <c r="E1445">
        <v>1.5</v>
      </c>
      <c r="F1445">
        <v>2.77</v>
      </c>
      <c r="G1445" s="8">
        <f t="shared" si="22"/>
        <v>32.490974729241877</v>
      </c>
    </row>
    <row r="1446" spans="1:7" x14ac:dyDescent="0.25">
      <c r="A1446" s="5">
        <v>45809.78125</v>
      </c>
      <c r="B1446">
        <v>53</v>
      </c>
      <c r="C1446" t="s">
        <v>65</v>
      </c>
      <c r="D1446" t="s">
        <v>66</v>
      </c>
      <c r="E1446">
        <v>1.46</v>
      </c>
      <c r="F1446">
        <v>3.48</v>
      </c>
      <c r="G1446" s="8">
        <f t="shared" si="22"/>
        <v>25.172413793103448</v>
      </c>
    </row>
    <row r="1447" spans="1:7" x14ac:dyDescent="0.25">
      <c r="A1447" s="5">
        <v>45809.78125</v>
      </c>
      <c r="B1447">
        <v>54</v>
      </c>
      <c r="C1447" t="s">
        <v>67</v>
      </c>
      <c r="D1447" t="s">
        <v>68</v>
      </c>
      <c r="E1447">
        <v>1.46</v>
      </c>
      <c r="F1447">
        <v>2.4500000000000002</v>
      </c>
      <c r="G1447" s="8">
        <f t="shared" si="22"/>
        <v>35.755102040816318</v>
      </c>
    </row>
    <row r="1448" spans="1:7" x14ac:dyDescent="0.25">
      <c r="A1448" s="5">
        <v>45809.78125</v>
      </c>
      <c r="B1448">
        <v>55</v>
      </c>
      <c r="C1448" t="s">
        <v>68</v>
      </c>
      <c r="D1448" t="s">
        <v>69</v>
      </c>
      <c r="E1448">
        <v>1.5</v>
      </c>
      <c r="F1448">
        <v>1.95</v>
      </c>
      <c r="G1448" s="8">
        <f t="shared" si="22"/>
        <v>46.153846153846153</v>
      </c>
    </row>
    <row r="1449" spans="1:7" x14ac:dyDescent="0.25">
      <c r="A1449" s="5">
        <v>45809.78125</v>
      </c>
      <c r="B1449">
        <v>56</v>
      </c>
      <c r="C1449" t="s">
        <v>70</v>
      </c>
      <c r="D1449" t="s">
        <v>71</v>
      </c>
      <c r="E1449">
        <v>1.51</v>
      </c>
      <c r="F1449">
        <v>4.42</v>
      </c>
      <c r="G1449" s="8">
        <f t="shared" si="22"/>
        <v>20.497737556561084</v>
      </c>
    </row>
    <row r="1450" spans="1:7" x14ac:dyDescent="0.25">
      <c r="A1450" s="5">
        <v>45809.78125</v>
      </c>
      <c r="B1450">
        <v>57</v>
      </c>
      <c r="C1450" t="s">
        <v>71</v>
      </c>
      <c r="D1450" t="s">
        <v>72</v>
      </c>
      <c r="E1450">
        <v>1.52</v>
      </c>
      <c r="F1450">
        <v>3.48</v>
      </c>
      <c r="G1450" s="8">
        <f t="shared" si="22"/>
        <v>26.206896551724139</v>
      </c>
    </row>
    <row r="1451" spans="1:7" x14ac:dyDescent="0.25">
      <c r="A1451" s="5">
        <v>45809.78125</v>
      </c>
      <c r="B1451">
        <v>58</v>
      </c>
      <c r="C1451" t="s">
        <v>72</v>
      </c>
      <c r="D1451" t="s">
        <v>73</v>
      </c>
      <c r="E1451">
        <v>1.5</v>
      </c>
      <c r="F1451">
        <v>3.33</v>
      </c>
      <c r="G1451" s="8">
        <f t="shared" si="22"/>
        <v>27.027027027027028</v>
      </c>
    </row>
    <row r="1452" spans="1:7" x14ac:dyDescent="0.25">
      <c r="A1452" s="5">
        <v>45809.791666666664</v>
      </c>
      <c r="B1452">
        <v>1</v>
      </c>
      <c r="C1452" t="s">
        <v>6</v>
      </c>
      <c r="D1452" t="s">
        <v>7</v>
      </c>
      <c r="E1452">
        <v>1.53</v>
      </c>
      <c r="F1452">
        <v>2.87</v>
      </c>
      <c r="G1452" s="8">
        <f t="shared" si="22"/>
        <v>31.986062717770032</v>
      </c>
    </row>
    <row r="1453" spans="1:7" x14ac:dyDescent="0.25">
      <c r="A1453" s="5">
        <v>45809.791666666664</v>
      </c>
      <c r="B1453">
        <v>2</v>
      </c>
      <c r="C1453" t="s">
        <v>7</v>
      </c>
      <c r="D1453" t="s">
        <v>8</v>
      </c>
      <c r="E1453">
        <v>1.57</v>
      </c>
      <c r="F1453">
        <v>4.2699999999999996</v>
      </c>
      <c r="G1453" s="8">
        <f t="shared" si="22"/>
        <v>22.060889929742391</v>
      </c>
    </row>
    <row r="1454" spans="1:7" x14ac:dyDescent="0.25">
      <c r="A1454" s="5">
        <v>45809.791666666664</v>
      </c>
      <c r="B1454">
        <v>3</v>
      </c>
      <c r="C1454" t="s">
        <v>8</v>
      </c>
      <c r="D1454" t="s">
        <v>9</v>
      </c>
      <c r="E1454">
        <v>1.5</v>
      </c>
      <c r="F1454">
        <v>2.95</v>
      </c>
      <c r="G1454" s="8">
        <f t="shared" si="22"/>
        <v>30.508474576271183</v>
      </c>
    </row>
    <row r="1455" spans="1:7" x14ac:dyDescent="0.25">
      <c r="A1455" s="5">
        <v>45809.791666666664</v>
      </c>
      <c r="B1455">
        <v>4</v>
      </c>
      <c r="C1455" t="s">
        <v>9</v>
      </c>
      <c r="D1455" t="s">
        <v>10</v>
      </c>
      <c r="E1455">
        <v>1.5</v>
      </c>
      <c r="F1455">
        <v>2.75</v>
      </c>
      <c r="G1455" s="8">
        <f t="shared" si="22"/>
        <v>32.727272727272727</v>
      </c>
    </row>
    <row r="1456" spans="1:7" x14ac:dyDescent="0.25">
      <c r="A1456" s="5">
        <v>45809.791666666664</v>
      </c>
      <c r="B1456">
        <v>5</v>
      </c>
      <c r="C1456" t="s">
        <v>10</v>
      </c>
      <c r="D1456" t="s">
        <v>11</v>
      </c>
      <c r="E1456">
        <v>1.52</v>
      </c>
      <c r="F1456">
        <v>3.57</v>
      </c>
      <c r="G1456" s="8">
        <f t="shared" si="22"/>
        <v>25.54621848739496</v>
      </c>
    </row>
    <row r="1457" spans="1:7" x14ac:dyDescent="0.25">
      <c r="A1457" s="5">
        <v>45809.791666666664</v>
      </c>
      <c r="B1457">
        <v>6</v>
      </c>
      <c r="C1457" t="s">
        <v>11</v>
      </c>
      <c r="D1457" t="s">
        <v>12</v>
      </c>
      <c r="E1457">
        <v>1.5</v>
      </c>
      <c r="F1457">
        <v>2.62</v>
      </c>
      <c r="G1457" s="8">
        <f t="shared" si="22"/>
        <v>34.351145038167935</v>
      </c>
    </row>
    <row r="1458" spans="1:7" x14ac:dyDescent="0.25">
      <c r="A1458" s="5">
        <v>45809.791666666664</v>
      </c>
      <c r="B1458">
        <v>7</v>
      </c>
      <c r="C1458" t="s">
        <v>12</v>
      </c>
      <c r="D1458" t="s">
        <v>13</v>
      </c>
      <c r="E1458">
        <v>1.54</v>
      </c>
      <c r="F1458">
        <v>2.75</v>
      </c>
      <c r="G1458" s="8">
        <f t="shared" si="22"/>
        <v>33.6</v>
      </c>
    </row>
    <row r="1459" spans="1:7" x14ac:dyDescent="0.25">
      <c r="A1459" s="5">
        <v>45809.791666666664</v>
      </c>
      <c r="B1459">
        <v>8</v>
      </c>
      <c r="C1459" t="s">
        <v>13</v>
      </c>
      <c r="D1459" t="s">
        <v>14</v>
      </c>
      <c r="E1459">
        <v>1.54</v>
      </c>
      <c r="F1459">
        <v>3.1</v>
      </c>
      <c r="G1459" s="8">
        <f t="shared" si="22"/>
        <v>29.806451612903228</v>
      </c>
    </row>
    <row r="1460" spans="1:7" x14ac:dyDescent="0.25">
      <c r="A1460" s="5">
        <v>45809.791666666664</v>
      </c>
      <c r="B1460">
        <v>9</v>
      </c>
      <c r="C1460" t="s">
        <v>14</v>
      </c>
      <c r="D1460" t="s">
        <v>15</v>
      </c>
      <c r="E1460">
        <v>1.52</v>
      </c>
      <c r="F1460">
        <v>3.55</v>
      </c>
      <c r="G1460" s="8">
        <f t="shared" si="22"/>
        <v>25.690140845070424</v>
      </c>
    </row>
    <row r="1461" spans="1:7" x14ac:dyDescent="0.25">
      <c r="A1461" s="5">
        <v>45809.791666666664</v>
      </c>
      <c r="B1461">
        <v>10</v>
      </c>
      <c r="C1461" t="s">
        <v>15</v>
      </c>
      <c r="D1461" t="s">
        <v>16</v>
      </c>
      <c r="E1461">
        <v>1.5</v>
      </c>
      <c r="F1461">
        <v>3.7</v>
      </c>
      <c r="G1461" s="8">
        <f t="shared" si="22"/>
        <v>24.324324324324323</v>
      </c>
    </row>
    <row r="1462" spans="1:7" x14ac:dyDescent="0.25">
      <c r="A1462" s="5">
        <v>45809.791666666664</v>
      </c>
      <c r="B1462">
        <v>11</v>
      </c>
      <c r="C1462" t="s">
        <v>16</v>
      </c>
      <c r="D1462" t="s">
        <v>17</v>
      </c>
      <c r="E1462">
        <v>1.48</v>
      </c>
      <c r="F1462">
        <v>2.5</v>
      </c>
      <c r="G1462" s="8">
        <f t="shared" si="22"/>
        <v>35.519999999999996</v>
      </c>
    </row>
    <row r="1463" spans="1:7" x14ac:dyDescent="0.25">
      <c r="A1463" s="5">
        <v>45809.791666666664</v>
      </c>
      <c r="B1463">
        <v>12</v>
      </c>
      <c r="C1463" t="s">
        <v>17</v>
      </c>
      <c r="D1463" t="s">
        <v>18</v>
      </c>
      <c r="E1463">
        <v>1.46</v>
      </c>
      <c r="F1463">
        <v>3.25</v>
      </c>
      <c r="G1463" s="8">
        <f t="shared" si="22"/>
        <v>26.95384615384615</v>
      </c>
    </row>
    <row r="1464" spans="1:7" x14ac:dyDescent="0.25">
      <c r="A1464" s="5">
        <v>45809.791666666664</v>
      </c>
      <c r="B1464">
        <v>13</v>
      </c>
      <c r="C1464" t="s">
        <v>18</v>
      </c>
      <c r="D1464" t="s">
        <v>19</v>
      </c>
      <c r="E1464">
        <v>1.52</v>
      </c>
      <c r="F1464">
        <v>3.42</v>
      </c>
      <c r="G1464" s="8">
        <f t="shared" si="22"/>
        <v>26.666666666666668</v>
      </c>
    </row>
    <row r="1465" spans="1:7" x14ac:dyDescent="0.25">
      <c r="A1465" s="5">
        <v>45809.791666666664</v>
      </c>
      <c r="B1465">
        <v>14</v>
      </c>
      <c r="C1465" t="s">
        <v>19</v>
      </c>
      <c r="D1465" t="s">
        <v>20</v>
      </c>
      <c r="E1465">
        <v>1.51</v>
      </c>
      <c r="F1465">
        <v>3.12</v>
      </c>
      <c r="G1465" s="8">
        <f t="shared" si="22"/>
        <v>29.038461538461537</v>
      </c>
    </row>
    <row r="1466" spans="1:7" x14ac:dyDescent="0.25">
      <c r="A1466" s="5">
        <v>45809.791666666664</v>
      </c>
      <c r="B1466">
        <v>15</v>
      </c>
      <c r="C1466" t="s">
        <v>20</v>
      </c>
      <c r="D1466" t="s">
        <v>21</v>
      </c>
      <c r="E1466">
        <v>1.47</v>
      </c>
      <c r="F1466">
        <v>2.3199999999999998</v>
      </c>
      <c r="G1466" s="8">
        <f t="shared" si="22"/>
        <v>38.017241379310349</v>
      </c>
    </row>
    <row r="1467" spans="1:7" x14ac:dyDescent="0.25">
      <c r="A1467" s="5">
        <v>45809.791666666664</v>
      </c>
      <c r="B1467">
        <v>16</v>
      </c>
      <c r="C1467" t="s">
        <v>21</v>
      </c>
      <c r="D1467" t="s">
        <v>22</v>
      </c>
      <c r="E1467">
        <v>1.5</v>
      </c>
      <c r="F1467">
        <v>1.78</v>
      </c>
      <c r="G1467" s="8">
        <f t="shared" si="22"/>
        <v>50.561797752808985</v>
      </c>
    </row>
    <row r="1468" spans="1:7" x14ac:dyDescent="0.25">
      <c r="A1468" s="5">
        <v>45809.791666666664</v>
      </c>
      <c r="B1468">
        <v>17</v>
      </c>
      <c r="C1468" t="s">
        <v>22</v>
      </c>
      <c r="D1468" t="s">
        <v>23</v>
      </c>
      <c r="E1468">
        <v>1.51</v>
      </c>
      <c r="F1468">
        <v>2.5499999999999998</v>
      </c>
      <c r="G1468" s="8">
        <f t="shared" si="22"/>
        <v>35.529411764705884</v>
      </c>
    </row>
    <row r="1469" spans="1:7" x14ac:dyDescent="0.25">
      <c r="A1469" s="5">
        <v>45809.791666666664</v>
      </c>
      <c r="B1469">
        <v>18</v>
      </c>
      <c r="C1469" t="s">
        <v>23</v>
      </c>
      <c r="D1469" t="s">
        <v>24</v>
      </c>
      <c r="E1469">
        <v>1.51</v>
      </c>
      <c r="F1469">
        <v>2.9</v>
      </c>
      <c r="G1469" s="8">
        <f t="shared" si="22"/>
        <v>31.241379310344826</v>
      </c>
    </row>
    <row r="1470" spans="1:7" x14ac:dyDescent="0.25">
      <c r="A1470" s="5">
        <v>45809.791666666664</v>
      </c>
      <c r="B1470">
        <v>19</v>
      </c>
      <c r="C1470" t="s">
        <v>25</v>
      </c>
      <c r="D1470" t="s">
        <v>26</v>
      </c>
      <c r="E1470">
        <v>1.5</v>
      </c>
      <c r="F1470">
        <v>3.35</v>
      </c>
      <c r="G1470" s="8">
        <f t="shared" si="22"/>
        <v>26.865671641791042</v>
      </c>
    </row>
    <row r="1471" spans="1:7" x14ac:dyDescent="0.25">
      <c r="A1471" s="5">
        <v>45809.791666666664</v>
      </c>
      <c r="B1471">
        <v>20</v>
      </c>
      <c r="C1471" t="s">
        <v>26</v>
      </c>
      <c r="D1471" t="s">
        <v>27</v>
      </c>
      <c r="E1471">
        <v>1.48</v>
      </c>
      <c r="F1471">
        <v>3.12</v>
      </c>
      <c r="G1471" s="8">
        <f t="shared" si="22"/>
        <v>28.46153846153846</v>
      </c>
    </row>
    <row r="1472" spans="1:7" x14ac:dyDescent="0.25">
      <c r="A1472" s="5">
        <v>45809.791666666664</v>
      </c>
      <c r="B1472">
        <v>21</v>
      </c>
      <c r="C1472" t="s">
        <v>27</v>
      </c>
      <c r="D1472" t="s">
        <v>28</v>
      </c>
      <c r="E1472">
        <v>1.51</v>
      </c>
      <c r="F1472">
        <v>2.98</v>
      </c>
      <c r="G1472" s="8">
        <f t="shared" si="22"/>
        <v>30.402684563758388</v>
      </c>
    </row>
    <row r="1473" spans="1:7" x14ac:dyDescent="0.25">
      <c r="A1473" s="5">
        <v>45809.791666666664</v>
      </c>
      <c r="B1473">
        <v>22</v>
      </c>
      <c r="C1473" t="s">
        <v>28</v>
      </c>
      <c r="D1473" t="s">
        <v>29</v>
      </c>
      <c r="E1473">
        <v>1.57</v>
      </c>
      <c r="F1473">
        <v>3.1</v>
      </c>
      <c r="G1473" s="8">
        <f t="shared" si="22"/>
        <v>30.387096774193548</v>
      </c>
    </row>
    <row r="1474" spans="1:7" x14ac:dyDescent="0.25">
      <c r="A1474" s="5">
        <v>45809.791666666664</v>
      </c>
      <c r="B1474">
        <v>23</v>
      </c>
      <c r="C1474" t="s">
        <v>29</v>
      </c>
      <c r="D1474" t="s">
        <v>30</v>
      </c>
      <c r="E1474">
        <v>1.43</v>
      </c>
      <c r="F1474">
        <v>3.17</v>
      </c>
      <c r="G1474" s="8">
        <f t="shared" si="22"/>
        <v>27.066246056782333</v>
      </c>
    </row>
    <row r="1475" spans="1:7" x14ac:dyDescent="0.25">
      <c r="A1475" s="5">
        <v>45809.791666666664</v>
      </c>
      <c r="B1475">
        <v>24</v>
      </c>
      <c r="C1475" t="s">
        <v>30</v>
      </c>
      <c r="D1475" t="s">
        <v>31</v>
      </c>
      <c r="E1475">
        <v>1.52</v>
      </c>
      <c r="F1475">
        <v>2.97</v>
      </c>
      <c r="G1475" s="8">
        <f t="shared" ref="G1475:G1509" si="23">E1475*60/F1475</f>
        <v>30.707070707070706</v>
      </c>
    </row>
    <row r="1476" spans="1:7" x14ac:dyDescent="0.25">
      <c r="A1476" s="5">
        <v>45809.791666666664</v>
      </c>
      <c r="B1476">
        <v>25</v>
      </c>
      <c r="C1476" t="s">
        <v>31</v>
      </c>
      <c r="D1476" t="s">
        <v>32</v>
      </c>
      <c r="E1476">
        <v>1.52</v>
      </c>
      <c r="F1476">
        <v>3.12</v>
      </c>
      <c r="G1476" s="8">
        <f t="shared" si="23"/>
        <v>29.23076923076923</v>
      </c>
    </row>
    <row r="1477" spans="1:7" x14ac:dyDescent="0.25">
      <c r="A1477" s="5">
        <v>45809.791666666664</v>
      </c>
      <c r="B1477">
        <v>26</v>
      </c>
      <c r="C1477" t="s">
        <v>32</v>
      </c>
      <c r="D1477" t="s">
        <v>33</v>
      </c>
      <c r="E1477">
        <v>1.49</v>
      </c>
      <c r="F1477">
        <v>3.38</v>
      </c>
      <c r="G1477" s="8">
        <f t="shared" si="23"/>
        <v>26.449704142011836</v>
      </c>
    </row>
    <row r="1478" spans="1:7" x14ac:dyDescent="0.25">
      <c r="A1478" s="5">
        <v>45809.791666666664</v>
      </c>
      <c r="B1478">
        <v>27</v>
      </c>
      <c r="C1478" t="s">
        <v>33</v>
      </c>
      <c r="D1478" t="s">
        <v>34</v>
      </c>
      <c r="E1478">
        <v>1.53</v>
      </c>
      <c r="F1478">
        <v>3.87</v>
      </c>
      <c r="G1478" s="8">
        <f t="shared" si="23"/>
        <v>23.720930232558139</v>
      </c>
    </row>
    <row r="1479" spans="1:7" x14ac:dyDescent="0.25">
      <c r="A1479" s="5">
        <v>45809.791666666664</v>
      </c>
      <c r="B1479">
        <v>28</v>
      </c>
      <c r="C1479" t="s">
        <v>34</v>
      </c>
      <c r="D1479" t="s">
        <v>35</v>
      </c>
      <c r="E1479">
        <v>1.51</v>
      </c>
      <c r="F1479">
        <v>3.6</v>
      </c>
      <c r="G1479" s="8">
        <f t="shared" si="23"/>
        <v>25.166666666666664</v>
      </c>
    </row>
    <row r="1480" spans="1:7" x14ac:dyDescent="0.25">
      <c r="A1480" s="5">
        <v>45809.791666666664</v>
      </c>
      <c r="B1480">
        <v>29</v>
      </c>
      <c r="C1480" t="s">
        <v>36</v>
      </c>
      <c r="D1480" t="s">
        <v>37</v>
      </c>
      <c r="E1480">
        <v>1.57</v>
      </c>
      <c r="F1480">
        <v>3.27</v>
      </c>
      <c r="G1480" s="8">
        <f t="shared" si="23"/>
        <v>28.807339449541285</v>
      </c>
    </row>
    <row r="1481" spans="1:7" x14ac:dyDescent="0.25">
      <c r="A1481" s="5">
        <v>45809.791666666664</v>
      </c>
      <c r="B1481">
        <v>30</v>
      </c>
      <c r="C1481" t="s">
        <v>37</v>
      </c>
      <c r="D1481" t="s">
        <v>38</v>
      </c>
      <c r="E1481">
        <v>1.57</v>
      </c>
      <c r="F1481">
        <v>3.4</v>
      </c>
      <c r="G1481" s="8">
        <f t="shared" si="23"/>
        <v>27.705882352941178</v>
      </c>
    </row>
    <row r="1482" spans="1:7" x14ac:dyDescent="0.25">
      <c r="A1482" s="5">
        <v>45809.791666666664</v>
      </c>
      <c r="B1482">
        <v>31</v>
      </c>
      <c r="C1482" t="s">
        <v>38</v>
      </c>
      <c r="D1482" t="s">
        <v>39</v>
      </c>
      <c r="E1482">
        <v>1.52</v>
      </c>
      <c r="F1482">
        <v>2.68</v>
      </c>
      <c r="G1482" s="8">
        <f t="shared" si="23"/>
        <v>34.029850746268657</v>
      </c>
    </row>
    <row r="1483" spans="1:7" x14ac:dyDescent="0.25">
      <c r="A1483" s="5">
        <v>45809.791666666664</v>
      </c>
      <c r="B1483">
        <v>32</v>
      </c>
      <c r="C1483" t="s">
        <v>39</v>
      </c>
      <c r="D1483" t="s">
        <v>40</v>
      </c>
      <c r="E1483">
        <v>1.5</v>
      </c>
      <c r="F1483">
        <v>1.78</v>
      </c>
      <c r="G1483" s="8">
        <f t="shared" si="23"/>
        <v>50.561797752808985</v>
      </c>
    </row>
    <row r="1484" spans="1:7" x14ac:dyDescent="0.25">
      <c r="A1484" s="5">
        <v>45809.791666666664</v>
      </c>
      <c r="B1484">
        <v>33</v>
      </c>
      <c r="C1484" t="s">
        <v>40</v>
      </c>
      <c r="D1484" t="s">
        <v>41</v>
      </c>
      <c r="E1484">
        <v>1.51</v>
      </c>
      <c r="F1484">
        <v>1.77</v>
      </c>
      <c r="G1484" s="8">
        <f t="shared" si="23"/>
        <v>51.186440677966097</v>
      </c>
    </row>
    <row r="1485" spans="1:7" x14ac:dyDescent="0.25">
      <c r="A1485" s="5">
        <v>45809.791666666664</v>
      </c>
      <c r="B1485">
        <v>34</v>
      </c>
      <c r="C1485" t="s">
        <v>41</v>
      </c>
      <c r="D1485" t="s">
        <v>42</v>
      </c>
      <c r="E1485">
        <v>1.5</v>
      </c>
      <c r="F1485">
        <v>1.78</v>
      </c>
      <c r="G1485" s="8">
        <f t="shared" si="23"/>
        <v>50.561797752808985</v>
      </c>
    </row>
    <row r="1486" spans="1:7" x14ac:dyDescent="0.25">
      <c r="A1486" s="5">
        <v>45809.791666666664</v>
      </c>
      <c r="B1486">
        <v>35</v>
      </c>
      <c r="C1486" t="s">
        <v>43</v>
      </c>
      <c r="D1486" t="s">
        <v>44</v>
      </c>
      <c r="E1486">
        <v>1.55</v>
      </c>
      <c r="F1486">
        <v>3.27</v>
      </c>
      <c r="G1486" s="8">
        <f t="shared" si="23"/>
        <v>28.440366972477065</v>
      </c>
    </row>
    <row r="1487" spans="1:7" x14ac:dyDescent="0.25">
      <c r="A1487" s="5">
        <v>45809.791666666664</v>
      </c>
      <c r="B1487">
        <v>36</v>
      </c>
      <c r="C1487" t="s">
        <v>44</v>
      </c>
      <c r="D1487" t="s">
        <v>45</v>
      </c>
      <c r="E1487">
        <v>1.5</v>
      </c>
      <c r="F1487">
        <v>2.95</v>
      </c>
      <c r="G1487" s="8">
        <f t="shared" si="23"/>
        <v>30.508474576271183</v>
      </c>
    </row>
    <row r="1488" spans="1:7" x14ac:dyDescent="0.25">
      <c r="A1488" s="5">
        <v>45809.791666666664</v>
      </c>
      <c r="B1488">
        <v>37</v>
      </c>
      <c r="C1488" t="s">
        <v>45</v>
      </c>
      <c r="D1488" t="s">
        <v>46</v>
      </c>
      <c r="E1488">
        <v>1.38</v>
      </c>
      <c r="F1488">
        <v>3.9</v>
      </c>
      <c r="G1488" s="8">
        <f t="shared" si="23"/>
        <v>21.23076923076923</v>
      </c>
    </row>
    <row r="1489" spans="1:7" x14ac:dyDescent="0.25">
      <c r="A1489" s="5">
        <v>45809.791666666664</v>
      </c>
      <c r="B1489">
        <v>38</v>
      </c>
      <c r="C1489" t="s">
        <v>46</v>
      </c>
      <c r="D1489" t="s">
        <v>47</v>
      </c>
      <c r="E1489">
        <v>1.61</v>
      </c>
      <c r="F1489">
        <v>4.0999999999999996</v>
      </c>
      <c r="G1489" s="8">
        <f t="shared" si="23"/>
        <v>23.560975609756103</v>
      </c>
    </row>
    <row r="1490" spans="1:7" x14ac:dyDescent="0.25">
      <c r="A1490" s="5">
        <v>45809.791666666664</v>
      </c>
      <c r="B1490">
        <v>39</v>
      </c>
      <c r="C1490" t="s">
        <v>47</v>
      </c>
      <c r="D1490" t="s">
        <v>48</v>
      </c>
      <c r="E1490">
        <v>1.55</v>
      </c>
      <c r="F1490">
        <v>3.35</v>
      </c>
      <c r="G1490" s="8">
        <f t="shared" si="23"/>
        <v>27.761194029850746</v>
      </c>
    </row>
    <row r="1491" spans="1:7" x14ac:dyDescent="0.25">
      <c r="A1491" s="5">
        <v>45809.791666666664</v>
      </c>
      <c r="B1491">
        <v>40</v>
      </c>
      <c r="C1491" t="s">
        <v>48</v>
      </c>
      <c r="D1491" t="s">
        <v>49</v>
      </c>
      <c r="E1491">
        <v>1.39</v>
      </c>
      <c r="F1491">
        <v>2.87</v>
      </c>
      <c r="G1491" s="8">
        <f t="shared" si="23"/>
        <v>29.059233449477347</v>
      </c>
    </row>
    <row r="1492" spans="1:7" x14ac:dyDescent="0.25">
      <c r="A1492" s="5">
        <v>45809.791666666664</v>
      </c>
      <c r="B1492">
        <v>41</v>
      </c>
      <c r="C1492" t="s">
        <v>50</v>
      </c>
      <c r="D1492" t="s">
        <v>51</v>
      </c>
      <c r="E1492">
        <v>1.56</v>
      </c>
      <c r="F1492">
        <v>3.45</v>
      </c>
      <c r="G1492" s="8">
        <f t="shared" si="23"/>
        <v>27.130434782608695</v>
      </c>
    </row>
    <row r="1493" spans="1:7" x14ac:dyDescent="0.25">
      <c r="A1493" s="5">
        <v>45809.791666666664</v>
      </c>
      <c r="B1493">
        <v>42</v>
      </c>
      <c r="C1493" t="s">
        <v>51</v>
      </c>
      <c r="D1493" t="s">
        <v>52</v>
      </c>
      <c r="E1493">
        <v>1.56</v>
      </c>
      <c r="F1493">
        <v>3.72</v>
      </c>
      <c r="G1493" s="8">
        <f t="shared" si="23"/>
        <v>25.161290322580648</v>
      </c>
    </row>
    <row r="1494" spans="1:7" x14ac:dyDescent="0.25">
      <c r="A1494" s="5">
        <v>45809.791666666664</v>
      </c>
      <c r="B1494">
        <v>43</v>
      </c>
      <c r="C1494" t="s">
        <v>52</v>
      </c>
      <c r="D1494" t="s">
        <v>53</v>
      </c>
      <c r="E1494">
        <v>1.51</v>
      </c>
      <c r="F1494">
        <v>3.25</v>
      </c>
      <c r="G1494" s="8">
        <f t="shared" si="23"/>
        <v>27.876923076923074</v>
      </c>
    </row>
    <row r="1495" spans="1:7" x14ac:dyDescent="0.25">
      <c r="A1495" s="5">
        <v>45809.791666666664</v>
      </c>
      <c r="B1495">
        <v>44</v>
      </c>
      <c r="C1495" t="s">
        <v>54</v>
      </c>
      <c r="D1495" t="s">
        <v>55</v>
      </c>
      <c r="E1495">
        <v>1.51</v>
      </c>
      <c r="F1495">
        <v>3.95</v>
      </c>
      <c r="G1495" s="8">
        <f t="shared" si="23"/>
        <v>22.936708860759492</v>
      </c>
    </row>
    <row r="1496" spans="1:7" x14ac:dyDescent="0.25">
      <c r="A1496" s="5">
        <v>45809.791666666664</v>
      </c>
      <c r="B1496">
        <v>45</v>
      </c>
      <c r="C1496" t="s">
        <v>55</v>
      </c>
      <c r="D1496" t="s">
        <v>56</v>
      </c>
      <c r="E1496">
        <v>1.49</v>
      </c>
      <c r="F1496">
        <v>3.3</v>
      </c>
      <c r="G1496" s="8">
        <f t="shared" si="23"/>
        <v>27.090909090909093</v>
      </c>
    </row>
    <row r="1497" spans="1:7" x14ac:dyDescent="0.25">
      <c r="A1497" s="5">
        <v>45809.791666666664</v>
      </c>
      <c r="B1497">
        <v>46</v>
      </c>
      <c r="C1497" t="s">
        <v>56</v>
      </c>
      <c r="D1497" t="s">
        <v>57</v>
      </c>
      <c r="E1497">
        <v>1.52</v>
      </c>
      <c r="F1497">
        <v>3.7</v>
      </c>
      <c r="G1497" s="8">
        <f t="shared" si="23"/>
        <v>24.648648648648649</v>
      </c>
    </row>
    <row r="1498" spans="1:7" x14ac:dyDescent="0.25">
      <c r="A1498" s="5">
        <v>45809.791666666664</v>
      </c>
      <c r="B1498">
        <v>47</v>
      </c>
      <c r="C1498" t="s">
        <v>58</v>
      </c>
      <c r="D1498" t="s">
        <v>59</v>
      </c>
      <c r="E1498">
        <v>1.52</v>
      </c>
      <c r="F1498">
        <v>3.55</v>
      </c>
      <c r="G1498" s="8">
        <f t="shared" si="23"/>
        <v>25.690140845070424</v>
      </c>
    </row>
    <row r="1499" spans="1:7" x14ac:dyDescent="0.25">
      <c r="A1499" s="5">
        <v>45809.791666666664</v>
      </c>
      <c r="B1499">
        <v>48</v>
      </c>
      <c r="C1499" t="s">
        <v>59</v>
      </c>
      <c r="D1499" t="s">
        <v>60</v>
      </c>
      <c r="E1499">
        <v>1.5</v>
      </c>
      <c r="F1499">
        <v>3.48</v>
      </c>
      <c r="G1499" s="8">
        <f t="shared" si="23"/>
        <v>25.862068965517242</v>
      </c>
    </row>
    <row r="1500" spans="1:7" x14ac:dyDescent="0.25">
      <c r="A1500" s="5">
        <v>45809.791666666664</v>
      </c>
      <c r="B1500">
        <v>49</v>
      </c>
      <c r="C1500" t="s">
        <v>60</v>
      </c>
      <c r="D1500" t="s">
        <v>61</v>
      </c>
      <c r="E1500">
        <v>1.54</v>
      </c>
      <c r="F1500">
        <v>4.12</v>
      </c>
      <c r="G1500" s="8">
        <f t="shared" si="23"/>
        <v>22.427184466019419</v>
      </c>
    </row>
    <row r="1501" spans="1:7" x14ac:dyDescent="0.25">
      <c r="A1501" s="5">
        <v>45809.791666666664</v>
      </c>
      <c r="B1501">
        <v>50</v>
      </c>
      <c r="C1501" t="s">
        <v>62</v>
      </c>
      <c r="D1501" t="s">
        <v>63</v>
      </c>
      <c r="E1501">
        <v>1.38</v>
      </c>
      <c r="F1501">
        <v>3.12</v>
      </c>
      <c r="G1501" s="8">
        <f t="shared" si="23"/>
        <v>26.538461538461537</v>
      </c>
    </row>
    <row r="1502" spans="1:7" x14ac:dyDescent="0.25">
      <c r="A1502" s="5">
        <v>45809.791666666664</v>
      </c>
      <c r="B1502">
        <v>51</v>
      </c>
      <c r="C1502" t="s">
        <v>63</v>
      </c>
      <c r="D1502" t="s">
        <v>64</v>
      </c>
      <c r="E1502">
        <v>2.79</v>
      </c>
      <c r="F1502">
        <v>5.53</v>
      </c>
      <c r="G1502" s="8">
        <f t="shared" si="23"/>
        <v>30.27124773960217</v>
      </c>
    </row>
    <row r="1503" spans="1:7" x14ac:dyDescent="0.25">
      <c r="A1503" s="5">
        <v>45809.791666666664</v>
      </c>
      <c r="B1503">
        <v>52</v>
      </c>
      <c r="C1503" t="s">
        <v>64</v>
      </c>
      <c r="D1503" t="s">
        <v>65</v>
      </c>
      <c r="E1503">
        <v>1.5</v>
      </c>
      <c r="F1503">
        <v>2.72</v>
      </c>
      <c r="G1503" s="8">
        <f t="shared" si="23"/>
        <v>33.088235294117645</v>
      </c>
    </row>
    <row r="1504" spans="1:7" x14ac:dyDescent="0.25">
      <c r="A1504" s="5">
        <v>45809.791666666664</v>
      </c>
      <c r="B1504">
        <v>53</v>
      </c>
      <c r="C1504" t="s">
        <v>65</v>
      </c>
      <c r="D1504" t="s">
        <v>66</v>
      </c>
      <c r="E1504">
        <v>1.46</v>
      </c>
      <c r="F1504">
        <v>3.57</v>
      </c>
      <c r="G1504" s="8">
        <f t="shared" si="23"/>
        <v>24.537815126050418</v>
      </c>
    </row>
    <row r="1505" spans="1:7" x14ac:dyDescent="0.25">
      <c r="A1505" s="5">
        <v>45809.791666666664</v>
      </c>
      <c r="B1505">
        <v>54</v>
      </c>
      <c r="C1505" t="s">
        <v>67</v>
      </c>
      <c r="D1505" t="s">
        <v>68</v>
      </c>
      <c r="E1505">
        <v>1.46</v>
      </c>
      <c r="F1505">
        <v>2.4700000000000002</v>
      </c>
      <c r="G1505" s="8">
        <f t="shared" si="23"/>
        <v>35.465587044534409</v>
      </c>
    </row>
    <row r="1506" spans="1:7" x14ac:dyDescent="0.25">
      <c r="A1506" s="5">
        <v>45809.791666666664</v>
      </c>
      <c r="B1506">
        <v>55</v>
      </c>
      <c r="C1506" t="s">
        <v>68</v>
      </c>
      <c r="D1506" t="s">
        <v>69</v>
      </c>
      <c r="E1506">
        <v>1.5</v>
      </c>
      <c r="F1506">
        <v>2.12</v>
      </c>
      <c r="G1506" s="8">
        <f t="shared" si="23"/>
        <v>42.452830188679243</v>
      </c>
    </row>
    <row r="1507" spans="1:7" x14ac:dyDescent="0.25">
      <c r="A1507" s="5">
        <v>45809.791666666664</v>
      </c>
      <c r="B1507">
        <v>56</v>
      </c>
      <c r="C1507" t="s">
        <v>70</v>
      </c>
      <c r="D1507" t="s">
        <v>71</v>
      </c>
      <c r="E1507">
        <v>1.51</v>
      </c>
      <c r="F1507">
        <v>4.1500000000000004</v>
      </c>
      <c r="G1507" s="8">
        <f t="shared" si="23"/>
        <v>21.831325301204817</v>
      </c>
    </row>
    <row r="1508" spans="1:7" x14ac:dyDescent="0.25">
      <c r="A1508" s="5">
        <v>45809.791666666664</v>
      </c>
      <c r="B1508">
        <v>57</v>
      </c>
      <c r="C1508" t="s">
        <v>71</v>
      </c>
      <c r="D1508" t="s">
        <v>72</v>
      </c>
      <c r="E1508">
        <v>1.52</v>
      </c>
      <c r="F1508">
        <v>3.6</v>
      </c>
      <c r="G1508" s="8">
        <f t="shared" si="23"/>
        <v>25.333333333333332</v>
      </c>
    </row>
    <row r="1509" spans="1:7" x14ac:dyDescent="0.25">
      <c r="A1509" s="5">
        <v>45809.791666666664</v>
      </c>
      <c r="B1509">
        <v>58</v>
      </c>
      <c r="C1509" t="s">
        <v>72</v>
      </c>
      <c r="D1509" t="s">
        <v>73</v>
      </c>
      <c r="E1509">
        <v>1.5</v>
      </c>
      <c r="F1509">
        <v>3.42</v>
      </c>
      <c r="G1509" s="8">
        <f t="shared" si="23"/>
        <v>26.315789473684212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4"/>
  <sheetViews>
    <sheetView topLeftCell="B1" workbookViewId="0">
      <selection activeCell="F2" sqref="F2:G2"/>
    </sheetView>
  </sheetViews>
  <sheetFormatPr defaultRowHeight="15" x14ac:dyDescent="0.25"/>
  <cols>
    <col min="1" max="1" width="8.42578125" style="33" customWidth="1"/>
    <col min="2" max="2" width="10.42578125" style="37" customWidth="1"/>
    <col min="3" max="3" width="10.42578125" customWidth="1"/>
    <col min="4" max="6" width="9.5703125" customWidth="1"/>
    <col min="7" max="7" width="9.140625" style="37"/>
    <col min="54" max="54" width="8.42578125" style="33" customWidth="1"/>
  </cols>
  <sheetData>
    <row r="1" spans="1:56" x14ac:dyDescent="0.25">
      <c r="B1" s="90" t="s">
        <v>97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2"/>
      <c r="BC1" s="44"/>
      <c r="BD1" s="44"/>
    </row>
    <row r="2" spans="1:56" ht="15" customHeight="1" x14ac:dyDescent="0.25">
      <c r="A2" s="93" t="s">
        <v>126</v>
      </c>
      <c r="B2" s="89">
        <v>0.29166666666666669</v>
      </c>
      <c r="C2" s="89"/>
      <c r="D2" s="89">
        <v>0.30208333333333331</v>
      </c>
      <c r="E2" s="89"/>
      <c r="F2" s="89">
        <v>0.3125</v>
      </c>
      <c r="G2" s="89"/>
      <c r="H2" s="89">
        <v>0.32291666666666669</v>
      </c>
      <c r="I2" s="89"/>
      <c r="J2" s="89">
        <v>0.33333333333333331</v>
      </c>
      <c r="K2" s="89"/>
      <c r="L2" s="89">
        <v>0.34375</v>
      </c>
      <c r="M2" s="89"/>
      <c r="N2" s="89">
        <v>0.35416666666666669</v>
      </c>
      <c r="O2" s="89"/>
      <c r="P2" s="89">
        <v>0.36458333333333331</v>
      </c>
      <c r="Q2" s="89"/>
      <c r="R2" s="89">
        <v>0.375</v>
      </c>
      <c r="S2" s="89"/>
      <c r="T2" s="89">
        <v>0.38541666666666669</v>
      </c>
      <c r="U2" s="89"/>
      <c r="V2" s="89">
        <v>0.39583333333333331</v>
      </c>
      <c r="W2" s="89"/>
      <c r="X2" s="89">
        <v>0.40625</v>
      </c>
      <c r="Y2" s="89"/>
      <c r="Z2" s="89">
        <v>0.41666666666666669</v>
      </c>
      <c r="AA2" s="89"/>
      <c r="AB2" s="94">
        <v>0.66666666666666663</v>
      </c>
      <c r="AC2" s="94"/>
      <c r="AD2" s="89">
        <v>0.67708333333333337</v>
      </c>
      <c r="AE2" s="89"/>
      <c r="AF2" s="89">
        <v>0.6875</v>
      </c>
      <c r="AG2" s="89"/>
      <c r="AH2" s="89">
        <v>0.69791666666666663</v>
      </c>
      <c r="AI2" s="89"/>
      <c r="AJ2" s="89">
        <v>0.70833333333333337</v>
      </c>
      <c r="AK2" s="89"/>
      <c r="AL2" s="89">
        <v>0.71875</v>
      </c>
      <c r="AM2" s="89"/>
      <c r="AN2" s="89">
        <v>0.72916666666666663</v>
      </c>
      <c r="AO2" s="89"/>
      <c r="AP2" s="89">
        <v>0.73958333333333337</v>
      </c>
      <c r="AQ2" s="89"/>
      <c r="AR2" s="89">
        <v>0.75</v>
      </c>
      <c r="AS2" s="89"/>
      <c r="AT2" s="89">
        <v>0.76041666666666663</v>
      </c>
      <c r="AU2" s="89"/>
      <c r="AV2" s="89">
        <v>0.77083333333333337</v>
      </c>
      <c r="AW2" s="89"/>
      <c r="AX2" s="89">
        <v>0.78125</v>
      </c>
      <c r="AY2" s="89"/>
      <c r="AZ2" s="89">
        <v>0.79166666666666663</v>
      </c>
      <c r="BA2" s="89"/>
      <c r="BB2" s="96" t="s">
        <v>126</v>
      </c>
      <c r="BC2" s="95" t="s">
        <v>97</v>
      </c>
      <c r="BD2" s="95"/>
    </row>
    <row r="3" spans="1:56" x14ac:dyDescent="0.25">
      <c r="A3" s="93"/>
      <c r="B3" s="46" t="s">
        <v>125</v>
      </c>
      <c r="C3" s="44" t="s">
        <v>127</v>
      </c>
      <c r="D3" s="44" t="s">
        <v>125</v>
      </c>
      <c r="E3" s="44" t="s">
        <v>127</v>
      </c>
      <c r="F3" s="44" t="s">
        <v>125</v>
      </c>
      <c r="G3" s="46" t="s">
        <v>127</v>
      </c>
      <c r="H3" s="44" t="s">
        <v>125</v>
      </c>
      <c r="I3" s="44" t="s">
        <v>127</v>
      </c>
      <c r="J3" s="44" t="s">
        <v>125</v>
      </c>
      <c r="K3" s="44" t="s">
        <v>127</v>
      </c>
      <c r="L3" s="44" t="s">
        <v>125</v>
      </c>
      <c r="M3" s="44" t="s">
        <v>127</v>
      </c>
      <c r="N3" s="44" t="s">
        <v>125</v>
      </c>
      <c r="O3" s="44" t="s">
        <v>127</v>
      </c>
      <c r="P3" s="44" t="s">
        <v>125</v>
      </c>
      <c r="Q3" s="44" t="s">
        <v>127</v>
      </c>
      <c r="R3" s="44" t="s">
        <v>125</v>
      </c>
      <c r="S3" s="44" t="s">
        <v>127</v>
      </c>
      <c r="T3" s="44" t="s">
        <v>125</v>
      </c>
      <c r="U3" s="44" t="s">
        <v>127</v>
      </c>
      <c r="V3" s="44" t="s">
        <v>125</v>
      </c>
      <c r="W3" s="44" t="s">
        <v>127</v>
      </c>
      <c r="X3" s="44" t="s">
        <v>125</v>
      </c>
      <c r="Y3" s="44" t="s">
        <v>127</v>
      </c>
      <c r="Z3" s="44" t="s">
        <v>125</v>
      </c>
      <c r="AA3" s="44" t="s">
        <v>127</v>
      </c>
      <c r="AB3" s="44" t="s">
        <v>125</v>
      </c>
      <c r="AC3" s="44" t="s">
        <v>127</v>
      </c>
      <c r="AD3" s="44" t="s">
        <v>125</v>
      </c>
      <c r="AE3" s="44" t="s">
        <v>127</v>
      </c>
      <c r="AF3" s="44" t="s">
        <v>125</v>
      </c>
      <c r="AG3" s="44" t="s">
        <v>127</v>
      </c>
      <c r="AH3" s="44" t="s">
        <v>125</v>
      </c>
      <c r="AI3" s="44" t="s">
        <v>127</v>
      </c>
      <c r="AJ3" s="44" t="s">
        <v>125</v>
      </c>
      <c r="AK3" s="44" t="s">
        <v>127</v>
      </c>
      <c r="AL3" s="44" t="s">
        <v>125</v>
      </c>
      <c r="AM3" s="44" t="s">
        <v>127</v>
      </c>
      <c r="AN3" s="44" t="s">
        <v>125</v>
      </c>
      <c r="AO3" s="44" t="s">
        <v>127</v>
      </c>
      <c r="AP3" s="44" t="s">
        <v>125</v>
      </c>
      <c r="AQ3" s="44" t="s">
        <v>127</v>
      </c>
      <c r="AR3" s="44" t="s">
        <v>125</v>
      </c>
      <c r="AS3" s="44" t="s">
        <v>127</v>
      </c>
      <c r="AT3" s="44" t="s">
        <v>125</v>
      </c>
      <c r="AU3" s="44" t="s">
        <v>127</v>
      </c>
      <c r="AV3" s="44" t="s">
        <v>125</v>
      </c>
      <c r="AW3" s="44" t="s">
        <v>127</v>
      </c>
      <c r="AX3" s="44" t="s">
        <v>125</v>
      </c>
      <c r="AY3" s="44" t="s">
        <v>127</v>
      </c>
      <c r="AZ3" s="44" t="s">
        <v>125</v>
      </c>
      <c r="BA3" s="44" t="s">
        <v>127</v>
      </c>
      <c r="BB3" s="97"/>
      <c r="BC3" s="44" t="s">
        <v>113</v>
      </c>
      <c r="BD3" s="44" t="s">
        <v>128</v>
      </c>
    </row>
    <row r="4" spans="1:56" x14ac:dyDescent="0.25">
      <c r="A4" s="33">
        <v>1</v>
      </c>
      <c r="B4" s="80">
        <f>AVERAGE(Monday!F2,Tuesday!F2,Wednesday!F2,Thursday!F2,Friday!F2)</f>
        <v>2.7920000000000003</v>
      </c>
      <c r="C4" s="80">
        <f>MEDIAN(Monday!F2,Tuesday!F2,Wednesday!F2,Thursday!F2,Friday!F2)</f>
        <v>2.78</v>
      </c>
      <c r="D4" s="80">
        <f>AVERAGE(Monday!F60,Tuesday!F60,Wednesday!F60,Thursday!F60,Friday!F60)</f>
        <v>2.8239999999999998</v>
      </c>
      <c r="E4" s="80">
        <f>MEDIAN(Monday!F60,Tuesday!F60,Wednesday!F60,Thursday!F60,Friday!F60)</f>
        <v>2.82</v>
      </c>
      <c r="F4" s="80">
        <f>AVERAGE(Monday!F118,Tuesday!F118,Wednesday!F118,Thursday!F118,Friday!F118)</f>
        <v>2.8839999999999995</v>
      </c>
      <c r="G4" s="80">
        <f>MEDIAN(Monday!F118,Tuesday!F118,Wednesday!F118,Thursday!F118,Friday!F118)</f>
        <v>2.88</v>
      </c>
      <c r="H4" s="80">
        <f>AVERAGE(Monday!F176,Tuesday!F176,Wednesday!F176,Thursday!F176,Friday!F176)</f>
        <v>2.9319999999999999</v>
      </c>
      <c r="I4" s="80">
        <f>MEDIAN(Monday!F176,Tuesday!F176,Wednesday!F176,Thursday!F176,Friday!F176)</f>
        <v>2.93</v>
      </c>
      <c r="J4" s="80">
        <f>AVERAGE(Monday!F234,Tuesday!F234,Wednesday!F234,Thursday!F234,Friday!F234)</f>
        <v>3.0579999999999998</v>
      </c>
      <c r="K4" s="80">
        <f>MEDIAN(Monday!F234,Tuesday!F234,Wednesday!F234,Thursday!F234,Friday!F234)</f>
        <v>3.03</v>
      </c>
      <c r="L4" s="80">
        <f>AVERAGE(Monday!F292,Tuesday!F292,Wednesday!F292,Thursday!F292,Friday!F292)</f>
        <v>3.0579999999999998</v>
      </c>
      <c r="M4" s="80">
        <f>MEDIAN(Monday!F292,Tuesday!F292,Wednesday!F292,Thursday!F292,Friday!F292)</f>
        <v>3.1</v>
      </c>
      <c r="N4" s="80">
        <f>AVERAGE(Monday!F350,Tuesday!F350,Wednesday!F350,Thursday!F350,Friday!F350)</f>
        <v>3.1280000000000001</v>
      </c>
      <c r="O4" s="80">
        <f>MEDIAN(Monday!F350,Tuesday!F350,Wednesday!F350,Thursday!F350,Friday!F350)</f>
        <v>3.12</v>
      </c>
      <c r="P4" s="80">
        <f>AVERAGE(Monday!F408,Tuesday!F408,Wednesday!F408,Thursday!F408,Friday!F408)</f>
        <v>3.1339999999999995</v>
      </c>
      <c r="Q4" s="80">
        <f>MEDIAN(Monday!F408,Tuesday!F408,Wednesday!F408,Thursday!F408,Friday!F408)</f>
        <v>3.17</v>
      </c>
      <c r="R4" s="80">
        <f>AVERAGE(Monday!F466,Tuesday!F466,Wednesday!F466,Thursday!F466,Friday!F466)</f>
        <v>3.1339999999999999</v>
      </c>
      <c r="S4" s="80">
        <f>MEDIAN(Monday!F466,Tuesday!F466,Wednesday!F466,Thursday!F466,Friday!F466)</f>
        <v>3.15</v>
      </c>
      <c r="T4" s="80">
        <f>AVERAGE(Monday!F524,Tuesday!F524,Wednesday!F524,Thursday!F524,Friday!F524)</f>
        <v>3.1459999999999999</v>
      </c>
      <c r="U4" s="80">
        <f>MEDIAN(Monday!F524,Tuesday!F524,Wednesday!F524,Thursday!F524,Friday!F524)</f>
        <v>3.15</v>
      </c>
      <c r="V4" s="80">
        <f>AVERAGE(Monday!F582,Tuesday!F582,Wednesday!F582,Thursday!F582,Friday!F582)</f>
        <v>3.1559999999999997</v>
      </c>
      <c r="W4" s="80">
        <f>MEDIAN(Monday!F582,Tuesday!F582,Wednesday!F582,Thursday!F582,Friday!F582)</f>
        <v>3.13</v>
      </c>
      <c r="X4" s="80">
        <f>AVERAGE(Monday!F640,Tuesday!F640,Wednesday!F640,Thursday!F640,Friday!F640)</f>
        <v>3.1980000000000004</v>
      </c>
      <c r="Y4" s="80">
        <f>MEDIAN(Monday!F640,Tuesday!F640,Wednesday!F640,Thursday!F640,Friday!F640)</f>
        <v>3.13</v>
      </c>
      <c r="Z4" s="80">
        <f>AVERAGE(Monday!F698,Tuesday!F698,Wednesday!F698,Thursday!F698,Friday!F698)</f>
        <v>3.1720000000000002</v>
      </c>
      <c r="AA4" s="80">
        <f>MEDIAN(Monday!F698,Tuesday!F698,Wednesday!F698,Thursday!F698,Friday!F698)</f>
        <v>3.15</v>
      </c>
      <c r="AB4" s="80">
        <f>AVERAGE(Monday!F756,Tuesday!F756,Wednesday!F756,Thursday!F756,Friday!F756)</f>
        <v>3.3319999999999999</v>
      </c>
      <c r="AC4" s="80">
        <f>MEDIAN(Monday!F756,Tuesday!F756,Wednesday!F756,Thursday!F756,Friday!F756)</f>
        <v>3.27</v>
      </c>
      <c r="AD4" s="80">
        <f>AVERAGE(Monday!F814,Tuesday!F814,Wednesday!F814,Thursday!F814,Friday!F814)</f>
        <v>3.4</v>
      </c>
      <c r="AE4" s="80">
        <f>MEDIAN(Monday!F814,Tuesday!F814,Wednesday!F814,Thursday!F814,Friday!F814)</f>
        <v>3.48</v>
      </c>
      <c r="AF4" s="80">
        <f>AVERAGE(Monday!F872,Tuesday!F872,Wednesday!F872,Thursday!F872,Friday!F872)</f>
        <v>3.3</v>
      </c>
      <c r="AG4" s="80">
        <f>MEDIAN(Monday!F872,Tuesday!F872,Wednesday!F872,Thursday!F872,Friday!F872)</f>
        <v>3.32</v>
      </c>
      <c r="AH4" s="80">
        <f>AVERAGE(Monday!F930,Tuesday!F930,Wednesday!F930,Thursday!F930,Friday!F930)</f>
        <v>3.4340000000000002</v>
      </c>
      <c r="AI4" s="80">
        <f>MEDIAN(Monday!F930,Tuesday!F930,Wednesday!F930,Thursday!F930,Friday!F930)</f>
        <v>3.48</v>
      </c>
      <c r="AJ4" s="80">
        <f>AVERAGE(Monday!F988,Tuesday!F988,Wednesday!F988,Thursday!F988,Friday!F988)</f>
        <v>3.4599999999999995</v>
      </c>
      <c r="AK4" s="80">
        <f>MEDIAN(Monday!F988,Tuesday!F988,Wednesday!F988,Thursday!F988,Friday!F988)</f>
        <v>3.45</v>
      </c>
      <c r="AL4" s="80">
        <f>AVERAGE(Monday!F1046,Tuesday!F1046,Wednesday!F1046,Thursday!F1046,Friday!F1046)</f>
        <v>3.3860000000000001</v>
      </c>
      <c r="AM4" s="80">
        <f>MEDIAN(Monday!F1046,Tuesday!F1046,Wednesday!F1046,Thursday!F1046,Friday!F1046)</f>
        <v>3.4</v>
      </c>
      <c r="AN4" s="80">
        <f>AVERAGE(Monday!F1104,Tuesday!F1104,Wednesday!F1104,Thursday!F1104,Friday!F1104)</f>
        <v>3.3559999999999994</v>
      </c>
      <c r="AO4" s="80">
        <f>MEDIAN(Monday!F1104,Tuesday!F1104,Wednesday!F1104,Thursday!F1104,Friday!F1104)</f>
        <v>3.37</v>
      </c>
      <c r="AP4" s="80">
        <f>AVERAGE(Monday!F1162,Tuesday!F1162,Wednesday!F1162,Thursday!F1162,Friday!F1162)</f>
        <v>3.5539999999999998</v>
      </c>
      <c r="AQ4" s="80">
        <f>MEDIAN(Monday!F1162,Tuesday!F1162,Wednesday!F1162,Thursday!F1162,Friday!F1162)</f>
        <v>3.53</v>
      </c>
      <c r="AR4" s="80">
        <f>AVERAGE(Monday!F1220,Tuesday!F1220,Wednesday!F1220,Thursday!F1220,Friday!F1220)</f>
        <v>3.5799999999999996</v>
      </c>
      <c r="AS4" s="80">
        <f>MEDIAN(Monday!F1220,Tuesday!F1220,Wednesday!F1220,Thursday!F1220,Friday!F1220)</f>
        <v>3.65</v>
      </c>
      <c r="AT4" s="80">
        <f>AVERAGE(Monday!F1278,Tuesday!F1278,Wednesday!F1278,Thursday!F1278,Friday!F1278)</f>
        <v>3.6240000000000001</v>
      </c>
      <c r="AU4" s="80">
        <f>MEDIAN(Monday!F1278,Tuesday!F1278,Wednesday!F1278,Thursday!F1278,Friday!F1278)</f>
        <v>3.67</v>
      </c>
      <c r="AV4" s="80">
        <f>AVERAGE(Monday!F1336,Tuesday!F1336,Wednesday!F1336,Thursday!F1336,Friday!F1336)</f>
        <v>3.7519999999999998</v>
      </c>
      <c r="AW4" s="80">
        <f>MEDIAN(Monday!F1336,Tuesday!F1336,Wednesday!F1336,Thursday!F1336,Friday!F1336)</f>
        <v>3.55</v>
      </c>
      <c r="AX4" s="80">
        <f>AVERAGE(Monday!F1394,Tuesday!F1394,Wednesday!F1394,Thursday!F1394,Friday!F1394)</f>
        <v>3.3899999999999997</v>
      </c>
      <c r="AY4" s="80">
        <f>MEDIAN(Monday!F1394,Tuesday!F1394,Wednesday!F1394,Thursday!F1394,Friday!F1394)</f>
        <v>3.4</v>
      </c>
      <c r="AZ4" s="80">
        <f>AVERAGE(Monday!F1452,Tuesday!F1452,Wednesday!F1452,Thursday!F1452,Friday!F1452)</f>
        <v>3.2880000000000003</v>
      </c>
      <c r="BA4" s="80">
        <f>MEDIAN(Monday!F1452,Tuesday!F1452,Wednesday!F1452,Thursday!F1452,Friday!F1452)</f>
        <v>3.28</v>
      </c>
      <c r="BB4" s="81">
        <v>1</v>
      </c>
      <c r="BC4" s="80">
        <f t="shared" ref="BC4:BC35" si="0">AVERAGE(B4,D4,F4,H4,J4,L4,N4,P4,R4,T4,V4,X4,Z4,AB4,AD4,AF4,AH4,AJ4,AL4,AN4,AP4,AR4,AT4,AV4,AX4,AZ4)</f>
        <v>3.2489230769230764</v>
      </c>
      <c r="BD4" s="80">
        <f>MEDIAN(C4,E4,G4,I4,K4,M4,O4,Q4,S4,U4,W4,Y4,AA4,AC4,AE4,AG4,AI4,AK4,AM4,AO4,AQ4,AS4,AU4,AW4,AY4,BA4)</f>
        <v>3.2199999999999998</v>
      </c>
    </row>
    <row r="5" spans="1:56" x14ac:dyDescent="0.25">
      <c r="A5" s="41">
        <v>2</v>
      </c>
      <c r="B5" s="80">
        <f>AVERAGE(Monday!F3,Tuesday!F3,Wednesday!F3,Thursday!F3,Friday!F3)</f>
        <v>3.9020000000000001</v>
      </c>
      <c r="C5" s="80">
        <f>MEDIAN(Monday!F3,Tuesday!F3,Wednesday!F3,Thursday!F3,Friday!F3)</f>
        <v>3.93</v>
      </c>
      <c r="D5" s="80">
        <f>AVERAGE(Monday!F61,Tuesday!F61,Wednesday!F61,Thursday!F61,Friday!F61)</f>
        <v>3.996</v>
      </c>
      <c r="E5" s="80">
        <f>MEDIAN(Monday!F61,Tuesday!F61,Wednesday!F61,Thursday!F61,Friday!F61)</f>
        <v>4.05</v>
      </c>
      <c r="F5" s="80">
        <f>AVERAGE(Monday!F119,Tuesday!F119,Wednesday!F119,Thursday!F119,Friday!F119)</f>
        <v>4.258</v>
      </c>
      <c r="G5" s="80">
        <f>MEDIAN(Monday!F119,Tuesday!F119,Wednesday!F119,Thursday!F119,Friday!F119)</f>
        <v>4.32</v>
      </c>
      <c r="H5" s="80">
        <f>AVERAGE(Monday!F177,Tuesday!F177,Wednesday!F177,Thursday!F177,Friday!F177)</f>
        <v>4.508</v>
      </c>
      <c r="I5" s="80">
        <f>MEDIAN(Monday!F177,Tuesday!F177,Wednesday!F177,Thursday!F177,Friday!F177)</f>
        <v>4.5199999999999996</v>
      </c>
      <c r="J5" s="80">
        <f>AVERAGE(Monday!F235,Tuesday!F235,Wednesday!F235,Thursday!F235,Friday!F235)</f>
        <v>4.78</v>
      </c>
      <c r="K5" s="80">
        <f>MEDIAN(Monday!F235,Tuesday!F235,Wednesday!F235,Thursday!F235,Friday!F235)</f>
        <v>4.75</v>
      </c>
      <c r="L5" s="80">
        <f>AVERAGE(Monday!F293,Tuesday!F293,Wednesday!F293,Thursday!F293,Friday!F293)</f>
        <v>4.9039999999999999</v>
      </c>
      <c r="M5" s="80">
        <f>MEDIAN(Monday!F293,Tuesday!F293,Wednesday!F293,Thursday!F293,Friday!F293)</f>
        <v>4.95</v>
      </c>
      <c r="N5" s="80">
        <f>AVERAGE(Monday!F351,Tuesday!F351,Wednesday!F351,Thursday!F351,Friday!F351)</f>
        <v>5.2640000000000002</v>
      </c>
      <c r="O5" s="80">
        <f>MEDIAN(Monday!F351,Tuesday!F351,Wednesday!F351,Thursday!F351,Friday!F351)</f>
        <v>5.3</v>
      </c>
      <c r="P5" s="80">
        <f>AVERAGE(Monday!F409,Tuesday!F409,Wednesday!F409,Thursday!F409,Friday!F409)</f>
        <v>5.4640000000000004</v>
      </c>
      <c r="Q5" s="80">
        <f>MEDIAN(Monday!F409,Tuesday!F409,Wednesday!F409,Thursday!F409,Friday!F409)</f>
        <v>5.55</v>
      </c>
      <c r="R5" s="80">
        <f>AVERAGE(Monday!F467,Tuesday!F467,Wednesday!F467,Thursday!F467,Friday!F467)</f>
        <v>5.1059999999999999</v>
      </c>
      <c r="S5" s="80">
        <f>MEDIAN(Monday!F467,Tuesday!F467,Wednesday!F467,Thursday!F467,Friday!F467)</f>
        <v>5.13</v>
      </c>
      <c r="T5" s="80">
        <f>AVERAGE(Monday!F525,Tuesday!F525,Wednesday!F525,Thursday!F525,Friday!F525)</f>
        <v>4.8519999999999994</v>
      </c>
      <c r="U5" s="80">
        <f>MEDIAN(Monday!F525,Tuesday!F525,Wednesday!F525,Thursday!F525,Friday!F525)</f>
        <v>4.87</v>
      </c>
      <c r="V5" s="80">
        <f>AVERAGE(Monday!F583,Tuesday!F583,Wednesday!F583,Thursday!F583,Friday!F583)</f>
        <v>5.0220000000000002</v>
      </c>
      <c r="W5" s="80">
        <f>MEDIAN(Monday!F583,Tuesday!F583,Wednesday!F583,Thursday!F583,Friday!F583)</f>
        <v>5.0199999999999996</v>
      </c>
      <c r="X5" s="80">
        <f>AVERAGE(Monday!F641,Tuesday!F641,Wednesday!F641,Thursday!F641,Friday!F641)</f>
        <v>4.9659999999999993</v>
      </c>
      <c r="Y5" s="80">
        <f>MEDIAN(Monday!F641,Tuesday!F641,Wednesday!F641,Thursday!F641,Friday!F641)</f>
        <v>4.97</v>
      </c>
      <c r="Z5" s="80">
        <f>AVERAGE(Monday!F699,Tuesday!F699,Wednesday!F699,Thursday!F699,Friday!F699)</f>
        <v>4.992</v>
      </c>
      <c r="AA5" s="80">
        <f>MEDIAN(Monday!F699,Tuesday!F699,Wednesday!F699,Thursday!F699,Friday!F699)</f>
        <v>4.92</v>
      </c>
      <c r="AB5" s="80">
        <f>AVERAGE(Monday!F757,Tuesday!F757,Wednesday!F757,Thursday!F757,Friday!F757)</f>
        <v>5.6219999999999999</v>
      </c>
      <c r="AC5" s="80">
        <f>MEDIAN(Monday!F757,Tuesday!F757,Wednesday!F757,Thursday!F757,Friday!F757)</f>
        <v>5.63</v>
      </c>
      <c r="AD5" s="80">
        <f>AVERAGE(Monday!F815,Tuesday!F815,Wednesday!F815,Thursday!F815,Friday!F815)</f>
        <v>5.6639999999999997</v>
      </c>
      <c r="AE5" s="80">
        <f>MEDIAN(Monday!F815,Tuesday!F815,Wednesday!F815,Thursday!F815,Friday!F815)</f>
        <v>5.7</v>
      </c>
      <c r="AF5" s="80">
        <f>AVERAGE(Monday!F873,Tuesday!F873,Wednesday!F873,Thursday!F873,Friday!F873)</f>
        <v>5.8500000000000005</v>
      </c>
      <c r="AG5" s="80">
        <f>MEDIAN(Monday!F873,Tuesday!F873,Wednesday!F873,Thursday!F873,Friday!F873)</f>
        <v>5.75</v>
      </c>
      <c r="AH5" s="80">
        <f>AVERAGE(Monday!F931,Tuesday!F931,Wednesday!F931,Thursday!F931,Friday!F931)</f>
        <v>5.7859999999999996</v>
      </c>
      <c r="AI5" s="80">
        <f>MEDIAN(Monday!F931,Tuesday!F931,Wednesday!F931,Thursday!F931,Friday!F931)</f>
        <v>6.02</v>
      </c>
      <c r="AJ5" s="80">
        <f>AVERAGE(Monday!F989,Tuesday!F989,Wednesday!F989,Thursday!F989,Friday!F989)</f>
        <v>5.9700000000000006</v>
      </c>
      <c r="AK5" s="80">
        <f>MEDIAN(Monday!F989,Tuesday!F989,Wednesday!F989,Thursday!F989,Friday!F989)</f>
        <v>6.03</v>
      </c>
      <c r="AL5" s="80">
        <f>AVERAGE(Monday!F1047,Tuesday!F1047,Wednesday!F1047,Thursday!F1047,Friday!F1047)</f>
        <v>5.75</v>
      </c>
      <c r="AM5" s="80">
        <f>MEDIAN(Monday!F1047,Tuesday!F1047,Wednesday!F1047,Thursday!F1047,Friday!F1047)</f>
        <v>5.77</v>
      </c>
      <c r="AN5" s="80">
        <f>AVERAGE(Monday!F1105,Tuesday!F1105,Wednesday!F1105,Thursday!F1105,Friday!F1105)</f>
        <v>5.9339999999999993</v>
      </c>
      <c r="AO5" s="80">
        <f>MEDIAN(Monday!F1105,Tuesday!F1105,Wednesday!F1105,Thursday!F1105,Friday!F1105)</f>
        <v>5.95</v>
      </c>
      <c r="AP5" s="80">
        <f>AVERAGE(Monday!F1163,Tuesday!F1163,Wednesday!F1163,Thursday!F1163,Friday!F1163)</f>
        <v>7.1019999999999994</v>
      </c>
      <c r="AQ5" s="80">
        <f>MEDIAN(Monday!F1163,Tuesday!F1163,Wednesday!F1163,Thursday!F1163,Friday!F1163)</f>
        <v>6.65</v>
      </c>
      <c r="AR5" s="80">
        <f>AVERAGE(Monday!F1221,Tuesday!F1221,Wednesday!F1221,Thursday!F1221,Friday!F1221)</f>
        <v>7.2419999999999991</v>
      </c>
      <c r="AS5" s="80">
        <f>MEDIAN(Monday!F1221,Tuesday!F1221,Wednesday!F1221,Thursday!F1221,Friday!F1221)</f>
        <v>7.22</v>
      </c>
      <c r="AT5" s="80">
        <f>AVERAGE(Monday!F1279,Tuesday!F1279,Wednesday!F1279,Thursday!F1279,Friday!F1279)</f>
        <v>6.8400000000000007</v>
      </c>
      <c r="AU5" s="80">
        <f>MEDIAN(Monday!F1279,Tuesday!F1279,Wednesday!F1279,Thursday!F1279,Friday!F1279)</f>
        <v>6.6</v>
      </c>
      <c r="AV5" s="80">
        <f>AVERAGE(Monday!F1337,Tuesday!F1337,Wednesday!F1337,Thursday!F1337,Friday!F1337)</f>
        <v>7.0320000000000009</v>
      </c>
      <c r="AW5" s="80">
        <f>MEDIAN(Monday!F1337,Tuesday!F1337,Wednesday!F1337,Thursday!F1337,Friday!F1337)</f>
        <v>7.07</v>
      </c>
      <c r="AX5" s="80">
        <f>AVERAGE(Monday!F1395,Tuesday!F1395,Wednesday!F1395,Thursday!F1395,Friday!F1395)</f>
        <v>7.0479999999999992</v>
      </c>
      <c r="AY5" s="80">
        <f>MEDIAN(Monday!F1395,Tuesday!F1395,Wednesday!F1395,Thursday!F1395,Friday!F1395)</f>
        <v>6.47</v>
      </c>
      <c r="AZ5" s="80">
        <f>AVERAGE(Monday!F1453,Tuesday!F1453,Wednesday!F1453,Thursday!F1453,Friday!F1453)</f>
        <v>5.774</v>
      </c>
      <c r="BA5" s="80">
        <f>MEDIAN(Monday!F1453,Tuesday!F1453,Wednesday!F1453,Thursday!F1453,Friday!F1453)</f>
        <v>5.7</v>
      </c>
      <c r="BB5" s="82">
        <v>2</v>
      </c>
      <c r="BC5" s="80">
        <f t="shared" si="0"/>
        <v>5.5241538461538466</v>
      </c>
      <c r="BD5" s="80">
        <f t="shared" ref="BD5:BD61" si="1">MEDIAN(C5,E5,G5,I5,K5,M5,O5,Q5,S5,U5,W5,Y5,AA5,AC5,AE5,AG5,AI5,AK5,AM5,AO5,AQ5,AS5,AU5,AW5,AY5,BA5)</f>
        <v>5.59</v>
      </c>
    </row>
    <row r="6" spans="1:56" x14ac:dyDescent="0.25">
      <c r="A6" s="33">
        <v>3</v>
      </c>
      <c r="B6" s="80">
        <f>AVERAGE(Monday!F4,Tuesday!F4,Wednesday!F4,Thursday!F4,Friday!F4)</f>
        <v>2.6560000000000001</v>
      </c>
      <c r="C6" s="80">
        <f>MEDIAN(Monday!F4,Tuesday!F4,Wednesday!F4,Thursday!F4,Friday!F4)</f>
        <v>2.63</v>
      </c>
      <c r="D6" s="80">
        <f>AVERAGE(Monday!F62,Tuesday!F62,Wednesday!F62,Thursday!F62,Friday!F62)</f>
        <v>2.6900000000000004</v>
      </c>
      <c r="E6" s="80">
        <f>MEDIAN(Monday!F62,Tuesday!F62,Wednesday!F62,Thursday!F62,Friday!F62)</f>
        <v>2.72</v>
      </c>
      <c r="F6" s="80">
        <f>AVERAGE(Monday!F120,Tuesday!F120,Wednesday!F120,Thursday!F120,Friday!F120)</f>
        <v>2.7639999999999998</v>
      </c>
      <c r="G6" s="80">
        <f>MEDIAN(Monday!F120,Tuesday!F120,Wednesday!F120,Thursday!F120,Friday!F120)</f>
        <v>2.77</v>
      </c>
      <c r="H6" s="80">
        <f>AVERAGE(Monday!F178,Tuesday!F178,Wednesday!F178,Thursday!F178,Friday!F178)</f>
        <v>2.84</v>
      </c>
      <c r="I6" s="80">
        <f>MEDIAN(Monday!F178,Tuesday!F178,Wednesday!F178,Thursday!F178,Friday!F178)</f>
        <v>2.83</v>
      </c>
      <c r="J6" s="80">
        <f>AVERAGE(Monday!F236,Tuesday!F236,Wednesday!F236,Thursday!F236,Friday!F236)</f>
        <v>2.976</v>
      </c>
      <c r="K6" s="80">
        <f>MEDIAN(Monday!F236,Tuesday!F236,Wednesday!F236,Thursday!F236,Friday!F236)</f>
        <v>3</v>
      </c>
      <c r="L6" s="80">
        <f>AVERAGE(Monday!F294,Tuesday!F294,Wednesday!F294,Thursday!F294,Friday!F294)</f>
        <v>3.0619999999999998</v>
      </c>
      <c r="M6" s="80">
        <f>MEDIAN(Monday!F294,Tuesday!F294,Wednesday!F294,Thursday!F294,Friday!F294)</f>
        <v>3.05</v>
      </c>
      <c r="N6" s="80">
        <f>AVERAGE(Monday!F352,Tuesday!F352,Wednesday!F352,Thursday!F352,Friday!F352)</f>
        <v>3.036</v>
      </c>
      <c r="O6" s="80">
        <f>MEDIAN(Monday!F352,Tuesday!F352,Wednesday!F352,Thursday!F352,Friday!F352)</f>
        <v>3.02</v>
      </c>
      <c r="P6" s="80">
        <f>AVERAGE(Monday!F410,Tuesday!F410,Wednesday!F410,Thursday!F410,Friday!F410)</f>
        <v>3.0379999999999994</v>
      </c>
      <c r="Q6" s="80">
        <f>MEDIAN(Monday!F410,Tuesday!F410,Wednesday!F410,Thursday!F410,Friday!F410)</f>
        <v>3.07</v>
      </c>
      <c r="R6" s="80">
        <f>AVERAGE(Monday!F468,Tuesday!F468,Wednesday!F468,Thursday!F468,Friday!F468)</f>
        <v>3.0920000000000001</v>
      </c>
      <c r="S6" s="80">
        <f>MEDIAN(Monday!F468,Tuesday!F468,Wednesday!F468,Thursday!F468,Friday!F468)</f>
        <v>3.07</v>
      </c>
      <c r="T6" s="80">
        <f>AVERAGE(Monday!F526,Tuesday!F526,Wednesday!F526,Thursday!F526,Friday!F526)</f>
        <v>3.16</v>
      </c>
      <c r="U6" s="80">
        <f>MEDIAN(Monday!F526,Tuesday!F526,Wednesday!F526,Thursday!F526,Friday!F526)</f>
        <v>3.12</v>
      </c>
      <c r="V6" s="80">
        <f>AVERAGE(Monday!F584,Tuesday!F584,Wednesday!F584,Thursday!F584,Friday!F584)</f>
        <v>3.02</v>
      </c>
      <c r="W6" s="80">
        <f>MEDIAN(Monday!F584,Tuesday!F584,Wednesday!F584,Thursday!F584,Friday!F584)</f>
        <v>3.03</v>
      </c>
      <c r="X6" s="80">
        <f>AVERAGE(Monday!F642,Tuesday!F642,Wednesday!F642,Thursday!F642,Friday!F642)</f>
        <v>3.0680000000000001</v>
      </c>
      <c r="Y6" s="80">
        <f>MEDIAN(Monday!F642,Tuesday!F642,Wednesday!F642,Thursday!F642,Friday!F642)</f>
        <v>3.07</v>
      </c>
      <c r="Z6" s="80">
        <f>AVERAGE(Monday!F700,Tuesday!F700,Wednesday!F700,Thursday!F700,Friday!F700)</f>
        <v>3.0579999999999998</v>
      </c>
      <c r="AA6" s="80">
        <f>MEDIAN(Monday!F700,Tuesday!F700,Wednesday!F700,Thursday!F700,Friday!F700)</f>
        <v>3.08</v>
      </c>
      <c r="AB6" s="80">
        <f>AVERAGE(Monday!F758,Tuesday!F758,Wednesday!F758,Thursday!F758,Friday!F758)</f>
        <v>3.226</v>
      </c>
      <c r="AC6" s="80">
        <f>MEDIAN(Monday!F758,Tuesday!F758,Wednesday!F758,Thursday!F758,Friday!F758)</f>
        <v>3.2</v>
      </c>
      <c r="AD6" s="80">
        <f>AVERAGE(Monday!F816,Tuesday!F816,Wednesday!F816,Thursday!F816,Friday!F816)</f>
        <v>3.34</v>
      </c>
      <c r="AE6" s="80">
        <f>MEDIAN(Monday!F816,Tuesday!F816,Wednesday!F816,Thursday!F816,Friday!F816)</f>
        <v>3.38</v>
      </c>
      <c r="AF6" s="80">
        <f>AVERAGE(Monday!F874,Tuesday!F874,Wednesday!F874,Thursday!F874,Friday!F874)</f>
        <v>3.2779999999999996</v>
      </c>
      <c r="AG6" s="80">
        <f>MEDIAN(Monday!F874,Tuesday!F874,Wednesday!F874,Thursday!F874,Friday!F874)</f>
        <v>3.3</v>
      </c>
      <c r="AH6" s="80">
        <f>AVERAGE(Monday!F932,Tuesday!F932,Wednesday!F932,Thursday!F932,Friday!F932)</f>
        <v>3.2979999999999996</v>
      </c>
      <c r="AI6" s="80">
        <f>MEDIAN(Monday!F932,Tuesday!F932,Wednesday!F932,Thursday!F932,Friday!F932)</f>
        <v>3.35</v>
      </c>
      <c r="AJ6" s="80">
        <f>AVERAGE(Monday!F990,Tuesday!F990,Wednesday!F990,Thursday!F990,Friday!F990)</f>
        <v>3.3759999999999999</v>
      </c>
      <c r="AK6" s="80">
        <f>MEDIAN(Monday!F990,Tuesday!F990,Wednesday!F990,Thursday!F990,Friday!F990)</f>
        <v>3.4</v>
      </c>
      <c r="AL6" s="80">
        <f>AVERAGE(Monday!F1048,Tuesday!F1048,Wednesday!F1048,Thursday!F1048,Friday!F1048)</f>
        <v>3.4579999999999997</v>
      </c>
      <c r="AM6" s="80">
        <f>MEDIAN(Monday!F1048,Tuesday!F1048,Wednesday!F1048,Thursday!F1048,Friday!F1048)</f>
        <v>3.42</v>
      </c>
      <c r="AN6" s="80">
        <f>AVERAGE(Monday!F1106,Tuesday!F1106,Wednesday!F1106,Thursday!F1106,Friday!F1106)</f>
        <v>3.4520000000000004</v>
      </c>
      <c r="AO6" s="80">
        <f>MEDIAN(Monday!F1106,Tuesday!F1106,Wednesday!F1106,Thursday!F1106,Friday!F1106)</f>
        <v>3.47</v>
      </c>
      <c r="AP6" s="80">
        <f>AVERAGE(Monday!F1164,Tuesday!F1164,Wednesday!F1164,Thursday!F1164,Friday!F1164)</f>
        <v>3.4520000000000004</v>
      </c>
      <c r="AQ6" s="80">
        <f>MEDIAN(Monday!F1164,Tuesday!F1164,Wednesday!F1164,Thursday!F1164,Friday!F1164)</f>
        <v>3.45</v>
      </c>
      <c r="AR6" s="80">
        <f>AVERAGE(Monday!F1222,Tuesday!F1222,Wednesday!F1222,Thursday!F1222,Friday!F1222)</f>
        <v>3.8639999999999999</v>
      </c>
      <c r="AS6" s="80">
        <f>MEDIAN(Monday!F1222,Tuesday!F1222,Wednesday!F1222,Thursday!F1222,Friday!F1222)</f>
        <v>3.83</v>
      </c>
      <c r="AT6" s="80">
        <f>AVERAGE(Monday!F1280,Tuesday!F1280,Wednesday!F1280,Thursday!F1280,Friday!F1280)</f>
        <v>3.976</v>
      </c>
      <c r="AU6" s="80">
        <f>MEDIAN(Monday!F1280,Tuesday!F1280,Wednesday!F1280,Thursday!F1280,Friday!F1280)</f>
        <v>4</v>
      </c>
      <c r="AV6" s="80">
        <f>AVERAGE(Monday!F1338,Tuesday!F1338,Wednesday!F1338,Thursday!F1338,Friday!F1338)</f>
        <v>4.0119999999999996</v>
      </c>
      <c r="AW6" s="80">
        <f>MEDIAN(Monday!F1338,Tuesday!F1338,Wednesday!F1338,Thursday!F1338,Friday!F1338)</f>
        <v>4.03</v>
      </c>
      <c r="AX6" s="80">
        <f>AVERAGE(Monday!F1396,Tuesday!F1396,Wednesday!F1396,Thursday!F1396,Friday!F1396)</f>
        <v>4.048</v>
      </c>
      <c r="AY6" s="80">
        <f>MEDIAN(Monday!F1396,Tuesday!F1396,Wednesday!F1396,Thursday!F1396,Friday!F1396)</f>
        <v>4.05</v>
      </c>
      <c r="AZ6" s="80">
        <f>AVERAGE(Monday!F1454,Tuesday!F1454,Wednesday!F1454,Thursday!F1454,Friday!F1454)</f>
        <v>4.0720000000000001</v>
      </c>
      <c r="BA6" s="80">
        <f>MEDIAN(Monday!F1454,Tuesday!F1454,Wednesday!F1454,Thursday!F1454,Friday!F1454)</f>
        <v>3.98</v>
      </c>
      <c r="BB6" s="81">
        <v>3</v>
      </c>
      <c r="BC6" s="80">
        <f t="shared" si="0"/>
        <v>3.2812307692307692</v>
      </c>
      <c r="BD6" s="80">
        <f t="shared" si="1"/>
        <v>3.16</v>
      </c>
    </row>
    <row r="7" spans="1:56" x14ac:dyDescent="0.25">
      <c r="A7" s="33">
        <v>4</v>
      </c>
      <c r="B7" s="80">
        <f>AVERAGE(Monday!F5,Tuesday!F5,Wednesday!F5,Thursday!F5,Friday!F5)</f>
        <v>2.4319999999999999</v>
      </c>
      <c r="C7" s="80">
        <f>MEDIAN(Monday!F5,Tuesday!F5,Wednesday!F5,Thursday!F5,Friday!F5)</f>
        <v>2.4300000000000002</v>
      </c>
      <c r="D7" s="80">
        <f>AVERAGE(Monday!F63,Tuesday!F63,Wednesday!F63,Thursday!F63,Friday!F63)</f>
        <v>2.532</v>
      </c>
      <c r="E7" s="80">
        <f>MEDIAN(Monday!F63,Tuesday!F63,Wednesday!F63,Thursday!F63,Friday!F63)</f>
        <v>2.58</v>
      </c>
      <c r="F7" s="80">
        <f>AVERAGE(Monday!F121,Tuesday!F121,Wednesday!F121,Thursday!F121,Friday!F121)</f>
        <v>2.6259999999999999</v>
      </c>
      <c r="G7" s="80">
        <f>MEDIAN(Monday!F121,Tuesday!F121,Wednesday!F121,Thursday!F121,Friday!F121)</f>
        <v>2.62</v>
      </c>
      <c r="H7" s="80">
        <f>AVERAGE(Monday!F179,Tuesday!F179,Wednesday!F179,Thursday!F179,Friday!F179)</f>
        <v>2.5859999999999999</v>
      </c>
      <c r="I7" s="80">
        <f>MEDIAN(Monday!F179,Tuesday!F179,Wednesday!F179,Thursday!F179,Friday!F179)</f>
        <v>2.6</v>
      </c>
      <c r="J7" s="80">
        <f>AVERAGE(Monday!F237,Tuesday!F237,Wednesday!F237,Thursday!F237,Friday!F237)</f>
        <v>2.5960000000000001</v>
      </c>
      <c r="K7" s="80">
        <f>MEDIAN(Monday!F237,Tuesday!F237,Wednesday!F237,Thursday!F237,Friday!F237)</f>
        <v>2.57</v>
      </c>
      <c r="L7" s="80">
        <f>AVERAGE(Monday!F295,Tuesday!F295,Wednesday!F295,Thursday!F295,Friday!F295)</f>
        <v>2.6060000000000003</v>
      </c>
      <c r="M7" s="80">
        <f>MEDIAN(Monday!F295,Tuesday!F295,Wednesday!F295,Thursday!F295,Friday!F295)</f>
        <v>2.65</v>
      </c>
      <c r="N7" s="80">
        <f>AVERAGE(Monday!F353,Tuesday!F353,Wednesday!F353,Thursday!F353,Friday!F353)</f>
        <v>2.6879999999999997</v>
      </c>
      <c r="O7" s="80">
        <f>MEDIAN(Monday!F353,Tuesday!F353,Wednesday!F353,Thursday!F353,Friday!F353)</f>
        <v>2.7</v>
      </c>
      <c r="P7" s="80">
        <f>AVERAGE(Monday!F411,Tuesday!F411,Wednesday!F411,Thursday!F411,Friday!F411)</f>
        <v>2.746</v>
      </c>
      <c r="Q7" s="80">
        <f>MEDIAN(Monday!F411,Tuesday!F411,Wednesday!F411,Thursday!F411,Friday!F411)</f>
        <v>2.73</v>
      </c>
      <c r="R7" s="80">
        <f>AVERAGE(Monday!F469,Tuesday!F469,Wednesday!F469,Thursday!F469,Friday!F469)</f>
        <v>2.8540000000000005</v>
      </c>
      <c r="S7" s="80">
        <f>MEDIAN(Monday!F469,Tuesday!F469,Wednesday!F469,Thursday!F469,Friday!F469)</f>
        <v>2.87</v>
      </c>
      <c r="T7" s="80">
        <f>AVERAGE(Monday!F527,Tuesday!F527,Wednesday!F527,Thursday!F527,Friday!F527)</f>
        <v>2.8380000000000001</v>
      </c>
      <c r="U7" s="80">
        <f>MEDIAN(Monday!F527,Tuesday!F527,Wednesday!F527,Thursday!F527,Friday!F527)</f>
        <v>2.83</v>
      </c>
      <c r="V7" s="80">
        <f>AVERAGE(Monday!F585,Tuesday!F585,Wednesday!F585,Thursday!F585,Friday!F585)</f>
        <v>2.8459999999999996</v>
      </c>
      <c r="W7" s="80">
        <f>MEDIAN(Monday!F585,Tuesday!F585,Wednesday!F585,Thursday!F585,Friday!F585)</f>
        <v>2.85</v>
      </c>
      <c r="X7" s="80">
        <f>AVERAGE(Monday!F643,Tuesday!F643,Wednesday!F643,Thursday!F643,Friday!F643)</f>
        <v>2.7359999999999998</v>
      </c>
      <c r="Y7" s="80">
        <f>MEDIAN(Monday!F643,Tuesday!F643,Wednesday!F643,Thursday!F643,Friday!F643)</f>
        <v>2.68</v>
      </c>
      <c r="Z7" s="80">
        <f>AVERAGE(Monday!F701,Tuesday!F701,Wednesday!F701,Thursday!F701,Friday!F701)</f>
        <v>2.7979999999999996</v>
      </c>
      <c r="AA7" s="80">
        <f>MEDIAN(Monday!F701,Tuesday!F701,Wednesday!F701,Thursday!F701,Friday!F701)</f>
        <v>2.78</v>
      </c>
      <c r="AB7" s="80">
        <f>AVERAGE(Monday!F759,Tuesday!F759,Wednesday!F759,Thursday!F759,Friday!F759)</f>
        <v>3.0759999999999996</v>
      </c>
      <c r="AC7" s="80">
        <f>MEDIAN(Monday!F759,Tuesday!F759,Wednesday!F759,Thursday!F759,Friday!F759)</f>
        <v>3.08</v>
      </c>
      <c r="AD7" s="80">
        <f>AVERAGE(Monday!F817,Tuesday!F817,Wednesday!F817,Thursday!F817,Friday!F817)</f>
        <v>3.2220000000000004</v>
      </c>
      <c r="AE7" s="80">
        <f>MEDIAN(Monday!F817,Tuesday!F817,Wednesday!F817,Thursday!F817,Friday!F817)</f>
        <v>3.2</v>
      </c>
      <c r="AF7" s="80">
        <f>AVERAGE(Monday!F875,Tuesday!F875,Wednesday!F875,Thursday!F875,Friday!F875)</f>
        <v>3.14</v>
      </c>
      <c r="AG7" s="80">
        <f>MEDIAN(Monday!F875,Tuesday!F875,Wednesday!F875,Thursday!F875,Friday!F875)</f>
        <v>3.15</v>
      </c>
      <c r="AH7" s="80">
        <f>AVERAGE(Monday!F933,Tuesday!F933,Wednesday!F933,Thursday!F933,Friday!F933)</f>
        <v>3.19</v>
      </c>
      <c r="AI7" s="80">
        <f>MEDIAN(Monday!F933,Tuesday!F933,Wednesday!F933,Thursday!F933,Friday!F933)</f>
        <v>3.17</v>
      </c>
      <c r="AJ7" s="80">
        <f>AVERAGE(Monday!F991,Tuesday!F991,Wednesday!F991,Thursday!F991,Friday!F991)</f>
        <v>3.1539999999999999</v>
      </c>
      <c r="AK7" s="80">
        <f>MEDIAN(Monday!F991,Tuesday!F991,Wednesday!F991,Thursday!F991,Friday!F991)</f>
        <v>3.13</v>
      </c>
      <c r="AL7" s="80">
        <f>AVERAGE(Monday!F1049,Tuesday!F1049,Wednesday!F1049,Thursday!F1049,Friday!F1049)</f>
        <v>3.17</v>
      </c>
      <c r="AM7" s="80">
        <f>MEDIAN(Monday!F1049,Tuesday!F1049,Wednesday!F1049,Thursday!F1049,Friday!F1049)</f>
        <v>3.08</v>
      </c>
      <c r="AN7" s="80">
        <f>AVERAGE(Monday!F1107,Tuesday!F1107,Wednesday!F1107,Thursday!F1107,Friday!F1107)</f>
        <v>2.968</v>
      </c>
      <c r="AO7" s="80">
        <f>MEDIAN(Monday!F1107,Tuesday!F1107,Wednesday!F1107,Thursday!F1107,Friday!F1107)</f>
        <v>2.93</v>
      </c>
      <c r="AP7" s="80">
        <f>AVERAGE(Monday!F1165,Tuesday!F1165,Wednesday!F1165,Thursday!F1165,Friday!F1165)</f>
        <v>3.024</v>
      </c>
      <c r="AQ7" s="80">
        <f>MEDIAN(Monday!F1165,Tuesday!F1165,Wednesday!F1165,Thursday!F1165,Friday!F1165)</f>
        <v>3</v>
      </c>
      <c r="AR7" s="80">
        <f>AVERAGE(Monday!F1223,Tuesday!F1223,Wednesday!F1223,Thursday!F1223,Friday!F1223)</f>
        <v>3.2939999999999996</v>
      </c>
      <c r="AS7" s="80">
        <f>MEDIAN(Monday!F1223,Tuesday!F1223,Wednesday!F1223,Thursday!F1223,Friday!F1223)</f>
        <v>3.25</v>
      </c>
      <c r="AT7" s="80">
        <f>AVERAGE(Monday!F1281,Tuesday!F1281,Wednesday!F1281,Thursday!F1281,Friday!F1281)</f>
        <v>3.2299999999999995</v>
      </c>
      <c r="AU7" s="80">
        <f>MEDIAN(Monday!F1281,Tuesday!F1281,Wednesday!F1281,Thursday!F1281,Friday!F1281)</f>
        <v>3.13</v>
      </c>
      <c r="AV7" s="80">
        <f>AVERAGE(Monday!F1339,Tuesday!F1339,Wednesday!F1339,Thursday!F1339,Friday!F1339)</f>
        <v>3.41</v>
      </c>
      <c r="AW7" s="80">
        <f>MEDIAN(Monday!F1339,Tuesday!F1339,Wednesday!F1339,Thursday!F1339,Friday!F1339)</f>
        <v>3.32</v>
      </c>
      <c r="AX7" s="80">
        <f>AVERAGE(Monday!F1397,Tuesday!F1397,Wednesday!F1397,Thursday!F1397,Friday!F1397)</f>
        <v>3.4119999999999999</v>
      </c>
      <c r="AY7" s="80">
        <f>MEDIAN(Monday!F1397,Tuesday!F1397,Wednesday!F1397,Thursday!F1397,Friday!F1397)</f>
        <v>3.27</v>
      </c>
      <c r="AZ7" s="80">
        <f>AVERAGE(Monday!F1455,Tuesday!F1455,Wednesday!F1455,Thursday!F1455,Friday!F1455)</f>
        <v>3.37</v>
      </c>
      <c r="BA7" s="80">
        <f>MEDIAN(Monday!F1455,Tuesday!F1455,Wednesday!F1455,Thursday!F1455,Friday!F1455)</f>
        <v>3.35</v>
      </c>
      <c r="BB7" s="81">
        <v>4</v>
      </c>
      <c r="BC7" s="80">
        <f t="shared" si="0"/>
        <v>2.9440000000000004</v>
      </c>
      <c r="BD7" s="80">
        <f t="shared" si="1"/>
        <v>2.9000000000000004</v>
      </c>
    </row>
    <row r="8" spans="1:56" x14ac:dyDescent="0.25">
      <c r="A8" s="33">
        <v>5</v>
      </c>
      <c r="B8" s="80">
        <f>AVERAGE(Monday!F6,Tuesday!F6,Wednesday!F6,Thursday!F6,Friday!F6)</f>
        <v>2.6659999999999999</v>
      </c>
      <c r="C8" s="80">
        <f>MEDIAN(Monday!F6,Tuesday!F6,Wednesday!F6,Thursday!F6,Friday!F6)</f>
        <v>2.68</v>
      </c>
      <c r="D8" s="80">
        <f>AVERAGE(Monday!F64,Tuesday!F64,Wednesday!F64,Thursday!F64,Friday!F64)</f>
        <v>2.7920000000000003</v>
      </c>
      <c r="E8" s="80">
        <f>MEDIAN(Monday!F64,Tuesday!F64,Wednesday!F64,Thursday!F64,Friday!F64)</f>
        <v>2.75</v>
      </c>
      <c r="F8" s="80">
        <f>AVERAGE(Monday!F122,Tuesday!F122,Wednesday!F122,Thursday!F122,Friday!F122)</f>
        <v>2.8639999999999999</v>
      </c>
      <c r="G8" s="80">
        <f>MEDIAN(Monday!F122,Tuesday!F122,Wednesday!F122,Thursday!F122,Friday!F122)</f>
        <v>2.88</v>
      </c>
      <c r="H8" s="80">
        <f>AVERAGE(Monday!F180,Tuesday!F180,Wednesday!F180,Thursday!F180,Friday!F180)</f>
        <v>2.9620000000000002</v>
      </c>
      <c r="I8" s="80">
        <f>MEDIAN(Monday!F180,Tuesday!F180,Wednesday!F180,Thursday!F180,Friday!F180)</f>
        <v>2.92</v>
      </c>
      <c r="J8" s="80">
        <f>AVERAGE(Monday!F238,Tuesday!F238,Wednesday!F238,Thursday!F238,Friday!F238)</f>
        <v>2.97</v>
      </c>
      <c r="K8" s="80">
        <f>MEDIAN(Monday!F238,Tuesday!F238,Wednesday!F238,Thursday!F238,Friday!F238)</f>
        <v>2.97</v>
      </c>
      <c r="L8" s="80">
        <f>AVERAGE(Monday!F296,Tuesday!F296,Wednesday!F296,Thursday!F296,Friday!F296)</f>
        <v>3.0959999999999996</v>
      </c>
      <c r="M8" s="80">
        <f>MEDIAN(Monday!F296,Tuesday!F296,Wednesday!F296,Thursday!F296,Friday!F296)</f>
        <v>3.15</v>
      </c>
      <c r="N8" s="80">
        <f>AVERAGE(Monday!F354,Tuesday!F354,Wednesday!F354,Thursday!F354,Friday!F354)</f>
        <v>3.1580000000000004</v>
      </c>
      <c r="O8" s="80">
        <f>MEDIAN(Monday!F354,Tuesday!F354,Wednesday!F354,Thursday!F354,Friday!F354)</f>
        <v>3.15</v>
      </c>
      <c r="P8" s="80">
        <f>AVERAGE(Monday!F412,Tuesday!F412,Wednesday!F412,Thursday!F412,Friday!F412)</f>
        <v>3.194</v>
      </c>
      <c r="Q8" s="80">
        <f>MEDIAN(Monday!F412,Tuesday!F412,Wednesday!F412,Thursday!F412,Friday!F412)</f>
        <v>3.17</v>
      </c>
      <c r="R8" s="80">
        <f>AVERAGE(Monday!F470,Tuesday!F470,Wednesday!F470,Thursday!F470,Friday!F470)</f>
        <v>3.242</v>
      </c>
      <c r="S8" s="80">
        <f>MEDIAN(Monday!F470,Tuesday!F470,Wednesday!F470,Thursday!F470,Friday!F470)</f>
        <v>3.2</v>
      </c>
      <c r="T8" s="80">
        <f>AVERAGE(Monday!F528,Tuesday!F528,Wednesday!F528,Thursday!F528,Friday!F528)</f>
        <v>3.194</v>
      </c>
      <c r="U8" s="80">
        <f>MEDIAN(Monday!F528,Tuesday!F528,Wednesday!F528,Thursday!F528,Friday!F528)</f>
        <v>3.27</v>
      </c>
      <c r="V8" s="80">
        <f>AVERAGE(Monday!F586,Tuesday!F586,Wednesday!F586,Thursday!F586,Friday!F586)</f>
        <v>3.3120000000000003</v>
      </c>
      <c r="W8" s="80">
        <f>MEDIAN(Monday!F586,Tuesday!F586,Wednesday!F586,Thursday!F586,Friday!F586)</f>
        <v>3.33</v>
      </c>
      <c r="X8" s="80">
        <f>AVERAGE(Monday!F644,Tuesday!F644,Wednesday!F644,Thursday!F644,Friday!F644)</f>
        <v>3.3059999999999996</v>
      </c>
      <c r="Y8" s="80">
        <f>MEDIAN(Monday!F644,Tuesday!F644,Wednesday!F644,Thursday!F644,Friday!F644)</f>
        <v>3.32</v>
      </c>
      <c r="Z8" s="80">
        <f>AVERAGE(Monday!F702,Tuesday!F702,Wednesday!F702,Thursday!F702,Friday!F702)</f>
        <v>3.3380000000000001</v>
      </c>
      <c r="AA8" s="80">
        <f>MEDIAN(Monday!F702,Tuesday!F702,Wednesday!F702,Thursday!F702,Friday!F702)</f>
        <v>3.3</v>
      </c>
      <c r="AB8" s="80">
        <f>AVERAGE(Monday!F760,Tuesday!F760,Wednesday!F760,Thursday!F760,Friday!F760)</f>
        <v>3.66</v>
      </c>
      <c r="AC8" s="80">
        <f>MEDIAN(Monday!F760,Tuesday!F760,Wednesday!F760,Thursday!F760,Friday!F760)</f>
        <v>3.65</v>
      </c>
      <c r="AD8" s="80">
        <f>AVERAGE(Monday!F818,Tuesday!F818,Wednesday!F818,Thursday!F818,Friday!F818)</f>
        <v>3.8220000000000001</v>
      </c>
      <c r="AE8" s="80">
        <f>MEDIAN(Monday!F818,Tuesday!F818,Wednesday!F818,Thursday!F818,Friday!F818)</f>
        <v>3.92</v>
      </c>
      <c r="AF8" s="80">
        <f>AVERAGE(Monday!F876,Tuesday!F876,Wednesday!F876,Thursday!F876,Friday!F876)</f>
        <v>3.9140000000000001</v>
      </c>
      <c r="AG8" s="80">
        <f>MEDIAN(Monday!F876,Tuesday!F876,Wednesday!F876,Thursday!F876,Friday!F876)</f>
        <v>3.97</v>
      </c>
      <c r="AH8" s="80">
        <f>AVERAGE(Monday!F934,Tuesday!F934,Wednesday!F934,Thursday!F934,Friday!F934)</f>
        <v>3.9580000000000006</v>
      </c>
      <c r="AI8" s="80">
        <f>MEDIAN(Monday!F934,Tuesday!F934,Wednesday!F934,Thursday!F934,Friday!F934)</f>
        <v>3.87</v>
      </c>
      <c r="AJ8" s="80">
        <f>AVERAGE(Monday!F992,Tuesday!F992,Wednesday!F992,Thursday!F992,Friday!F992)</f>
        <v>4.0280000000000005</v>
      </c>
      <c r="AK8" s="80">
        <f>MEDIAN(Monday!F992,Tuesday!F992,Wednesday!F992,Thursday!F992,Friday!F992)</f>
        <v>4.22</v>
      </c>
      <c r="AL8" s="80">
        <f>AVERAGE(Monday!F1050,Tuesday!F1050,Wednesday!F1050,Thursday!F1050,Friday!F1050)</f>
        <v>3.8780000000000001</v>
      </c>
      <c r="AM8" s="80">
        <f>MEDIAN(Monday!F1050,Tuesday!F1050,Wednesday!F1050,Thursday!F1050,Friday!F1050)</f>
        <v>3.88</v>
      </c>
      <c r="AN8" s="80">
        <f>AVERAGE(Monday!F1108,Tuesday!F1108,Wednesday!F1108,Thursday!F1108,Friday!F1108)</f>
        <v>3.8359999999999999</v>
      </c>
      <c r="AO8" s="80">
        <f>MEDIAN(Monday!F1108,Tuesday!F1108,Wednesday!F1108,Thursday!F1108,Friday!F1108)</f>
        <v>3.73</v>
      </c>
      <c r="AP8" s="80">
        <f>AVERAGE(Monday!F1166,Tuesday!F1166,Wednesday!F1166,Thursday!F1166,Friday!F1166)</f>
        <v>3.722</v>
      </c>
      <c r="AQ8" s="80">
        <f>MEDIAN(Monday!F1166,Tuesday!F1166,Wednesday!F1166,Thursday!F1166,Friday!F1166)</f>
        <v>3.75</v>
      </c>
      <c r="AR8" s="80">
        <f>AVERAGE(Monday!F1224,Tuesday!F1224,Wednesday!F1224,Thursday!F1224,Friday!F1224)</f>
        <v>4.5419999999999998</v>
      </c>
      <c r="AS8" s="80">
        <f>MEDIAN(Monday!F1224,Tuesday!F1224,Wednesday!F1224,Thursday!F1224,Friday!F1224)</f>
        <v>4.17</v>
      </c>
      <c r="AT8" s="80">
        <f>AVERAGE(Monday!F1282,Tuesday!F1282,Wednesday!F1282,Thursday!F1282,Friday!F1282)</f>
        <v>5.2580000000000009</v>
      </c>
      <c r="AU8" s="80">
        <f>MEDIAN(Monday!F1282,Tuesday!F1282,Wednesday!F1282,Thursday!F1282,Friday!F1282)</f>
        <v>5.07</v>
      </c>
      <c r="AV8" s="80">
        <f>AVERAGE(Monday!F1340,Tuesday!F1340,Wednesday!F1340,Thursday!F1340,Friday!F1340)</f>
        <v>5.4339999999999993</v>
      </c>
      <c r="AW8" s="80">
        <f>MEDIAN(Monday!F1340,Tuesday!F1340,Wednesday!F1340,Thursday!F1340,Friday!F1340)</f>
        <v>4.67</v>
      </c>
      <c r="AX8" s="80">
        <f>AVERAGE(Monday!F1398,Tuesday!F1398,Wednesday!F1398,Thursday!F1398,Friday!F1398)</f>
        <v>4.7640000000000002</v>
      </c>
      <c r="AY8" s="80">
        <f>MEDIAN(Monday!F1398,Tuesday!F1398,Wednesday!F1398,Thursday!F1398,Friday!F1398)</f>
        <v>4.53</v>
      </c>
      <c r="AZ8" s="80">
        <f>AVERAGE(Monday!F1456,Tuesday!F1456,Wednesday!F1456,Thursday!F1456,Friday!F1456)</f>
        <v>4.4240000000000004</v>
      </c>
      <c r="BA8" s="80">
        <f>MEDIAN(Monday!F1456,Tuesday!F1456,Wednesday!F1456,Thursday!F1456,Friday!F1456)</f>
        <v>4.07</v>
      </c>
      <c r="BB8" s="81">
        <v>5</v>
      </c>
      <c r="BC8" s="80">
        <f t="shared" si="0"/>
        <v>3.6666923076923075</v>
      </c>
      <c r="BD8" s="80">
        <f t="shared" si="1"/>
        <v>3.49</v>
      </c>
    </row>
    <row r="9" spans="1:56" x14ac:dyDescent="0.25">
      <c r="A9" s="33">
        <v>6</v>
      </c>
      <c r="B9" s="80">
        <f>AVERAGE(Monday!F7,Tuesday!F7,Wednesday!F7,Thursday!F7,Friday!F7)</f>
        <v>2.3940000000000006</v>
      </c>
      <c r="C9" s="80">
        <f>MEDIAN(Monday!F7,Tuesday!F7,Wednesday!F7,Thursday!F7,Friday!F7)</f>
        <v>2.42</v>
      </c>
      <c r="D9" s="80">
        <f>AVERAGE(Monday!F65,Tuesday!F65,Wednesday!F65,Thursday!F65,Friday!F65)</f>
        <v>2.4359999999999999</v>
      </c>
      <c r="E9" s="80">
        <f>MEDIAN(Monday!F65,Tuesday!F65,Wednesday!F65,Thursday!F65,Friday!F65)</f>
        <v>2.4300000000000002</v>
      </c>
      <c r="F9" s="80">
        <f>AVERAGE(Monday!F123,Tuesday!F123,Wednesday!F123,Thursday!F123,Friday!F123)</f>
        <v>2.524</v>
      </c>
      <c r="G9" s="80">
        <f>MEDIAN(Monday!F123,Tuesday!F123,Wednesday!F123,Thursday!F123,Friday!F123)</f>
        <v>2.52</v>
      </c>
      <c r="H9" s="80">
        <f>AVERAGE(Monday!F181,Tuesday!F181,Wednesday!F181,Thursday!F181,Friday!F181)</f>
        <v>2.5640000000000001</v>
      </c>
      <c r="I9" s="80">
        <f>MEDIAN(Monday!F181,Tuesday!F181,Wednesday!F181,Thursday!F181,Friday!F181)</f>
        <v>2.57</v>
      </c>
      <c r="J9" s="80">
        <f>AVERAGE(Monday!F239,Tuesday!F239,Wednesday!F239,Thursday!F239,Friday!F239)</f>
        <v>2.6339999999999999</v>
      </c>
      <c r="K9" s="80">
        <f>MEDIAN(Monday!F239,Tuesday!F239,Wednesday!F239,Thursday!F239,Friday!F239)</f>
        <v>2.62</v>
      </c>
      <c r="L9" s="80">
        <f>AVERAGE(Monday!F297,Tuesday!F297,Wednesday!F297,Thursday!F297,Friday!F297)</f>
        <v>2.68</v>
      </c>
      <c r="M9" s="80">
        <f>MEDIAN(Monday!F297,Tuesday!F297,Wednesday!F297,Thursday!F297,Friday!F297)</f>
        <v>2.67</v>
      </c>
      <c r="N9" s="80">
        <f>AVERAGE(Monday!F355,Tuesday!F355,Wednesday!F355,Thursday!F355,Friday!F355)</f>
        <v>2.7679999999999998</v>
      </c>
      <c r="O9" s="80">
        <f>MEDIAN(Monday!F355,Tuesday!F355,Wednesday!F355,Thursday!F355,Friday!F355)</f>
        <v>2.77</v>
      </c>
      <c r="P9" s="80">
        <f>AVERAGE(Monday!F413,Tuesday!F413,Wednesday!F413,Thursday!F413,Friday!F413)</f>
        <v>2.7160000000000002</v>
      </c>
      <c r="Q9" s="80">
        <f>MEDIAN(Monday!F413,Tuesday!F413,Wednesday!F413,Thursday!F413,Friday!F413)</f>
        <v>2.73</v>
      </c>
      <c r="R9" s="80">
        <f>AVERAGE(Monday!F471,Tuesday!F471,Wednesday!F471,Thursday!F471,Friday!F471)</f>
        <v>2.6860000000000004</v>
      </c>
      <c r="S9" s="80">
        <f>MEDIAN(Monday!F471,Tuesday!F471,Wednesday!F471,Thursday!F471,Friday!F471)</f>
        <v>2.68</v>
      </c>
      <c r="T9" s="80">
        <f>AVERAGE(Monday!F529,Tuesday!F529,Wednesday!F529,Thursday!F529,Friday!F529)</f>
        <v>2.6339999999999999</v>
      </c>
      <c r="U9" s="80">
        <f>MEDIAN(Monday!F529,Tuesday!F529,Wednesday!F529,Thursday!F529,Friday!F529)</f>
        <v>2.65</v>
      </c>
      <c r="V9" s="80">
        <f>AVERAGE(Monday!F587,Tuesday!F587,Wednesday!F587,Thursday!F587,Friday!F587)</f>
        <v>2.746</v>
      </c>
      <c r="W9" s="80">
        <f>MEDIAN(Monday!F587,Tuesday!F587,Wednesday!F587,Thursday!F587,Friday!F587)</f>
        <v>2.75</v>
      </c>
      <c r="X9" s="80">
        <f>AVERAGE(Monday!F645,Tuesday!F645,Wednesday!F645,Thursday!F645,Friday!F645)</f>
        <v>2.7060000000000004</v>
      </c>
      <c r="Y9" s="80">
        <f>MEDIAN(Monday!F645,Tuesday!F645,Wednesday!F645,Thursday!F645,Friday!F645)</f>
        <v>2.67</v>
      </c>
      <c r="Z9" s="80">
        <f>AVERAGE(Monday!F703,Tuesday!F703,Wednesday!F703,Thursday!F703,Friday!F703)</f>
        <v>2.71</v>
      </c>
      <c r="AA9" s="80">
        <f>MEDIAN(Monday!F703,Tuesday!F703,Wednesday!F703,Thursday!F703,Friday!F703)</f>
        <v>2.72</v>
      </c>
      <c r="AB9" s="80">
        <f>AVERAGE(Monday!F761,Tuesday!F761,Wednesday!F761,Thursday!F761,Friday!F761)</f>
        <v>2.7359999999999998</v>
      </c>
      <c r="AC9" s="80">
        <f>MEDIAN(Monday!F761,Tuesday!F761,Wednesday!F761,Thursday!F761,Friday!F761)</f>
        <v>2.73</v>
      </c>
      <c r="AD9" s="80">
        <f>AVERAGE(Monday!F819,Tuesday!F819,Wednesday!F819,Thursday!F819,Friday!F819)</f>
        <v>2.778</v>
      </c>
      <c r="AE9" s="80">
        <f>MEDIAN(Monday!F819,Tuesday!F819,Wednesday!F819,Thursday!F819,Friday!F819)</f>
        <v>2.78</v>
      </c>
      <c r="AF9" s="80">
        <f>AVERAGE(Monday!F877,Tuesday!F877,Wednesday!F877,Thursday!F877,Friday!F877)</f>
        <v>2.85</v>
      </c>
      <c r="AG9" s="80">
        <f>MEDIAN(Monday!F877,Tuesday!F877,Wednesday!F877,Thursday!F877,Friday!F877)</f>
        <v>2.83</v>
      </c>
      <c r="AH9" s="80">
        <f>AVERAGE(Monday!F935,Tuesday!F935,Wednesday!F935,Thursday!F935,Friday!F935)</f>
        <v>2.9460000000000002</v>
      </c>
      <c r="AI9" s="80">
        <f>MEDIAN(Monday!F935,Tuesday!F935,Wednesday!F935,Thursday!F935,Friday!F935)</f>
        <v>2.85</v>
      </c>
      <c r="AJ9" s="80">
        <f>AVERAGE(Monday!F993,Tuesday!F993,Wednesday!F993,Thursday!F993,Friday!F993)</f>
        <v>2.8600000000000003</v>
      </c>
      <c r="AK9" s="80">
        <f>MEDIAN(Monday!F993,Tuesday!F993,Wednesday!F993,Thursday!F993,Friday!F993)</f>
        <v>2.82</v>
      </c>
      <c r="AL9" s="80">
        <f>AVERAGE(Monday!F1051,Tuesday!F1051,Wednesday!F1051,Thursday!F1051,Friday!F1051)</f>
        <v>2.8759999999999999</v>
      </c>
      <c r="AM9" s="80">
        <f>MEDIAN(Monday!F1051,Tuesday!F1051,Wednesday!F1051,Thursday!F1051,Friday!F1051)</f>
        <v>2.78</v>
      </c>
      <c r="AN9" s="80">
        <f>AVERAGE(Monday!F1109,Tuesday!F1109,Wednesday!F1109,Thursday!F1109,Friday!F1109)</f>
        <v>2.8499999999999996</v>
      </c>
      <c r="AO9" s="80">
        <f>MEDIAN(Monday!F1109,Tuesday!F1109,Wednesday!F1109,Thursday!F1109,Friday!F1109)</f>
        <v>2.85</v>
      </c>
      <c r="AP9" s="80">
        <f>AVERAGE(Monday!F1167,Tuesday!F1167,Wednesday!F1167,Thursday!F1167,Friday!F1167)</f>
        <v>2.738</v>
      </c>
      <c r="AQ9" s="80">
        <f>MEDIAN(Monday!F1167,Tuesday!F1167,Wednesday!F1167,Thursday!F1167,Friday!F1167)</f>
        <v>2.73</v>
      </c>
      <c r="AR9" s="80">
        <f>AVERAGE(Monday!F1225,Tuesday!F1225,Wednesday!F1225,Thursday!F1225,Friday!F1225)</f>
        <v>2.7499999999999991</v>
      </c>
      <c r="AS9" s="80">
        <f>MEDIAN(Monday!F1225,Tuesday!F1225,Wednesday!F1225,Thursday!F1225,Friday!F1225)</f>
        <v>2.8</v>
      </c>
      <c r="AT9" s="80">
        <f>AVERAGE(Monday!F1283,Tuesday!F1283,Wednesday!F1283,Thursday!F1283,Friday!F1283)</f>
        <v>2.8239999999999998</v>
      </c>
      <c r="AU9" s="80">
        <f>MEDIAN(Monday!F1283,Tuesday!F1283,Wednesday!F1283,Thursday!F1283,Friday!F1283)</f>
        <v>2.82</v>
      </c>
      <c r="AV9" s="80">
        <f>AVERAGE(Monday!F1341,Tuesday!F1341,Wednesday!F1341,Thursday!F1341,Friday!F1341)</f>
        <v>2.726</v>
      </c>
      <c r="AW9" s="80">
        <f>MEDIAN(Monday!F1341,Tuesday!F1341,Wednesday!F1341,Thursday!F1341,Friday!F1341)</f>
        <v>2.72</v>
      </c>
      <c r="AX9" s="80">
        <f>AVERAGE(Monday!F1399,Tuesday!F1399,Wednesday!F1399,Thursday!F1399,Friday!F1399)</f>
        <v>2.726</v>
      </c>
      <c r="AY9" s="80">
        <f>MEDIAN(Monday!F1399,Tuesday!F1399,Wednesday!F1399,Thursday!F1399,Friday!F1399)</f>
        <v>2.72</v>
      </c>
      <c r="AZ9" s="80">
        <f>AVERAGE(Monday!F1457,Tuesday!F1457,Wednesday!F1457,Thursday!F1457,Friday!F1457)</f>
        <v>2.77</v>
      </c>
      <c r="BA9" s="80">
        <f>MEDIAN(Monday!F1457,Tuesday!F1457,Wednesday!F1457,Thursday!F1457,Friday!F1457)</f>
        <v>2.8</v>
      </c>
      <c r="BB9" s="81">
        <v>6</v>
      </c>
      <c r="BC9" s="80">
        <f t="shared" si="0"/>
        <v>2.7164615384615378</v>
      </c>
      <c r="BD9" s="80">
        <f t="shared" si="1"/>
        <v>2.73</v>
      </c>
    </row>
    <row r="10" spans="1:56" x14ac:dyDescent="0.25">
      <c r="A10" s="33">
        <v>7</v>
      </c>
      <c r="B10" s="80">
        <f>AVERAGE(Monday!F8,Tuesday!F8,Wednesday!F8,Thursday!F8,Friday!F8)</f>
        <v>2.4500000000000002</v>
      </c>
      <c r="C10" s="80">
        <f>MEDIAN(Monday!F8,Tuesday!F8,Wednesday!F8,Thursday!F8,Friday!F8)</f>
        <v>2.4500000000000002</v>
      </c>
      <c r="D10" s="80">
        <f>AVERAGE(Monday!F66,Tuesday!F66,Wednesday!F66,Thursday!F66,Friday!F66)</f>
        <v>2.5099999999999998</v>
      </c>
      <c r="E10" s="80">
        <f>MEDIAN(Monday!F66,Tuesday!F66,Wednesday!F66,Thursday!F66,Friday!F66)</f>
        <v>2.52</v>
      </c>
      <c r="F10" s="80">
        <f>AVERAGE(Monday!F124,Tuesday!F124,Wednesday!F124,Thursday!F124,Friday!F124)</f>
        <v>2.5620000000000003</v>
      </c>
      <c r="G10" s="80">
        <f>MEDIAN(Monday!F124,Tuesday!F124,Wednesday!F124,Thursday!F124,Friday!F124)</f>
        <v>2.57</v>
      </c>
      <c r="H10" s="80">
        <f>AVERAGE(Monday!F182,Tuesday!F182,Wednesday!F182,Thursday!F182,Friday!F182)</f>
        <v>2.552</v>
      </c>
      <c r="I10" s="80">
        <f>MEDIAN(Monday!F182,Tuesday!F182,Wednesday!F182,Thursday!F182,Friday!F182)</f>
        <v>2.5499999999999998</v>
      </c>
      <c r="J10" s="80">
        <f>AVERAGE(Monday!F240,Tuesday!F240,Wednesday!F240,Thursday!F240,Friday!F240)</f>
        <v>2.66</v>
      </c>
      <c r="K10" s="80">
        <f>MEDIAN(Monday!F240,Tuesday!F240,Wednesday!F240,Thursday!F240,Friday!F240)</f>
        <v>2.68</v>
      </c>
      <c r="L10" s="80">
        <f>AVERAGE(Monday!F298,Tuesday!F298,Wednesday!F298,Thursday!F298,Friday!F298)</f>
        <v>2.7159999999999997</v>
      </c>
      <c r="M10" s="80">
        <f>MEDIAN(Monday!F298,Tuesday!F298,Wednesday!F298,Thursday!F298,Friday!F298)</f>
        <v>2.7</v>
      </c>
      <c r="N10" s="80">
        <f>AVERAGE(Monday!F356,Tuesday!F356,Wednesday!F356,Thursday!F356,Friday!F356)</f>
        <v>2.7320000000000002</v>
      </c>
      <c r="O10" s="80">
        <f>MEDIAN(Monday!F356,Tuesday!F356,Wednesday!F356,Thursday!F356,Friday!F356)</f>
        <v>2.73</v>
      </c>
      <c r="P10" s="80">
        <f>AVERAGE(Monday!F414,Tuesday!F414,Wednesday!F414,Thursday!F414,Friday!F414)</f>
        <v>2.6880000000000002</v>
      </c>
      <c r="Q10" s="80">
        <f>MEDIAN(Monday!F414,Tuesday!F414,Wednesday!F414,Thursday!F414,Friday!F414)</f>
        <v>2.73</v>
      </c>
      <c r="R10" s="80">
        <f>AVERAGE(Monday!F472,Tuesday!F472,Wednesday!F472,Thursday!F472,Friday!F472)</f>
        <v>2.6440000000000001</v>
      </c>
      <c r="S10" s="80">
        <f>MEDIAN(Monday!F472,Tuesday!F472,Wednesday!F472,Thursday!F472,Friday!F472)</f>
        <v>2.67</v>
      </c>
      <c r="T10" s="80">
        <f>AVERAGE(Monday!F530,Tuesday!F530,Wednesday!F530,Thursday!F530,Friday!F530)</f>
        <v>2.6060000000000003</v>
      </c>
      <c r="U10" s="80">
        <f>MEDIAN(Monday!F530,Tuesday!F530,Wednesday!F530,Thursday!F530,Friday!F530)</f>
        <v>2.63</v>
      </c>
      <c r="V10" s="80">
        <f>AVERAGE(Monday!F588,Tuesday!F588,Wednesday!F588,Thursday!F588,Friday!F588)</f>
        <v>2.7119999999999997</v>
      </c>
      <c r="W10" s="80">
        <f>MEDIAN(Monday!F588,Tuesday!F588,Wednesday!F588,Thursday!F588,Friday!F588)</f>
        <v>2.67</v>
      </c>
      <c r="X10" s="80">
        <f>AVERAGE(Monday!F646,Tuesday!F646,Wednesday!F646,Thursday!F646,Friday!F646)</f>
        <v>2.6640000000000001</v>
      </c>
      <c r="Y10" s="80">
        <f>MEDIAN(Monday!F646,Tuesday!F646,Wednesday!F646,Thursday!F646,Friday!F646)</f>
        <v>2.63</v>
      </c>
      <c r="Z10" s="80">
        <f>AVERAGE(Monday!F704,Tuesday!F704,Wednesday!F704,Thursday!F704,Friday!F704)</f>
        <v>2.694</v>
      </c>
      <c r="AA10" s="80">
        <f>MEDIAN(Monday!F704,Tuesday!F704,Wednesday!F704,Thursday!F704,Friday!F704)</f>
        <v>2.68</v>
      </c>
      <c r="AB10" s="80">
        <f>AVERAGE(Monday!F762,Tuesday!F762,Wednesday!F762,Thursday!F762,Friday!F762)</f>
        <v>2.65</v>
      </c>
      <c r="AC10" s="80">
        <f>MEDIAN(Monday!F762,Tuesday!F762,Wednesday!F762,Thursday!F762,Friday!F762)</f>
        <v>2.68</v>
      </c>
      <c r="AD10" s="80">
        <f>AVERAGE(Monday!F820,Tuesday!F820,Wednesday!F820,Thursday!F820,Friday!F820)</f>
        <v>2.7299999999999995</v>
      </c>
      <c r="AE10" s="80">
        <f>MEDIAN(Monday!F820,Tuesday!F820,Wednesday!F820,Thursday!F820,Friday!F820)</f>
        <v>2.75</v>
      </c>
      <c r="AF10" s="80">
        <f>AVERAGE(Monday!F878,Tuesday!F878,Wednesday!F878,Thursday!F878,Friday!F878)</f>
        <v>2.7560000000000002</v>
      </c>
      <c r="AG10" s="80">
        <f>MEDIAN(Monday!F878,Tuesday!F878,Wednesday!F878,Thursday!F878,Friday!F878)</f>
        <v>2.73</v>
      </c>
      <c r="AH10" s="80">
        <f>AVERAGE(Monday!F936,Tuesday!F936,Wednesday!F936,Thursday!F936,Friday!F936)</f>
        <v>2.698</v>
      </c>
      <c r="AI10" s="80">
        <f>MEDIAN(Monday!F936,Tuesday!F936,Wednesday!F936,Thursday!F936,Friday!F936)</f>
        <v>2.73</v>
      </c>
      <c r="AJ10" s="80">
        <f>AVERAGE(Monday!F994,Tuesday!F994,Wednesday!F994,Thursday!F994,Friday!F994)</f>
        <v>2.8459999999999996</v>
      </c>
      <c r="AK10" s="80">
        <f>MEDIAN(Monday!F994,Tuesday!F994,Wednesday!F994,Thursday!F994,Friday!F994)</f>
        <v>2.85</v>
      </c>
      <c r="AL10" s="80">
        <f>AVERAGE(Monday!F1052,Tuesday!F1052,Wednesday!F1052,Thursday!F1052,Friday!F1052)</f>
        <v>2.7719999999999998</v>
      </c>
      <c r="AM10" s="80">
        <f>MEDIAN(Monday!F1052,Tuesday!F1052,Wednesday!F1052,Thursday!F1052,Friday!F1052)</f>
        <v>2.75</v>
      </c>
      <c r="AN10" s="80">
        <f>AVERAGE(Monday!F1110,Tuesday!F1110,Wednesday!F1110,Thursday!F1110,Friday!F1110)</f>
        <v>2.7120000000000002</v>
      </c>
      <c r="AO10" s="80">
        <f>MEDIAN(Monday!F1110,Tuesday!F1110,Wednesday!F1110,Thursday!F1110,Friday!F1110)</f>
        <v>2.73</v>
      </c>
      <c r="AP10" s="80">
        <f>AVERAGE(Monday!F1168,Tuesday!F1168,Wednesday!F1168,Thursday!F1168,Friday!F1168)</f>
        <v>2.7320000000000002</v>
      </c>
      <c r="AQ10" s="80">
        <f>MEDIAN(Monday!F1168,Tuesday!F1168,Wednesday!F1168,Thursday!F1168,Friday!F1168)</f>
        <v>2.8</v>
      </c>
      <c r="AR10" s="80">
        <f>AVERAGE(Monday!F1226,Tuesday!F1226,Wednesday!F1226,Thursday!F1226,Friday!F1226)</f>
        <v>2.7720000000000002</v>
      </c>
      <c r="AS10" s="80">
        <f>MEDIAN(Monday!F1226,Tuesday!F1226,Wednesday!F1226,Thursday!F1226,Friday!F1226)</f>
        <v>2.75</v>
      </c>
      <c r="AT10" s="80">
        <f>AVERAGE(Monday!F1284,Tuesday!F1284,Wednesday!F1284,Thursday!F1284,Friday!F1284)</f>
        <v>2.726</v>
      </c>
      <c r="AU10" s="80">
        <f>MEDIAN(Monday!F1284,Tuesday!F1284,Wednesday!F1284,Thursday!F1284,Friday!F1284)</f>
        <v>2.7</v>
      </c>
      <c r="AV10" s="80">
        <f>AVERAGE(Monday!F1342,Tuesday!F1342,Wednesday!F1342,Thursday!F1342,Friday!F1342)</f>
        <v>2.738</v>
      </c>
      <c r="AW10" s="80">
        <f>MEDIAN(Monday!F1342,Tuesday!F1342,Wednesday!F1342,Thursday!F1342,Friday!F1342)</f>
        <v>2.77</v>
      </c>
      <c r="AX10" s="80">
        <f>AVERAGE(Monday!F1400,Tuesday!F1400,Wednesday!F1400,Thursday!F1400,Friday!F1400)</f>
        <v>2.6859999999999995</v>
      </c>
      <c r="AY10" s="80">
        <f>MEDIAN(Monday!F1400,Tuesday!F1400,Wednesday!F1400,Thursday!F1400,Friday!F1400)</f>
        <v>2.67</v>
      </c>
      <c r="AZ10" s="80">
        <f>AVERAGE(Monday!F1458,Tuesday!F1458,Wednesday!F1458,Thursday!F1458,Friday!F1458)</f>
        <v>2.7159999999999997</v>
      </c>
      <c r="BA10" s="80">
        <f>MEDIAN(Monday!F1458,Tuesday!F1458,Wednesday!F1458,Thursday!F1458,Friday!F1458)</f>
        <v>2.7</v>
      </c>
      <c r="BB10" s="81">
        <v>7</v>
      </c>
      <c r="BC10" s="80">
        <f t="shared" si="0"/>
        <v>2.6816923076923067</v>
      </c>
      <c r="BD10" s="80">
        <f t="shared" si="1"/>
        <v>2.7</v>
      </c>
    </row>
    <row r="11" spans="1:56" x14ac:dyDescent="0.25">
      <c r="A11" s="33">
        <v>8</v>
      </c>
      <c r="B11" s="80">
        <f>AVERAGE(Monday!F9,Tuesday!F9,Wednesday!F9,Thursday!F9,Friday!F9)</f>
        <v>2.73</v>
      </c>
      <c r="C11" s="80">
        <f>MEDIAN(Monday!F9,Tuesday!F9,Wednesday!F9,Thursday!F9,Friday!F9)</f>
        <v>2.73</v>
      </c>
      <c r="D11" s="80">
        <f>AVERAGE(Monday!F67,Tuesday!F67,Wednesday!F67,Thursday!F67,Friday!F67)</f>
        <v>2.8540000000000001</v>
      </c>
      <c r="E11" s="80">
        <f>MEDIAN(Monday!F67,Tuesday!F67,Wednesday!F67,Thursday!F67,Friday!F67)</f>
        <v>2.85</v>
      </c>
      <c r="F11" s="80">
        <f>AVERAGE(Monday!F125,Tuesday!F125,Wednesday!F125,Thursday!F125,Friday!F125)</f>
        <v>3.036</v>
      </c>
      <c r="G11" s="80">
        <f>MEDIAN(Monday!F125,Tuesday!F125,Wednesday!F125,Thursday!F125,Friday!F125)</f>
        <v>3.05</v>
      </c>
      <c r="H11" s="80">
        <f>AVERAGE(Monday!F183,Tuesday!F183,Wednesday!F183,Thursday!F183,Friday!F183)</f>
        <v>3.032</v>
      </c>
      <c r="I11" s="80">
        <f>MEDIAN(Monday!F183,Tuesday!F183,Wednesday!F183,Thursday!F183,Friday!F183)</f>
        <v>3.08</v>
      </c>
      <c r="J11" s="80">
        <f>AVERAGE(Monday!F241,Tuesday!F241,Wednesday!F241,Thursday!F241,Friday!F241)</f>
        <v>3.3420000000000001</v>
      </c>
      <c r="K11" s="80">
        <f>MEDIAN(Monday!F241,Tuesday!F241,Wednesday!F241,Thursday!F241,Friday!F241)</f>
        <v>3.33</v>
      </c>
      <c r="L11" s="80">
        <f>AVERAGE(Monday!F299,Tuesday!F299,Wednesday!F299,Thursday!F299,Friday!F299)</f>
        <v>3.6</v>
      </c>
      <c r="M11" s="80">
        <f>MEDIAN(Monday!F299,Tuesday!F299,Wednesday!F299,Thursday!F299,Friday!F299)</f>
        <v>3.57</v>
      </c>
      <c r="N11" s="80">
        <f>AVERAGE(Monday!F357,Tuesday!F357,Wednesday!F357,Thursday!F357,Friday!F357)</f>
        <v>3.524</v>
      </c>
      <c r="O11" s="80">
        <f>MEDIAN(Monday!F357,Tuesday!F357,Wednesday!F357,Thursday!F357,Friday!F357)</f>
        <v>3.52</v>
      </c>
      <c r="P11" s="80">
        <f>AVERAGE(Monday!F415,Tuesday!F415,Wednesday!F415,Thursday!F415,Friday!F415)</f>
        <v>3.4939999999999998</v>
      </c>
      <c r="Q11" s="80">
        <f>MEDIAN(Monday!F415,Tuesday!F415,Wednesday!F415,Thursday!F415,Friday!F415)</f>
        <v>3.5</v>
      </c>
      <c r="R11" s="80">
        <f>AVERAGE(Monday!F473,Tuesday!F473,Wednesday!F473,Thursday!F473,Friday!F473)</f>
        <v>3.3039999999999998</v>
      </c>
      <c r="S11" s="80">
        <f>MEDIAN(Monday!F473,Tuesday!F473,Wednesday!F473,Thursday!F473,Friday!F473)</f>
        <v>3.32</v>
      </c>
      <c r="T11" s="80">
        <f>AVERAGE(Monday!F531,Tuesday!F531,Wednesday!F531,Thursday!F531,Friday!F531)</f>
        <v>3.2560000000000002</v>
      </c>
      <c r="U11" s="80">
        <f>MEDIAN(Monday!F531,Tuesday!F531,Wednesday!F531,Thursday!F531,Friday!F531)</f>
        <v>3.28</v>
      </c>
      <c r="V11" s="80">
        <f>AVERAGE(Monday!F589,Tuesday!F589,Wednesday!F589,Thursday!F589,Friday!F589)</f>
        <v>3.37</v>
      </c>
      <c r="W11" s="80">
        <f>MEDIAN(Monday!F589,Tuesday!F589,Wednesday!F589,Thursday!F589,Friday!F589)</f>
        <v>3.33</v>
      </c>
      <c r="X11" s="80">
        <f>AVERAGE(Monday!F647,Tuesday!F647,Wednesday!F647,Thursday!F647,Friday!F647)</f>
        <v>3.2679999999999998</v>
      </c>
      <c r="Y11" s="80">
        <f>MEDIAN(Monday!F647,Tuesday!F647,Wednesday!F647,Thursday!F647,Friday!F647)</f>
        <v>3.23</v>
      </c>
      <c r="Z11" s="80">
        <f>AVERAGE(Monday!F705,Tuesday!F705,Wednesday!F705,Thursday!F705,Friday!F705)</f>
        <v>3.3319999999999999</v>
      </c>
      <c r="AA11" s="80">
        <f>MEDIAN(Monday!F705,Tuesday!F705,Wednesday!F705,Thursday!F705,Friday!F705)</f>
        <v>3.35</v>
      </c>
      <c r="AB11" s="80">
        <f>AVERAGE(Monday!F763,Tuesday!F763,Wednesday!F763,Thursday!F763,Friday!F763)</f>
        <v>3.254</v>
      </c>
      <c r="AC11" s="80">
        <f>MEDIAN(Monday!F763,Tuesday!F763,Wednesday!F763,Thursday!F763,Friday!F763)</f>
        <v>3.25</v>
      </c>
      <c r="AD11" s="80">
        <f>AVERAGE(Monday!F821,Tuesday!F821,Wednesday!F821,Thursday!F821,Friday!F821)</f>
        <v>3.4400000000000004</v>
      </c>
      <c r="AE11" s="80">
        <f>MEDIAN(Monday!F821,Tuesday!F821,Wednesday!F821,Thursday!F821,Friday!F821)</f>
        <v>3.45</v>
      </c>
      <c r="AF11" s="80">
        <f>AVERAGE(Monday!F879,Tuesday!F879,Wednesday!F879,Thursday!F879,Friday!F879)</f>
        <v>3.4420000000000002</v>
      </c>
      <c r="AG11" s="80">
        <f>MEDIAN(Monday!F879,Tuesday!F879,Wednesday!F879,Thursday!F879,Friday!F879)</f>
        <v>3.43</v>
      </c>
      <c r="AH11" s="80">
        <f>AVERAGE(Monday!F937,Tuesday!F937,Wednesday!F937,Thursday!F937,Friday!F937)</f>
        <v>3.3540000000000001</v>
      </c>
      <c r="AI11" s="80">
        <f>MEDIAN(Monday!F937,Tuesday!F937,Wednesday!F937,Thursday!F937,Friday!F937)</f>
        <v>3.35</v>
      </c>
      <c r="AJ11" s="80">
        <f>AVERAGE(Monday!F995,Tuesday!F995,Wednesday!F995,Thursday!F995,Friday!F995)</f>
        <v>3.3939999999999997</v>
      </c>
      <c r="AK11" s="80">
        <f>MEDIAN(Monday!F995,Tuesday!F995,Wednesday!F995,Thursday!F995,Friday!F995)</f>
        <v>3.38</v>
      </c>
      <c r="AL11" s="80">
        <f>AVERAGE(Monday!F1053,Tuesday!F1053,Wednesday!F1053,Thursday!F1053,Friday!F1053)</f>
        <v>3.3520000000000003</v>
      </c>
      <c r="AM11" s="80">
        <f>MEDIAN(Monday!F1053,Tuesday!F1053,Wednesday!F1053,Thursday!F1053,Friday!F1053)</f>
        <v>3.35</v>
      </c>
      <c r="AN11" s="80">
        <f>AVERAGE(Monday!F1111,Tuesday!F1111,Wednesday!F1111,Thursday!F1111,Friday!F1111)</f>
        <v>3.226</v>
      </c>
      <c r="AO11" s="80">
        <f>MEDIAN(Monday!F1111,Tuesday!F1111,Wednesday!F1111,Thursday!F1111,Friday!F1111)</f>
        <v>3.28</v>
      </c>
      <c r="AP11" s="80">
        <f>AVERAGE(Monday!F1169,Tuesday!F1169,Wednesday!F1169,Thursday!F1169,Friday!F1169)</f>
        <v>3.4240000000000004</v>
      </c>
      <c r="AQ11" s="80">
        <f>MEDIAN(Monday!F1169,Tuesday!F1169,Wednesday!F1169,Thursday!F1169,Friday!F1169)</f>
        <v>3.43</v>
      </c>
      <c r="AR11" s="80">
        <f>AVERAGE(Monday!F1227,Tuesday!F1227,Wednesday!F1227,Thursday!F1227,Friday!F1227)</f>
        <v>3.3020000000000005</v>
      </c>
      <c r="AS11" s="80">
        <f>MEDIAN(Monday!F1227,Tuesday!F1227,Wednesday!F1227,Thursday!F1227,Friday!F1227)</f>
        <v>3.33</v>
      </c>
      <c r="AT11" s="80">
        <f>AVERAGE(Monday!F1285,Tuesday!F1285,Wednesday!F1285,Thursday!F1285,Friday!F1285)</f>
        <v>3.3440000000000003</v>
      </c>
      <c r="AU11" s="80">
        <f>MEDIAN(Monday!F1285,Tuesday!F1285,Wednesday!F1285,Thursday!F1285,Friday!F1285)</f>
        <v>3.4</v>
      </c>
      <c r="AV11" s="80">
        <f>AVERAGE(Monday!F1343,Tuesday!F1343,Wednesday!F1343,Thursday!F1343,Friday!F1343)</f>
        <v>3.2399999999999998</v>
      </c>
      <c r="AW11" s="80">
        <f>MEDIAN(Monday!F1343,Tuesday!F1343,Wednesday!F1343,Thursday!F1343,Friday!F1343)</f>
        <v>3.25</v>
      </c>
      <c r="AX11" s="80">
        <f>AVERAGE(Monday!F1401,Tuesday!F1401,Wednesday!F1401,Thursday!F1401,Friday!F1401)</f>
        <v>3.2340000000000004</v>
      </c>
      <c r="AY11" s="80">
        <f>MEDIAN(Monday!F1401,Tuesday!F1401,Wednesday!F1401,Thursday!F1401,Friday!F1401)</f>
        <v>3.18</v>
      </c>
      <c r="AZ11" s="80">
        <f>AVERAGE(Monday!F1459,Tuesday!F1459,Wednesday!F1459,Thursday!F1459,Friday!F1459)</f>
        <v>3.2359999999999998</v>
      </c>
      <c r="BA11" s="80">
        <f>MEDIAN(Monday!F1459,Tuesday!F1459,Wednesday!F1459,Thursday!F1459,Friday!F1459)</f>
        <v>3.23</v>
      </c>
      <c r="BB11" s="81">
        <v>8</v>
      </c>
      <c r="BC11" s="80">
        <f t="shared" si="0"/>
        <v>3.2839999999999994</v>
      </c>
      <c r="BD11" s="80">
        <f t="shared" si="1"/>
        <v>3.33</v>
      </c>
    </row>
    <row r="12" spans="1:56" x14ac:dyDescent="0.25">
      <c r="A12" s="33">
        <v>9</v>
      </c>
      <c r="B12" s="80">
        <f>AVERAGE(Monday!F10,Tuesday!F10,Wednesday!F10,Thursday!F10,Friday!F10)</f>
        <v>2.6740000000000004</v>
      </c>
      <c r="C12" s="80">
        <f>MEDIAN(Monday!F10,Tuesday!F10,Wednesday!F10,Thursday!F10,Friday!F10)</f>
        <v>2.65</v>
      </c>
      <c r="D12" s="80">
        <f>AVERAGE(Monday!F68,Tuesday!F68,Wednesday!F68,Thursday!F68,Friday!F68)</f>
        <v>2.7560000000000002</v>
      </c>
      <c r="E12" s="80">
        <f>MEDIAN(Monday!F68,Tuesday!F68,Wednesday!F68,Thursday!F68,Friday!F68)</f>
        <v>2.73</v>
      </c>
      <c r="F12" s="80">
        <f>AVERAGE(Monday!F126,Tuesday!F126,Wednesday!F126,Thursday!F126,Friday!F126)</f>
        <v>2.9939999999999998</v>
      </c>
      <c r="G12" s="80">
        <f>MEDIAN(Monday!F126,Tuesday!F126,Wednesday!F126,Thursday!F126,Friday!F126)</f>
        <v>2.98</v>
      </c>
      <c r="H12" s="80">
        <f>AVERAGE(Monday!F184,Tuesday!F184,Wednesday!F184,Thursday!F184,Friday!F184)</f>
        <v>3.1239999999999997</v>
      </c>
      <c r="I12" s="80">
        <f>MEDIAN(Monday!F184,Tuesday!F184,Wednesday!F184,Thursday!F184,Friday!F184)</f>
        <v>3.13</v>
      </c>
      <c r="J12" s="80">
        <f>AVERAGE(Monday!F242,Tuesday!F242,Wednesday!F242,Thursday!F242,Friday!F242)</f>
        <v>3.6559999999999997</v>
      </c>
      <c r="K12" s="80">
        <f>MEDIAN(Monday!F242,Tuesday!F242,Wednesday!F242,Thursday!F242,Friday!F242)</f>
        <v>3.62</v>
      </c>
      <c r="L12" s="80">
        <f>AVERAGE(Monday!F300,Tuesday!F300,Wednesday!F300,Thursday!F300,Friday!F300)</f>
        <v>4.6180000000000003</v>
      </c>
      <c r="M12" s="80">
        <f>MEDIAN(Monday!F300,Tuesday!F300,Wednesday!F300,Thursday!F300,Friday!F300)</f>
        <v>4.57</v>
      </c>
      <c r="N12" s="80">
        <f>AVERAGE(Monday!F358,Tuesday!F358,Wednesday!F358,Thursday!F358,Friday!F358)</f>
        <v>5.484</v>
      </c>
      <c r="O12" s="80">
        <f>MEDIAN(Monday!F358,Tuesday!F358,Wednesday!F358,Thursday!F358,Friday!F358)</f>
        <v>4.9800000000000004</v>
      </c>
      <c r="P12" s="80">
        <f>AVERAGE(Monday!F416,Tuesday!F416,Wednesday!F416,Thursday!F416,Friday!F416)</f>
        <v>5.1040000000000001</v>
      </c>
      <c r="Q12" s="80">
        <f>MEDIAN(Monday!F416,Tuesday!F416,Wednesday!F416,Thursday!F416,Friday!F416)</f>
        <v>5.0199999999999996</v>
      </c>
      <c r="R12" s="80">
        <f>AVERAGE(Monday!F474,Tuesday!F474,Wednesday!F474,Thursday!F474,Friday!F474)</f>
        <v>4.6319999999999997</v>
      </c>
      <c r="S12" s="80">
        <f>MEDIAN(Monday!F474,Tuesday!F474,Wednesday!F474,Thursday!F474,Friday!F474)</f>
        <v>4.5199999999999996</v>
      </c>
      <c r="T12" s="80">
        <f>AVERAGE(Monday!F532,Tuesday!F532,Wednesday!F532,Thursday!F532,Friday!F532)</f>
        <v>4.5819999999999999</v>
      </c>
      <c r="U12" s="80">
        <f>MEDIAN(Monday!F532,Tuesday!F532,Wednesday!F532,Thursday!F532,Friday!F532)</f>
        <v>4.12</v>
      </c>
      <c r="V12" s="80">
        <f>AVERAGE(Monday!F590,Tuesday!F590,Wednesday!F590,Thursday!F590,Friday!F590)</f>
        <v>4.7539999999999996</v>
      </c>
      <c r="W12" s="80">
        <f>MEDIAN(Monday!F590,Tuesday!F590,Wednesday!F590,Thursday!F590,Friday!F590)</f>
        <v>4.58</v>
      </c>
      <c r="X12" s="80">
        <f>AVERAGE(Monday!F648,Tuesday!F648,Wednesday!F648,Thursday!F648,Friday!F648)</f>
        <v>4.718</v>
      </c>
      <c r="Y12" s="80">
        <f>MEDIAN(Monday!F648,Tuesday!F648,Wednesday!F648,Thursday!F648,Friday!F648)</f>
        <v>4.83</v>
      </c>
      <c r="Z12" s="80">
        <f>AVERAGE(Monday!F706,Tuesday!F706,Wednesday!F706,Thursday!F706,Friday!F706)</f>
        <v>4.6660000000000004</v>
      </c>
      <c r="AA12" s="80">
        <f>MEDIAN(Monday!F706,Tuesday!F706,Wednesday!F706,Thursday!F706,Friday!F706)</f>
        <v>3.85</v>
      </c>
      <c r="AB12" s="80">
        <f>AVERAGE(Monday!F764,Tuesday!F764,Wednesday!F764,Thursday!F764,Friday!F764)</f>
        <v>3.8860000000000001</v>
      </c>
      <c r="AC12" s="80">
        <f>MEDIAN(Monday!F764,Tuesday!F764,Wednesday!F764,Thursday!F764,Friday!F764)</f>
        <v>3.82</v>
      </c>
      <c r="AD12" s="80">
        <f>AVERAGE(Monday!F822,Tuesday!F822,Wednesday!F822,Thursday!F822,Friday!F822)</f>
        <v>4.1459999999999999</v>
      </c>
      <c r="AE12" s="80">
        <f>MEDIAN(Monday!F822,Tuesday!F822,Wednesday!F822,Thursday!F822,Friday!F822)</f>
        <v>3.87</v>
      </c>
      <c r="AF12" s="80">
        <f>AVERAGE(Monday!F880,Tuesday!F880,Wednesday!F880,Thursday!F880,Friday!F880)</f>
        <v>4.1559999999999997</v>
      </c>
      <c r="AG12" s="80">
        <f>MEDIAN(Monday!F880,Tuesday!F880,Wednesday!F880,Thursday!F880,Friday!F880)</f>
        <v>3.87</v>
      </c>
      <c r="AH12" s="80">
        <f>AVERAGE(Monday!F938,Tuesday!F938,Wednesday!F938,Thursday!F938,Friday!F938)</f>
        <v>4.17</v>
      </c>
      <c r="AI12" s="80">
        <f>MEDIAN(Monday!F938,Tuesday!F938,Wednesday!F938,Thursday!F938,Friday!F938)</f>
        <v>3.75</v>
      </c>
      <c r="AJ12" s="80">
        <f>AVERAGE(Monday!F996,Tuesday!F996,Wednesday!F996,Thursday!F996,Friday!F996)</f>
        <v>4.24</v>
      </c>
      <c r="AK12" s="80">
        <f>MEDIAN(Monday!F996,Tuesday!F996,Wednesday!F996,Thursday!F996,Friday!F996)</f>
        <v>3.98</v>
      </c>
      <c r="AL12" s="80">
        <f>AVERAGE(Monday!F1054,Tuesday!F1054,Wednesday!F1054,Thursday!F1054,Friday!F1054)</f>
        <v>3.9619999999999997</v>
      </c>
      <c r="AM12" s="80">
        <f>MEDIAN(Monday!F1054,Tuesday!F1054,Wednesday!F1054,Thursday!F1054,Friday!F1054)</f>
        <v>3.78</v>
      </c>
      <c r="AN12" s="80">
        <f>AVERAGE(Monday!F1112,Tuesday!F1112,Wednesday!F1112,Thursday!F1112,Friday!F1112)</f>
        <v>3.8220000000000001</v>
      </c>
      <c r="AO12" s="80">
        <f>MEDIAN(Monday!F1112,Tuesday!F1112,Wednesday!F1112,Thursday!F1112,Friday!F1112)</f>
        <v>3.6</v>
      </c>
      <c r="AP12" s="80">
        <f>AVERAGE(Monday!F1170,Tuesday!F1170,Wednesday!F1170,Thursday!F1170,Friday!F1170)</f>
        <v>4.3</v>
      </c>
      <c r="AQ12" s="80">
        <f>MEDIAN(Monday!F1170,Tuesday!F1170,Wednesday!F1170,Thursday!F1170,Friday!F1170)</f>
        <v>4.03</v>
      </c>
      <c r="AR12" s="80">
        <f>AVERAGE(Monday!F1228,Tuesday!F1228,Wednesday!F1228,Thursday!F1228,Friday!F1228)</f>
        <v>4.25</v>
      </c>
      <c r="AS12" s="80">
        <f>MEDIAN(Monday!F1228,Tuesday!F1228,Wednesday!F1228,Thursday!F1228,Friday!F1228)</f>
        <v>4.0199999999999996</v>
      </c>
      <c r="AT12" s="80">
        <f>AVERAGE(Monday!F1286,Tuesday!F1286,Wednesday!F1286,Thursday!F1286,Friday!F1286)</f>
        <v>4.3899999999999988</v>
      </c>
      <c r="AU12" s="80">
        <f>MEDIAN(Monday!F1286,Tuesday!F1286,Wednesday!F1286,Thursday!F1286,Friday!F1286)</f>
        <v>4.37</v>
      </c>
      <c r="AV12" s="80">
        <f>AVERAGE(Monday!F1344,Tuesday!F1344,Wednesday!F1344,Thursday!F1344,Friday!F1344)</f>
        <v>4.0540000000000003</v>
      </c>
      <c r="AW12" s="80">
        <f>MEDIAN(Monday!F1344,Tuesday!F1344,Wednesday!F1344,Thursday!F1344,Friday!F1344)</f>
        <v>4.13</v>
      </c>
      <c r="AX12" s="80">
        <f>AVERAGE(Monday!F1402,Tuesday!F1402,Wednesday!F1402,Thursday!F1402,Friday!F1402)</f>
        <v>4.1539999999999999</v>
      </c>
      <c r="AY12" s="80">
        <f>MEDIAN(Monday!F1402,Tuesday!F1402,Wednesday!F1402,Thursday!F1402,Friday!F1402)</f>
        <v>4.12</v>
      </c>
      <c r="AZ12" s="80">
        <f>AVERAGE(Monday!F1460,Tuesday!F1460,Wednesday!F1460,Thursday!F1460,Friday!F1460)</f>
        <v>4.17</v>
      </c>
      <c r="BA12" s="80">
        <f>MEDIAN(Monday!F1460,Tuesday!F1460,Wednesday!F1460,Thursday!F1460,Friday!F1460)</f>
        <v>3.72</v>
      </c>
      <c r="BB12" s="81">
        <v>9</v>
      </c>
      <c r="BC12" s="80">
        <f t="shared" si="0"/>
        <v>4.1331538461538457</v>
      </c>
      <c r="BD12" s="80">
        <f t="shared" si="1"/>
        <v>3.9249999999999998</v>
      </c>
    </row>
    <row r="13" spans="1:56" x14ac:dyDescent="0.25">
      <c r="A13" s="33">
        <v>10</v>
      </c>
      <c r="B13" s="80">
        <f>AVERAGE(Monday!F11,Tuesday!F11,Wednesday!F11,Thursday!F11,Friday!F11)</f>
        <v>2.778</v>
      </c>
      <c r="C13" s="80">
        <f>MEDIAN(Monday!F11,Tuesday!F11,Wednesday!F11,Thursday!F11,Friday!F11)</f>
        <v>2.77</v>
      </c>
      <c r="D13" s="80">
        <f>AVERAGE(Monday!F69,Tuesday!F69,Wednesday!F69,Thursday!F69,Friday!F69)</f>
        <v>2.9859999999999998</v>
      </c>
      <c r="E13" s="80">
        <f>MEDIAN(Monday!F69,Tuesday!F69,Wednesday!F69,Thursday!F69,Friday!F69)</f>
        <v>3</v>
      </c>
      <c r="F13" s="80">
        <f>AVERAGE(Monday!F127,Tuesday!F127,Wednesday!F127,Thursday!F127,Friday!F127)</f>
        <v>3.19</v>
      </c>
      <c r="G13" s="80">
        <f>MEDIAN(Monday!F127,Tuesday!F127,Wednesday!F127,Thursday!F127,Friday!F127)</f>
        <v>3.18</v>
      </c>
      <c r="H13" s="80">
        <f>AVERAGE(Monday!F185,Tuesday!F185,Wednesday!F185,Thursday!F185,Friday!F185)</f>
        <v>3.532</v>
      </c>
      <c r="I13" s="80">
        <f>MEDIAN(Monday!F185,Tuesday!F185,Wednesday!F185,Thursday!F185,Friday!F185)</f>
        <v>3.48</v>
      </c>
      <c r="J13" s="80">
        <f>AVERAGE(Monday!F243,Tuesday!F243,Wednesday!F243,Thursday!F243,Friday!F243)</f>
        <v>4.0880000000000001</v>
      </c>
      <c r="K13" s="80">
        <f>MEDIAN(Monday!F243,Tuesday!F243,Wednesday!F243,Thursday!F243,Friday!F243)</f>
        <v>4.0999999999999996</v>
      </c>
      <c r="L13" s="80">
        <f>AVERAGE(Monday!F301,Tuesday!F301,Wednesday!F301,Thursday!F301,Friday!F301)</f>
        <v>4.5460000000000003</v>
      </c>
      <c r="M13" s="80">
        <f>MEDIAN(Monday!F301,Tuesday!F301,Wednesday!F301,Thursday!F301,Friday!F301)</f>
        <v>4.38</v>
      </c>
      <c r="N13" s="80">
        <f>AVERAGE(Monday!F359,Tuesday!F359,Wednesday!F359,Thursday!F359,Friday!F359)</f>
        <v>4.8900000000000006</v>
      </c>
      <c r="O13" s="80">
        <f>MEDIAN(Monday!F359,Tuesday!F359,Wednesday!F359,Thursday!F359,Friday!F359)</f>
        <v>4.8499999999999996</v>
      </c>
      <c r="P13" s="80">
        <f>AVERAGE(Monday!F417,Tuesday!F417,Wednesday!F417,Thursday!F417,Friday!F417)</f>
        <v>4.5999999999999996</v>
      </c>
      <c r="Q13" s="80">
        <f>MEDIAN(Monday!F417,Tuesday!F417,Wednesday!F417,Thursday!F417,Friday!F417)</f>
        <v>4.55</v>
      </c>
      <c r="R13" s="80">
        <f>AVERAGE(Monday!F475,Tuesday!F475,Wednesday!F475,Thursday!F475,Friday!F475)</f>
        <v>4.2919999999999998</v>
      </c>
      <c r="S13" s="80">
        <f>MEDIAN(Monday!F475,Tuesday!F475,Wednesday!F475,Thursday!F475,Friday!F475)</f>
        <v>4.3</v>
      </c>
      <c r="T13" s="80">
        <f>AVERAGE(Monday!F533,Tuesday!F533,Wednesday!F533,Thursday!F533,Friday!F533)</f>
        <v>4.1680000000000001</v>
      </c>
      <c r="U13" s="80">
        <f>MEDIAN(Monday!F533,Tuesday!F533,Wednesday!F533,Thursday!F533,Friday!F533)</f>
        <v>4.17</v>
      </c>
      <c r="V13" s="80">
        <f>AVERAGE(Monday!F591,Tuesday!F591,Wednesday!F591,Thursday!F591,Friday!F591)</f>
        <v>4.2699999999999996</v>
      </c>
      <c r="W13" s="80">
        <f>MEDIAN(Monday!F591,Tuesday!F591,Wednesday!F591,Thursday!F591,Friday!F591)</f>
        <v>4.07</v>
      </c>
      <c r="X13" s="80">
        <f>AVERAGE(Monday!F649,Tuesday!F649,Wednesday!F649,Thursday!F649,Friday!F649)</f>
        <v>4.1079999999999997</v>
      </c>
      <c r="Y13" s="80">
        <f>MEDIAN(Monday!F649,Tuesday!F649,Wednesday!F649,Thursday!F649,Friday!F649)</f>
        <v>3.97</v>
      </c>
      <c r="Z13" s="80">
        <f>AVERAGE(Monday!F707,Tuesday!F707,Wednesday!F707,Thursday!F707,Friday!F707)</f>
        <v>4.1040000000000001</v>
      </c>
      <c r="AA13" s="80">
        <f>MEDIAN(Monday!F707,Tuesday!F707,Wednesday!F707,Thursday!F707,Friday!F707)</f>
        <v>3.8</v>
      </c>
      <c r="AB13" s="80">
        <f>AVERAGE(Monday!F765,Tuesday!F765,Wednesday!F765,Thursday!F765,Friday!F765)</f>
        <v>4.0900000000000007</v>
      </c>
      <c r="AC13" s="80">
        <f>MEDIAN(Monday!F765,Tuesday!F765,Wednesday!F765,Thursday!F765,Friday!F765)</f>
        <v>4.0999999999999996</v>
      </c>
      <c r="AD13" s="80">
        <f>AVERAGE(Monday!F823,Tuesday!F823,Wednesday!F823,Thursday!F823,Friday!F823)</f>
        <v>4.2780000000000005</v>
      </c>
      <c r="AE13" s="80">
        <f>MEDIAN(Monday!F823,Tuesday!F823,Wednesday!F823,Thursday!F823,Friday!F823)</f>
        <v>4.2</v>
      </c>
      <c r="AF13" s="80">
        <f>AVERAGE(Monday!F881,Tuesday!F881,Wednesday!F881,Thursday!F881,Friday!F881)</f>
        <v>4.6820000000000004</v>
      </c>
      <c r="AG13" s="80">
        <f>MEDIAN(Monday!F881,Tuesday!F881,Wednesday!F881,Thursday!F881,Friday!F881)</f>
        <v>4.7</v>
      </c>
      <c r="AH13" s="80">
        <f>AVERAGE(Monday!F939,Tuesday!F939,Wednesday!F939,Thursday!F939,Friday!F939)</f>
        <v>4.7560000000000002</v>
      </c>
      <c r="AI13" s="80">
        <f>MEDIAN(Monday!F939,Tuesday!F939,Wednesday!F939,Thursday!F939,Friday!F939)</f>
        <v>4.58</v>
      </c>
      <c r="AJ13" s="80">
        <f>AVERAGE(Monday!F997,Tuesday!F997,Wednesday!F997,Thursday!F997,Friday!F997)</f>
        <v>4.4940000000000007</v>
      </c>
      <c r="AK13" s="80">
        <f>MEDIAN(Monday!F997,Tuesday!F997,Wednesday!F997,Thursday!F997,Friday!F997)</f>
        <v>4.55</v>
      </c>
      <c r="AL13" s="80">
        <f>AVERAGE(Monday!F1055,Tuesday!F1055,Wednesday!F1055,Thursday!F1055,Friday!F1055)</f>
        <v>4.5760000000000005</v>
      </c>
      <c r="AM13" s="80">
        <f>MEDIAN(Monday!F1055,Tuesday!F1055,Wednesday!F1055,Thursday!F1055,Friday!F1055)</f>
        <v>4.37</v>
      </c>
      <c r="AN13" s="80">
        <f>AVERAGE(Monday!F1113,Tuesday!F1113,Wednesday!F1113,Thursday!F1113,Friday!F1113)</f>
        <v>4.3239999999999998</v>
      </c>
      <c r="AO13" s="80">
        <f>MEDIAN(Monday!F1113,Tuesday!F1113,Wednesday!F1113,Thursday!F1113,Friday!F1113)</f>
        <v>4.3499999999999996</v>
      </c>
      <c r="AP13" s="80">
        <f>AVERAGE(Monday!F1171,Tuesday!F1171,Wednesday!F1171,Thursday!F1171,Friday!F1171)</f>
        <v>4.5960000000000001</v>
      </c>
      <c r="AQ13" s="80">
        <f>MEDIAN(Monday!F1171,Tuesday!F1171,Wednesday!F1171,Thursday!F1171,Friday!F1171)</f>
        <v>4.4800000000000004</v>
      </c>
      <c r="AR13" s="80">
        <f>AVERAGE(Monday!F1229,Tuesday!F1229,Wednesday!F1229,Thursday!F1229,Friday!F1229)</f>
        <v>4.9259999999999993</v>
      </c>
      <c r="AS13" s="80">
        <f>MEDIAN(Monday!F1229,Tuesday!F1229,Wednesday!F1229,Thursday!F1229,Friday!F1229)</f>
        <v>4.93</v>
      </c>
      <c r="AT13" s="80">
        <f>AVERAGE(Monday!F1287,Tuesday!F1287,Wednesday!F1287,Thursday!F1287,Friday!F1287)</f>
        <v>4.8759999999999994</v>
      </c>
      <c r="AU13" s="80">
        <f>MEDIAN(Monday!F1287,Tuesday!F1287,Wednesday!F1287,Thursday!F1287,Friday!F1287)</f>
        <v>4.88</v>
      </c>
      <c r="AV13" s="80">
        <f>AVERAGE(Monday!F1345,Tuesday!F1345,Wednesday!F1345,Thursday!F1345,Friday!F1345)</f>
        <v>4.3639999999999999</v>
      </c>
      <c r="AW13" s="80">
        <f>MEDIAN(Monday!F1345,Tuesday!F1345,Wednesday!F1345,Thursday!F1345,Friday!F1345)</f>
        <v>4.5199999999999996</v>
      </c>
      <c r="AX13" s="80">
        <f>AVERAGE(Monday!F1403,Tuesday!F1403,Wednesday!F1403,Thursday!F1403,Friday!F1403)</f>
        <v>4.153999999999999</v>
      </c>
      <c r="AY13" s="80">
        <f>MEDIAN(Monday!F1403,Tuesday!F1403,Wednesday!F1403,Thursday!F1403,Friday!F1403)</f>
        <v>4.1500000000000004</v>
      </c>
      <c r="AZ13" s="80">
        <f>AVERAGE(Monday!F1461,Tuesday!F1461,Wednesday!F1461,Thursday!F1461,Friday!F1461)</f>
        <v>3.964</v>
      </c>
      <c r="BA13" s="80">
        <f>MEDIAN(Monday!F1461,Tuesday!F1461,Wednesday!F1461,Thursday!F1461,Friday!F1461)</f>
        <v>3.9</v>
      </c>
      <c r="BB13" s="81">
        <v>10</v>
      </c>
      <c r="BC13" s="80">
        <f t="shared" si="0"/>
        <v>4.2166153846153849</v>
      </c>
      <c r="BD13" s="80">
        <f t="shared" si="1"/>
        <v>4.25</v>
      </c>
    </row>
    <row r="14" spans="1:56" x14ac:dyDescent="0.25">
      <c r="A14" s="33">
        <v>11</v>
      </c>
      <c r="B14" s="80">
        <f>AVERAGE(Monday!F12,Tuesday!F12,Wednesday!F12,Thursday!F12,Friday!F12)</f>
        <v>2.218</v>
      </c>
      <c r="C14" s="80">
        <f>MEDIAN(Monday!F12,Tuesday!F12,Wednesday!F12,Thursday!F12,Friday!F12)</f>
        <v>2.2200000000000002</v>
      </c>
      <c r="D14" s="80">
        <f>AVERAGE(Monday!F70,Tuesday!F70,Wednesday!F70,Thursday!F70,Friday!F70)</f>
        <v>2.3560000000000003</v>
      </c>
      <c r="E14" s="80">
        <f>MEDIAN(Monday!F70,Tuesday!F70,Wednesday!F70,Thursday!F70,Friday!F70)</f>
        <v>2.37</v>
      </c>
      <c r="F14" s="80">
        <f>AVERAGE(Monday!F128,Tuesday!F128,Wednesday!F128,Thursday!F128,Friday!F128)</f>
        <v>2.5200000000000005</v>
      </c>
      <c r="G14" s="80">
        <f>MEDIAN(Monday!F128,Tuesday!F128,Wednesday!F128,Thursday!F128,Friday!F128)</f>
        <v>2.4300000000000002</v>
      </c>
      <c r="H14" s="80">
        <f>AVERAGE(Monday!F186,Tuesday!F186,Wednesday!F186,Thursday!F186,Friday!F186)</f>
        <v>2.6779999999999999</v>
      </c>
      <c r="I14" s="80">
        <f>MEDIAN(Monday!F186,Tuesday!F186,Wednesday!F186,Thursday!F186,Friday!F186)</f>
        <v>2.67</v>
      </c>
      <c r="J14" s="80">
        <f>AVERAGE(Monday!F244,Tuesday!F244,Wednesday!F244,Thursday!F244,Friday!F244)</f>
        <v>3.14</v>
      </c>
      <c r="K14" s="80">
        <f>MEDIAN(Monday!F244,Tuesday!F244,Wednesday!F244,Thursday!F244,Friday!F244)</f>
        <v>3.05</v>
      </c>
      <c r="L14" s="80">
        <f>AVERAGE(Monday!F302,Tuesday!F302,Wednesday!F302,Thursday!F302,Friday!F302)</f>
        <v>4.3899999999999997</v>
      </c>
      <c r="M14" s="80">
        <f>MEDIAN(Monday!F302,Tuesday!F302,Wednesday!F302,Thursday!F302,Friday!F302)</f>
        <v>3.68</v>
      </c>
      <c r="N14" s="80">
        <f>AVERAGE(Monday!F360,Tuesday!F360,Wednesday!F360,Thursday!F360,Friday!F360)</f>
        <v>4.3280000000000003</v>
      </c>
      <c r="O14" s="80">
        <f>MEDIAN(Monday!F360,Tuesday!F360,Wednesday!F360,Thursday!F360,Friday!F360)</f>
        <v>4.28</v>
      </c>
      <c r="P14" s="80">
        <f>AVERAGE(Monday!F418,Tuesday!F418,Wednesday!F418,Thursday!F418,Friday!F418)</f>
        <v>3.6759999999999997</v>
      </c>
      <c r="Q14" s="80">
        <f>MEDIAN(Monday!F418,Tuesday!F418,Wednesday!F418,Thursday!F418,Friday!F418)</f>
        <v>3.3</v>
      </c>
      <c r="R14" s="80">
        <f>AVERAGE(Monday!F476,Tuesday!F476,Wednesday!F476,Thursday!F476,Friday!F476)</f>
        <v>3.4020000000000001</v>
      </c>
      <c r="S14" s="80">
        <f>MEDIAN(Monday!F476,Tuesday!F476,Wednesday!F476,Thursday!F476,Friday!F476)</f>
        <v>3.37</v>
      </c>
      <c r="T14" s="80">
        <f>AVERAGE(Monday!F534,Tuesday!F534,Wednesday!F534,Thursday!F534,Friday!F534)</f>
        <v>3.7</v>
      </c>
      <c r="U14" s="80">
        <f>MEDIAN(Monday!F534,Tuesday!F534,Wednesday!F534,Thursday!F534,Friday!F534)</f>
        <v>3.63</v>
      </c>
      <c r="V14" s="80">
        <f>AVERAGE(Monday!F592,Tuesday!F592,Wednesday!F592,Thursday!F592,Friday!F592)</f>
        <v>3.6559999999999997</v>
      </c>
      <c r="W14" s="80">
        <f>MEDIAN(Monday!F592,Tuesday!F592,Wednesday!F592,Thursday!F592,Friday!F592)</f>
        <v>3.63</v>
      </c>
      <c r="X14" s="80">
        <f>AVERAGE(Monday!F650,Tuesday!F650,Wednesday!F650,Thursday!F650,Friday!F650)</f>
        <v>3.5579999999999998</v>
      </c>
      <c r="Y14" s="80">
        <f>MEDIAN(Monday!F650,Tuesday!F650,Wednesday!F650,Thursday!F650,Friday!F650)</f>
        <v>3.28</v>
      </c>
      <c r="Z14" s="80">
        <f>AVERAGE(Monday!F708,Tuesday!F708,Wednesday!F708,Thursday!F708,Friday!F708)</f>
        <v>2.9859999999999998</v>
      </c>
      <c r="AA14" s="80">
        <f>MEDIAN(Monday!F708,Tuesday!F708,Wednesday!F708,Thursday!F708,Friday!F708)</f>
        <v>2.9</v>
      </c>
      <c r="AB14" s="80">
        <f>AVERAGE(Monday!F766,Tuesday!F766,Wednesday!F766,Thursday!F766,Friday!F766)</f>
        <v>3.16</v>
      </c>
      <c r="AC14" s="80">
        <f>MEDIAN(Monday!F766,Tuesday!F766,Wednesday!F766,Thursday!F766,Friday!F766)</f>
        <v>3.25</v>
      </c>
      <c r="AD14" s="80">
        <f>AVERAGE(Monday!F824,Tuesday!F824,Wednesday!F824,Thursday!F824,Friday!F824)</f>
        <v>2.8600000000000003</v>
      </c>
      <c r="AE14" s="80">
        <f>MEDIAN(Monday!F824,Tuesday!F824,Wednesday!F824,Thursday!F824,Friday!F824)</f>
        <v>2.88</v>
      </c>
      <c r="AF14" s="80">
        <f>AVERAGE(Monday!F882,Tuesday!F882,Wednesday!F882,Thursday!F882,Friday!F882)</f>
        <v>2.952</v>
      </c>
      <c r="AG14" s="80">
        <f>MEDIAN(Monday!F882,Tuesday!F882,Wednesday!F882,Thursday!F882,Friday!F882)</f>
        <v>3.02</v>
      </c>
      <c r="AH14" s="80">
        <f>AVERAGE(Monday!F940,Tuesday!F940,Wednesday!F940,Thursday!F940,Friday!F940)</f>
        <v>2.964</v>
      </c>
      <c r="AI14" s="80">
        <f>MEDIAN(Monday!F940,Tuesday!F940,Wednesday!F940,Thursday!F940,Friday!F940)</f>
        <v>3</v>
      </c>
      <c r="AJ14" s="80">
        <f>AVERAGE(Monday!F998,Tuesday!F998,Wednesday!F998,Thursday!F998,Friday!F998)</f>
        <v>3.1979999999999995</v>
      </c>
      <c r="AK14" s="80">
        <f>MEDIAN(Monday!F998,Tuesday!F998,Wednesday!F998,Thursday!F998,Friday!F998)</f>
        <v>2.93</v>
      </c>
      <c r="AL14" s="80">
        <f>AVERAGE(Monday!F1056,Tuesday!F1056,Wednesday!F1056,Thursday!F1056,Friday!F1056)</f>
        <v>3.528</v>
      </c>
      <c r="AM14" s="80">
        <f>MEDIAN(Monday!F1056,Tuesday!F1056,Wednesday!F1056,Thursday!F1056,Friday!F1056)</f>
        <v>3.45</v>
      </c>
      <c r="AN14" s="80">
        <f>AVERAGE(Monday!F1114,Tuesday!F1114,Wednesday!F1114,Thursday!F1114,Friday!F1114)</f>
        <v>3.246</v>
      </c>
      <c r="AO14" s="80">
        <f>MEDIAN(Monday!F1114,Tuesday!F1114,Wednesday!F1114,Thursday!F1114,Friday!F1114)</f>
        <v>3.27</v>
      </c>
      <c r="AP14" s="80">
        <f>AVERAGE(Monday!F1172,Tuesday!F1172,Wednesday!F1172,Thursday!F1172,Friday!F1172)</f>
        <v>3.508</v>
      </c>
      <c r="AQ14" s="80">
        <f>MEDIAN(Monday!F1172,Tuesday!F1172,Wednesday!F1172,Thursday!F1172,Friday!F1172)</f>
        <v>3.67</v>
      </c>
      <c r="AR14" s="80">
        <f>AVERAGE(Monday!F1230,Tuesday!F1230,Wednesday!F1230,Thursday!F1230,Friday!F1230)</f>
        <v>4.4459999999999997</v>
      </c>
      <c r="AS14" s="80">
        <f>MEDIAN(Monday!F1230,Tuesday!F1230,Wednesday!F1230,Thursday!F1230,Friday!F1230)</f>
        <v>4.22</v>
      </c>
      <c r="AT14" s="80">
        <f>AVERAGE(Monday!F1288,Tuesday!F1288,Wednesday!F1288,Thursday!F1288,Friday!F1288)</f>
        <v>5.45</v>
      </c>
      <c r="AU14" s="80">
        <f>MEDIAN(Monday!F1288,Tuesday!F1288,Wednesday!F1288,Thursday!F1288,Friday!F1288)</f>
        <v>5.27</v>
      </c>
      <c r="AV14" s="80">
        <f>AVERAGE(Monday!F1346,Tuesday!F1346,Wednesday!F1346,Thursday!F1346,Friday!F1346)</f>
        <v>5.0299999999999994</v>
      </c>
      <c r="AW14" s="80">
        <f>MEDIAN(Monday!F1346,Tuesday!F1346,Wednesday!F1346,Thursday!F1346,Friday!F1346)</f>
        <v>4.7</v>
      </c>
      <c r="AX14" s="80">
        <f>AVERAGE(Monday!F1404,Tuesday!F1404,Wednesday!F1404,Thursday!F1404,Friday!F1404)</f>
        <v>4.7100000000000009</v>
      </c>
      <c r="AY14" s="80">
        <f>MEDIAN(Monday!F1404,Tuesday!F1404,Wednesday!F1404,Thursday!F1404,Friday!F1404)</f>
        <v>4.7699999999999996</v>
      </c>
      <c r="AZ14" s="80">
        <f>AVERAGE(Monday!F1462,Tuesday!F1462,Wednesday!F1462,Thursday!F1462,Friday!F1462)</f>
        <v>4.2099999999999991</v>
      </c>
      <c r="BA14" s="80">
        <f>MEDIAN(Monday!F1462,Tuesday!F1462,Wednesday!F1462,Thursday!F1462,Friday!F1462)</f>
        <v>3.63</v>
      </c>
      <c r="BB14" s="81">
        <v>11</v>
      </c>
      <c r="BC14" s="80">
        <f t="shared" si="0"/>
        <v>3.533461538461538</v>
      </c>
      <c r="BD14" s="80">
        <f t="shared" si="1"/>
        <v>3.29</v>
      </c>
    </row>
    <row r="15" spans="1:56" x14ac:dyDescent="0.25">
      <c r="A15" s="33">
        <v>12</v>
      </c>
      <c r="B15" s="80">
        <f>AVERAGE(Monday!F13,Tuesday!F13,Wednesday!F13,Thursday!F13,Friday!F13)</f>
        <v>2.6219999999999999</v>
      </c>
      <c r="C15" s="80">
        <f>MEDIAN(Monday!F13,Tuesday!F13,Wednesday!F13,Thursday!F13,Friday!F13)</f>
        <v>2.6</v>
      </c>
      <c r="D15" s="80">
        <f>AVERAGE(Monday!F71,Tuesday!F71,Wednesday!F71,Thursday!F71,Friday!F71)</f>
        <v>2.956</v>
      </c>
      <c r="E15" s="80">
        <f>MEDIAN(Monday!F71,Tuesday!F71,Wednesday!F71,Thursday!F71,Friday!F71)</f>
        <v>2.9</v>
      </c>
      <c r="F15" s="80">
        <f>AVERAGE(Monday!F129,Tuesday!F129,Wednesday!F129,Thursday!F129,Friday!F129)</f>
        <v>3.29</v>
      </c>
      <c r="G15" s="80">
        <f>MEDIAN(Monday!F129,Tuesday!F129,Wednesday!F129,Thursday!F129,Friday!F129)</f>
        <v>3.15</v>
      </c>
      <c r="H15" s="80">
        <f>AVERAGE(Monday!F187,Tuesday!F187,Wednesday!F187,Thursday!F187,Friday!F187)</f>
        <v>3.4260000000000006</v>
      </c>
      <c r="I15" s="80">
        <f>MEDIAN(Monday!F187,Tuesday!F187,Wednesday!F187,Thursday!F187,Friday!F187)</f>
        <v>3.47</v>
      </c>
      <c r="J15" s="80">
        <f>AVERAGE(Monday!F245,Tuesday!F245,Wednesday!F245,Thursday!F245,Friday!F245)</f>
        <v>4.1040000000000001</v>
      </c>
      <c r="K15" s="80">
        <f>MEDIAN(Monday!F245,Tuesday!F245,Wednesday!F245,Thursday!F245,Friday!F245)</f>
        <v>4.0199999999999996</v>
      </c>
      <c r="L15" s="80">
        <f>AVERAGE(Monday!F303,Tuesday!F303,Wednesday!F303,Thursday!F303,Friday!F303)</f>
        <v>5.09</v>
      </c>
      <c r="M15" s="80">
        <f>MEDIAN(Monday!F303,Tuesday!F303,Wednesday!F303,Thursday!F303,Friday!F303)</f>
        <v>4.95</v>
      </c>
      <c r="N15" s="80">
        <f>AVERAGE(Monday!F361,Tuesday!F361,Wednesday!F361,Thursday!F361,Friday!F361)</f>
        <v>4.9639999999999995</v>
      </c>
      <c r="O15" s="80">
        <f>MEDIAN(Monday!F361,Tuesday!F361,Wednesday!F361,Thursday!F361,Friday!F361)</f>
        <v>4.9000000000000004</v>
      </c>
      <c r="P15" s="80">
        <f>AVERAGE(Monday!F419,Tuesday!F419,Wednesday!F419,Thursday!F419,Friday!F419)</f>
        <v>4.7700000000000005</v>
      </c>
      <c r="Q15" s="80">
        <f>MEDIAN(Monday!F419,Tuesday!F419,Wednesday!F419,Thursday!F419,Friday!F419)</f>
        <v>4.42</v>
      </c>
      <c r="R15" s="80">
        <f>AVERAGE(Monday!F477,Tuesday!F477,Wednesday!F477,Thursday!F477,Friday!F477)</f>
        <v>4.3680000000000003</v>
      </c>
      <c r="S15" s="80">
        <f>MEDIAN(Monday!F477,Tuesday!F477,Wednesday!F477,Thursday!F477,Friday!F477)</f>
        <v>4.0999999999999996</v>
      </c>
      <c r="T15" s="80">
        <f>AVERAGE(Monday!F535,Tuesday!F535,Wednesday!F535,Thursday!F535,Friday!F535)</f>
        <v>5.0620000000000003</v>
      </c>
      <c r="U15" s="80">
        <f>MEDIAN(Monday!F535,Tuesday!F535,Wednesday!F535,Thursday!F535,Friday!F535)</f>
        <v>4.63</v>
      </c>
      <c r="V15" s="80">
        <f>AVERAGE(Monday!F593,Tuesday!F593,Wednesday!F593,Thursday!F593,Friday!F593)</f>
        <v>4.8419999999999996</v>
      </c>
      <c r="W15" s="80">
        <f>MEDIAN(Monday!F593,Tuesday!F593,Wednesday!F593,Thursday!F593,Friday!F593)</f>
        <v>4.68</v>
      </c>
      <c r="X15" s="80">
        <f>AVERAGE(Monday!F651,Tuesday!F651,Wednesday!F651,Thursday!F651,Friday!F651)</f>
        <v>5.4019999999999992</v>
      </c>
      <c r="Y15" s="80">
        <f>MEDIAN(Monday!F651,Tuesday!F651,Wednesday!F651,Thursday!F651,Friday!F651)</f>
        <v>4.6500000000000004</v>
      </c>
      <c r="Z15" s="80">
        <f>AVERAGE(Monday!F709,Tuesday!F709,Wednesday!F709,Thursday!F709,Friday!F709)</f>
        <v>5.556</v>
      </c>
      <c r="AA15" s="80">
        <f>MEDIAN(Monday!F709,Tuesday!F709,Wednesday!F709,Thursday!F709,Friday!F709)</f>
        <v>4.22</v>
      </c>
      <c r="AB15" s="80">
        <f>AVERAGE(Monday!F767,Tuesday!F767,Wednesday!F767,Thursday!F767,Friday!F767)</f>
        <v>4.6620000000000008</v>
      </c>
      <c r="AC15" s="80">
        <f>MEDIAN(Monday!F767,Tuesday!F767,Wednesday!F767,Thursday!F767,Friday!F767)</f>
        <v>4.68</v>
      </c>
      <c r="AD15" s="80">
        <f>AVERAGE(Monday!F825,Tuesday!F825,Wednesday!F825,Thursday!F825,Friday!F825)</f>
        <v>4.5119999999999996</v>
      </c>
      <c r="AE15" s="80">
        <f>MEDIAN(Monday!F825,Tuesday!F825,Wednesday!F825,Thursday!F825,Friday!F825)</f>
        <v>4.5199999999999996</v>
      </c>
      <c r="AF15" s="80">
        <f>AVERAGE(Monday!F883,Tuesday!F883,Wednesday!F883,Thursday!F883,Friday!F883)</f>
        <v>4.6539999999999999</v>
      </c>
      <c r="AG15" s="80">
        <f>MEDIAN(Monday!F883,Tuesday!F883,Wednesday!F883,Thursday!F883,Friday!F883)</f>
        <v>4.4000000000000004</v>
      </c>
      <c r="AH15" s="80">
        <f>AVERAGE(Monday!F941,Tuesday!F941,Wednesday!F941,Thursday!F941,Friday!F941)</f>
        <v>4.6719999999999997</v>
      </c>
      <c r="AI15" s="80">
        <f>MEDIAN(Monday!F941,Tuesday!F941,Wednesday!F941,Thursday!F941,Friday!F941)</f>
        <v>4.5</v>
      </c>
      <c r="AJ15" s="80">
        <f>AVERAGE(Monday!F999,Tuesday!F999,Wednesday!F999,Thursday!F999,Friday!F999)</f>
        <v>4.5359999999999996</v>
      </c>
      <c r="AK15" s="80">
        <f>MEDIAN(Monday!F999,Tuesday!F999,Wednesday!F999,Thursday!F999,Friday!F999)</f>
        <v>4.5199999999999996</v>
      </c>
      <c r="AL15" s="80">
        <f>AVERAGE(Monday!F1057,Tuesday!F1057,Wednesday!F1057,Thursday!F1057,Friday!F1057)</f>
        <v>4.5440000000000005</v>
      </c>
      <c r="AM15" s="80">
        <f>MEDIAN(Monday!F1057,Tuesday!F1057,Wednesday!F1057,Thursday!F1057,Friday!F1057)</f>
        <v>4.45</v>
      </c>
      <c r="AN15" s="80">
        <f>AVERAGE(Monday!F1115,Tuesday!F1115,Wednesday!F1115,Thursday!F1115,Friday!F1115)</f>
        <v>4.5759999999999987</v>
      </c>
      <c r="AO15" s="80">
        <f>MEDIAN(Monday!F1115,Tuesday!F1115,Wednesday!F1115,Thursday!F1115,Friday!F1115)</f>
        <v>4.5999999999999996</v>
      </c>
      <c r="AP15" s="80">
        <f>AVERAGE(Monday!F1173,Tuesday!F1173,Wednesday!F1173,Thursday!F1173,Friday!F1173)</f>
        <v>5.1440000000000001</v>
      </c>
      <c r="AQ15" s="80">
        <f>MEDIAN(Monday!F1173,Tuesday!F1173,Wednesday!F1173,Thursday!F1173,Friday!F1173)</f>
        <v>5.07</v>
      </c>
      <c r="AR15" s="80">
        <f>AVERAGE(Monday!F1231,Tuesday!F1231,Wednesday!F1231,Thursday!F1231,Friday!F1231)</f>
        <v>5.6639999999999997</v>
      </c>
      <c r="AS15" s="80">
        <f>MEDIAN(Monday!F1231,Tuesday!F1231,Wednesday!F1231,Thursday!F1231,Friday!F1231)</f>
        <v>5.18</v>
      </c>
      <c r="AT15" s="80">
        <f>AVERAGE(Monday!F1289,Tuesday!F1289,Wednesday!F1289,Thursday!F1289,Friday!F1289)</f>
        <v>5.31</v>
      </c>
      <c r="AU15" s="80">
        <f>MEDIAN(Monday!F1289,Tuesday!F1289,Wednesday!F1289,Thursday!F1289,Friday!F1289)</f>
        <v>5.08</v>
      </c>
      <c r="AV15" s="80">
        <f>AVERAGE(Monday!F1347,Tuesday!F1347,Wednesday!F1347,Thursday!F1347,Friday!F1347)</f>
        <v>4.6500000000000004</v>
      </c>
      <c r="AW15" s="80">
        <f>MEDIAN(Monday!F1347,Tuesday!F1347,Wednesday!F1347,Thursday!F1347,Friday!F1347)</f>
        <v>4.78</v>
      </c>
      <c r="AX15" s="80">
        <f>AVERAGE(Monday!F1405,Tuesday!F1405,Wednesday!F1405,Thursday!F1405,Friday!F1405)</f>
        <v>4.5939999999999994</v>
      </c>
      <c r="AY15" s="80">
        <f>MEDIAN(Monday!F1405,Tuesday!F1405,Wednesday!F1405,Thursday!F1405,Friday!F1405)</f>
        <v>4.38</v>
      </c>
      <c r="AZ15" s="80">
        <f>AVERAGE(Monday!F1463,Tuesday!F1463,Wednesday!F1463,Thursday!F1463,Friday!F1463)</f>
        <v>4.5039999999999996</v>
      </c>
      <c r="BA15" s="80">
        <f>MEDIAN(Monday!F1463,Tuesday!F1463,Wednesday!F1463,Thursday!F1463,Friday!F1463)</f>
        <v>4.12</v>
      </c>
      <c r="BB15" s="81">
        <v>12</v>
      </c>
      <c r="BC15" s="80">
        <f t="shared" si="0"/>
        <v>4.5566923076923072</v>
      </c>
      <c r="BD15" s="80">
        <f t="shared" si="1"/>
        <v>4.51</v>
      </c>
    </row>
    <row r="16" spans="1:56" x14ac:dyDescent="0.25">
      <c r="A16" s="33">
        <v>13</v>
      </c>
      <c r="B16" s="80">
        <f>AVERAGE(Monday!F14,Tuesday!F14,Wednesday!F14,Thursday!F14,Friday!F14)</f>
        <v>3.0180000000000002</v>
      </c>
      <c r="C16" s="80">
        <f>MEDIAN(Monday!F14,Tuesday!F14,Wednesday!F14,Thursday!F14,Friday!F14)</f>
        <v>3</v>
      </c>
      <c r="D16" s="80">
        <f>AVERAGE(Monday!F72,Tuesday!F72,Wednesday!F72,Thursday!F72,Friday!F72)</f>
        <v>3.7</v>
      </c>
      <c r="E16" s="80">
        <f>MEDIAN(Monday!F72,Tuesday!F72,Wednesday!F72,Thursday!F72,Friday!F72)</f>
        <v>3.72</v>
      </c>
      <c r="F16" s="80">
        <f>AVERAGE(Monday!F130,Tuesday!F130,Wednesday!F130,Thursday!F130,Friday!F130)</f>
        <v>3.8880000000000003</v>
      </c>
      <c r="G16" s="80">
        <f>MEDIAN(Monday!F130,Tuesday!F130,Wednesday!F130,Thursday!F130,Friday!F130)</f>
        <v>3.93</v>
      </c>
      <c r="H16" s="80">
        <f>AVERAGE(Monday!F188,Tuesday!F188,Wednesday!F188,Thursday!F188,Friday!F188)</f>
        <v>4.1219999999999999</v>
      </c>
      <c r="I16" s="80">
        <f>MEDIAN(Monday!F188,Tuesday!F188,Wednesday!F188,Thursday!F188,Friday!F188)</f>
        <v>4</v>
      </c>
      <c r="J16" s="80">
        <f>AVERAGE(Monday!F246,Tuesday!F246,Wednesday!F246,Thursday!F246,Friday!F246)</f>
        <v>4.5179999999999998</v>
      </c>
      <c r="K16" s="80">
        <f>MEDIAN(Monday!F246,Tuesday!F246,Wednesday!F246,Thursday!F246,Friday!F246)</f>
        <v>4.3499999999999996</v>
      </c>
      <c r="L16" s="80">
        <f>AVERAGE(Monday!F304,Tuesday!F304,Wednesday!F304,Thursday!F304,Friday!F304)</f>
        <v>5.2119999999999997</v>
      </c>
      <c r="M16" s="80">
        <f>MEDIAN(Monday!F304,Tuesday!F304,Wednesday!F304,Thursday!F304,Friday!F304)</f>
        <v>5.08</v>
      </c>
      <c r="N16" s="80">
        <f>AVERAGE(Monday!F362,Tuesday!F362,Wednesday!F362,Thursday!F362,Friday!F362)</f>
        <v>5.17</v>
      </c>
      <c r="O16" s="80">
        <f>MEDIAN(Monday!F362,Tuesday!F362,Wednesday!F362,Thursday!F362,Friday!F362)</f>
        <v>5.0999999999999996</v>
      </c>
      <c r="P16" s="80">
        <f>AVERAGE(Monday!F420,Tuesday!F420,Wednesday!F420,Thursday!F420,Friday!F420)</f>
        <v>4.9999999999999991</v>
      </c>
      <c r="Q16" s="80">
        <f>MEDIAN(Monday!F420,Tuesday!F420,Wednesday!F420,Thursday!F420,Friday!F420)</f>
        <v>4.88</v>
      </c>
      <c r="R16" s="80">
        <f>AVERAGE(Monday!F478,Tuesday!F478,Wednesday!F478,Thursday!F478,Friday!F478)</f>
        <v>4.8680000000000003</v>
      </c>
      <c r="S16" s="80">
        <f>MEDIAN(Monday!F478,Tuesday!F478,Wednesday!F478,Thursday!F478,Friday!F478)</f>
        <v>4.8</v>
      </c>
      <c r="T16" s="80">
        <f>AVERAGE(Monday!F536,Tuesday!F536,Wednesday!F536,Thursday!F536,Friday!F536)</f>
        <v>4.226</v>
      </c>
      <c r="U16" s="80">
        <f>MEDIAN(Monday!F536,Tuesday!F536,Wednesday!F536,Thursday!F536,Friday!F536)</f>
        <v>4.28</v>
      </c>
      <c r="V16" s="80">
        <f>AVERAGE(Monday!F594,Tuesday!F594,Wednesday!F594,Thursday!F594,Friday!F594)</f>
        <v>4.5460000000000003</v>
      </c>
      <c r="W16" s="80">
        <f>MEDIAN(Monday!F594,Tuesday!F594,Wednesday!F594,Thursday!F594,Friday!F594)</f>
        <v>4.0999999999999996</v>
      </c>
      <c r="X16" s="80">
        <f>AVERAGE(Monday!F652,Tuesday!F652,Wednesday!F652,Thursday!F652,Friday!F652)</f>
        <v>4.9019999999999992</v>
      </c>
      <c r="Y16" s="80">
        <f>MEDIAN(Monday!F652,Tuesday!F652,Wednesday!F652,Thursday!F652,Friday!F652)</f>
        <v>4.3499999999999996</v>
      </c>
      <c r="Z16" s="80">
        <f>AVERAGE(Monday!F710,Tuesday!F710,Wednesday!F710,Thursday!F710,Friday!F710)</f>
        <v>4.5460000000000003</v>
      </c>
      <c r="AA16" s="80">
        <f>MEDIAN(Monday!F710,Tuesday!F710,Wednesday!F710,Thursday!F710,Friday!F710)</f>
        <v>4.28</v>
      </c>
      <c r="AB16" s="80">
        <f>AVERAGE(Monday!F768,Tuesday!F768,Wednesday!F768,Thursday!F768,Friday!F768)</f>
        <v>4.5959999999999992</v>
      </c>
      <c r="AC16" s="80">
        <f>MEDIAN(Monday!F768,Tuesday!F768,Wednesday!F768,Thursday!F768,Friday!F768)</f>
        <v>4.5999999999999996</v>
      </c>
      <c r="AD16" s="80">
        <f>AVERAGE(Monday!F826,Tuesday!F826,Wednesday!F826,Thursday!F826,Friday!F826)</f>
        <v>4.556</v>
      </c>
      <c r="AE16" s="80">
        <f>MEDIAN(Monday!F826,Tuesday!F826,Wednesday!F826,Thursday!F826,Friday!F826)</f>
        <v>4.38</v>
      </c>
      <c r="AF16" s="80">
        <f>AVERAGE(Monday!F884,Tuesday!F884,Wednesday!F884,Thursday!F884,Friday!F884)</f>
        <v>4.492</v>
      </c>
      <c r="AG16" s="80">
        <f>MEDIAN(Monday!F884,Tuesday!F884,Wednesday!F884,Thursday!F884,Friday!F884)</f>
        <v>4.53</v>
      </c>
      <c r="AH16" s="80">
        <f>AVERAGE(Monday!F942,Tuesday!F942,Wednesday!F942,Thursday!F942,Friday!F942)</f>
        <v>4.5579999999999998</v>
      </c>
      <c r="AI16" s="80">
        <f>MEDIAN(Monday!F942,Tuesday!F942,Wednesday!F942,Thursday!F942,Friday!F942)</f>
        <v>4.57</v>
      </c>
      <c r="AJ16" s="80">
        <f>AVERAGE(Monday!F1000,Tuesday!F1000,Wednesday!F1000,Thursday!F1000,Friday!F1000)</f>
        <v>4.76</v>
      </c>
      <c r="AK16" s="80">
        <f>MEDIAN(Monday!F1000,Tuesday!F1000,Wednesday!F1000,Thursday!F1000,Friday!F1000)</f>
        <v>4.7</v>
      </c>
      <c r="AL16" s="80">
        <f>AVERAGE(Monday!F1058,Tuesday!F1058,Wednesday!F1058,Thursday!F1058,Friday!F1058)</f>
        <v>4.4320000000000004</v>
      </c>
      <c r="AM16" s="80">
        <f>MEDIAN(Monday!F1058,Tuesday!F1058,Wednesday!F1058,Thursday!F1058,Friday!F1058)</f>
        <v>4.4800000000000004</v>
      </c>
      <c r="AN16" s="80">
        <f>AVERAGE(Monday!F1116,Tuesday!F1116,Wednesday!F1116,Thursday!F1116,Friday!F1116)</f>
        <v>4.5220000000000002</v>
      </c>
      <c r="AO16" s="80">
        <f>MEDIAN(Monday!F1116,Tuesday!F1116,Wednesday!F1116,Thursday!F1116,Friday!F1116)</f>
        <v>4.57</v>
      </c>
      <c r="AP16" s="80">
        <f>AVERAGE(Monday!F1174,Tuesday!F1174,Wednesday!F1174,Thursday!F1174,Friday!F1174)</f>
        <v>5.5059999999999993</v>
      </c>
      <c r="AQ16" s="80">
        <f>MEDIAN(Monday!F1174,Tuesday!F1174,Wednesday!F1174,Thursday!F1174,Friday!F1174)</f>
        <v>5.52</v>
      </c>
      <c r="AR16" s="80">
        <f>AVERAGE(Monday!F1232,Tuesday!F1232,Wednesday!F1232,Thursday!F1232,Friday!F1232)</f>
        <v>6.4480000000000004</v>
      </c>
      <c r="AS16" s="80">
        <f>MEDIAN(Monday!F1232,Tuesday!F1232,Wednesday!F1232,Thursday!F1232,Friday!F1232)</f>
        <v>6.2</v>
      </c>
      <c r="AT16" s="80">
        <f>AVERAGE(Monday!F1290,Tuesday!F1290,Wednesday!F1290,Thursday!F1290,Friday!F1290)</f>
        <v>6.3199999999999994</v>
      </c>
      <c r="AU16" s="80">
        <f>MEDIAN(Monday!F1290,Tuesday!F1290,Wednesday!F1290,Thursday!F1290,Friday!F1290)</f>
        <v>6.27</v>
      </c>
      <c r="AV16" s="80">
        <f>AVERAGE(Monday!F1348,Tuesday!F1348,Wednesday!F1348,Thursday!F1348,Friday!F1348)</f>
        <v>6.1080000000000005</v>
      </c>
      <c r="AW16" s="80">
        <f>MEDIAN(Monday!F1348,Tuesday!F1348,Wednesday!F1348,Thursday!F1348,Friday!F1348)</f>
        <v>5.95</v>
      </c>
      <c r="AX16" s="80">
        <f>AVERAGE(Monday!F1406,Tuesday!F1406,Wednesday!F1406,Thursday!F1406,Friday!F1406)</f>
        <v>5.5060000000000002</v>
      </c>
      <c r="AY16" s="80">
        <f>MEDIAN(Monday!F1406,Tuesday!F1406,Wednesday!F1406,Thursday!F1406,Friday!F1406)</f>
        <v>5.27</v>
      </c>
      <c r="AZ16" s="80">
        <f>AVERAGE(Monday!F1464,Tuesday!F1464,Wednesday!F1464,Thursday!F1464,Friday!F1464)</f>
        <v>4.6339999999999995</v>
      </c>
      <c r="BA16" s="80">
        <f>MEDIAN(Monday!F1464,Tuesday!F1464,Wednesday!F1464,Thursday!F1464,Friday!F1464)</f>
        <v>4.53</v>
      </c>
      <c r="BB16" s="81">
        <v>13</v>
      </c>
      <c r="BC16" s="80">
        <f t="shared" si="0"/>
        <v>4.775153846153847</v>
      </c>
      <c r="BD16" s="80">
        <f t="shared" si="1"/>
        <v>4.5500000000000007</v>
      </c>
    </row>
    <row r="17" spans="1:56" x14ac:dyDescent="0.25">
      <c r="A17" s="33">
        <v>14</v>
      </c>
      <c r="B17" s="80">
        <f>AVERAGE(Monday!F15,Tuesday!F15,Wednesday!F15,Thursday!F15,Friday!F15)</f>
        <v>2.8359999999999999</v>
      </c>
      <c r="C17" s="80">
        <f>MEDIAN(Monday!F15,Tuesday!F15,Wednesday!F15,Thursday!F15,Friday!F15)</f>
        <v>2.83</v>
      </c>
      <c r="D17" s="80">
        <f>AVERAGE(Monday!F73,Tuesday!F73,Wednesday!F73,Thursday!F73,Friday!F73)</f>
        <v>2.9620000000000002</v>
      </c>
      <c r="E17" s="80">
        <f>MEDIAN(Monday!F73,Tuesday!F73,Wednesday!F73,Thursday!F73,Friday!F73)</f>
        <v>2.98</v>
      </c>
      <c r="F17" s="80">
        <f>AVERAGE(Monday!F131,Tuesday!F131,Wednesday!F131,Thursday!F131,Friday!F131)</f>
        <v>3.1280000000000001</v>
      </c>
      <c r="G17" s="80">
        <f>MEDIAN(Monday!F131,Tuesday!F131,Wednesday!F131,Thursday!F131,Friday!F131)</f>
        <v>3.08</v>
      </c>
      <c r="H17" s="80">
        <f>AVERAGE(Monday!F189,Tuesday!F189,Wednesday!F189,Thursday!F189,Friday!F189)</f>
        <v>3.2760000000000007</v>
      </c>
      <c r="I17" s="80">
        <f>MEDIAN(Monday!F189,Tuesday!F189,Wednesday!F189,Thursday!F189,Friday!F189)</f>
        <v>3.27</v>
      </c>
      <c r="J17" s="80">
        <f>AVERAGE(Monday!F247,Tuesday!F247,Wednesday!F247,Thursday!F247,Friday!F247)</f>
        <v>3.7160000000000002</v>
      </c>
      <c r="K17" s="80">
        <f>MEDIAN(Monday!F247,Tuesday!F247,Wednesday!F247,Thursday!F247,Friday!F247)</f>
        <v>3.62</v>
      </c>
      <c r="L17" s="80">
        <f>AVERAGE(Monday!F305,Tuesday!F305,Wednesday!F305,Thursday!F305,Friday!F305)</f>
        <v>4.2720000000000002</v>
      </c>
      <c r="M17" s="80">
        <f>MEDIAN(Monday!F305,Tuesday!F305,Wednesday!F305,Thursday!F305,Friday!F305)</f>
        <v>4.2699999999999996</v>
      </c>
      <c r="N17" s="80">
        <f>AVERAGE(Monday!F363,Tuesday!F363,Wednesday!F363,Thursday!F363,Friday!F363)</f>
        <v>4.1920000000000002</v>
      </c>
      <c r="O17" s="80">
        <f>MEDIAN(Monday!F363,Tuesday!F363,Wednesday!F363,Thursday!F363,Friday!F363)</f>
        <v>4.3</v>
      </c>
      <c r="P17" s="80">
        <f>AVERAGE(Monday!F421,Tuesday!F421,Wednesday!F421,Thursday!F421,Friday!F421)</f>
        <v>4.016</v>
      </c>
      <c r="Q17" s="80">
        <f>MEDIAN(Monday!F421,Tuesday!F421,Wednesday!F421,Thursday!F421,Friday!F421)</f>
        <v>3.8</v>
      </c>
      <c r="R17" s="80">
        <f>AVERAGE(Monday!F479,Tuesday!F479,Wednesday!F479,Thursday!F479,Friday!F479)</f>
        <v>3.81</v>
      </c>
      <c r="S17" s="80">
        <f>MEDIAN(Monday!F479,Tuesday!F479,Wednesday!F479,Thursday!F479,Friday!F479)</f>
        <v>3.75</v>
      </c>
      <c r="T17" s="80">
        <f>AVERAGE(Monday!F537,Tuesday!F537,Wednesday!F537,Thursday!F537,Friday!F537)</f>
        <v>3.9180000000000001</v>
      </c>
      <c r="U17" s="80">
        <f>MEDIAN(Monday!F537,Tuesday!F537,Wednesday!F537,Thursday!F537,Friday!F537)</f>
        <v>3.83</v>
      </c>
      <c r="V17" s="80">
        <f>AVERAGE(Monday!F595,Tuesday!F595,Wednesday!F595,Thursday!F595,Friday!F595)</f>
        <v>4.0699999999999994</v>
      </c>
      <c r="W17" s="80">
        <f>MEDIAN(Monday!F595,Tuesday!F595,Wednesday!F595,Thursday!F595,Friday!F595)</f>
        <v>4.0999999999999996</v>
      </c>
      <c r="X17" s="80">
        <f>AVERAGE(Monday!F653,Tuesday!F653,Wednesday!F653,Thursday!F653,Friday!F653)</f>
        <v>3.79</v>
      </c>
      <c r="Y17" s="80">
        <f>MEDIAN(Monday!F653,Tuesday!F653,Wednesday!F653,Thursday!F653,Friday!F653)</f>
        <v>3.63</v>
      </c>
      <c r="Z17" s="80">
        <f>AVERAGE(Monday!F711,Tuesday!F711,Wednesday!F711,Thursday!F711,Friday!F711)</f>
        <v>3.8679999999999999</v>
      </c>
      <c r="AA17" s="80">
        <f>MEDIAN(Monday!F711,Tuesday!F711,Wednesday!F711,Thursday!F711,Friday!F711)</f>
        <v>3.85</v>
      </c>
      <c r="AB17" s="80">
        <f>AVERAGE(Monday!F769,Tuesday!F769,Wednesday!F769,Thursday!F769,Friday!F769)</f>
        <v>4.194</v>
      </c>
      <c r="AC17" s="80">
        <f>MEDIAN(Monday!F769,Tuesday!F769,Wednesday!F769,Thursday!F769,Friday!F769)</f>
        <v>3.87</v>
      </c>
      <c r="AD17" s="80">
        <f>AVERAGE(Monday!F827,Tuesday!F827,Wednesday!F827,Thursday!F827,Friday!F827)</f>
        <v>4.3819999999999997</v>
      </c>
      <c r="AE17" s="80">
        <f>MEDIAN(Monday!F827,Tuesday!F827,Wednesday!F827,Thursday!F827,Friday!F827)</f>
        <v>4.0999999999999996</v>
      </c>
      <c r="AF17" s="80">
        <f>AVERAGE(Monday!F885,Tuesday!F885,Wednesday!F885,Thursday!F885,Friday!F885)</f>
        <v>4.218</v>
      </c>
      <c r="AG17" s="80">
        <f>MEDIAN(Monday!F885,Tuesday!F885,Wednesday!F885,Thursday!F885,Friday!F885)</f>
        <v>4.37</v>
      </c>
      <c r="AH17" s="80">
        <f>AVERAGE(Monday!F943,Tuesday!F943,Wednesday!F943,Thursday!F943,Friday!F943)</f>
        <v>4.4620000000000006</v>
      </c>
      <c r="AI17" s="80">
        <f>MEDIAN(Monday!F943,Tuesday!F943,Wednesday!F943,Thursday!F943,Friday!F943)</f>
        <v>4.55</v>
      </c>
      <c r="AJ17" s="80">
        <f>AVERAGE(Monday!F1001,Tuesday!F1001,Wednesday!F1001,Thursday!F1001,Friday!F1001)</f>
        <v>4.2560000000000002</v>
      </c>
      <c r="AK17" s="80">
        <f>MEDIAN(Monday!F1001,Tuesday!F1001,Wednesday!F1001,Thursday!F1001,Friday!F1001)</f>
        <v>4.33</v>
      </c>
      <c r="AL17" s="80">
        <f>AVERAGE(Monday!F1059,Tuesday!F1059,Wednesday!F1059,Thursday!F1059,Friday!F1059)</f>
        <v>4.7760000000000007</v>
      </c>
      <c r="AM17" s="80">
        <f>MEDIAN(Monday!F1059,Tuesday!F1059,Wednesday!F1059,Thursday!F1059,Friday!F1059)</f>
        <v>4.53</v>
      </c>
      <c r="AN17" s="80">
        <f>AVERAGE(Monday!F1117,Tuesday!F1117,Wednesday!F1117,Thursday!F1117,Friday!F1117)</f>
        <v>4.2959999999999994</v>
      </c>
      <c r="AO17" s="80">
        <f>MEDIAN(Monday!F1117,Tuesday!F1117,Wednesday!F1117,Thursday!F1117,Friday!F1117)</f>
        <v>4.32</v>
      </c>
      <c r="AP17" s="80">
        <f>AVERAGE(Monday!F1175,Tuesday!F1175,Wednesday!F1175,Thursday!F1175,Friday!F1175)</f>
        <v>4.6819999999999995</v>
      </c>
      <c r="AQ17" s="80">
        <f>MEDIAN(Monday!F1175,Tuesday!F1175,Wednesday!F1175,Thursday!F1175,Friday!F1175)</f>
        <v>4.7</v>
      </c>
      <c r="AR17" s="80">
        <f>AVERAGE(Monday!F1233,Tuesday!F1233,Wednesday!F1233,Thursday!F1233,Friday!F1233)</f>
        <v>4.5699999999999994</v>
      </c>
      <c r="AS17" s="80">
        <f>MEDIAN(Monday!F1233,Tuesday!F1233,Wednesday!F1233,Thursday!F1233,Friday!F1233)</f>
        <v>4.5199999999999996</v>
      </c>
      <c r="AT17" s="80">
        <f>AVERAGE(Monday!F1291,Tuesday!F1291,Wednesday!F1291,Thursday!F1291,Friday!F1291)</f>
        <v>4.6519999999999992</v>
      </c>
      <c r="AU17" s="80">
        <f>MEDIAN(Monday!F1291,Tuesday!F1291,Wednesday!F1291,Thursday!F1291,Friday!F1291)</f>
        <v>4.58</v>
      </c>
      <c r="AV17" s="80">
        <f>AVERAGE(Monday!F1349,Tuesday!F1349,Wednesday!F1349,Thursday!F1349,Friday!F1349)</f>
        <v>4.6240000000000006</v>
      </c>
      <c r="AW17" s="80">
        <f>MEDIAN(Monday!F1349,Tuesday!F1349,Wednesday!F1349,Thursday!F1349,Friday!F1349)</f>
        <v>4.7699999999999996</v>
      </c>
      <c r="AX17" s="80">
        <f>AVERAGE(Monday!F1407,Tuesday!F1407,Wednesday!F1407,Thursday!F1407,Friday!F1407)</f>
        <v>4.4560000000000004</v>
      </c>
      <c r="AY17" s="80">
        <f>MEDIAN(Monday!F1407,Tuesday!F1407,Wednesday!F1407,Thursday!F1407,Friday!F1407)</f>
        <v>4.43</v>
      </c>
      <c r="AZ17" s="80">
        <f>AVERAGE(Monday!F1465,Tuesday!F1465,Wednesday!F1465,Thursday!F1465,Friday!F1465)</f>
        <v>4.3860000000000001</v>
      </c>
      <c r="BA17" s="80">
        <f>MEDIAN(Monday!F1465,Tuesday!F1465,Wednesday!F1465,Thursday!F1465,Friday!F1465)</f>
        <v>4.37</v>
      </c>
      <c r="BB17" s="81">
        <v>14</v>
      </c>
      <c r="BC17" s="80">
        <f t="shared" si="0"/>
        <v>4.0695384615384622</v>
      </c>
      <c r="BD17" s="80">
        <f t="shared" si="1"/>
        <v>4.1849999999999996</v>
      </c>
    </row>
    <row r="18" spans="1:56" x14ac:dyDescent="0.25">
      <c r="A18" s="33">
        <v>15</v>
      </c>
      <c r="B18" s="80">
        <f>AVERAGE(Monday!F16,Tuesday!F16,Wednesday!F16,Thursday!F16,Friday!F16)</f>
        <v>1.9019999999999999</v>
      </c>
      <c r="C18" s="80">
        <f>MEDIAN(Monday!F16,Tuesday!F16,Wednesday!F16,Thursday!F16,Friday!F16)</f>
        <v>1.95</v>
      </c>
      <c r="D18" s="80">
        <f>AVERAGE(Monday!F74,Tuesday!F74,Wednesday!F74,Thursday!F74,Friday!F74)</f>
        <v>2.036</v>
      </c>
      <c r="E18" s="80">
        <f>MEDIAN(Monday!F74,Tuesday!F74,Wednesday!F74,Thursday!F74,Friday!F74)</f>
        <v>1.97</v>
      </c>
      <c r="F18" s="80">
        <f>AVERAGE(Monday!F132,Tuesday!F132,Wednesday!F132,Thursday!F132,Friday!F132)</f>
        <v>2.3719999999999999</v>
      </c>
      <c r="G18" s="80">
        <f>MEDIAN(Monday!F132,Tuesday!F132,Wednesday!F132,Thursday!F132,Friday!F132)</f>
        <v>2.4500000000000002</v>
      </c>
      <c r="H18" s="80">
        <f>AVERAGE(Monday!F190,Tuesday!F190,Wednesday!F190,Thursday!F190,Friday!F190)</f>
        <v>2.3319999999999999</v>
      </c>
      <c r="I18" s="80">
        <f>MEDIAN(Monday!F190,Tuesday!F190,Wednesday!F190,Thursday!F190,Friday!F190)</f>
        <v>2.4</v>
      </c>
      <c r="J18" s="80">
        <f>AVERAGE(Monday!F248,Tuesday!F248,Wednesday!F248,Thursday!F248,Friday!F248)</f>
        <v>2.62</v>
      </c>
      <c r="K18" s="80">
        <f>MEDIAN(Monday!F248,Tuesday!F248,Wednesday!F248,Thursday!F248,Friday!F248)</f>
        <v>2.48</v>
      </c>
      <c r="L18" s="80">
        <f>AVERAGE(Monday!F306,Tuesday!F306,Wednesday!F306,Thursday!F306,Friday!F306)</f>
        <v>2.6539999999999999</v>
      </c>
      <c r="M18" s="80">
        <f>MEDIAN(Monday!F306,Tuesday!F306,Wednesday!F306,Thursday!F306,Friday!F306)</f>
        <v>2.8</v>
      </c>
      <c r="N18" s="80">
        <f>AVERAGE(Monday!F364,Tuesday!F364,Wednesday!F364,Thursday!F364,Friday!F364)</f>
        <v>3.0040000000000004</v>
      </c>
      <c r="O18" s="80">
        <f>MEDIAN(Monday!F364,Tuesday!F364,Wednesday!F364,Thursday!F364,Friday!F364)</f>
        <v>3.02</v>
      </c>
      <c r="P18" s="80">
        <f>AVERAGE(Monday!F422,Tuesday!F422,Wednesday!F422,Thursday!F422,Friday!F422)</f>
        <v>3.024</v>
      </c>
      <c r="Q18" s="80">
        <f>MEDIAN(Monday!F422,Tuesday!F422,Wednesday!F422,Thursday!F422,Friday!F422)</f>
        <v>3.02</v>
      </c>
      <c r="R18" s="80">
        <f>AVERAGE(Monday!F480,Tuesday!F480,Wednesday!F480,Thursday!F480,Friday!F480)</f>
        <v>2.976</v>
      </c>
      <c r="S18" s="80">
        <f>MEDIAN(Monday!F480,Tuesday!F480,Wednesday!F480,Thursday!F480,Friday!F480)</f>
        <v>2.88</v>
      </c>
      <c r="T18" s="80">
        <f>AVERAGE(Monday!F538,Tuesday!F538,Wednesday!F538,Thursday!F538,Friday!F538)</f>
        <v>2.8519999999999999</v>
      </c>
      <c r="U18" s="80">
        <f>MEDIAN(Monday!F538,Tuesday!F538,Wednesday!F538,Thursday!F538,Friday!F538)</f>
        <v>2.83</v>
      </c>
      <c r="V18" s="80">
        <f>AVERAGE(Monday!F596,Tuesday!F596,Wednesday!F596,Thursday!F596,Friday!F596)</f>
        <v>3.012</v>
      </c>
      <c r="W18" s="80">
        <f>MEDIAN(Monday!F596,Tuesday!F596,Wednesday!F596,Thursday!F596,Friday!F596)</f>
        <v>3</v>
      </c>
      <c r="X18" s="80">
        <f>AVERAGE(Monday!F654,Tuesday!F654,Wednesday!F654,Thursday!F654,Friday!F654)</f>
        <v>2.6979999999999995</v>
      </c>
      <c r="Y18" s="80">
        <f>MEDIAN(Monday!F654,Tuesday!F654,Wednesday!F654,Thursday!F654,Friday!F654)</f>
        <v>2.78</v>
      </c>
      <c r="Z18" s="80">
        <f>AVERAGE(Monday!F712,Tuesday!F712,Wednesday!F712,Thursday!F712,Friday!F712)</f>
        <v>2.7960000000000003</v>
      </c>
      <c r="AA18" s="80">
        <f>MEDIAN(Monday!F712,Tuesday!F712,Wednesday!F712,Thursday!F712,Friday!F712)</f>
        <v>2.82</v>
      </c>
      <c r="AB18" s="80">
        <f>AVERAGE(Monday!F770,Tuesday!F770,Wednesday!F770,Thursday!F770,Friday!F770)</f>
        <v>2.7079999999999997</v>
      </c>
      <c r="AC18" s="80">
        <f>MEDIAN(Monday!F770,Tuesday!F770,Wednesday!F770,Thursday!F770,Friday!F770)</f>
        <v>2.7</v>
      </c>
      <c r="AD18" s="80">
        <f>AVERAGE(Monday!F828,Tuesday!F828,Wednesday!F828,Thursday!F828,Friday!F828)</f>
        <v>2.6</v>
      </c>
      <c r="AE18" s="80">
        <f>MEDIAN(Monday!F828,Tuesday!F828,Wednesday!F828,Thursday!F828,Friday!F828)</f>
        <v>2.58</v>
      </c>
      <c r="AF18" s="80">
        <f>AVERAGE(Monday!F886,Tuesday!F886,Wednesday!F886,Thursday!F886,Friday!F886)</f>
        <v>2.7060000000000004</v>
      </c>
      <c r="AG18" s="80">
        <f>MEDIAN(Monday!F886,Tuesday!F886,Wednesday!F886,Thursday!F886,Friday!F886)</f>
        <v>2.72</v>
      </c>
      <c r="AH18" s="80">
        <f>AVERAGE(Monday!F944,Tuesday!F944,Wednesday!F944,Thursday!F944,Friday!F944)</f>
        <v>2.7879999999999998</v>
      </c>
      <c r="AI18" s="80">
        <f>MEDIAN(Monday!F944,Tuesday!F944,Wednesday!F944,Thursday!F944,Friday!F944)</f>
        <v>2.85</v>
      </c>
      <c r="AJ18" s="80">
        <f>AVERAGE(Monday!F1002,Tuesday!F1002,Wednesday!F1002,Thursday!F1002,Friday!F1002)</f>
        <v>2.8719999999999994</v>
      </c>
      <c r="AK18" s="80">
        <f>MEDIAN(Monday!F1002,Tuesday!F1002,Wednesday!F1002,Thursday!F1002,Friday!F1002)</f>
        <v>2.82</v>
      </c>
      <c r="AL18" s="80">
        <f>AVERAGE(Monday!F1060,Tuesday!F1060,Wednesday!F1060,Thursday!F1060,Friday!F1060)</f>
        <v>2.9079999999999999</v>
      </c>
      <c r="AM18" s="80">
        <f>MEDIAN(Monday!F1060,Tuesday!F1060,Wednesday!F1060,Thursday!F1060,Friday!F1060)</f>
        <v>2.9</v>
      </c>
      <c r="AN18" s="80">
        <f>AVERAGE(Monday!F1118,Tuesday!F1118,Wednesday!F1118,Thursday!F1118,Friday!F1118)</f>
        <v>3.0160000000000005</v>
      </c>
      <c r="AO18" s="80">
        <f>MEDIAN(Monday!F1118,Tuesday!F1118,Wednesday!F1118,Thursday!F1118,Friday!F1118)</f>
        <v>2.95</v>
      </c>
      <c r="AP18" s="80">
        <f>AVERAGE(Monday!F1176,Tuesday!F1176,Wednesday!F1176,Thursday!F1176,Friday!F1176)</f>
        <v>3.37</v>
      </c>
      <c r="AQ18" s="80">
        <f>MEDIAN(Monday!F1176,Tuesday!F1176,Wednesday!F1176,Thursday!F1176,Friday!F1176)</f>
        <v>3.22</v>
      </c>
      <c r="AR18" s="80">
        <f>AVERAGE(Monday!F1234,Tuesday!F1234,Wednesday!F1234,Thursday!F1234,Friday!F1234)</f>
        <v>3.8759999999999999</v>
      </c>
      <c r="AS18" s="80">
        <f>MEDIAN(Monday!F1234,Tuesday!F1234,Wednesday!F1234,Thursday!F1234,Friday!F1234)</f>
        <v>4.18</v>
      </c>
      <c r="AT18" s="80">
        <f>AVERAGE(Monday!F1292,Tuesday!F1292,Wednesday!F1292,Thursday!F1292,Friday!F1292)</f>
        <v>3.2659999999999996</v>
      </c>
      <c r="AU18" s="80">
        <f>MEDIAN(Monday!F1292,Tuesday!F1292,Wednesday!F1292,Thursday!F1292,Friday!F1292)</f>
        <v>3.3</v>
      </c>
      <c r="AV18" s="80">
        <f>AVERAGE(Monday!F1350,Tuesday!F1350,Wednesday!F1350,Thursday!F1350,Friday!F1350)</f>
        <v>2.8</v>
      </c>
      <c r="AW18" s="80">
        <f>MEDIAN(Monday!F1350,Tuesday!F1350,Wednesday!F1350,Thursday!F1350,Friday!F1350)</f>
        <v>2.77</v>
      </c>
      <c r="AX18" s="80">
        <f>AVERAGE(Monday!F1408,Tuesday!F1408,Wednesday!F1408,Thursday!F1408,Friday!F1408)</f>
        <v>3.1700000000000004</v>
      </c>
      <c r="AY18" s="80">
        <f>MEDIAN(Monday!F1408,Tuesday!F1408,Wednesday!F1408,Thursday!F1408,Friday!F1408)</f>
        <v>3.18</v>
      </c>
      <c r="AZ18" s="80">
        <f>AVERAGE(Monday!F1466,Tuesday!F1466,Wednesday!F1466,Thursday!F1466,Friday!F1466)</f>
        <v>3.4279999999999999</v>
      </c>
      <c r="BA18" s="80">
        <f>MEDIAN(Monday!F1466,Tuesday!F1466,Wednesday!F1466,Thursday!F1466,Friday!F1466)</f>
        <v>3.37</v>
      </c>
      <c r="BB18" s="81">
        <v>15</v>
      </c>
      <c r="BC18" s="80">
        <f t="shared" si="0"/>
        <v>2.8379230769230768</v>
      </c>
      <c r="BD18" s="80">
        <f t="shared" si="1"/>
        <v>2.8250000000000002</v>
      </c>
    </row>
    <row r="19" spans="1:56" x14ac:dyDescent="0.25">
      <c r="A19" s="33">
        <v>16</v>
      </c>
      <c r="B19" s="80">
        <f>AVERAGE(Monday!F17,Tuesday!F17,Wednesday!F17,Thursday!F17,Friday!F17)</f>
        <v>1.714</v>
      </c>
      <c r="C19" s="80">
        <f>MEDIAN(Monday!F17,Tuesday!F17,Wednesday!F17,Thursday!F17,Friday!F17)</f>
        <v>1.73</v>
      </c>
      <c r="D19" s="80">
        <f>AVERAGE(Monday!F75,Tuesday!F75,Wednesday!F75,Thursday!F75,Friday!F75)</f>
        <v>1.722</v>
      </c>
      <c r="E19" s="80">
        <f>MEDIAN(Monday!F75,Tuesday!F75,Wednesday!F75,Thursday!F75,Friday!F75)</f>
        <v>1.73</v>
      </c>
      <c r="F19" s="80">
        <f>AVERAGE(Monday!F133,Tuesday!F133,Wednesday!F133,Thursday!F133,Friday!F133)</f>
        <v>1.7399999999999998</v>
      </c>
      <c r="G19" s="80">
        <f>MEDIAN(Monday!F133,Tuesday!F133,Wednesday!F133,Thursday!F133,Friday!F133)</f>
        <v>1.73</v>
      </c>
      <c r="H19" s="80">
        <f>AVERAGE(Monday!F191,Tuesday!F191,Wednesday!F191,Thursday!F191,Friday!F191)</f>
        <v>1.7939999999999998</v>
      </c>
      <c r="I19" s="80">
        <f>MEDIAN(Monday!F191,Tuesday!F191,Wednesday!F191,Thursday!F191,Friday!F191)</f>
        <v>1.8</v>
      </c>
      <c r="J19" s="80">
        <f>AVERAGE(Monday!F249,Tuesday!F249,Wednesday!F249,Thursday!F249,Friday!F249)</f>
        <v>1.78</v>
      </c>
      <c r="K19" s="80">
        <f>MEDIAN(Monday!F249,Tuesday!F249,Wednesday!F249,Thursday!F249,Friday!F249)</f>
        <v>1.77</v>
      </c>
      <c r="L19" s="80">
        <f>AVERAGE(Monday!F307,Tuesday!F307,Wednesday!F307,Thursday!F307,Friday!F307)</f>
        <v>1.8699999999999999</v>
      </c>
      <c r="M19" s="80">
        <f>MEDIAN(Monday!F307,Tuesday!F307,Wednesday!F307,Thursday!F307,Friday!F307)</f>
        <v>1.87</v>
      </c>
      <c r="N19" s="80">
        <f>AVERAGE(Monday!F365,Tuesday!F365,Wednesday!F365,Thursday!F365,Friday!F365)</f>
        <v>2.2019999999999995</v>
      </c>
      <c r="O19" s="80">
        <f>MEDIAN(Monday!F365,Tuesday!F365,Wednesday!F365,Thursday!F365,Friday!F365)</f>
        <v>2.2799999999999998</v>
      </c>
      <c r="P19" s="80">
        <f>AVERAGE(Monday!F423,Tuesday!F423,Wednesday!F423,Thursday!F423,Friday!F423)</f>
        <v>1.9880000000000002</v>
      </c>
      <c r="Q19" s="80">
        <f>MEDIAN(Monday!F423,Tuesday!F423,Wednesday!F423,Thursday!F423,Friday!F423)</f>
        <v>1.82</v>
      </c>
      <c r="R19" s="80">
        <f>AVERAGE(Monday!F481,Tuesday!F481,Wednesday!F481,Thursday!F481,Friday!F481)</f>
        <v>1.85</v>
      </c>
      <c r="S19" s="80">
        <f>MEDIAN(Monday!F481,Tuesday!F481,Wednesday!F481,Thursday!F481,Friday!F481)</f>
        <v>1.83</v>
      </c>
      <c r="T19" s="80">
        <f>AVERAGE(Monday!F539,Tuesday!F539,Wednesday!F539,Thursday!F539,Friday!F539)</f>
        <v>1.8399999999999999</v>
      </c>
      <c r="U19" s="80">
        <f>MEDIAN(Monday!F539,Tuesday!F539,Wednesday!F539,Thursday!F539,Friday!F539)</f>
        <v>1.83</v>
      </c>
      <c r="V19" s="80">
        <f>AVERAGE(Monday!F597,Tuesday!F597,Wednesday!F597,Thursday!F597,Friday!F597)</f>
        <v>1.9899999999999998</v>
      </c>
      <c r="W19" s="80">
        <f>MEDIAN(Monday!F597,Tuesday!F597,Wednesday!F597,Thursday!F597,Friday!F597)</f>
        <v>1.92</v>
      </c>
      <c r="X19" s="80">
        <f>AVERAGE(Monday!F655,Tuesday!F655,Wednesday!F655,Thursday!F655,Friday!F655)</f>
        <v>1.9079999999999999</v>
      </c>
      <c r="Y19" s="80">
        <f>MEDIAN(Monday!F655,Tuesday!F655,Wednesday!F655,Thursday!F655,Friday!F655)</f>
        <v>1.93</v>
      </c>
      <c r="Z19" s="80">
        <f>AVERAGE(Monday!F713,Tuesday!F713,Wednesday!F713,Thursday!F713,Friday!F713)</f>
        <v>1.95</v>
      </c>
      <c r="AA19" s="80">
        <f>MEDIAN(Monday!F713,Tuesday!F713,Wednesday!F713,Thursday!F713,Friday!F713)</f>
        <v>1.9</v>
      </c>
      <c r="AB19" s="80">
        <f>AVERAGE(Monday!F771,Tuesday!F771,Wednesday!F771,Thursday!F771,Friday!F771)</f>
        <v>2.14</v>
      </c>
      <c r="AC19" s="80">
        <f>MEDIAN(Monday!F771,Tuesday!F771,Wednesday!F771,Thursday!F771,Friday!F771)</f>
        <v>2.13</v>
      </c>
      <c r="AD19" s="80">
        <f>AVERAGE(Monday!F829,Tuesday!F829,Wednesday!F829,Thursday!F829,Friday!F829)</f>
        <v>1.9339999999999999</v>
      </c>
      <c r="AE19" s="80">
        <f>MEDIAN(Monday!F829,Tuesday!F829,Wednesday!F829,Thursday!F829,Friday!F829)</f>
        <v>1.92</v>
      </c>
      <c r="AF19" s="80">
        <f>AVERAGE(Monday!F887,Tuesday!F887,Wednesday!F887,Thursday!F887,Friday!F887)</f>
        <v>1.986</v>
      </c>
      <c r="AG19" s="80">
        <f>MEDIAN(Monday!F887,Tuesday!F887,Wednesday!F887,Thursday!F887,Friday!F887)</f>
        <v>1.93</v>
      </c>
      <c r="AH19" s="80">
        <f>AVERAGE(Monday!F945,Tuesday!F945,Wednesday!F945,Thursday!F945,Friday!F945)</f>
        <v>2.0699999999999998</v>
      </c>
      <c r="AI19" s="80">
        <f>MEDIAN(Monday!F945,Tuesday!F945,Wednesday!F945,Thursday!F945,Friday!F945)</f>
        <v>2.15</v>
      </c>
      <c r="AJ19" s="80">
        <f>AVERAGE(Monday!F1003,Tuesday!F1003,Wednesday!F1003,Thursday!F1003,Friday!F1003)</f>
        <v>2.2119999999999997</v>
      </c>
      <c r="AK19" s="80">
        <f>MEDIAN(Monday!F1003,Tuesday!F1003,Wednesday!F1003,Thursday!F1003,Friday!F1003)</f>
        <v>2.13</v>
      </c>
      <c r="AL19" s="80">
        <f>AVERAGE(Monday!F1061,Tuesday!F1061,Wednesday!F1061,Thursday!F1061,Friday!F1061)</f>
        <v>2.17</v>
      </c>
      <c r="AM19" s="80">
        <f>MEDIAN(Monday!F1061,Tuesday!F1061,Wednesday!F1061,Thursday!F1061,Friday!F1061)</f>
        <v>2.17</v>
      </c>
      <c r="AN19" s="80">
        <f>AVERAGE(Monday!F1119,Tuesday!F1119,Wednesday!F1119,Thursday!F1119,Friday!F1119)</f>
        <v>2.2799999999999998</v>
      </c>
      <c r="AO19" s="80">
        <f>MEDIAN(Monday!F1119,Tuesday!F1119,Wednesday!F1119,Thursday!F1119,Friday!F1119)</f>
        <v>1.87</v>
      </c>
      <c r="AP19" s="80">
        <f>AVERAGE(Monday!F1177,Tuesday!F1177,Wednesday!F1177,Thursday!F1177,Friday!F1177)</f>
        <v>2.3979999999999997</v>
      </c>
      <c r="AQ19" s="80">
        <f>MEDIAN(Monday!F1177,Tuesday!F1177,Wednesday!F1177,Thursday!F1177,Friday!F1177)</f>
        <v>2.25</v>
      </c>
      <c r="AR19" s="80">
        <f>AVERAGE(Monday!F1235,Tuesday!F1235,Wednesday!F1235,Thursday!F1235,Friday!F1235)</f>
        <v>3.9619999999999997</v>
      </c>
      <c r="AS19" s="80">
        <f>MEDIAN(Monday!F1235,Tuesday!F1235,Wednesday!F1235,Thursday!F1235,Friday!F1235)</f>
        <v>3.82</v>
      </c>
      <c r="AT19" s="80">
        <f>AVERAGE(Monday!F1293,Tuesday!F1293,Wednesday!F1293,Thursday!F1293,Friday!F1293)</f>
        <v>4.9560000000000004</v>
      </c>
      <c r="AU19" s="80">
        <f>MEDIAN(Monday!F1293,Tuesday!F1293,Wednesday!F1293,Thursday!F1293,Friday!F1293)</f>
        <v>5.18</v>
      </c>
      <c r="AV19" s="80">
        <f>AVERAGE(Monday!F1351,Tuesday!F1351,Wednesday!F1351,Thursday!F1351,Friday!F1351)</f>
        <v>3.7480000000000002</v>
      </c>
      <c r="AW19" s="80">
        <f>MEDIAN(Monday!F1351,Tuesday!F1351,Wednesday!F1351,Thursday!F1351,Friday!F1351)</f>
        <v>3.33</v>
      </c>
      <c r="AX19" s="80">
        <f>AVERAGE(Monday!F1409,Tuesday!F1409,Wednesday!F1409,Thursday!F1409,Friday!F1409)</f>
        <v>2.5279999999999996</v>
      </c>
      <c r="AY19" s="80">
        <f>MEDIAN(Monday!F1409,Tuesday!F1409,Wednesday!F1409,Thursday!F1409,Friday!F1409)</f>
        <v>2.5299999999999998</v>
      </c>
      <c r="AZ19" s="80">
        <f>AVERAGE(Monday!F1467,Tuesday!F1467,Wednesday!F1467,Thursday!F1467,Friday!F1467)</f>
        <v>2.1960000000000002</v>
      </c>
      <c r="BA19" s="80">
        <f>MEDIAN(Monday!F1467,Tuesday!F1467,Wednesday!F1467,Thursday!F1467,Friday!F1467)</f>
        <v>1.98</v>
      </c>
      <c r="BB19" s="81">
        <v>16</v>
      </c>
      <c r="BC19" s="80">
        <f t="shared" si="0"/>
        <v>2.2664615384615385</v>
      </c>
      <c r="BD19" s="80">
        <f t="shared" si="1"/>
        <v>1.9249999999999998</v>
      </c>
    </row>
    <row r="20" spans="1:56" x14ac:dyDescent="0.25">
      <c r="A20" s="33">
        <v>17</v>
      </c>
      <c r="B20" s="80">
        <f>AVERAGE(Monday!F18,Tuesday!F18,Wednesday!F18,Thursday!F18,Friday!F18)</f>
        <v>2.37</v>
      </c>
      <c r="C20" s="80">
        <f>MEDIAN(Monday!F18,Tuesday!F18,Wednesday!F18,Thursday!F18,Friday!F18)</f>
        <v>2.33</v>
      </c>
      <c r="D20" s="80">
        <f>AVERAGE(Monday!F76,Tuesday!F76,Wednesday!F76,Thursday!F76,Friday!F76)</f>
        <v>2.464</v>
      </c>
      <c r="E20" s="80">
        <f>MEDIAN(Monday!F76,Tuesday!F76,Wednesday!F76,Thursday!F76,Friday!F76)</f>
        <v>2.4500000000000002</v>
      </c>
      <c r="F20" s="80">
        <f>AVERAGE(Monday!F134,Tuesday!F134,Wednesday!F134,Thursday!F134,Friday!F134)</f>
        <v>2.6079999999999997</v>
      </c>
      <c r="G20" s="80">
        <f>MEDIAN(Monday!F134,Tuesday!F134,Wednesday!F134,Thursday!F134,Friday!F134)</f>
        <v>2.6</v>
      </c>
      <c r="H20" s="80">
        <f>AVERAGE(Monday!F192,Tuesday!F192,Wednesday!F192,Thursday!F192,Friday!F192)</f>
        <v>2.7639999999999998</v>
      </c>
      <c r="I20" s="80">
        <f>MEDIAN(Monday!F192,Tuesday!F192,Wednesday!F192,Thursday!F192,Friday!F192)</f>
        <v>2.8</v>
      </c>
      <c r="J20" s="80">
        <f>AVERAGE(Monday!F250,Tuesday!F250,Wednesday!F250,Thursday!F250,Friday!F250)</f>
        <v>2.8220000000000001</v>
      </c>
      <c r="K20" s="80">
        <f>MEDIAN(Monday!F250,Tuesday!F250,Wednesday!F250,Thursday!F250,Friday!F250)</f>
        <v>2.8</v>
      </c>
      <c r="L20" s="80">
        <f>AVERAGE(Monday!F308,Tuesday!F308,Wednesday!F308,Thursday!F308,Friday!F308)</f>
        <v>3.1819999999999999</v>
      </c>
      <c r="M20" s="80">
        <f>MEDIAN(Monday!F308,Tuesday!F308,Wednesday!F308,Thursday!F308,Friday!F308)</f>
        <v>3.18</v>
      </c>
      <c r="N20" s="80">
        <f>AVERAGE(Monday!F366,Tuesday!F366,Wednesday!F366,Thursday!F366,Friday!F366)</f>
        <v>3.4940000000000007</v>
      </c>
      <c r="O20" s="80">
        <f>MEDIAN(Monday!F366,Tuesday!F366,Wednesday!F366,Thursday!F366,Friday!F366)</f>
        <v>3.6</v>
      </c>
      <c r="P20" s="80">
        <f>AVERAGE(Monday!F424,Tuesday!F424,Wednesday!F424,Thursday!F424,Friday!F424)</f>
        <v>3.34</v>
      </c>
      <c r="Q20" s="80">
        <f>MEDIAN(Monday!F424,Tuesday!F424,Wednesday!F424,Thursday!F424,Friday!F424)</f>
        <v>3.3</v>
      </c>
      <c r="R20" s="80">
        <f>AVERAGE(Monday!F482,Tuesday!F482,Wednesday!F482,Thursday!F482,Friday!F482)</f>
        <v>3.1539999999999999</v>
      </c>
      <c r="S20" s="80">
        <f>MEDIAN(Monday!F482,Tuesday!F482,Wednesday!F482,Thursday!F482,Friday!F482)</f>
        <v>3.07</v>
      </c>
      <c r="T20" s="80">
        <f>AVERAGE(Monday!F540,Tuesday!F540,Wednesday!F540,Thursday!F540,Friday!F540)</f>
        <v>3.11</v>
      </c>
      <c r="U20" s="80">
        <f>MEDIAN(Monday!F540,Tuesday!F540,Wednesday!F540,Thursday!F540,Friday!F540)</f>
        <v>3.13</v>
      </c>
      <c r="V20" s="80">
        <f>AVERAGE(Monday!F598,Tuesday!F598,Wednesday!F598,Thursday!F598,Friday!F598)</f>
        <v>3.2739999999999996</v>
      </c>
      <c r="W20" s="80">
        <f>MEDIAN(Monday!F598,Tuesday!F598,Wednesday!F598,Thursday!F598,Friday!F598)</f>
        <v>3.2</v>
      </c>
      <c r="X20" s="80">
        <f>AVERAGE(Monday!F656,Tuesday!F656,Wednesday!F656,Thursday!F656,Friday!F656)</f>
        <v>3.2300000000000004</v>
      </c>
      <c r="Y20" s="80">
        <f>MEDIAN(Monday!F656,Tuesday!F656,Wednesday!F656,Thursday!F656,Friday!F656)</f>
        <v>3.2</v>
      </c>
      <c r="Z20" s="80">
        <f>AVERAGE(Monday!F714,Tuesday!F714,Wednesday!F714,Thursday!F714,Friday!F714)</f>
        <v>3.1719999999999997</v>
      </c>
      <c r="AA20" s="80">
        <f>MEDIAN(Monday!F714,Tuesday!F714,Wednesday!F714,Thursday!F714,Friday!F714)</f>
        <v>3.12</v>
      </c>
      <c r="AB20" s="80">
        <f>AVERAGE(Monday!F772,Tuesday!F772,Wednesday!F772,Thursday!F772,Friday!F772)</f>
        <v>3.5340000000000003</v>
      </c>
      <c r="AC20" s="80">
        <f>MEDIAN(Monday!F772,Tuesday!F772,Wednesday!F772,Thursday!F772,Friday!F772)</f>
        <v>3.58</v>
      </c>
      <c r="AD20" s="80">
        <f>AVERAGE(Monday!F830,Tuesday!F830,Wednesday!F830,Thursday!F830,Friday!F830)</f>
        <v>3.4879999999999995</v>
      </c>
      <c r="AE20" s="80">
        <f>MEDIAN(Monday!F830,Tuesday!F830,Wednesday!F830,Thursday!F830,Friday!F830)</f>
        <v>3.38</v>
      </c>
      <c r="AF20" s="80">
        <f>AVERAGE(Monday!F888,Tuesday!F888,Wednesday!F888,Thursday!F888,Friday!F888)</f>
        <v>3.3560000000000003</v>
      </c>
      <c r="AG20" s="80">
        <f>MEDIAN(Monday!F888,Tuesday!F888,Wednesday!F888,Thursday!F888,Friday!F888)</f>
        <v>3.35</v>
      </c>
      <c r="AH20" s="80">
        <f>AVERAGE(Monday!F946,Tuesday!F946,Wednesday!F946,Thursday!F946,Friday!F946)</f>
        <v>3.6100000000000003</v>
      </c>
      <c r="AI20" s="80">
        <f>MEDIAN(Monday!F946,Tuesday!F946,Wednesday!F946,Thursday!F946,Friday!F946)</f>
        <v>3.78</v>
      </c>
      <c r="AJ20" s="80">
        <f>AVERAGE(Monday!F1004,Tuesday!F1004,Wednesday!F1004,Thursday!F1004,Friday!F1004)</f>
        <v>3.6680000000000001</v>
      </c>
      <c r="AK20" s="80">
        <f>MEDIAN(Monday!F1004,Tuesday!F1004,Wednesday!F1004,Thursday!F1004,Friday!F1004)</f>
        <v>3.48</v>
      </c>
      <c r="AL20" s="80">
        <f>AVERAGE(Monday!F1062,Tuesday!F1062,Wednesday!F1062,Thursday!F1062,Friday!F1062)</f>
        <v>3.6459999999999999</v>
      </c>
      <c r="AM20" s="80">
        <f>MEDIAN(Monday!F1062,Tuesday!F1062,Wednesday!F1062,Thursday!F1062,Friday!F1062)</f>
        <v>3.78</v>
      </c>
      <c r="AN20" s="80">
        <f>AVERAGE(Monday!F1120,Tuesday!F1120,Wednesday!F1120,Thursday!F1120,Friday!F1120)</f>
        <v>3.4799999999999995</v>
      </c>
      <c r="AO20" s="80">
        <f>MEDIAN(Monday!F1120,Tuesday!F1120,Wednesday!F1120,Thursday!F1120,Friday!F1120)</f>
        <v>3.5</v>
      </c>
      <c r="AP20" s="80">
        <f>AVERAGE(Monday!F1178,Tuesday!F1178,Wednesday!F1178,Thursday!F1178,Friday!F1178)</f>
        <v>3.944</v>
      </c>
      <c r="AQ20" s="80">
        <f>MEDIAN(Monday!F1178,Tuesday!F1178,Wednesday!F1178,Thursday!F1178,Friday!F1178)</f>
        <v>3.92</v>
      </c>
      <c r="AR20" s="80">
        <f>AVERAGE(Monday!F1236,Tuesday!F1236,Wednesday!F1236,Thursday!F1236,Friday!F1236)</f>
        <v>4.4779999999999998</v>
      </c>
      <c r="AS20" s="80">
        <f>MEDIAN(Monday!F1236,Tuesday!F1236,Wednesday!F1236,Thursday!F1236,Friday!F1236)</f>
        <v>4.5</v>
      </c>
      <c r="AT20" s="80">
        <f>AVERAGE(Monday!F1294,Tuesday!F1294,Wednesday!F1294,Thursday!F1294,Friday!F1294)</f>
        <v>4.3860000000000001</v>
      </c>
      <c r="AU20" s="80">
        <f>MEDIAN(Monday!F1294,Tuesday!F1294,Wednesday!F1294,Thursday!F1294,Friday!F1294)</f>
        <v>4.33</v>
      </c>
      <c r="AV20" s="80">
        <f>AVERAGE(Monday!F1352,Tuesday!F1352,Wednesday!F1352,Thursday!F1352,Friday!F1352)</f>
        <v>4.6240000000000006</v>
      </c>
      <c r="AW20" s="80">
        <f>MEDIAN(Monday!F1352,Tuesday!F1352,Wednesday!F1352,Thursday!F1352,Friday!F1352)</f>
        <v>4.38</v>
      </c>
      <c r="AX20" s="80">
        <f>AVERAGE(Monday!F1410,Tuesday!F1410,Wednesday!F1410,Thursday!F1410,Friday!F1410)</f>
        <v>4.1800000000000006</v>
      </c>
      <c r="AY20" s="80">
        <f>MEDIAN(Monday!F1410,Tuesday!F1410,Wednesday!F1410,Thursday!F1410,Friday!F1410)</f>
        <v>4.22</v>
      </c>
      <c r="AZ20" s="80">
        <f>AVERAGE(Monday!F1468,Tuesday!F1468,Wednesday!F1468,Thursday!F1468,Friday!F1468)</f>
        <v>3.9619999999999997</v>
      </c>
      <c r="BA20" s="80">
        <f>MEDIAN(Monday!F1468,Tuesday!F1468,Wednesday!F1468,Thursday!F1468,Friday!F1468)</f>
        <v>3.68</v>
      </c>
      <c r="BB20" s="81">
        <v>17</v>
      </c>
      <c r="BC20" s="80">
        <f t="shared" si="0"/>
        <v>3.4361538461538457</v>
      </c>
      <c r="BD20" s="80">
        <f t="shared" si="1"/>
        <v>3.3650000000000002</v>
      </c>
    </row>
    <row r="21" spans="1:56" x14ac:dyDescent="0.25">
      <c r="A21" s="33">
        <v>18</v>
      </c>
      <c r="B21" s="80">
        <f>AVERAGE(Monday!F19,Tuesday!F19,Wednesday!F19,Thursday!F19,Friday!F19)</f>
        <v>2.4899999999999998</v>
      </c>
      <c r="C21" s="80">
        <f>MEDIAN(Monday!F19,Tuesday!F19,Wednesday!F19,Thursday!F19,Friday!F19)</f>
        <v>2.5</v>
      </c>
      <c r="D21" s="80">
        <f>AVERAGE(Monday!F77,Tuesday!F77,Wednesday!F77,Thursday!F77,Friday!F77)</f>
        <v>2.5740000000000003</v>
      </c>
      <c r="E21" s="80">
        <f>MEDIAN(Monday!F77,Tuesday!F77,Wednesday!F77,Thursday!F77,Friday!F77)</f>
        <v>2.57</v>
      </c>
      <c r="F21" s="80">
        <f>AVERAGE(Monday!F135,Tuesday!F135,Wednesday!F135,Thursday!F135,Friday!F135)</f>
        <v>2.7340000000000004</v>
      </c>
      <c r="G21" s="80">
        <f>MEDIAN(Monday!F135,Tuesday!F135,Wednesday!F135,Thursday!F135,Friday!F135)</f>
        <v>2.7</v>
      </c>
      <c r="H21" s="80">
        <f>AVERAGE(Monday!F193,Tuesday!F193,Wednesday!F193,Thursday!F193,Friday!F193)</f>
        <v>2.7919999999999998</v>
      </c>
      <c r="I21" s="80">
        <f>MEDIAN(Monday!F193,Tuesday!F193,Wednesday!F193,Thursday!F193,Friday!F193)</f>
        <v>2.82</v>
      </c>
      <c r="J21" s="80">
        <f>AVERAGE(Monday!F251,Tuesday!F251,Wednesday!F251,Thursday!F251,Friday!F251)</f>
        <v>2.9079999999999999</v>
      </c>
      <c r="K21" s="80">
        <f>MEDIAN(Monday!F251,Tuesday!F251,Wednesday!F251,Thursday!F251,Friday!F251)</f>
        <v>2.9</v>
      </c>
      <c r="L21" s="80">
        <f>AVERAGE(Monday!F309,Tuesday!F309,Wednesday!F309,Thursday!F309,Friday!F309)</f>
        <v>2.9699999999999998</v>
      </c>
      <c r="M21" s="80">
        <f>MEDIAN(Monday!F309,Tuesday!F309,Wednesday!F309,Thursday!F309,Friday!F309)</f>
        <v>2.97</v>
      </c>
      <c r="N21" s="80">
        <f>AVERAGE(Monday!F367,Tuesday!F367,Wednesday!F367,Thursday!F367,Friday!F367)</f>
        <v>3.2699999999999996</v>
      </c>
      <c r="O21" s="80">
        <f>MEDIAN(Monday!F367,Tuesday!F367,Wednesday!F367,Thursday!F367,Friday!F367)</f>
        <v>3.15</v>
      </c>
      <c r="P21" s="80">
        <f>AVERAGE(Monday!F425,Tuesday!F425,Wednesday!F425,Thursday!F425,Friday!F425)</f>
        <v>3.2380000000000004</v>
      </c>
      <c r="Q21" s="80">
        <f>MEDIAN(Monday!F425,Tuesday!F425,Wednesday!F425,Thursday!F425,Friday!F425)</f>
        <v>3.17</v>
      </c>
      <c r="R21" s="80">
        <f>AVERAGE(Monday!F483,Tuesday!F483,Wednesday!F483,Thursday!F483,Friday!F483)</f>
        <v>3.3599999999999994</v>
      </c>
      <c r="S21" s="80">
        <f>MEDIAN(Monday!F483,Tuesday!F483,Wednesday!F483,Thursday!F483,Friday!F483)</f>
        <v>3.18</v>
      </c>
      <c r="T21" s="80">
        <f>AVERAGE(Monday!F541,Tuesday!F541,Wednesday!F541,Thursday!F541,Friday!F541)</f>
        <v>3.1919999999999997</v>
      </c>
      <c r="U21" s="80">
        <f>MEDIAN(Monday!F541,Tuesday!F541,Wednesday!F541,Thursday!F541,Friday!F541)</f>
        <v>3.17</v>
      </c>
      <c r="V21" s="80">
        <f>AVERAGE(Monday!F599,Tuesday!F599,Wednesday!F599,Thursday!F599,Friday!F599)</f>
        <v>3.2760000000000007</v>
      </c>
      <c r="W21" s="80">
        <f>MEDIAN(Monday!F599,Tuesday!F599,Wednesday!F599,Thursday!F599,Friday!F599)</f>
        <v>3.2</v>
      </c>
      <c r="X21" s="80">
        <f>AVERAGE(Monday!F657,Tuesday!F657,Wednesday!F657,Thursday!F657,Friday!F657)</f>
        <v>3.2640000000000002</v>
      </c>
      <c r="Y21" s="80">
        <f>MEDIAN(Monday!F657,Tuesday!F657,Wednesday!F657,Thursday!F657,Friday!F657)</f>
        <v>3.28</v>
      </c>
      <c r="Z21" s="80">
        <f>AVERAGE(Monday!F715,Tuesday!F715,Wednesday!F715,Thursday!F715,Friday!F715)</f>
        <v>3.4519999999999995</v>
      </c>
      <c r="AA21" s="80">
        <f>MEDIAN(Monday!F715,Tuesday!F715,Wednesday!F715,Thursday!F715,Friday!F715)</f>
        <v>3.4</v>
      </c>
      <c r="AB21" s="80">
        <f>AVERAGE(Monday!F773,Tuesday!F773,Wednesday!F773,Thursday!F773,Friday!F773)</f>
        <v>3.718</v>
      </c>
      <c r="AC21" s="80">
        <f>MEDIAN(Monday!F773,Tuesday!F773,Wednesday!F773,Thursday!F773,Friday!F773)</f>
        <v>3.7</v>
      </c>
      <c r="AD21" s="80">
        <f>AVERAGE(Monday!F831,Tuesday!F831,Wednesday!F831,Thursday!F831,Friday!F831)</f>
        <v>3.8659999999999997</v>
      </c>
      <c r="AE21" s="80">
        <f>MEDIAN(Monday!F831,Tuesday!F831,Wednesday!F831,Thursday!F831,Friday!F831)</f>
        <v>3.78</v>
      </c>
      <c r="AF21" s="80">
        <f>AVERAGE(Monday!F889,Tuesday!F889,Wednesday!F889,Thursday!F889,Friday!F889)</f>
        <v>3.8579999999999997</v>
      </c>
      <c r="AG21" s="80">
        <f>MEDIAN(Monday!F889,Tuesday!F889,Wednesday!F889,Thursday!F889,Friday!F889)</f>
        <v>3.8</v>
      </c>
      <c r="AH21" s="80">
        <f>AVERAGE(Monday!F947,Tuesday!F947,Wednesday!F947,Thursday!F947,Friday!F947)</f>
        <v>3.85</v>
      </c>
      <c r="AI21" s="80">
        <f>MEDIAN(Monday!F947,Tuesday!F947,Wednesday!F947,Thursday!F947,Friday!F947)</f>
        <v>3.75</v>
      </c>
      <c r="AJ21" s="80">
        <f>AVERAGE(Monday!F1005,Tuesday!F1005,Wednesday!F1005,Thursday!F1005,Friday!F1005)</f>
        <v>3.5920000000000001</v>
      </c>
      <c r="AK21" s="80">
        <f>MEDIAN(Monday!F1005,Tuesday!F1005,Wednesday!F1005,Thursday!F1005,Friday!F1005)</f>
        <v>3.62</v>
      </c>
      <c r="AL21" s="80">
        <f>AVERAGE(Monday!F1063,Tuesday!F1063,Wednesday!F1063,Thursday!F1063,Friday!F1063)</f>
        <v>3.5939999999999999</v>
      </c>
      <c r="AM21" s="80">
        <f>MEDIAN(Monday!F1063,Tuesday!F1063,Wednesday!F1063,Thursday!F1063,Friday!F1063)</f>
        <v>3.65</v>
      </c>
      <c r="AN21" s="80">
        <f>AVERAGE(Monday!F1121,Tuesday!F1121,Wednesday!F1121,Thursday!F1121,Friday!F1121)</f>
        <v>3.524</v>
      </c>
      <c r="AO21" s="80">
        <f>MEDIAN(Monday!F1121,Tuesday!F1121,Wednesday!F1121,Thursday!F1121,Friday!F1121)</f>
        <v>3.47</v>
      </c>
      <c r="AP21" s="80">
        <f>AVERAGE(Monday!F1179,Tuesday!F1179,Wednesday!F1179,Thursday!F1179,Friday!F1179)</f>
        <v>4.0200000000000005</v>
      </c>
      <c r="AQ21" s="80">
        <f>MEDIAN(Monday!F1179,Tuesday!F1179,Wednesday!F1179,Thursday!F1179,Friday!F1179)</f>
        <v>4.03</v>
      </c>
      <c r="AR21" s="80">
        <f>AVERAGE(Monday!F1237,Tuesday!F1237,Wednesday!F1237,Thursday!F1237,Friday!F1237)</f>
        <v>4.3600000000000003</v>
      </c>
      <c r="AS21" s="80">
        <f>MEDIAN(Monday!F1237,Tuesday!F1237,Wednesday!F1237,Thursday!F1237,Friday!F1237)</f>
        <v>4.33</v>
      </c>
      <c r="AT21" s="80">
        <f>AVERAGE(Monday!F1295,Tuesday!F1295,Wednesday!F1295,Thursday!F1295,Friday!F1295)</f>
        <v>4.3440000000000003</v>
      </c>
      <c r="AU21" s="80">
        <f>MEDIAN(Monday!F1295,Tuesday!F1295,Wednesday!F1295,Thursday!F1295,Friday!F1295)</f>
        <v>4.5</v>
      </c>
      <c r="AV21" s="80">
        <f>AVERAGE(Monday!F1353,Tuesday!F1353,Wednesday!F1353,Thursday!F1353,Friday!F1353)</f>
        <v>4.306</v>
      </c>
      <c r="AW21" s="80">
        <f>MEDIAN(Monday!F1353,Tuesday!F1353,Wednesday!F1353,Thursday!F1353,Friday!F1353)</f>
        <v>4.28</v>
      </c>
      <c r="AX21" s="80">
        <f>AVERAGE(Monday!F1411,Tuesday!F1411,Wednesday!F1411,Thursday!F1411,Friday!F1411)</f>
        <v>4.4340000000000002</v>
      </c>
      <c r="AY21" s="80">
        <f>MEDIAN(Monday!F1411,Tuesday!F1411,Wednesday!F1411,Thursday!F1411,Friday!F1411)</f>
        <v>4.28</v>
      </c>
      <c r="AZ21" s="80">
        <f>AVERAGE(Monday!F1469,Tuesday!F1469,Wednesday!F1469,Thursday!F1469,Friday!F1469)</f>
        <v>4.4340000000000002</v>
      </c>
      <c r="BA21" s="80">
        <f>MEDIAN(Monday!F1469,Tuesday!F1469,Wednesday!F1469,Thursday!F1469,Friday!F1469)</f>
        <v>4.5</v>
      </c>
      <c r="BB21" s="81">
        <v>18</v>
      </c>
      <c r="BC21" s="80">
        <f t="shared" si="0"/>
        <v>3.5161538461538453</v>
      </c>
      <c r="BD21" s="80">
        <f t="shared" si="1"/>
        <v>3.4350000000000001</v>
      </c>
    </row>
    <row r="22" spans="1:56" x14ac:dyDescent="0.25">
      <c r="A22" s="33">
        <v>19</v>
      </c>
      <c r="B22" s="80">
        <f>AVERAGE(Monday!F20,Tuesday!F20,Wednesday!F20,Thursday!F20,Friday!F20)</f>
        <v>3.0320000000000005</v>
      </c>
      <c r="C22" s="80">
        <f>MEDIAN(Monday!F20,Tuesday!F20,Wednesday!F20,Thursday!F20,Friday!F20)</f>
        <v>2.98</v>
      </c>
      <c r="D22" s="80">
        <f>AVERAGE(Monday!F78,Tuesday!F78,Wednesday!F78,Thursday!F78,Friday!F78)</f>
        <v>3.1779999999999999</v>
      </c>
      <c r="E22" s="80">
        <f>MEDIAN(Monday!F78,Tuesday!F78,Wednesday!F78,Thursday!F78,Friday!F78)</f>
        <v>3.12</v>
      </c>
      <c r="F22" s="80">
        <f>AVERAGE(Monday!F136,Tuesday!F136,Wednesday!F136,Thursday!F136,Friday!F136)</f>
        <v>3.536</v>
      </c>
      <c r="G22" s="80">
        <f>MEDIAN(Monday!F136,Tuesday!F136,Wednesday!F136,Thursday!F136,Friday!F136)</f>
        <v>3.52</v>
      </c>
      <c r="H22" s="80">
        <f>AVERAGE(Monday!F194,Tuesday!F194,Wednesday!F194,Thursday!F194,Friday!F194)</f>
        <v>3.754</v>
      </c>
      <c r="I22" s="80">
        <f>MEDIAN(Monday!F194,Tuesday!F194,Wednesday!F194,Thursday!F194,Friday!F194)</f>
        <v>3.75</v>
      </c>
      <c r="J22" s="80">
        <f>AVERAGE(Monday!F252,Tuesday!F252,Wednesday!F252,Thursday!F252,Friday!F252)</f>
        <v>4.1079999999999997</v>
      </c>
      <c r="K22" s="80">
        <f>MEDIAN(Monday!F252,Tuesday!F252,Wednesday!F252,Thursday!F252,Friday!F252)</f>
        <v>4.0999999999999996</v>
      </c>
      <c r="L22" s="80">
        <f>AVERAGE(Monday!F310,Tuesday!F310,Wednesday!F310,Thursday!F310,Friday!F310)</f>
        <v>4.67</v>
      </c>
      <c r="M22" s="80">
        <f>MEDIAN(Monday!F310,Tuesday!F310,Wednesday!F310,Thursday!F310,Friday!F310)</f>
        <v>4.7300000000000004</v>
      </c>
      <c r="N22" s="80">
        <f>AVERAGE(Monday!F368,Tuesday!F368,Wednesday!F368,Thursday!F368,Friday!F368)</f>
        <v>4.6739999999999995</v>
      </c>
      <c r="O22" s="80">
        <f>MEDIAN(Monday!F368,Tuesday!F368,Wednesday!F368,Thursday!F368,Friday!F368)</f>
        <v>4.47</v>
      </c>
      <c r="P22" s="80">
        <f>AVERAGE(Monday!F426,Tuesday!F426,Wednesday!F426,Thursday!F426,Friday!F426)</f>
        <v>4.0200000000000005</v>
      </c>
      <c r="Q22" s="80">
        <f>MEDIAN(Monday!F426,Tuesday!F426,Wednesday!F426,Thursday!F426,Friday!F426)</f>
        <v>4.0199999999999996</v>
      </c>
      <c r="R22" s="80">
        <f>AVERAGE(Monday!F484,Tuesday!F484,Wednesday!F484,Thursday!F484,Friday!F484)</f>
        <v>3.9880000000000004</v>
      </c>
      <c r="S22" s="80">
        <f>MEDIAN(Monday!F484,Tuesday!F484,Wednesday!F484,Thursday!F484,Friday!F484)</f>
        <v>4</v>
      </c>
      <c r="T22" s="80">
        <f>AVERAGE(Monday!F542,Tuesday!F542,Wednesday!F542,Thursday!F542,Friday!F542)</f>
        <v>4.3860000000000001</v>
      </c>
      <c r="U22" s="80">
        <f>MEDIAN(Monday!F542,Tuesday!F542,Wednesday!F542,Thursday!F542,Friday!F542)</f>
        <v>4.45</v>
      </c>
      <c r="V22" s="80">
        <f>AVERAGE(Monday!F600,Tuesday!F600,Wednesday!F600,Thursday!F600,Friday!F600)</f>
        <v>4.3899999999999997</v>
      </c>
      <c r="W22" s="80">
        <f>MEDIAN(Monday!F600,Tuesday!F600,Wednesday!F600,Thursday!F600,Friday!F600)</f>
        <v>4.4000000000000004</v>
      </c>
      <c r="X22" s="80">
        <f>AVERAGE(Monday!F658,Tuesday!F658,Wednesday!F658,Thursday!F658,Friday!F658)</f>
        <v>4.234</v>
      </c>
      <c r="Y22" s="80">
        <f>MEDIAN(Monday!F658,Tuesday!F658,Wednesday!F658,Thursday!F658,Friday!F658)</f>
        <v>4.2699999999999996</v>
      </c>
      <c r="Z22" s="80">
        <f>AVERAGE(Monday!F716,Tuesday!F716,Wednesday!F716,Thursday!F716,Friday!F716)</f>
        <v>4.3159999999999998</v>
      </c>
      <c r="AA22" s="80">
        <f>MEDIAN(Monday!F716,Tuesday!F716,Wednesday!F716,Thursday!F716,Friday!F716)</f>
        <v>4.13</v>
      </c>
      <c r="AB22" s="80">
        <f>AVERAGE(Monday!F774,Tuesday!F774,Wednesday!F774,Thursday!F774,Friday!F774)</f>
        <v>3.8520000000000003</v>
      </c>
      <c r="AC22" s="80">
        <f>MEDIAN(Monday!F774,Tuesday!F774,Wednesday!F774,Thursday!F774,Friday!F774)</f>
        <v>3.9</v>
      </c>
      <c r="AD22" s="80">
        <f>AVERAGE(Monday!F832,Tuesday!F832,Wednesday!F832,Thursday!F832,Friday!F832)</f>
        <v>4.0759999999999996</v>
      </c>
      <c r="AE22" s="80">
        <f>MEDIAN(Monday!F832,Tuesday!F832,Wednesday!F832,Thursday!F832,Friday!F832)</f>
        <v>3.98</v>
      </c>
      <c r="AF22" s="80">
        <f>AVERAGE(Monday!F890,Tuesday!F890,Wednesday!F890,Thursday!F890,Friday!F890)</f>
        <v>4.0579999999999998</v>
      </c>
      <c r="AG22" s="80">
        <f>MEDIAN(Monday!F890,Tuesday!F890,Wednesday!F890,Thursday!F890,Friday!F890)</f>
        <v>4.05</v>
      </c>
      <c r="AH22" s="80">
        <f>AVERAGE(Monday!F948,Tuesday!F948,Wednesday!F948,Thursday!F948,Friday!F948)</f>
        <v>4.16</v>
      </c>
      <c r="AI22" s="80">
        <f>MEDIAN(Monday!F948,Tuesday!F948,Wednesday!F948,Thursday!F948,Friday!F948)</f>
        <v>4.0199999999999996</v>
      </c>
      <c r="AJ22" s="80">
        <f>AVERAGE(Monday!F1006,Tuesday!F1006,Wednesday!F1006,Thursday!F1006,Friday!F1006)</f>
        <v>3.8959999999999995</v>
      </c>
      <c r="AK22" s="80">
        <f>MEDIAN(Monday!F1006,Tuesday!F1006,Wednesday!F1006,Thursday!F1006,Friday!F1006)</f>
        <v>4</v>
      </c>
      <c r="AL22" s="80">
        <f>AVERAGE(Monday!F1064,Tuesday!F1064,Wednesday!F1064,Thursday!F1064,Friday!F1064)</f>
        <v>3.9119999999999999</v>
      </c>
      <c r="AM22" s="80">
        <f>MEDIAN(Monday!F1064,Tuesday!F1064,Wednesday!F1064,Thursday!F1064,Friday!F1064)</f>
        <v>3.83</v>
      </c>
      <c r="AN22" s="80">
        <f>AVERAGE(Monday!F1122,Tuesday!F1122,Wednesday!F1122,Thursday!F1122,Friday!F1122)</f>
        <v>3.7400000000000007</v>
      </c>
      <c r="AO22" s="80">
        <f>MEDIAN(Monday!F1122,Tuesday!F1122,Wednesday!F1122,Thursday!F1122,Friday!F1122)</f>
        <v>3.8</v>
      </c>
      <c r="AP22" s="80">
        <f>AVERAGE(Monday!F1180,Tuesday!F1180,Wednesday!F1180,Thursday!F1180,Friday!F1180)</f>
        <v>3.7939999999999996</v>
      </c>
      <c r="AQ22" s="80">
        <f>MEDIAN(Monday!F1180,Tuesday!F1180,Wednesday!F1180,Thursday!F1180,Friday!F1180)</f>
        <v>3.78</v>
      </c>
      <c r="AR22" s="80">
        <f>AVERAGE(Monday!F1238,Tuesday!F1238,Wednesday!F1238,Thursday!F1238,Friday!F1238)</f>
        <v>3.9119999999999999</v>
      </c>
      <c r="AS22" s="80">
        <f>MEDIAN(Monday!F1238,Tuesday!F1238,Wednesday!F1238,Thursday!F1238,Friday!F1238)</f>
        <v>3.93</v>
      </c>
      <c r="AT22" s="80">
        <f>AVERAGE(Monday!F1296,Tuesday!F1296,Wednesday!F1296,Thursday!F1296,Friday!F1296)</f>
        <v>3.7479999999999998</v>
      </c>
      <c r="AU22" s="80">
        <f>MEDIAN(Monday!F1296,Tuesday!F1296,Wednesday!F1296,Thursday!F1296,Friday!F1296)</f>
        <v>3.77</v>
      </c>
      <c r="AV22" s="80">
        <f>AVERAGE(Monday!F1354,Tuesday!F1354,Wednesday!F1354,Thursday!F1354,Friday!F1354)</f>
        <v>3.6459999999999999</v>
      </c>
      <c r="AW22" s="80">
        <f>MEDIAN(Monday!F1354,Tuesday!F1354,Wednesday!F1354,Thursday!F1354,Friday!F1354)</f>
        <v>3.67</v>
      </c>
      <c r="AX22" s="80">
        <f>AVERAGE(Monday!F1412,Tuesday!F1412,Wednesday!F1412,Thursday!F1412,Friday!F1412)</f>
        <v>3.5960000000000001</v>
      </c>
      <c r="AY22" s="80">
        <f>MEDIAN(Monday!F1412,Tuesday!F1412,Wednesday!F1412,Thursday!F1412,Friday!F1412)</f>
        <v>3.68</v>
      </c>
      <c r="AZ22" s="80">
        <f>AVERAGE(Monday!F1470,Tuesday!F1470,Wednesday!F1470,Thursday!F1470,Friday!F1470)</f>
        <v>3.5960000000000001</v>
      </c>
      <c r="BA22" s="80">
        <f>MEDIAN(Monday!F1470,Tuesday!F1470,Wednesday!F1470,Thursday!F1470,Friday!F1470)</f>
        <v>3.57</v>
      </c>
      <c r="BB22" s="81">
        <v>19</v>
      </c>
      <c r="BC22" s="80">
        <f t="shared" si="0"/>
        <v>3.9335384615384621</v>
      </c>
      <c r="BD22" s="80">
        <f t="shared" si="1"/>
        <v>3.9550000000000001</v>
      </c>
    </row>
    <row r="23" spans="1:56" x14ac:dyDescent="0.25">
      <c r="A23" s="33">
        <v>20</v>
      </c>
      <c r="B23" s="80">
        <f>AVERAGE(Monday!F21,Tuesday!F21,Wednesday!F21,Thursday!F21,Friday!F21)</f>
        <v>3.056</v>
      </c>
      <c r="C23" s="80">
        <f>MEDIAN(Monday!F21,Tuesday!F21,Wednesday!F21,Thursday!F21,Friday!F21)</f>
        <v>3.07</v>
      </c>
      <c r="D23" s="80">
        <f>AVERAGE(Monday!F79,Tuesday!F79,Wednesday!F79,Thursday!F79,Friday!F79)</f>
        <v>3.1160000000000001</v>
      </c>
      <c r="E23" s="80">
        <f>MEDIAN(Monday!F79,Tuesday!F79,Wednesday!F79,Thursday!F79,Friday!F79)</f>
        <v>3.15</v>
      </c>
      <c r="F23" s="80">
        <f>AVERAGE(Monday!F137,Tuesday!F137,Wednesday!F137,Thursday!F137,Friday!F137)</f>
        <v>3.3260000000000005</v>
      </c>
      <c r="G23" s="80">
        <f>MEDIAN(Monday!F137,Tuesday!F137,Wednesday!F137,Thursday!F137,Friday!F137)</f>
        <v>3.4</v>
      </c>
      <c r="H23" s="80">
        <f>AVERAGE(Monday!F195,Tuesday!F195,Wednesday!F195,Thursday!F195,Friday!F195)</f>
        <v>3.5880000000000001</v>
      </c>
      <c r="I23" s="80">
        <f>MEDIAN(Monday!F195,Tuesday!F195,Wednesday!F195,Thursday!F195,Friday!F195)</f>
        <v>3.63</v>
      </c>
      <c r="J23" s="80">
        <f>AVERAGE(Monday!F253,Tuesday!F253,Wednesday!F253,Thursday!F253,Friday!F253)</f>
        <v>4.0540000000000003</v>
      </c>
      <c r="K23" s="80">
        <f>MEDIAN(Monday!F253,Tuesday!F253,Wednesday!F253,Thursday!F253,Friday!F253)</f>
        <v>4.08</v>
      </c>
      <c r="L23" s="80">
        <f>AVERAGE(Monday!F311,Tuesday!F311,Wednesday!F311,Thursday!F311,Friday!F311)</f>
        <v>4.7939999999999996</v>
      </c>
      <c r="M23" s="80">
        <f>MEDIAN(Monday!F311,Tuesday!F311,Wednesday!F311,Thursday!F311,Friday!F311)</f>
        <v>4.67</v>
      </c>
      <c r="N23" s="80">
        <f>AVERAGE(Monday!F369,Tuesday!F369,Wednesday!F369,Thursday!F369,Friday!F369)</f>
        <v>4.5980000000000008</v>
      </c>
      <c r="O23" s="80">
        <f>MEDIAN(Monday!F369,Tuesday!F369,Wednesday!F369,Thursday!F369,Friday!F369)</f>
        <v>4.63</v>
      </c>
      <c r="P23" s="80">
        <f>AVERAGE(Monday!F427,Tuesday!F427,Wednesday!F427,Thursday!F427,Friday!F427)</f>
        <v>3.8980000000000006</v>
      </c>
      <c r="Q23" s="80">
        <f>MEDIAN(Monday!F427,Tuesday!F427,Wednesday!F427,Thursday!F427,Friday!F427)</f>
        <v>3.87</v>
      </c>
      <c r="R23" s="80">
        <f>AVERAGE(Monday!F485,Tuesday!F485,Wednesday!F485,Thursday!F485,Friday!F485)</f>
        <v>3.8860000000000001</v>
      </c>
      <c r="S23" s="80">
        <f>MEDIAN(Monday!F485,Tuesday!F485,Wednesday!F485,Thursday!F485,Friday!F485)</f>
        <v>3.85</v>
      </c>
      <c r="T23" s="80">
        <f>AVERAGE(Monday!F543,Tuesday!F543,Wednesday!F543,Thursday!F543,Friday!F543)</f>
        <v>4.2319999999999993</v>
      </c>
      <c r="U23" s="80">
        <f>MEDIAN(Monday!F543,Tuesday!F543,Wednesday!F543,Thursday!F543,Friday!F543)</f>
        <v>4.2300000000000004</v>
      </c>
      <c r="V23" s="80">
        <f>AVERAGE(Monday!F601,Tuesday!F601,Wednesday!F601,Thursday!F601,Friday!F601)</f>
        <v>4.5439999999999996</v>
      </c>
      <c r="W23" s="80">
        <f>MEDIAN(Monday!F601,Tuesday!F601,Wednesday!F601,Thursday!F601,Friday!F601)</f>
        <v>4.5</v>
      </c>
      <c r="X23" s="80">
        <f>AVERAGE(Monday!F659,Tuesday!F659,Wednesday!F659,Thursday!F659,Friday!F659)</f>
        <v>4.4480000000000004</v>
      </c>
      <c r="Y23" s="80">
        <f>MEDIAN(Monday!F659,Tuesday!F659,Wednesday!F659,Thursday!F659,Friday!F659)</f>
        <v>4.22</v>
      </c>
      <c r="Z23" s="80">
        <f>AVERAGE(Monday!F717,Tuesday!F717,Wednesday!F717,Thursday!F717,Friday!F717)</f>
        <v>4.0059999999999993</v>
      </c>
      <c r="AA23" s="80">
        <f>MEDIAN(Monday!F717,Tuesday!F717,Wednesday!F717,Thursday!F717,Friday!F717)</f>
        <v>4.05</v>
      </c>
      <c r="AB23" s="80">
        <f>AVERAGE(Monday!F775,Tuesday!F775,Wednesday!F775,Thursday!F775,Friday!F775)</f>
        <v>3.8460000000000001</v>
      </c>
      <c r="AC23" s="80">
        <f>MEDIAN(Monday!F775,Tuesday!F775,Wednesday!F775,Thursday!F775,Friday!F775)</f>
        <v>3.85</v>
      </c>
      <c r="AD23" s="80">
        <f>AVERAGE(Monday!F833,Tuesday!F833,Wednesday!F833,Thursday!F833,Friday!F833)</f>
        <v>3.7840000000000003</v>
      </c>
      <c r="AE23" s="80">
        <f>MEDIAN(Monday!F833,Tuesday!F833,Wednesday!F833,Thursday!F833,Friday!F833)</f>
        <v>3.92</v>
      </c>
      <c r="AF23" s="80">
        <f>AVERAGE(Monday!F891,Tuesday!F891,Wednesday!F891,Thursday!F891,Friday!F891)</f>
        <v>3.7600000000000002</v>
      </c>
      <c r="AG23" s="80">
        <f>MEDIAN(Monday!F891,Tuesday!F891,Wednesday!F891,Thursday!F891,Friday!F891)</f>
        <v>3.77</v>
      </c>
      <c r="AH23" s="80">
        <f>AVERAGE(Monday!F949,Tuesday!F949,Wednesday!F949,Thursday!F949,Friday!F949)</f>
        <v>3.8379999999999996</v>
      </c>
      <c r="AI23" s="80">
        <f>MEDIAN(Monday!F949,Tuesday!F949,Wednesday!F949,Thursday!F949,Friday!F949)</f>
        <v>3.8</v>
      </c>
      <c r="AJ23" s="80">
        <f>AVERAGE(Monday!F1007,Tuesday!F1007,Wednesday!F1007,Thursday!F1007,Friday!F1007)</f>
        <v>3.722</v>
      </c>
      <c r="AK23" s="80">
        <f>MEDIAN(Monday!F1007,Tuesday!F1007,Wednesday!F1007,Thursday!F1007,Friday!F1007)</f>
        <v>3.7</v>
      </c>
      <c r="AL23" s="80">
        <f>AVERAGE(Monday!F1065,Tuesday!F1065,Wednesday!F1065,Thursday!F1065,Friday!F1065)</f>
        <v>3.71</v>
      </c>
      <c r="AM23" s="80">
        <f>MEDIAN(Monday!F1065,Tuesday!F1065,Wednesday!F1065,Thursday!F1065,Friday!F1065)</f>
        <v>3.72</v>
      </c>
      <c r="AN23" s="80">
        <f>AVERAGE(Monday!F1123,Tuesday!F1123,Wednesday!F1123,Thursday!F1123,Friday!F1123)</f>
        <v>3.53</v>
      </c>
      <c r="AO23" s="80">
        <f>MEDIAN(Monday!F1123,Tuesday!F1123,Wednesday!F1123,Thursday!F1123,Friday!F1123)</f>
        <v>3.55</v>
      </c>
      <c r="AP23" s="80">
        <f>AVERAGE(Monday!F1181,Tuesday!F1181,Wednesday!F1181,Thursday!F1181,Friday!F1181)</f>
        <v>3.5200000000000005</v>
      </c>
      <c r="AQ23" s="80">
        <f>MEDIAN(Monday!F1181,Tuesday!F1181,Wednesday!F1181,Thursday!F1181,Friday!F1181)</f>
        <v>3.57</v>
      </c>
      <c r="AR23" s="80">
        <f>AVERAGE(Monday!F1239,Tuesday!F1239,Wednesday!F1239,Thursday!F1239,Friday!F1239)</f>
        <v>3.5959999999999992</v>
      </c>
      <c r="AS23" s="80">
        <f>MEDIAN(Monday!F1239,Tuesday!F1239,Wednesday!F1239,Thursday!F1239,Friday!F1239)</f>
        <v>3.63</v>
      </c>
      <c r="AT23" s="80">
        <f>AVERAGE(Monday!F1297,Tuesday!F1297,Wednesday!F1297,Thursday!F1297,Friday!F1297)</f>
        <v>3.6719999999999997</v>
      </c>
      <c r="AU23" s="80">
        <f>MEDIAN(Monday!F1297,Tuesday!F1297,Wednesday!F1297,Thursday!F1297,Friday!F1297)</f>
        <v>3.5</v>
      </c>
      <c r="AV23" s="80">
        <f>AVERAGE(Monday!F1355,Tuesday!F1355,Wednesday!F1355,Thursday!F1355,Friday!F1355)</f>
        <v>3.4180000000000001</v>
      </c>
      <c r="AW23" s="80">
        <f>MEDIAN(Monday!F1355,Tuesday!F1355,Wednesday!F1355,Thursday!F1355,Friday!F1355)</f>
        <v>3.43</v>
      </c>
      <c r="AX23" s="80">
        <f>AVERAGE(Monday!F1413,Tuesday!F1413,Wednesday!F1413,Thursday!F1413,Friday!F1413)</f>
        <v>3.3339999999999996</v>
      </c>
      <c r="AY23" s="80">
        <f>MEDIAN(Monday!F1413,Tuesday!F1413,Wednesday!F1413,Thursday!F1413,Friday!F1413)</f>
        <v>3.3</v>
      </c>
      <c r="AZ23" s="80">
        <f>AVERAGE(Monday!F1471,Tuesday!F1471,Wednesday!F1471,Thursday!F1471,Friday!F1471)</f>
        <v>3.476</v>
      </c>
      <c r="BA23" s="80">
        <f>MEDIAN(Monday!F1471,Tuesday!F1471,Wednesday!F1471,Thursday!F1471,Friday!F1471)</f>
        <v>3.48</v>
      </c>
      <c r="BB23" s="81">
        <v>20</v>
      </c>
      <c r="BC23" s="80">
        <f t="shared" si="0"/>
        <v>3.7981538461538453</v>
      </c>
      <c r="BD23" s="80">
        <f t="shared" si="1"/>
        <v>3.7450000000000001</v>
      </c>
    </row>
    <row r="24" spans="1:56" x14ac:dyDescent="0.25">
      <c r="A24" s="33">
        <v>21</v>
      </c>
      <c r="B24" s="80">
        <f>AVERAGE(Monday!F22,Tuesday!F22,Wednesday!F22,Thursday!F22,Friday!F22)</f>
        <v>2.6680000000000001</v>
      </c>
      <c r="C24" s="80">
        <f>MEDIAN(Monday!F22,Tuesday!F22,Wednesday!F22,Thursday!F22,Friday!F22)</f>
        <v>2.63</v>
      </c>
      <c r="D24" s="80">
        <f>AVERAGE(Monday!F80,Tuesday!F80,Wednesday!F80,Thursday!F80,Friday!F80)</f>
        <v>2.806</v>
      </c>
      <c r="E24" s="80">
        <f>MEDIAN(Monday!F80,Tuesday!F80,Wednesday!F80,Thursday!F80,Friday!F80)</f>
        <v>2.8</v>
      </c>
      <c r="F24" s="80">
        <f>AVERAGE(Monday!F138,Tuesday!F138,Wednesday!F138,Thursday!F138,Friday!F138)</f>
        <v>3.04</v>
      </c>
      <c r="G24" s="80">
        <f>MEDIAN(Monday!F138,Tuesday!F138,Wednesday!F138,Thursday!F138,Friday!F138)</f>
        <v>3</v>
      </c>
      <c r="H24" s="80">
        <f>AVERAGE(Monday!F196,Tuesday!F196,Wednesday!F196,Thursday!F196,Friday!F196)</f>
        <v>3.3440000000000003</v>
      </c>
      <c r="I24" s="80">
        <f>MEDIAN(Monday!F196,Tuesday!F196,Wednesday!F196,Thursday!F196,Friday!F196)</f>
        <v>3.37</v>
      </c>
      <c r="J24" s="80">
        <f>AVERAGE(Monday!F254,Tuesday!F254,Wednesday!F254,Thursday!F254,Friday!F254)</f>
        <v>4.0860000000000003</v>
      </c>
      <c r="K24" s="80">
        <f>MEDIAN(Monday!F254,Tuesday!F254,Wednesday!F254,Thursday!F254,Friday!F254)</f>
        <v>4.0999999999999996</v>
      </c>
      <c r="L24" s="80">
        <f>AVERAGE(Monday!F312,Tuesday!F312,Wednesday!F312,Thursday!F312,Friday!F312)</f>
        <v>5.32</v>
      </c>
      <c r="M24" s="80">
        <f>MEDIAN(Monday!F312,Tuesday!F312,Wednesday!F312,Thursday!F312,Friday!F312)</f>
        <v>5.25</v>
      </c>
      <c r="N24" s="80">
        <f>AVERAGE(Monday!F370,Tuesday!F370,Wednesday!F370,Thursday!F370,Friday!F370)</f>
        <v>5.4640000000000004</v>
      </c>
      <c r="O24" s="80">
        <f>MEDIAN(Monday!F370,Tuesday!F370,Wednesday!F370,Thursday!F370,Friday!F370)</f>
        <v>5.15</v>
      </c>
      <c r="P24" s="80">
        <f>AVERAGE(Monday!F428,Tuesday!F428,Wednesday!F428,Thursday!F428,Friday!F428)</f>
        <v>4.048</v>
      </c>
      <c r="Q24" s="80">
        <f>MEDIAN(Monday!F428,Tuesday!F428,Wednesday!F428,Thursday!F428,Friday!F428)</f>
        <v>4.0999999999999996</v>
      </c>
      <c r="R24" s="80">
        <f>AVERAGE(Monday!F486,Tuesday!F486,Wednesday!F486,Thursday!F486,Friday!F486)</f>
        <v>3.4180000000000001</v>
      </c>
      <c r="S24" s="80">
        <f>MEDIAN(Monday!F486,Tuesday!F486,Wednesday!F486,Thursday!F486,Friday!F486)</f>
        <v>3.42</v>
      </c>
      <c r="T24" s="80">
        <f>AVERAGE(Monday!F544,Tuesday!F544,Wednesday!F544,Thursday!F544,Friday!F544)</f>
        <v>3.7700000000000005</v>
      </c>
      <c r="U24" s="80">
        <f>MEDIAN(Monday!F544,Tuesday!F544,Wednesday!F544,Thursday!F544,Friday!F544)</f>
        <v>3.63</v>
      </c>
      <c r="V24" s="80">
        <f>AVERAGE(Monday!F602,Tuesday!F602,Wednesday!F602,Thursday!F602,Friday!F602)</f>
        <v>4.1719999999999997</v>
      </c>
      <c r="W24" s="80">
        <f>MEDIAN(Monday!F602,Tuesday!F602,Wednesday!F602,Thursday!F602,Friday!F602)</f>
        <v>4.22</v>
      </c>
      <c r="X24" s="80">
        <f>AVERAGE(Monday!F660,Tuesday!F660,Wednesday!F660,Thursday!F660,Friday!F660)</f>
        <v>4.0460000000000003</v>
      </c>
      <c r="Y24" s="80">
        <f>MEDIAN(Monday!F660,Tuesday!F660,Wednesday!F660,Thursday!F660,Friday!F660)</f>
        <v>3.97</v>
      </c>
      <c r="Z24" s="80">
        <f>AVERAGE(Monday!F718,Tuesday!F718,Wednesday!F718,Thursday!F718,Friday!F718)</f>
        <v>3.8740000000000001</v>
      </c>
      <c r="AA24" s="80">
        <f>MEDIAN(Monday!F718,Tuesday!F718,Wednesday!F718,Thursday!F718,Friday!F718)</f>
        <v>3.85</v>
      </c>
      <c r="AB24" s="80">
        <f>AVERAGE(Monday!F776,Tuesday!F776,Wednesday!F776,Thursday!F776,Friday!F776)</f>
        <v>3.536</v>
      </c>
      <c r="AC24" s="80">
        <f>MEDIAN(Monday!F776,Tuesday!F776,Wednesday!F776,Thursday!F776,Friday!F776)</f>
        <v>3.52</v>
      </c>
      <c r="AD24" s="80">
        <f>AVERAGE(Monday!F834,Tuesday!F834,Wednesday!F834,Thursday!F834,Friday!F834)</f>
        <v>3.5619999999999998</v>
      </c>
      <c r="AE24" s="80">
        <f>MEDIAN(Monday!F834,Tuesday!F834,Wednesday!F834,Thursday!F834,Friday!F834)</f>
        <v>3.53</v>
      </c>
      <c r="AF24" s="80">
        <f>AVERAGE(Monday!F892,Tuesday!F892,Wednesday!F892,Thursday!F892,Friday!F892)</f>
        <v>3.5980000000000003</v>
      </c>
      <c r="AG24" s="80">
        <f>MEDIAN(Monday!F892,Tuesday!F892,Wednesday!F892,Thursday!F892,Friday!F892)</f>
        <v>3.58</v>
      </c>
      <c r="AH24" s="80">
        <f>AVERAGE(Monday!F950,Tuesday!F950,Wednesday!F950,Thursday!F950,Friday!F950)</f>
        <v>3.9880000000000004</v>
      </c>
      <c r="AI24" s="80">
        <f>MEDIAN(Monday!F950,Tuesday!F950,Wednesday!F950,Thursday!F950,Friday!F950)</f>
        <v>3.97</v>
      </c>
      <c r="AJ24" s="80">
        <f>AVERAGE(Monday!F1008,Tuesday!F1008,Wednesday!F1008,Thursday!F1008,Friday!F1008)</f>
        <v>4.2120000000000006</v>
      </c>
      <c r="AK24" s="80">
        <f>MEDIAN(Monday!F1008,Tuesday!F1008,Wednesday!F1008,Thursday!F1008,Friday!F1008)</f>
        <v>4.2699999999999996</v>
      </c>
      <c r="AL24" s="80">
        <f>AVERAGE(Monday!F1066,Tuesday!F1066,Wednesday!F1066,Thursday!F1066,Friday!F1066)</f>
        <v>3.742</v>
      </c>
      <c r="AM24" s="80">
        <f>MEDIAN(Monday!F1066,Tuesday!F1066,Wednesday!F1066,Thursday!F1066,Friday!F1066)</f>
        <v>3.55</v>
      </c>
      <c r="AN24" s="80">
        <f>AVERAGE(Monday!F1124,Tuesday!F1124,Wednesday!F1124,Thursday!F1124,Friday!F1124)</f>
        <v>3.4579999999999997</v>
      </c>
      <c r="AO24" s="80">
        <f>MEDIAN(Monday!F1124,Tuesday!F1124,Wednesday!F1124,Thursday!F1124,Friday!F1124)</f>
        <v>3.43</v>
      </c>
      <c r="AP24" s="80">
        <f>AVERAGE(Monday!F1182,Tuesday!F1182,Wednesday!F1182,Thursday!F1182,Friday!F1182)</f>
        <v>3.8679999999999999</v>
      </c>
      <c r="AQ24" s="80">
        <f>MEDIAN(Monday!F1182,Tuesday!F1182,Wednesday!F1182,Thursday!F1182,Friday!F1182)</f>
        <v>3.87</v>
      </c>
      <c r="AR24" s="80">
        <f>AVERAGE(Monday!F1240,Tuesday!F1240,Wednesday!F1240,Thursday!F1240,Friday!F1240)</f>
        <v>4.2159999999999993</v>
      </c>
      <c r="AS24" s="80">
        <f>MEDIAN(Monday!F1240,Tuesday!F1240,Wednesday!F1240,Thursday!F1240,Friday!F1240)</f>
        <v>4.2300000000000004</v>
      </c>
      <c r="AT24" s="80">
        <f>AVERAGE(Monday!F1298,Tuesday!F1298,Wednesday!F1298,Thursday!F1298,Friday!F1298)</f>
        <v>3.8579999999999997</v>
      </c>
      <c r="AU24" s="80">
        <f>MEDIAN(Monday!F1298,Tuesday!F1298,Wednesday!F1298,Thursday!F1298,Friday!F1298)</f>
        <v>3.93</v>
      </c>
      <c r="AV24" s="80">
        <f>AVERAGE(Monday!F1356,Tuesday!F1356,Wednesday!F1356,Thursday!F1356,Friday!F1356)</f>
        <v>3.8240000000000003</v>
      </c>
      <c r="AW24" s="80">
        <f>MEDIAN(Monday!F1356,Tuesday!F1356,Wednesday!F1356,Thursday!F1356,Friday!F1356)</f>
        <v>3.73</v>
      </c>
      <c r="AX24" s="80">
        <f>AVERAGE(Monday!F1414,Tuesday!F1414,Wednesday!F1414,Thursday!F1414,Friday!F1414)</f>
        <v>3.55</v>
      </c>
      <c r="AY24" s="80">
        <f>MEDIAN(Monday!F1414,Tuesday!F1414,Wednesday!F1414,Thursday!F1414,Friday!F1414)</f>
        <v>3.48</v>
      </c>
      <c r="AZ24" s="80">
        <f>AVERAGE(Monday!F1472,Tuesday!F1472,Wednesday!F1472,Thursday!F1472,Friday!F1472)</f>
        <v>3.29</v>
      </c>
      <c r="BA24" s="80">
        <f>MEDIAN(Monday!F1472,Tuesday!F1472,Wednesday!F1472,Thursday!F1472,Friday!F1472)</f>
        <v>3.2</v>
      </c>
      <c r="BB24" s="81">
        <v>21</v>
      </c>
      <c r="BC24" s="80">
        <f t="shared" si="0"/>
        <v>3.7983846153846157</v>
      </c>
      <c r="BD24" s="80">
        <f t="shared" si="1"/>
        <v>3.6799999999999997</v>
      </c>
    </row>
    <row r="25" spans="1:56" x14ac:dyDescent="0.25">
      <c r="A25" s="33">
        <v>22</v>
      </c>
      <c r="B25" s="80">
        <f>AVERAGE(Monday!F23,Tuesday!F23,Wednesday!F23,Thursday!F23,Friday!F23)</f>
        <v>2.8760000000000003</v>
      </c>
      <c r="C25" s="80">
        <f>MEDIAN(Monday!F23,Tuesday!F23,Wednesday!F23,Thursday!F23,Friday!F23)</f>
        <v>2.9</v>
      </c>
      <c r="D25" s="80">
        <f>AVERAGE(Monday!F81,Tuesday!F81,Wednesday!F81,Thursday!F81,Friday!F81)</f>
        <v>3.2060000000000004</v>
      </c>
      <c r="E25" s="80">
        <f>MEDIAN(Monday!F81,Tuesday!F81,Wednesday!F81,Thursday!F81,Friday!F81)</f>
        <v>3.22</v>
      </c>
      <c r="F25" s="80">
        <f>AVERAGE(Monday!F139,Tuesday!F139,Wednesday!F139,Thursday!F139,Friday!F139)</f>
        <v>3.2719999999999998</v>
      </c>
      <c r="G25" s="80">
        <f>MEDIAN(Monday!F139,Tuesday!F139,Wednesday!F139,Thursday!F139,Friday!F139)</f>
        <v>3.25</v>
      </c>
      <c r="H25" s="80">
        <f>AVERAGE(Monday!F197,Tuesday!F197,Wednesday!F197,Thursday!F197,Friday!F197)</f>
        <v>3.3679999999999999</v>
      </c>
      <c r="I25" s="80">
        <f>MEDIAN(Monday!F197,Tuesday!F197,Wednesday!F197,Thursday!F197,Friday!F197)</f>
        <v>3.37</v>
      </c>
      <c r="J25" s="80">
        <f>AVERAGE(Monday!F255,Tuesday!F255,Wednesday!F255,Thursday!F255,Friday!F255)</f>
        <v>3.9140000000000001</v>
      </c>
      <c r="K25" s="80">
        <f>MEDIAN(Monday!F255,Tuesday!F255,Wednesday!F255,Thursday!F255,Friday!F255)</f>
        <v>4</v>
      </c>
      <c r="L25" s="80">
        <f>AVERAGE(Monday!F313,Tuesday!F313,Wednesday!F313,Thursday!F313,Friday!F313)</f>
        <v>4.24</v>
      </c>
      <c r="M25" s="80">
        <f>MEDIAN(Monday!F313,Tuesday!F313,Wednesday!F313,Thursday!F313,Friday!F313)</f>
        <v>4.1500000000000004</v>
      </c>
      <c r="N25" s="80">
        <f>AVERAGE(Monday!F371,Tuesday!F371,Wednesday!F371,Thursday!F371,Friday!F371)</f>
        <v>4.6979999999999995</v>
      </c>
      <c r="O25" s="80">
        <f>MEDIAN(Monday!F371,Tuesday!F371,Wednesday!F371,Thursday!F371,Friday!F371)</f>
        <v>4.75</v>
      </c>
      <c r="P25" s="80">
        <f>AVERAGE(Monday!F429,Tuesday!F429,Wednesday!F429,Thursday!F429,Friday!F429)</f>
        <v>4.5759999999999996</v>
      </c>
      <c r="Q25" s="80">
        <f>MEDIAN(Monday!F429,Tuesday!F429,Wednesday!F429,Thursday!F429,Friday!F429)</f>
        <v>4.47</v>
      </c>
      <c r="R25" s="80">
        <f>AVERAGE(Monday!F487,Tuesday!F487,Wednesday!F487,Thursday!F487,Friday!F487)</f>
        <v>4.0980000000000008</v>
      </c>
      <c r="S25" s="80">
        <f>MEDIAN(Monday!F487,Tuesday!F487,Wednesday!F487,Thursday!F487,Friday!F487)</f>
        <v>4.17</v>
      </c>
      <c r="T25" s="80">
        <f>AVERAGE(Monday!F545,Tuesday!F545,Wednesday!F545,Thursday!F545,Friday!F545)</f>
        <v>3.7520000000000002</v>
      </c>
      <c r="U25" s="80">
        <f>MEDIAN(Monday!F545,Tuesday!F545,Wednesday!F545,Thursday!F545,Friday!F545)</f>
        <v>3.88</v>
      </c>
      <c r="V25" s="80">
        <f>AVERAGE(Monday!F603,Tuesday!F603,Wednesday!F603,Thursday!F603,Friday!F603)</f>
        <v>3.7399999999999998</v>
      </c>
      <c r="W25" s="80">
        <f>MEDIAN(Monday!F603,Tuesday!F603,Wednesday!F603,Thursday!F603,Friday!F603)</f>
        <v>3.78</v>
      </c>
      <c r="X25" s="80">
        <f>AVERAGE(Monday!F661,Tuesday!F661,Wednesday!F661,Thursday!F661,Friday!F661)</f>
        <v>3.806</v>
      </c>
      <c r="Y25" s="80">
        <f>MEDIAN(Monday!F661,Tuesday!F661,Wednesday!F661,Thursday!F661,Friday!F661)</f>
        <v>3.85</v>
      </c>
      <c r="Z25" s="80">
        <f>AVERAGE(Monday!F719,Tuesday!F719,Wednesday!F719,Thursday!F719,Friday!F719)</f>
        <v>3.7440000000000007</v>
      </c>
      <c r="AA25" s="80">
        <f>MEDIAN(Monday!F719,Tuesday!F719,Wednesday!F719,Thursday!F719,Friday!F719)</f>
        <v>3.78</v>
      </c>
      <c r="AB25" s="80">
        <f>AVERAGE(Monday!F777,Tuesday!F777,Wednesday!F777,Thursday!F777,Friday!F777)</f>
        <v>3.79</v>
      </c>
      <c r="AC25" s="80">
        <f>MEDIAN(Monday!F777,Tuesday!F777,Wednesday!F777,Thursday!F777,Friday!F777)</f>
        <v>3.78</v>
      </c>
      <c r="AD25" s="80">
        <f>AVERAGE(Monday!F835,Tuesday!F835,Wednesday!F835,Thursday!F835,Friday!F835)</f>
        <v>3.786</v>
      </c>
      <c r="AE25" s="80">
        <f>MEDIAN(Monday!F835,Tuesday!F835,Wednesday!F835,Thursday!F835,Friday!F835)</f>
        <v>3.68</v>
      </c>
      <c r="AF25" s="80">
        <f>AVERAGE(Monday!F893,Tuesday!F893,Wednesday!F893,Thursday!F893,Friday!F893)</f>
        <v>3.5759999999999996</v>
      </c>
      <c r="AG25" s="80">
        <f>MEDIAN(Monday!F893,Tuesday!F893,Wednesday!F893,Thursday!F893,Friday!F893)</f>
        <v>3.55</v>
      </c>
      <c r="AH25" s="80">
        <f>AVERAGE(Monday!F951,Tuesday!F951,Wednesday!F951,Thursday!F951,Friday!F951)</f>
        <v>3.8620000000000005</v>
      </c>
      <c r="AI25" s="80">
        <f>MEDIAN(Monday!F951,Tuesday!F951,Wednesday!F951,Thursday!F951,Friday!F951)</f>
        <v>3.92</v>
      </c>
      <c r="AJ25" s="80">
        <f>AVERAGE(Monday!F1009,Tuesday!F1009,Wednesday!F1009,Thursday!F1009,Friday!F1009)</f>
        <v>3.7439999999999998</v>
      </c>
      <c r="AK25" s="80">
        <f>MEDIAN(Monday!F1009,Tuesday!F1009,Wednesday!F1009,Thursday!F1009,Friday!F1009)</f>
        <v>3.83</v>
      </c>
      <c r="AL25" s="80">
        <f>AVERAGE(Monday!F1067,Tuesday!F1067,Wednesday!F1067,Thursday!F1067,Friday!F1067)</f>
        <v>3.9039999999999999</v>
      </c>
      <c r="AM25" s="80">
        <f>MEDIAN(Monday!F1067,Tuesday!F1067,Wednesday!F1067,Thursday!F1067,Friday!F1067)</f>
        <v>3.97</v>
      </c>
      <c r="AN25" s="80">
        <f>AVERAGE(Monday!F1125,Tuesday!F1125,Wednesday!F1125,Thursday!F1125,Friday!F1125)</f>
        <v>3.6259999999999999</v>
      </c>
      <c r="AO25" s="80">
        <f>MEDIAN(Monday!F1125,Tuesday!F1125,Wednesday!F1125,Thursday!F1125,Friday!F1125)</f>
        <v>3.7</v>
      </c>
      <c r="AP25" s="80">
        <f>AVERAGE(Monday!F1183,Tuesday!F1183,Wednesday!F1183,Thursday!F1183,Friday!F1183)</f>
        <v>4.0660000000000007</v>
      </c>
      <c r="AQ25" s="80">
        <f>MEDIAN(Monday!F1183,Tuesday!F1183,Wednesday!F1183,Thursday!F1183,Friday!F1183)</f>
        <v>4.05</v>
      </c>
      <c r="AR25" s="80">
        <f>AVERAGE(Monday!F1241,Tuesday!F1241,Wednesday!F1241,Thursday!F1241,Friday!F1241)</f>
        <v>5.87</v>
      </c>
      <c r="AS25" s="80">
        <f>MEDIAN(Monday!F1241,Tuesday!F1241,Wednesday!F1241,Thursday!F1241,Friday!F1241)</f>
        <v>5.68</v>
      </c>
      <c r="AT25" s="80">
        <f>AVERAGE(Monday!F1299,Tuesday!F1299,Wednesday!F1299,Thursday!F1299,Friday!F1299)</f>
        <v>6.419999999999999</v>
      </c>
      <c r="AU25" s="80">
        <f>MEDIAN(Monday!F1299,Tuesday!F1299,Wednesday!F1299,Thursday!F1299,Friday!F1299)</f>
        <v>6.38</v>
      </c>
      <c r="AV25" s="80">
        <f>AVERAGE(Monday!F1357,Tuesday!F1357,Wednesday!F1357,Thursday!F1357,Friday!F1357)</f>
        <v>6.0340000000000007</v>
      </c>
      <c r="AW25" s="80">
        <f>MEDIAN(Monday!F1357,Tuesday!F1357,Wednesday!F1357,Thursday!F1357,Friday!F1357)</f>
        <v>6.02</v>
      </c>
      <c r="AX25" s="80">
        <f>AVERAGE(Monday!F1415,Tuesday!F1415,Wednesday!F1415,Thursday!F1415,Friday!F1415)</f>
        <v>6.4300000000000015</v>
      </c>
      <c r="AY25" s="80">
        <f>MEDIAN(Monday!F1415,Tuesday!F1415,Wednesday!F1415,Thursday!F1415,Friday!F1415)</f>
        <v>7.15</v>
      </c>
      <c r="AZ25" s="80">
        <f>AVERAGE(Monday!F1473,Tuesday!F1473,Wednesday!F1473,Thursday!F1473,Friday!F1473)</f>
        <v>5.444</v>
      </c>
      <c r="BA25" s="80">
        <f>MEDIAN(Monday!F1473,Tuesday!F1473,Wednesday!F1473,Thursday!F1473,Friday!F1473)</f>
        <v>4.63</v>
      </c>
      <c r="BB25" s="81">
        <v>22</v>
      </c>
      <c r="BC25" s="80">
        <f t="shared" si="0"/>
        <v>4.2246923076923091</v>
      </c>
      <c r="BD25" s="80">
        <f t="shared" si="1"/>
        <v>3.9</v>
      </c>
    </row>
    <row r="26" spans="1:56" x14ac:dyDescent="0.25">
      <c r="A26" s="33">
        <v>23</v>
      </c>
      <c r="B26" s="80">
        <f>AVERAGE(Monday!F24,Tuesday!F24,Wednesday!F24,Thursday!F24,Friday!F24)</f>
        <v>2.8780000000000001</v>
      </c>
      <c r="C26" s="80">
        <f>MEDIAN(Monday!F24,Tuesday!F24,Wednesday!F24,Thursday!F24,Friday!F24)</f>
        <v>2.87</v>
      </c>
      <c r="D26" s="80">
        <f>AVERAGE(Monday!F82,Tuesday!F82,Wednesday!F82,Thursday!F82,Friday!F82)</f>
        <v>3.052</v>
      </c>
      <c r="E26" s="80">
        <f>MEDIAN(Monday!F82,Tuesday!F82,Wednesday!F82,Thursday!F82,Friday!F82)</f>
        <v>3.07</v>
      </c>
      <c r="F26" s="80">
        <f>AVERAGE(Monday!F140,Tuesday!F140,Wednesday!F140,Thursday!F140,Friday!F140)</f>
        <v>3.1699999999999995</v>
      </c>
      <c r="G26" s="80">
        <f>MEDIAN(Monday!F140,Tuesday!F140,Wednesday!F140,Thursday!F140,Friday!F140)</f>
        <v>3.17</v>
      </c>
      <c r="H26" s="80">
        <f>AVERAGE(Monday!F198,Tuesday!F198,Wednesday!F198,Thursday!F198,Friday!F198)</f>
        <v>3.4200000000000004</v>
      </c>
      <c r="I26" s="80">
        <f>MEDIAN(Monday!F198,Tuesday!F198,Wednesday!F198,Thursday!F198,Friday!F198)</f>
        <v>3.45</v>
      </c>
      <c r="J26" s="80">
        <f>AVERAGE(Monday!F256,Tuesday!F256,Wednesday!F256,Thursday!F256,Friday!F256)</f>
        <v>3.9160000000000004</v>
      </c>
      <c r="K26" s="80">
        <f>MEDIAN(Monday!F256,Tuesday!F256,Wednesday!F256,Thursday!F256,Friday!F256)</f>
        <v>3.98</v>
      </c>
      <c r="L26" s="80">
        <f>AVERAGE(Monday!F314,Tuesday!F314,Wednesday!F314,Thursday!F314,Friday!F314)</f>
        <v>4.3840000000000003</v>
      </c>
      <c r="M26" s="80">
        <f>MEDIAN(Monday!F314,Tuesday!F314,Wednesday!F314,Thursday!F314,Friday!F314)</f>
        <v>4.3499999999999996</v>
      </c>
      <c r="N26" s="80">
        <f>AVERAGE(Monday!F372,Tuesday!F372,Wednesday!F372,Thursday!F372,Friday!F372)</f>
        <v>4.5720000000000001</v>
      </c>
      <c r="O26" s="80">
        <f>MEDIAN(Monday!F372,Tuesday!F372,Wednesday!F372,Thursday!F372,Friday!F372)</f>
        <v>4.55</v>
      </c>
      <c r="P26" s="80">
        <f>AVERAGE(Monday!F430,Tuesday!F430,Wednesday!F430,Thursday!F430,Friday!F430)</f>
        <v>4.282</v>
      </c>
      <c r="Q26" s="80">
        <f>MEDIAN(Monday!F430,Tuesday!F430,Wednesday!F430,Thursday!F430,Friday!F430)</f>
        <v>4.18</v>
      </c>
      <c r="R26" s="80">
        <f>AVERAGE(Monday!F488,Tuesday!F488,Wednesday!F488,Thursday!F488,Friday!F488)</f>
        <v>4.4359999999999999</v>
      </c>
      <c r="S26" s="80">
        <f>MEDIAN(Monday!F488,Tuesday!F488,Wednesday!F488,Thursday!F488,Friday!F488)</f>
        <v>4.42</v>
      </c>
      <c r="T26" s="80">
        <f>AVERAGE(Monday!F546,Tuesday!F546,Wednesday!F546,Thursday!F546,Friday!F546)</f>
        <v>4.33</v>
      </c>
      <c r="U26" s="80">
        <f>MEDIAN(Monday!F546,Tuesday!F546,Wednesday!F546,Thursday!F546,Friday!F546)</f>
        <v>4.33</v>
      </c>
      <c r="V26" s="80">
        <f>AVERAGE(Monday!F604,Tuesday!F604,Wednesday!F604,Thursday!F604,Friday!F604)</f>
        <v>4.4560000000000004</v>
      </c>
      <c r="W26" s="80">
        <f>MEDIAN(Monday!F604,Tuesday!F604,Wednesday!F604,Thursday!F604,Friday!F604)</f>
        <v>4.4800000000000004</v>
      </c>
      <c r="X26" s="80">
        <f>AVERAGE(Monday!F662,Tuesday!F662,Wednesday!F662,Thursday!F662,Friday!F662)</f>
        <v>4.18</v>
      </c>
      <c r="Y26" s="80">
        <f>MEDIAN(Monday!F662,Tuesday!F662,Wednesday!F662,Thursday!F662,Friday!F662)</f>
        <v>4.08</v>
      </c>
      <c r="Z26" s="80">
        <f>AVERAGE(Monday!F720,Tuesday!F720,Wednesday!F720,Thursday!F720,Friday!F720)</f>
        <v>4.7460000000000004</v>
      </c>
      <c r="AA26" s="80">
        <f>MEDIAN(Monday!F720,Tuesday!F720,Wednesday!F720,Thursday!F720,Friday!F720)</f>
        <v>4.4800000000000004</v>
      </c>
      <c r="AB26" s="80">
        <f>AVERAGE(Monday!F778,Tuesday!F778,Wednesday!F778,Thursday!F778,Friday!F778)</f>
        <v>4.6500000000000004</v>
      </c>
      <c r="AC26" s="80">
        <f>MEDIAN(Monday!F778,Tuesday!F778,Wednesday!F778,Thursday!F778,Friday!F778)</f>
        <v>4.37</v>
      </c>
      <c r="AD26" s="80">
        <f>AVERAGE(Monday!F836,Tuesday!F836,Wednesday!F836,Thursday!F836,Friday!F836)</f>
        <v>4.7920000000000007</v>
      </c>
      <c r="AE26" s="80">
        <f>MEDIAN(Monday!F836,Tuesday!F836,Wednesday!F836,Thursday!F836,Friday!F836)</f>
        <v>4.62</v>
      </c>
      <c r="AF26" s="80">
        <f>AVERAGE(Monday!F894,Tuesday!F894,Wednesday!F894,Thursday!F894,Friday!F894)</f>
        <v>4.62</v>
      </c>
      <c r="AG26" s="80">
        <f>MEDIAN(Monday!F894,Tuesday!F894,Wednesday!F894,Thursday!F894,Friday!F894)</f>
        <v>4.7</v>
      </c>
      <c r="AH26" s="80">
        <f>AVERAGE(Monday!F952,Tuesday!F952,Wednesday!F952,Thursday!F952,Friday!F952)</f>
        <v>4.6879999999999997</v>
      </c>
      <c r="AI26" s="80">
        <f>MEDIAN(Monday!F952,Tuesday!F952,Wednesday!F952,Thursday!F952,Friday!F952)</f>
        <v>4.82</v>
      </c>
      <c r="AJ26" s="80">
        <f>AVERAGE(Monday!F1010,Tuesday!F1010,Wednesday!F1010,Thursday!F1010,Friday!F1010)</f>
        <v>5.0439999999999996</v>
      </c>
      <c r="AK26" s="80">
        <f>MEDIAN(Monday!F1010,Tuesday!F1010,Wednesday!F1010,Thursday!F1010,Friday!F1010)</f>
        <v>4.88</v>
      </c>
      <c r="AL26" s="80">
        <f>AVERAGE(Monday!F1068,Tuesday!F1068,Wednesday!F1068,Thursday!F1068,Friday!F1068)</f>
        <v>4.5999999999999996</v>
      </c>
      <c r="AM26" s="80">
        <f>MEDIAN(Monday!F1068,Tuesday!F1068,Wednesday!F1068,Thursday!F1068,Friday!F1068)</f>
        <v>4.55</v>
      </c>
      <c r="AN26" s="80">
        <f>AVERAGE(Monday!F1126,Tuesday!F1126,Wednesday!F1126,Thursday!F1126,Friday!F1126)</f>
        <v>4.66</v>
      </c>
      <c r="AO26" s="80">
        <f>MEDIAN(Monday!F1126,Tuesday!F1126,Wednesday!F1126,Thursday!F1126,Friday!F1126)</f>
        <v>4.7</v>
      </c>
      <c r="AP26" s="80">
        <f>AVERAGE(Monday!F1184,Tuesday!F1184,Wednesday!F1184,Thursday!F1184,Friday!F1184)</f>
        <v>5.6339999999999995</v>
      </c>
      <c r="AQ26" s="80">
        <f>MEDIAN(Monday!F1184,Tuesday!F1184,Wednesday!F1184,Thursday!F1184,Friday!F1184)</f>
        <v>5.43</v>
      </c>
      <c r="AR26" s="80">
        <f>AVERAGE(Monday!F1242,Tuesday!F1242,Wednesday!F1242,Thursday!F1242,Friday!F1242)</f>
        <v>6.93</v>
      </c>
      <c r="AS26" s="80">
        <f>MEDIAN(Monday!F1242,Tuesday!F1242,Wednesday!F1242,Thursday!F1242,Friday!F1242)</f>
        <v>6.87</v>
      </c>
      <c r="AT26" s="80">
        <f>AVERAGE(Monday!F1300,Tuesday!F1300,Wednesday!F1300,Thursday!F1300,Friday!F1300)</f>
        <v>6.8879999999999999</v>
      </c>
      <c r="AU26" s="80">
        <f>MEDIAN(Monday!F1300,Tuesday!F1300,Wednesday!F1300,Thursday!F1300,Friday!F1300)</f>
        <v>7.3</v>
      </c>
      <c r="AV26" s="80">
        <f>AVERAGE(Monday!F1358,Tuesday!F1358,Wednesday!F1358,Thursday!F1358,Friday!F1358)</f>
        <v>6.2239999999999993</v>
      </c>
      <c r="AW26" s="80">
        <f>MEDIAN(Monday!F1358,Tuesday!F1358,Wednesday!F1358,Thursday!F1358,Friday!F1358)</f>
        <v>6.18</v>
      </c>
      <c r="AX26" s="80">
        <f>AVERAGE(Monday!F1416,Tuesday!F1416,Wednesday!F1416,Thursday!F1416,Friday!F1416)</f>
        <v>4.6739999999999995</v>
      </c>
      <c r="AY26" s="80">
        <f>MEDIAN(Monday!F1416,Tuesday!F1416,Wednesday!F1416,Thursday!F1416,Friday!F1416)</f>
        <v>4.17</v>
      </c>
      <c r="AZ26" s="80">
        <f>AVERAGE(Monday!F1474,Tuesday!F1474,Wednesday!F1474,Thursday!F1474,Friday!F1474)</f>
        <v>4.7699999999999996</v>
      </c>
      <c r="BA26" s="80">
        <f>MEDIAN(Monday!F1474,Tuesday!F1474,Wednesday!F1474,Thursday!F1474,Friday!F1474)</f>
        <v>4.7</v>
      </c>
      <c r="BB26" s="81">
        <v>23</v>
      </c>
      <c r="BC26" s="80">
        <f t="shared" si="0"/>
        <v>4.6152307692307692</v>
      </c>
      <c r="BD26" s="80">
        <f t="shared" si="1"/>
        <v>4.4800000000000004</v>
      </c>
    </row>
    <row r="27" spans="1:56" x14ac:dyDescent="0.25">
      <c r="A27" s="33">
        <v>24</v>
      </c>
      <c r="B27" s="80">
        <f>AVERAGE(Monday!F25,Tuesday!F25,Wednesday!F25,Thursday!F25,Friday!F25)</f>
        <v>2.96</v>
      </c>
      <c r="C27" s="80">
        <f>MEDIAN(Monday!F25,Tuesday!F25,Wednesday!F25,Thursday!F25,Friday!F25)</f>
        <v>2.97</v>
      </c>
      <c r="D27" s="80">
        <f>AVERAGE(Monday!F83,Tuesday!F83,Wednesday!F83,Thursday!F83,Friday!F83)</f>
        <v>3.3939999999999997</v>
      </c>
      <c r="E27" s="80">
        <f>MEDIAN(Monday!F83,Tuesday!F83,Wednesday!F83,Thursday!F83,Friday!F83)</f>
        <v>3.35</v>
      </c>
      <c r="F27" s="80">
        <f>AVERAGE(Monday!F141,Tuesday!F141,Wednesday!F141,Thursday!F141,Friday!F141)</f>
        <v>3.6239999999999997</v>
      </c>
      <c r="G27" s="80">
        <f>MEDIAN(Monday!F141,Tuesday!F141,Wednesday!F141,Thursday!F141,Friday!F141)</f>
        <v>3.62</v>
      </c>
      <c r="H27" s="80">
        <f>AVERAGE(Monday!F199,Tuesday!F199,Wednesday!F199,Thursday!F199,Friday!F199)</f>
        <v>3.718</v>
      </c>
      <c r="I27" s="80">
        <f>MEDIAN(Monday!F199,Tuesday!F199,Wednesday!F199,Thursday!F199,Friday!F199)</f>
        <v>3.75</v>
      </c>
      <c r="J27" s="80">
        <f>AVERAGE(Monday!F257,Tuesday!F257,Wednesday!F257,Thursday!F257,Friday!F257)</f>
        <v>3.964</v>
      </c>
      <c r="K27" s="80">
        <f>MEDIAN(Monday!F257,Tuesday!F257,Wednesday!F257,Thursday!F257,Friday!F257)</f>
        <v>3.95</v>
      </c>
      <c r="L27" s="80">
        <f>AVERAGE(Monday!F315,Tuesday!F315,Wednesday!F315,Thursday!F315,Friday!F315)</f>
        <v>4.3420000000000005</v>
      </c>
      <c r="M27" s="80">
        <f>MEDIAN(Monday!F315,Tuesday!F315,Wednesday!F315,Thursday!F315,Friday!F315)</f>
        <v>4.38</v>
      </c>
      <c r="N27" s="80">
        <f>AVERAGE(Monday!F373,Tuesday!F373,Wednesday!F373,Thursday!F373,Friday!F373)</f>
        <v>4.4779999999999998</v>
      </c>
      <c r="O27" s="80">
        <f>MEDIAN(Monday!F373,Tuesday!F373,Wednesday!F373,Thursday!F373,Friday!F373)</f>
        <v>4.43</v>
      </c>
      <c r="P27" s="80">
        <f>AVERAGE(Monday!F431,Tuesday!F431,Wednesday!F431,Thursday!F431,Friday!F431)</f>
        <v>4.2539999999999996</v>
      </c>
      <c r="Q27" s="80">
        <f>MEDIAN(Monday!F431,Tuesday!F431,Wednesday!F431,Thursday!F431,Friday!F431)</f>
        <v>4.22</v>
      </c>
      <c r="R27" s="80">
        <f>AVERAGE(Monday!F489,Tuesday!F489,Wednesday!F489,Thursday!F489,Friday!F489)</f>
        <v>3.87</v>
      </c>
      <c r="S27" s="80">
        <f>MEDIAN(Monday!F489,Tuesday!F489,Wednesday!F489,Thursday!F489,Friday!F489)</f>
        <v>3.88</v>
      </c>
      <c r="T27" s="80">
        <f>AVERAGE(Monday!F547,Tuesday!F547,Wednesday!F547,Thursday!F547,Friday!F547)</f>
        <v>3.3459999999999992</v>
      </c>
      <c r="U27" s="80">
        <f>MEDIAN(Monday!F547,Tuesday!F547,Wednesday!F547,Thursday!F547,Friday!F547)</f>
        <v>3.33</v>
      </c>
      <c r="V27" s="80">
        <f>AVERAGE(Monday!F605,Tuesday!F605,Wednesday!F605,Thursday!F605,Friday!F605)</f>
        <v>3.4899999999999998</v>
      </c>
      <c r="W27" s="80">
        <f>MEDIAN(Monday!F605,Tuesday!F605,Wednesday!F605,Thursday!F605,Friday!F605)</f>
        <v>3.45</v>
      </c>
      <c r="X27" s="80">
        <f>AVERAGE(Monday!F663,Tuesday!F663,Wednesday!F663,Thursday!F663,Friday!F663)</f>
        <v>3.4339999999999997</v>
      </c>
      <c r="Y27" s="80">
        <f>MEDIAN(Monday!F663,Tuesday!F663,Wednesday!F663,Thursday!F663,Friday!F663)</f>
        <v>3.42</v>
      </c>
      <c r="Z27" s="80">
        <f>AVERAGE(Monday!F721,Tuesday!F721,Wednesday!F721,Thursday!F721,Friday!F721)</f>
        <v>3.4219999999999997</v>
      </c>
      <c r="AA27" s="80">
        <f>MEDIAN(Monday!F721,Tuesday!F721,Wednesday!F721,Thursday!F721,Friday!F721)</f>
        <v>3.45</v>
      </c>
      <c r="AB27" s="80">
        <f>AVERAGE(Monday!F779,Tuesday!F779,Wednesday!F779,Thursday!F779,Friday!F779)</f>
        <v>3.66</v>
      </c>
      <c r="AC27" s="80">
        <f>MEDIAN(Monday!F779,Tuesday!F779,Wednesday!F779,Thursday!F779,Friday!F779)</f>
        <v>3.7</v>
      </c>
      <c r="AD27" s="80">
        <f>AVERAGE(Monday!F837,Tuesday!F837,Wednesday!F837,Thursday!F837,Friday!F837)</f>
        <v>3.6519999999999997</v>
      </c>
      <c r="AE27" s="80">
        <f>MEDIAN(Monday!F837,Tuesday!F837,Wednesday!F837,Thursday!F837,Friday!F837)</f>
        <v>3.7</v>
      </c>
      <c r="AF27" s="80">
        <f>AVERAGE(Monday!F895,Tuesday!F895,Wednesday!F895,Thursday!F895,Friday!F895)</f>
        <v>3.7719999999999998</v>
      </c>
      <c r="AG27" s="80">
        <f>MEDIAN(Monday!F895,Tuesday!F895,Wednesday!F895,Thursday!F895,Friday!F895)</f>
        <v>3.78</v>
      </c>
      <c r="AH27" s="80">
        <f>AVERAGE(Monday!F953,Tuesday!F953,Wednesday!F953,Thursday!F953,Friday!F953)</f>
        <v>4.3440000000000003</v>
      </c>
      <c r="AI27" s="80">
        <f>MEDIAN(Monday!F953,Tuesday!F953,Wednesday!F953,Thursday!F953,Friday!F953)</f>
        <v>4.37</v>
      </c>
      <c r="AJ27" s="80">
        <f>AVERAGE(Monday!F1011,Tuesday!F1011,Wednesday!F1011,Thursday!F1011,Friday!F1011)</f>
        <v>4.3499999999999996</v>
      </c>
      <c r="AK27" s="80">
        <f>MEDIAN(Monday!F1011,Tuesday!F1011,Wednesday!F1011,Thursday!F1011,Friday!F1011)</f>
        <v>4.42</v>
      </c>
      <c r="AL27" s="80">
        <f>AVERAGE(Monday!F1069,Tuesday!F1069,Wednesday!F1069,Thursday!F1069,Friday!F1069)</f>
        <v>4.18</v>
      </c>
      <c r="AM27" s="80">
        <f>MEDIAN(Monday!F1069,Tuesday!F1069,Wednesday!F1069,Thursday!F1069,Friday!F1069)</f>
        <v>4.1500000000000004</v>
      </c>
      <c r="AN27" s="80">
        <f>AVERAGE(Monday!F1127,Tuesday!F1127,Wednesday!F1127,Thursday!F1127,Friday!F1127)</f>
        <v>4.1659999999999995</v>
      </c>
      <c r="AO27" s="80">
        <f>MEDIAN(Monday!F1127,Tuesday!F1127,Wednesday!F1127,Thursday!F1127,Friday!F1127)</f>
        <v>4.2300000000000004</v>
      </c>
      <c r="AP27" s="80">
        <f>AVERAGE(Monday!F1185,Tuesday!F1185,Wednesday!F1185,Thursday!F1185,Friday!F1185)</f>
        <v>4.604000000000001</v>
      </c>
      <c r="AQ27" s="80">
        <f>MEDIAN(Monday!F1185,Tuesday!F1185,Wednesday!F1185,Thursday!F1185,Friday!F1185)</f>
        <v>4.57</v>
      </c>
      <c r="AR27" s="80">
        <f>AVERAGE(Monday!F1243,Tuesday!F1243,Wednesday!F1243,Thursday!F1243,Friday!F1243)</f>
        <v>4.9000000000000004</v>
      </c>
      <c r="AS27" s="80">
        <f>MEDIAN(Monday!F1243,Tuesday!F1243,Wednesday!F1243,Thursday!F1243,Friday!F1243)</f>
        <v>5</v>
      </c>
      <c r="AT27" s="80">
        <f>AVERAGE(Monday!F1301,Tuesday!F1301,Wednesday!F1301,Thursday!F1301,Friday!F1301)</f>
        <v>4.9739999999999993</v>
      </c>
      <c r="AU27" s="80">
        <f>MEDIAN(Monday!F1301,Tuesday!F1301,Wednesday!F1301,Thursday!F1301,Friday!F1301)</f>
        <v>4.87</v>
      </c>
      <c r="AV27" s="80">
        <f>AVERAGE(Monday!F1359,Tuesday!F1359,Wednesday!F1359,Thursday!F1359,Friday!F1359)</f>
        <v>4.8179999999999996</v>
      </c>
      <c r="AW27" s="80">
        <f>MEDIAN(Monday!F1359,Tuesday!F1359,Wednesday!F1359,Thursday!F1359,Friday!F1359)</f>
        <v>4.63</v>
      </c>
      <c r="AX27" s="80">
        <f>AVERAGE(Monday!F1417,Tuesday!F1417,Wednesday!F1417,Thursday!F1417,Friday!F1417)</f>
        <v>3.8899999999999997</v>
      </c>
      <c r="AY27" s="80">
        <f>MEDIAN(Monday!F1417,Tuesday!F1417,Wednesday!F1417,Thursday!F1417,Friday!F1417)</f>
        <v>3.95</v>
      </c>
      <c r="AZ27" s="80">
        <f>AVERAGE(Monday!F1475,Tuesday!F1475,Wednesday!F1475,Thursday!F1475,Friday!F1475)</f>
        <v>3.6360000000000001</v>
      </c>
      <c r="BA27" s="80">
        <f>MEDIAN(Monday!F1475,Tuesday!F1475,Wednesday!F1475,Thursday!F1475,Friday!F1475)</f>
        <v>3.65</v>
      </c>
      <c r="BB27" s="81">
        <v>24</v>
      </c>
      <c r="BC27" s="80">
        <f t="shared" si="0"/>
        <v>3.9708461538461535</v>
      </c>
      <c r="BD27" s="80">
        <f t="shared" si="1"/>
        <v>3.915</v>
      </c>
    </row>
    <row r="28" spans="1:56" x14ac:dyDescent="0.25">
      <c r="A28" s="33">
        <v>25</v>
      </c>
      <c r="B28" s="80">
        <f>AVERAGE(Monday!F26,Tuesday!F26,Wednesday!F26,Thursday!F26,Friday!F26)</f>
        <v>2.988</v>
      </c>
      <c r="C28" s="80">
        <f>MEDIAN(Monday!F26,Tuesday!F26,Wednesday!F26,Thursday!F26,Friday!F26)</f>
        <v>2.93</v>
      </c>
      <c r="D28" s="80">
        <f>AVERAGE(Monday!F84,Tuesday!F84,Wednesday!F84,Thursday!F84,Friday!F84)</f>
        <v>2.9019999999999997</v>
      </c>
      <c r="E28" s="80">
        <f>MEDIAN(Monday!F84,Tuesday!F84,Wednesday!F84,Thursday!F84,Friday!F84)</f>
        <v>2.88</v>
      </c>
      <c r="F28" s="80">
        <f>AVERAGE(Monday!F142,Tuesday!F142,Wednesday!F142,Thursday!F142,Friday!F142)</f>
        <v>2.94</v>
      </c>
      <c r="G28" s="80">
        <f>MEDIAN(Monday!F142,Tuesday!F142,Wednesday!F142,Thursday!F142,Friday!F142)</f>
        <v>2.88</v>
      </c>
      <c r="H28" s="80">
        <f>AVERAGE(Monday!F200,Tuesday!F200,Wednesday!F200,Thursday!F200,Friday!F200)</f>
        <v>3.048</v>
      </c>
      <c r="I28" s="80">
        <f>MEDIAN(Monday!F200,Tuesday!F200,Wednesday!F200,Thursday!F200,Friday!F200)</f>
        <v>3.07</v>
      </c>
      <c r="J28" s="80">
        <f>AVERAGE(Monday!F258,Tuesday!F258,Wednesday!F258,Thursday!F258,Friday!F258)</f>
        <v>3.0739999999999994</v>
      </c>
      <c r="K28" s="80">
        <f>MEDIAN(Monday!F258,Tuesday!F258,Wednesday!F258,Thursday!F258,Friday!F258)</f>
        <v>3.08</v>
      </c>
      <c r="L28" s="80">
        <f>AVERAGE(Monday!F316,Tuesday!F316,Wednesday!F316,Thursday!F316,Friday!F316)</f>
        <v>3.2919999999999994</v>
      </c>
      <c r="M28" s="80">
        <f>MEDIAN(Monday!F316,Tuesday!F316,Wednesday!F316,Thursday!F316,Friday!F316)</f>
        <v>3.23</v>
      </c>
      <c r="N28" s="80">
        <f>AVERAGE(Monday!F374,Tuesday!F374,Wednesday!F374,Thursday!F374,Friday!F374)</f>
        <v>3.464</v>
      </c>
      <c r="O28" s="80">
        <f>MEDIAN(Monday!F374,Tuesday!F374,Wednesday!F374,Thursday!F374,Friday!F374)</f>
        <v>3.48</v>
      </c>
      <c r="P28" s="80">
        <f>AVERAGE(Monday!F432,Tuesday!F432,Wednesday!F432,Thursday!F432,Friday!F432)</f>
        <v>3.62</v>
      </c>
      <c r="Q28" s="80">
        <f>MEDIAN(Monday!F432,Tuesday!F432,Wednesday!F432,Thursday!F432,Friday!F432)</f>
        <v>3.6</v>
      </c>
      <c r="R28" s="80">
        <f>AVERAGE(Monday!F490,Tuesday!F490,Wednesday!F490,Thursday!F490,Friday!F490)</f>
        <v>3.4359999999999999</v>
      </c>
      <c r="S28" s="80">
        <f>MEDIAN(Monday!F490,Tuesday!F490,Wednesday!F490,Thursday!F490,Friday!F490)</f>
        <v>3.43</v>
      </c>
      <c r="T28" s="80">
        <f>AVERAGE(Monday!F548,Tuesday!F548,Wednesday!F548,Thursday!F548,Friday!F548)</f>
        <v>3.4279999999999999</v>
      </c>
      <c r="U28" s="80">
        <f>MEDIAN(Monday!F548,Tuesday!F548,Wednesday!F548,Thursday!F548,Friday!F548)</f>
        <v>3.38</v>
      </c>
      <c r="V28" s="80">
        <f>AVERAGE(Monday!F606,Tuesday!F606,Wednesday!F606,Thursday!F606,Friday!F606)</f>
        <v>3.4279999999999999</v>
      </c>
      <c r="W28" s="80">
        <f>MEDIAN(Monday!F606,Tuesday!F606,Wednesday!F606,Thursday!F606,Friday!F606)</f>
        <v>3.4</v>
      </c>
      <c r="X28" s="80">
        <f>AVERAGE(Monday!F664,Tuesday!F664,Wednesday!F664,Thursday!F664,Friday!F664)</f>
        <v>3.5119999999999996</v>
      </c>
      <c r="Y28" s="80">
        <f>MEDIAN(Monday!F664,Tuesday!F664,Wednesday!F664,Thursday!F664,Friday!F664)</f>
        <v>3.57</v>
      </c>
      <c r="Z28" s="80">
        <f>AVERAGE(Monday!F722,Tuesday!F722,Wednesday!F722,Thursday!F722,Friday!F722)</f>
        <v>3.4579999999999997</v>
      </c>
      <c r="AA28" s="80">
        <f>MEDIAN(Monday!F722,Tuesday!F722,Wednesday!F722,Thursday!F722,Friday!F722)</f>
        <v>3.42</v>
      </c>
      <c r="AB28" s="80">
        <f>AVERAGE(Monday!F780,Tuesday!F780,Wednesday!F780,Thursday!F780,Friday!F780)</f>
        <v>3.7760000000000007</v>
      </c>
      <c r="AC28" s="80">
        <f>MEDIAN(Monday!F780,Tuesday!F780,Wednesday!F780,Thursday!F780,Friday!F780)</f>
        <v>3.68</v>
      </c>
      <c r="AD28" s="80">
        <f>AVERAGE(Monday!F838,Tuesday!F838,Wednesday!F838,Thursday!F838,Friday!F838)</f>
        <v>3.7060000000000004</v>
      </c>
      <c r="AE28" s="80">
        <f>MEDIAN(Monday!F838,Tuesday!F838,Wednesday!F838,Thursday!F838,Friday!F838)</f>
        <v>3.75</v>
      </c>
      <c r="AF28" s="80">
        <f>AVERAGE(Monday!F896,Tuesday!F896,Wednesday!F896,Thursday!F896,Friday!F896)</f>
        <v>3.718</v>
      </c>
      <c r="AG28" s="80">
        <f>MEDIAN(Monday!F896,Tuesday!F896,Wednesday!F896,Thursday!F896,Friday!F896)</f>
        <v>3.77</v>
      </c>
      <c r="AH28" s="80">
        <f>AVERAGE(Monday!F954,Tuesday!F954,Wednesday!F954,Thursday!F954,Friday!F954)</f>
        <v>3.8</v>
      </c>
      <c r="AI28" s="80">
        <f>MEDIAN(Monday!F954,Tuesday!F954,Wednesday!F954,Thursday!F954,Friday!F954)</f>
        <v>3.72</v>
      </c>
      <c r="AJ28" s="80">
        <f>AVERAGE(Monday!F1012,Tuesday!F1012,Wednesday!F1012,Thursday!F1012,Friday!F1012)</f>
        <v>3.9079999999999999</v>
      </c>
      <c r="AK28" s="80">
        <f>MEDIAN(Monday!F1012,Tuesday!F1012,Wednesday!F1012,Thursday!F1012,Friday!F1012)</f>
        <v>3.85</v>
      </c>
      <c r="AL28" s="80">
        <f>AVERAGE(Monday!F1070,Tuesday!F1070,Wednesday!F1070,Thursday!F1070,Friday!F1070)</f>
        <v>3.8379999999999996</v>
      </c>
      <c r="AM28" s="80">
        <f>MEDIAN(Monday!F1070,Tuesday!F1070,Wednesday!F1070,Thursday!F1070,Friday!F1070)</f>
        <v>3.52</v>
      </c>
      <c r="AN28" s="80">
        <f>AVERAGE(Monday!F1128,Tuesday!F1128,Wednesday!F1128,Thursday!F1128,Friday!F1128)</f>
        <v>3.6459999999999999</v>
      </c>
      <c r="AO28" s="80">
        <f>MEDIAN(Monday!F1128,Tuesday!F1128,Wednesday!F1128,Thursday!F1128,Friday!F1128)</f>
        <v>3.68</v>
      </c>
      <c r="AP28" s="80">
        <f>AVERAGE(Monday!F1186,Tuesday!F1186,Wednesday!F1186,Thursday!F1186,Friday!F1186)</f>
        <v>3.9120000000000004</v>
      </c>
      <c r="AQ28" s="80">
        <f>MEDIAN(Monday!F1186,Tuesday!F1186,Wednesday!F1186,Thursday!F1186,Friday!F1186)</f>
        <v>3.98</v>
      </c>
      <c r="AR28" s="80">
        <f>AVERAGE(Monday!F1244,Tuesday!F1244,Wednesday!F1244,Thursday!F1244,Friday!F1244)</f>
        <v>4.4039999999999999</v>
      </c>
      <c r="AS28" s="80">
        <f>MEDIAN(Monday!F1244,Tuesday!F1244,Wednesday!F1244,Thursday!F1244,Friday!F1244)</f>
        <v>4.47</v>
      </c>
      <c r="AT28" s="80">
        <f>AVERAGE(Monday!F1302,Tuesday!F1302,Wednesday!F1302,Thursday!F1302,Friday!F1302)</f>
        <v>4.258</v>
      </c>
      <c r="AU28" s="80">
        <f>MEDIAN(Monday!F1302,Tuesday!F1302,Wednesday!F1302,Thursday!F1302,Friday!F1302)</f>
        <v>4.25</v>
      </c>
      <c r="AV28" s="80">
        <f>AVERAGE(Monday!F1360,Tuesday!F1360,Wednesday!F1360,Thursday!F1360,Friday!F1360)</f>
        <v>3.9519999999999995</v>
      </c>
      <c r="AW28" s="80">
        <f>MEDIAN(Monday!F1360,Tuesday!F1360,Wednesday!F1360,Thursday!F1360,Friday!F1360)</f>
        <v>3.88</v>
      </c>
      <c r="AX28" s="80">
        <f>AVERAGE(Monday!F1418,Tuesday!F1418,Wednesday!F1418,Thursday!F1418,Friday!F1418)</f>
        <v>3.8959999999999999</v>
      </c>
      <c r="AY28" s="80">
        <f>MEDIAN(Monday!F1418,Tuesday!F1418,Wednesday!F1418,Thursday!F1418,Friday!F1418)</f>
        <v>3.83</v>
      </c>
      <c r="AZ28" s="80">
        <f>AVERAGE(Monday!F1476,Tuesday!F1476,Wednesday!F1476,Thursday!F1476,Friday!F1476)</f>
        <v>3.6240000000000001</v>
      </c>
      <c r="BA28" s="80">
        <f>MEDIAN(Monday!F1476,Tuesday!F1476,Wednesday!F1476,Thursday!F1476,Friday!F1476)</f>
        <v>3.53</v>
      </c>
      <c r="BB28" s="81">
        <v>25</v>
      </c>
      <c r="BC28" s="80">
        <f t="shared" si="0"/>
        <v>3.5779999999999998</v>
      </c>
      <c r="BD28" s="80">
        <f t="shared" si="1"/>
        <v>3.55</v>
      </c>
    </row>
    <row r="29" spans="1:56" x14ac:dyDescent="0.25">
      <c r="A29" s="33">
        <v>26</v>
      </c>
      <c r="B29" s="80">
        <f>AVERAGE(Monday!F27,Tuesday!F27,Wednesday!F27,Thursday!F27,Friday!F27)</f>
        <v>2.98</v>
      </c>
      <c r="C29" s="80">
        <f>MEDIAN(Monday!F27,Tuesday!F27,Wednesday!F27,Thursday!F27,Friday!F27)</f>
        <v>2.98</v>
      </c>
      <c r="D29" s="80">
        <f>AVERAGE(Monday!F85,Tuesday!F85,Wednesday!F85,Thursday!F85,Friday!F85)</f>
        <v>2.9739999999999998</v>
      </c>
      <c r="E29" s="80">
        <f>MEDIAN(Monday!F85,Tuesday!F85,Wednesday!F85,Thursday!F85,Friday!F85)</f>
        <v>3.02</v>
      </c>
      <c r="F29" s="80">
        <f>AVERAGE(Monday!F143,Tuesday!F143,Wednesday!F143,Thursday!F143,Friday!F143)</f>
        <v>3.0780000000000003</v>
      </c>
      <c r="G29" s="80">
        <f>MEDIAN(Monday!F143,Tuesday!F143,Wednesday!F143,Thursday!F143,Friday!F143)</f>
        <v>3.15</v>
      </c>
      <c r="H29" s="80">
        <f>AVERAGE(Monday!F201,Tuesday!F201,Wednesday!F201,Thursday!F201,Friday!F201)</f>
        <v>3.07</v>
      </c>
      <c r="I29" s="80">
        <f>MEDIAN(Monday!F201,Tuesday!F201,Wednesday!F201,Thursday!F201,Friday!F201)</f>
        <v>3.07</v>
      </c>
      <c r="J29" s="80">
        <f>AVERAGE(Monday!F259,Tuesday!F259,Wednesday!F259,Thursday!F259,Friday!F259)</f>
        <v>3.254</v>
      </c>
      <c r="K29" s="80">
        <f>MEDIAN(Monday!F259,Tuesday!F259,Wednesday!F259,Thursday!F259,Friday!F259)</f>
        <v>3.25</v>
      </c>
      <c r="L29" s="80">
        <f>AVERAGE(Monday!F317,Tuesday!F317,Wednesday!F317,Thursday!F317,Friday!F317)</f>
        <v>3.4859999999999998</v>
      </c>
      <c r="M29" s="80">
        <f>MEDIAN(Monday!F317,Tuesday!F317,Wednesday!F317,Thursday!F317,Friday!F317)</f>
        <v>3.5</v>
      </c>
      <c r="N29" s="80">
        <f>AVERAGE(Monday!F375,Tuesday!F375,Wednesday!F375,Thursday!F375,Friday!F375)</f>
        <v>3.7060000000000004</v>
      </c>
      <c r="O29" s="80">
        <f>MEDIAN(Monday!F375,Tuesday!F375,Wednesday!F375,Thursday!F375,Friday!F375)</f>
        <v>3.75</v>
      </c>
      <c r="P29" s="80">
        <f>AVERAGE(Monday!F433,Tuesday!F433,Wednesday!F433,Thursday!F433,Friday!F433)</f>
        <v>4.3860000000000001</v>
      </c>
      <c r="Q29" s="80">
        <f>MEDIAN(Monday!F433,Tuesday!F433,Wednesday!F433,Thursday!F433,Friday!F433)</f>
        <v>3.87</v>
      </c>
      <c r="R29" s="80">
        <f>AVERAGE(Monday!F491,Tuesday!F491,Wednesday!F491,Thursday!F491,Friday!F491)</f>
        <v>4.4739999999999993</v>
      </c>
      <c r="S29" s="80">
        <f>MEDIAN(Monday!F491,Tuesday!F491,Wednesday!F491,Thursday!F491,Friday!F491)</f>
        <v>4.43</v>
      </c>
      <c r="T29" s="80">
        <f>AVERAGE(Monday!F549,Tuesday!F549,Wednesday!F549,Thursday!F549,Friday!F549)</f>
        <v>4.7799999999999994</v>
      </c>
      <c r="U29" s="80">
        <f>MEDIAN(Monday!F549,Tuesday!F549,Wednesday!F549,Thursday!F549,Friday!F549)</f>
        <v>4.72</v>
      </c>
      <c r="V29" s="80">
        <f>AVERAGE(Monday!F607,Tuesday!F607,Wednesday!F607,Thursday!F607,Friday!F607)</f>
        <v>4.2300000000000004</v>
      </c>
      <c r="W29" s="80">
        <f>MEDIAN(Monday!F607,Tuesday!F607,Wednesday!F607,Thursday!F607,Friday!F607)</f>
        <v>4.07</v>
      </c>
      <c r="X29" s="80">
        <f>AVERAGE(Monday!F665,Tuesday!F665,Wednesday!F665,Thursday!F665,Friday!F665)</f>
        <v>4.3340000000000005</v>
      </c>
      <c r="Y29" s="80">
        <f>MEDIAN(Monday!F665,Tuesday!F665,Wednesday!F665,Thursday!F665,Friday!F665)</f>
        <v>4.25</v>
      </c>
      <c r="Z29" s="80">
        <f>AVERAGE(Monday!F723,Tuesday!F723,Wednesday!F723,Thursday!F723,Friday!F723)</f>
        <v>5.0139999999999993</v>
      </c>
      <c r="AA29" s="80">
        <f>MEDIAN(Monday!F723,Tuesday!F723,Wednesday!F723,Thursday!F723,Friday!F723)</f>
        <v>4.7</v>
      </c>
      <c r="AB29" s="80">
        <f>AVERAGE(Monday!F781,Tuesday!F781,Wednesday!F781,Thursday!F781,Friday!F781)</f>
        <v>5.75</v>
      </c>
      <c r="AC29" s="80">
        <f>MEDIAN(Monday!F781,Tuesday!F781,Wednesday!F781,Thursday!F781,Friday!F781)</f>
        <v>5.68</v>
      </c>
      <c r="AD29" s="80">
        <f>AVERAGE(Monday!F839,Tuesday!F839,Wednesday!F839,Thursday!F839,Friday!F839)</f>
        <v>5.8079999999999998</v>
      </c>
      <c r="AE29" s="80">
        <f>MEDIAN(Monday!F839,Tuesday!F839,Wednesday!F839,Thursday!F839,Friday!F839)</f>
        <v>5.38</v>
      </c>
      <c r="AF29" s="80">
        <f>AVERAGE(Monday!F897,Tuesday!F897,Wednesday!F897,Thursday!F897,Friday!F897)</f>
        <v>5.8480000000000008</v>
      </c>
      <c r="AG29" s="80">
        <f>MEDIAN(Monday!F897,Tuesday!F897,Wednesday!F897,Thursday!F897,Friday!F897)</f>
        <v>6.13</v>
      </c>
      <c r="AH29" s="80">
        <f>AVERAGE(Monday!F955,Tuesday!F955,Wednesday!F955,Thursday!F955,Friday!F955)</f>
        <v>6.016</v>
      </c>
      <c r="AI29" s="80">
        <f>MEDIAN(Monday!F955,Tuesday!F955,Wednesday!F955,Thursday!F955,Friday!F955)</f>
        <v>4.9800000000000004</v>
      </c>
      <c r="AJ29" s="80">
        <f>AVERAGE(Monday!F1013,Tuesday!F1013,Wednesday!F1013,Thursday!F1013,Friday!F1013)</f>
        <v>6.2959999999999994</v>
      </c>
      <c r="AK29" s="80">
        <f>MEDIAN(Monday!F1013,Tuesday!F1013,Wednesday!F1013,Thursday!F1013,Friday!F1013)</f>
        <v>5.77</v>
      </c>
      <c r="AL29" s="80">
        <f>AVERAGE(Monday!F1071,Tuesday!F1071,Wednesday!F1071,Thursday!F1071,Friday!F1071)</f>
        <v>5.5400000000000009</v>
      </c>
      <c r="AM29" s="80">
        <f>MEDIAN(Monday!F1071,Tuesday!F1071,Wednesday!F1071,Thursday!F1071,Friday!F1071)</f>
        <v>5.23</v>
      </c>
      <c r="AN29" s="80">
        <f>AVERAGE(Monday!F1129,Tuesday!F1129,Wednesday!F1129,Thursday!F1129,Friday!F1129)</f>
        <v>5.7240000000000002</v>
      </c>
      <c r="AO29" s="80">
        <f>MEDIAN(Monday!F1129,Tuesday!F1129,Wednesday!F1129,Thursday!F1129,Friday!F1129)</f>
        <v>5.9</v>
      </c>
      <c r="AP29" s="80">
        <f>AVERAGE(Monday!F1187,Tuesday!F1187,Wednesday!F1187,Thursday!F1187,Friday!F1187)</f>
        <v>6.0900000000000007</v>
      </c>
      <c r="AQ29" s="80">
        <f>MEDIAN(Monday!F1187,Tuesday!F1187,Wednesday!F1187,Thursday!F1187,Friday!F1187)</f>
        <v>5.7</v>
      </c>
      <c r="AR29" s="80">
        <f>AVERAGE(Monday!F1245,Tuesday!F1245,Wednesday!F1245,Thursday!F1245,Friday!F1245)</f>
        <v>8.2700000000000014</v>
      </c>
      <c r="AS29" s="80">
        <f>MEDIAN(Monday!F1245,Tuesday!F1245,Wednesday!F1245,Thursday!F1245,Friday!F1245)</f>
        <v>7.78</v>
      </c>
      <c r="AT29" s="80">
        <f>AVERAGE(Monday!F1303,Tuesday!F1303,Wednesday!F1303,Thursday!F1303,Friday!F1303)</f>
        <v>8.8079999999999981</v>
      </c>
      <c r="AU29" s="80">
        <f>MEDIAN(Monday!F1303,Tuesday!F1303,Wednesday!F1303,Thursday!F1303,Friday!F1303)</f>
        <v>8.8000000000000007</v>
      </c>
      <c r="AV29" s="80">
        <f>AVERAGE(Monday!F1361,Tuesday!F1361,Wednesday!F1361,Thursday!F1361,Friday!F1361)</f>
        <v>7.952</v>
      </c>
      <c r="AW29" s="80">
        <f>MEDIAN(Monday!F1361,Tuesday!F1361,Wednesday!F1361,Thursday!F1361,Friday!F1361)</f>
        <v>8.1</v>
      </c>
      <c r="AX29" s="80">
        <f>AVERAGE(Monday!F1419,Tuesday!F1419,Wednesday!F1419,Thursday!F1419,Friday!F1419)</f>
        <v>7.081999999999999</v>
      </c>
      <c r="AY29" s="80">
        <f>MEDIAN(Monday!F1419,Tuesday!F1419,Wednesday!F1419,Thursday!F1419,Friday!F1419)</f>
        <v>7.9</v>
      </c>
      <c r="AZ29" s="80">
        <f>AVERAGE(Monday!F1477,Tuesday!F1477,Wednesday!F1477,Thursday!F1477,Friday!F1477)</f>
        <v>6.5260000000000007</v>
      </c>
      <c r="BA29" s="80">
        <f>MEDIAN(Monday!F1477,Tuesday!F1477,Wednesday!F1477,Thursday!F1477,Friday!F1477)</f>
        <v>7.2</v>
      </c>
      <c r="BB29" s="81">
        <v>26</v>
      </c>
      <c r="BC29" s="80">
        <f t="shared" si="0"/>
        <v>5.2106153846153855</v>
      </c>
      <c r="BD29" s="80">
        <f t="shared" si="1"/>
        <v>4.8499999999999996</v>
      </c>
    </row>
    <row r="30" spans="1:56" x14ac:dyDescent="0.25">
      <c r="A30" s="33">
        <v>27</v>
      </c>
      <c r="B30" s="80">
        <f>AVERAGE(Monday!F28,Tuesday!F28,Wednesday!F28,Thursday!F28,Friday!F28)</f>
        <v>2.8860000000000001</v>
      </c>
      <c r="C30" s="80">
        <f>MEDIAN(Monday!F28,Tuesday!F28,Wednesday!F28,Thursday!F28,Friday!F28)</f>
        <v>2.88</v>
      </c>
      <c r="D30" s="80">
        <f>AVERAGE(Monday!F86,Tuesday!F86,Wednesday!F86,Thursday!F86,Friday!F86)</f>
        <v>2.9059999999999997</v>
      </c>
      <c r="E30" s="80">
        <f>MEDIAN(Monday!F86,Tuesday!F86,Wednesday!F86,Thursday!F86,Friday!F86)</f>
        <v>2.9</v>
      </c>
      <c r="F30" s="80">
        <f>AVERAGE(Monday!F144,Tuesday!F144,Wednesday!F144,Thursday!F144,Friday!F144)</f>
        <v>3.0020000000000002</v>
      </c>
      <c r="G30" s="80">
        <f>MEDIAN(Monday!F144,Tuesday!F144,Wednesday!F144,Thursday!F144,Friday!F144)</f>
        <v>2.98</v>
      </c>
      <c r="H30" s="80">
        <f>AVERAGE(Monday!F202,Tuesday!F202,Wednesday!F202,Thursday!F202,Friday!F202)</f>
        <v>3.0259999999999998</v>
      </c>
      <c r="I30" s="80">
        <f>MEDIAN(Monday!F202,Tuesday!F202,Wednesday!F202,Thursday!F202,Friday!F202)</f>
        <v>3.03</v>
      </c>
      <c r="J30" s="80">
        <f>AVERAGE(Monday!F260,Tuesday!F260,Wednesday!F260,Thursday!F260,Friday!F260)</f>
        <v>3.1079999999999997</v>
      </c>
      <c r="K30" s="80">
        <f>MEDIAN(Monday!F260,Tuesday!F260,Wednesday!F260,Thursday!F260,Friday!F260)</f>
        <v>3.12</v>
      </c>
      <c r="L30" s="80">
        <f>AVERAGE(Monday!F318,Tuesday!F318,Wednesday!F318,Thursday!F318,Friday!F318)</f>
        <v>3.18</v>
      </c>
      <c r="M30" s="80">
        <f>MEDIAN(Monday!F318,Tuesday!F318,Wednesday!F318,Thursday!F318,Friday!F318)</f>
        <v>3.18</v>
      </c>
      <c r="N30" s="80">
        <f>AVERAGE(Monday!F376,Tuesday!F376,Wednesday!F376,Thursday!F376,Friday!F376)</f>
        <v>3.46</v>
      </c>
      <c r="O30" s="80">
        <f>MEDIAN(Monday!F376,Tuesday!F376,Wednesday!F376,Thursday!F376,Friday!F376)</f>
        <v>3.35</v>
      </c>
      <c r="P30" s="80">
        <f>AVERAGE(Monday!F434,Tuesday!F434,Wednesday!F434,Thursday!F434,Friday!F434)</f>
        <v>3.5119999999999996</v>
      </c>
      <c r="Q30" s="80">
        <f>MEDIAN(Monday!F434,Tuesday!F434,Wednesday!F434,Thursday!F434,Friday!F434)</f>
        <v>3.37</v>
      </c>
      <c r="R30" s="80">
        <f>AVERAGE(Monday!F492,Tuesday!F492,Wednesday!F492,Thursday!F492,Friday!F492)</f>
        <v>3.9359999999999999</v>
      </c>
      <c r="S30" s="80">
        <f>MEDIAN(Monday!F492,Tuesday!F492,Wednesday!F492,Thursday!F492,Friday!F492)</f>
        <v>3.83</v>
      </c>
      <c r="T30" s="80">
        <f>AVERAGE(Monday!F550,Tuesday!F550,Wednesday!F550,Thursday!F550,Friday!F550)</f>
        <v>4.3159999999999998</v>
      </c>
      <c r="U30" s="80">
        <f>MEDIAN(Monday!F550,Tuesday!F550,Wednesday!F550,Thursday!F550,Friday!F550)</f>
        <v>3.95</v>
      </c>
      <c r="V30" s="80">
        <f>AVERAGE(Monday!F608,Tuesday!F608,Wednesday!F608,Thursday!F608,Friday!F608)</f>
        <v>4.7</v>
      </c>
      <c r="W30" s="80">
        <f>MEDIAN(Monday!F608,Tuesday!F608,Wednesday!F608,Thursday!F608,Friday!F608)</f>
        <v>4.07</v>
      </c>
      <c r="X30" s="80">
        <f>AVERAGE(Monday!F666,Tuesday!F666,Wednesday!F666,Thursday!F666,Friday!F666)</f>
        <v>4.4859999999999998</v>
      </c>
      <c r="Y30" s="80">
        <f>MEDIAN(Monday!F666,Tuesday!F666,Wednesday!F666,Thursday!F666,Friday!F666)</f>
        <v>3.82</v>
      </c>
      <c r="Z30" s="80">
        <f>AVERAGE(Monday!F724,Tuesday!F724,Wednesday!F724,Thursday!F724,Friday!F724)</f>
        <v>4.4560000000000004</v>
      </c>
      <c r="AA30" s="80">
        <f>MEDIAN(Monday!F724,Tuesday!F724,Wednesday!F724,Thursday!F724,Friday!F724)</f>
        <v>4.58</v>
      </c>
      <c r="AB30" s="80">
        <f>AVERAGE(Monday!F782,Tuesday!F782,Wednesday!F782,Thursday!F782,Friday!F782)</f>
        <v>4.1739999999999995</v>
      </c>
      <c r="AC30" s="80">
        <f>MEDIAN(Monday!F782,Tuesday!F782,Wednesday!F782,Thursday!F782,Friday!F782)</f>
        <v>3.82</v>
      </c>
      <c r="AD30" s="80">
        <f>AVERAGE(Monday!F840,Tuesday!F840,Wednesday!F840,Thursday!F840,Friday!F840)</f>
        <v>4.2159999999999993</v>
      </c>
      <c r="AE30" s="80">
        <f>MEDIAN(Monday!F840,Tuesday!F840,Wednesday!F840,Thursday!F840,Friday!F840)</f>
        <v>3.85</v>
      </c>
      <c r="AF30" s="80">
        <f>AVERAGE(Monday!F898,Tuesday!F898,Wednesday!F898,Thursday!F898,Friday!F898)</f>
        <v>4.7240000000000002</v>
      </c>
      <c r="AG30" s="80">
        <f>MEDIAN(Monday!F898,Tuesday!F898,Wednesday!F898,Thursday!F898,Friday!F898)</f>
        <v>4.47</v>
      </c>
      <c r="AH30" s="80">
        <f>AVERAGE(Monday!F956,Tuesday!F956,Wednesday!F956,Thursday!F956,Friday!F956)</f>
        <v>4.5439999999999996</v>
      </c>
      <c r="AI30" s="80">
        <f>MEDIAN(Monday!F956,Tuesday!F956,Wednesday!F956,Thursday!F956,Friday!F956)</f>
        <v>4.28</v>
      </c>
      <c r="AJ30" s="80">
        <f>AVERAGE(Monday!F1014,Tuesday!F1014,Wednesday!F1014,Thursday!F1014,Friday!F1014)</f>
        <v>4.5280000000000005</v>
      </c>
      <c r="AK30" s="80">
        <f>MEDIAN(Monday!F1014,Tuesday!F1014,Wednesday!F1014,Thursday!F1014,Friday!F1014)</f>
        <v>4.0999999999999996</v>
      </c>
      <c r="AL30" s="80">
        <f>AVERAGE(Monday!F1072,Tuesday!F1072,Wednesday!F1072,Thursday!F1072,Friday!F1072)</f>
        <v>5.0920000000000005</v>
      </c>
      <c r="AM30" s="80">
        <f>MEDIAN(Monday!F1072,Tuesday!F1072,Wednesday!F1072,Thursday!F1072,Friday!F1072)</f>
        <v>4.7300000000000004</v>
      </c>
      <c r="AN30" s="80">
        <f>AVERAGE(Monday!F1130,Tuesday!F1130,Wednesday!F1130,Thursday!F1130,Friday!F1130)</f>
        <v>5.145999999999999</v>
      </c>
      <c r="AO30" s="80">
        <f>MEDIAN(Monday!F1130,Tuesday!F1130,Wednesday!F1130,Thursday!F1130,Friday!F1130)</f>
        <v>4.87</v>
      </c>
      <c r="AP30" s="80">
        <f>AVERAGE(Monday!F1188,Tuesday!F1188,Wednesday!F1188,Thursday!F1188,Friday!F1188)</f>
        <v>5.0819999999999999</v>
      </c>
      <c r="AQ30" s="80">
        <f>MEDIAN(Monday!F1188,Tuesday!F1188,Wednesday!F1188,Thursday!F1188,Friday!F1188)</f>
        <v>4.5199999999999996</v>
      </c>
      <c r="AR30" s="80">
        <f>AVERAGE(Monday!F1246,Tuesday!F1246,Wednesday!F1246,Thursday!F1246,Friday!F1246)</f>
        <v>5.1879999999999997</v>
      </c>
      <c r="AS30" s="80">
        <f>MEDIAN(Monday!F1246,Tuesday!F1246,Wednesday!F1246,Thursday!F1246,Friday!F1246)</f>
        <v>4.9800000000000004</v>
      </c>
      <c r="AT30" s="80">
        <f>AVERAGE(Monday!F1304,Tuesday!F1304,Wednesday!F1304,Thursday!F1304,Friday!F1304)</f>
        <v>5.8860000000000001</v>
      </c>
      <c r="AU30" s="80">
        <f>MEDIAN(Monday!F1304,Tuesday!F1304,Wednesday!F1304,Thursday!F1304,Friday!F1304)</f>
        <v>5.68</v>
      </c>
      <c r="AV30" s="80">
        <f>AVERAGE(Monday!F1362,Tuesday!F1362,Wednesday!F1362,Thursday!F1362,Friday!F1362)</f>
        <v>6.2160000000000002</v>
      </c>
      <c r="AW30" s="80">
        <f>MEDIAN(Monday!F1362,Tuesday!F1362,Wednesday!F1362,Thursday!F1362,Friday!F1362)</f>
        <v>5.68</v>
      </c>
      <c r="AX30" s="80">
        <f>AVERAGE(Monday!F1420,Tuesday!F1420,Wednesday!F1420,Thursday!F1420,Friday!F1420)</f>
        <v>5.9939999999999998</v>
      </c>
      <c r="AY30" s="80">
        <f>MEDIAN(Monday!F1420,Tuesday!F1420,Wednesday!F1420,Thursday!F1420,Friday!F1420)</f>
        <v>5.92</v>
      </c>
      <c r="AZ30" s="80">
        <f>AVERAGE(Monday!F1478,Tuesday!F1478,Wednesday!F1478,Thursday!F1478,Friday!F1478)</f>
        <v>5.1459999999999999</v>
      </c>
      <c r="BA30" s="80">
        <f>MEDIAN(Monday!F1478,Tuesday!F1478,Wednesday!F1478,Thursday!F1478,Friday!F1478)</f>
        <v>4.87</v>
      </c>
      <c r="BB30" s="81">
        <v>27</v>
      </c>
      <c r="BC30" s="80">
        <f t="shared" si="0"/>
        <v>4.3426923076923076</v>
      </c>
      <c r="BD30" s="80">
        <f t="shared" si="1"/>
        <v>4.01</v>
      </c>
    </row>
    <row r="31" spans="1:56" x14ac:dyDescent="0.25">
      <c r="A31" s="33">
        <v>28</v>
      </c>
      <c r="B31" s="80">
        <f>AVERAGE(Monday!F29,Tuesday!F29,Wednesday!F29,Thursday!F29,Friday!F29)</f>
        <v>3.41</v>
      </c>
      <c r="C31" s="80">
        <f>MEDIAN(Monday!F29,Tuesday!F29,Wednesday!F29,Thursday!F29,Friday!F29)</f>
        <v>3.43</v>
      </c>
      <c r="D31" s="80">
        <f>AVERAGE(Monday!F87,Tuesday!F87,Wednesday!F87,Thursday!F87,Friday!F87)</f>
        <v>3.4859999999999998</v>
      </c>
      <c r="E31" s="80">
        <f>MEDIAN(Monday!F87,Tuesday!F87,Wednesday!F87,Thursday!F87,Friday!F87)</f>
        <v>3.5</v>
      </c>
      <c r="F31" s="80">
        <f>AVERAGE(Monday!F145,Tuesday!F145,Wednesday!F145,Thursday!F145,Friday!F145)</f>
        <v>3.69</v>
      </c>
      <c r="G31" s="80">
        <f>MEDIAN(Monday!F145,Tuesday!F145,Wednesday!F145,Thursday!F145,Friday!F145)</f>
        <v>3.68</v>
      </c>
      <c r="H31" s="80">
        <f>AVERAGE(Monday!F203,Tuesday!F203,Wednesday!F203,Thursday!F203,Friday!F203)</f>
        <v>3.8180000000000005</v>
      </c>
      <c r="I31" s="80">
        <f>MEDIAN(Monday!F203,Tuesday!F203,Wednesday!F203,Thursday!F203,Friday!F203)</f>
        <v>3.83</v>
      </c>
      <c r="J31" s="80">
        <f>AVERAGE(Monday!F261,Tuesday!F261,Wednesday!F261,Thursday!F261,Friday!F261)</f>
        <v>3.8460000000000001</v>
      </c>
      <c r="K31" s="80">
        <f>MEDIAN(Monday!F261,Tuesday!F261,Wednesday!F261,Thursday!F261,Friday!F261)</f>
        <v>3.87</v>
      </c>
      <c r="L31" s="80">
        <f>AVERAGE(Monday!F319,Tuesday!F319,Wednesday!F319,Thursday!F319,Friday!F319)</f>
        <v>4.0439999999999996</v>
      </c>
      <c r="M31" s="80">
        <f>MEDIAN(Monday!F319,Tuesday!F319,Wednesday!F319,Thursday!F319,Friday!F319)</f>
        <v>3.98</v>
      </c>
      <c r="N31" s="80">
        <f>AVERAGE(Monday!F377,Tuesday!F377,Wednesday!F377,Thursday!F377,Friday!F377)</f>
        <v>4.2480000000000002</v>
      </c>
      <c r="O31" s="80">
        <f>MEDIAN(Monday!F377,Tuesday!F377,Wednesday!F377,Thursday!F377,Friday!F377)</f>
        <v>4.25</v>
      </c>
      <c r="P31" s="80">
        <f>AVERAGE(Monday!F435,Tuesday!F435,Wednesday!F435,Thursday!F435,Friday!F435)</f>
        <v>4.1280000000000001</v>
      </c>
      <c r="Q31" s="80">
        <f>MEDIAN(Monday!F435,Tuesday!F435,Wednesday!F435,Thursday!F435,Friday!F435)</f>
        <v>4.0999999999999996</v>
      </c>
      <c r="R31" s="80">
        <f>AVERAGE(Monday!F493,Tuesday!F493,Wednesday!F493,Thursday!F493,Friday!F493)</f>
        <v>4.2039999999999997</v>
      </c>
      <c r="S31" s="80">
        <f>MEDIAN(Monday!F493,Tuesday!F493,Wednesday!F493,Thursday!F493,Friday!F493)</f>
        <v>4.18</v>
      </c>
      <c r="T31" s="80">
        <f>AVERAGE(Monday!F551,Tuesday!F551,Wednesday!F551,Thursday!F551,Friday!F551)</f>
        <v>4.258</v>
      </c>
      <c r="U31" s="80">
        <f>MEDIAN(Monday!F551,Tuesday!F551,Wednesday!F551,Thursday!F551,Friday!F551)</f>
        <v>4.2699999999999996</v>
      </c>
      <c r="V31" s="80">
        <f>AVERAGE(Monday!F609,Tuesday!F609,Wednesday!F609,Thursday!F609,Friday!F609)</f>
        <v>4.1740000000000004</v>
      </c>
      <c r="W31" s="80">
        <f>MEDIAN(Monday!F609,Tuesday!F609,Wednesday!F609,Thursday!F609,Friday!F609)</f>
        <v>4.22</v>
      </c>
      <c r="X31" s="80">
        <f>AVERAGE(Monday!F667,Tuesday!F667,Wednesday!F667,Thursday!F667,Friday!F667)</f>
        <v>4.2700000000000005</v>
      </c>
      <c r="Y31" s="80">
        <f>MEDIAN(Monday!F667,Tuesday!F667,Wednesday!F667,Thursday!F667,Friday!F667)</f>
        <v>4.25</v>
      </c>
      <c r="Z31" s="80">
        <f>AVERAGE(Monday!F725,Tuesday!F725,Wednesday!F725,Thursday!F725,Friday!F725)</f>
        <v>4.3080000000000007</v>
      </c>
      <c r="AA31" s="80">
        <f>MEDIAN(Monday!F725,Tuesday!F725,Wednesday!F725,Thursday!F725,Friday!F725)</f>
        <v>4.3499999999999996</v>
      </c>
      <c r="AB31" s="80">
        <f>AVERAGE(Monday!F783,Tuesday!F783,Wednesday!F783,Thursday!F783,Friday!F783)</f>
        <v>4.6820000000000004</v>
      </c>
      <c r="AC31" s="80">
        <f>MEDIAN(Monday!F783,Tuesday!F783,Wednesday!F783,Thursday!F783,Friday!F783)</f>
        <v>4.75</v>
      </c>
      <c r="AD31" s="80">
        <f>AVERAGE(Monday!F841,Tuesday!F841,Wednesday!F841,Thursday!F841,Friday!F841)</f>
        <v>4.6040000000000001</v>
      </c>
      <c r="AE31" s="80">
        <f>MEDIAN(Monday!F841,Tuesday!F841,Wednesday!F841,Thursday!F841,Friday!F841)</f>
        <v>4.67</v>
      </c>
      <c r="AF31" s="80">
        <f>AVERAGE(Monday!F899,Tuesday!F899,Wednesday!F899,Thursday!F899,Friday!F899)</f>
        <v>4.6100000000000003</v>
      </c>
      <c r="AG31" s="80">
        <f>MEDIAN(Monday!F899,Tuesday!F899,Wednesday!F899,Thursday!F899,Friday!F899)</f>
        <v>4.63</v>
      </c>
      <c r="AH31" s="80">
        <f>AVERAGE(Monday!F957,Tuesday!F957,Wednesday!F957,Thursday!F957,Friday!F957)</f>
        <v>4.66</v>
      </c>
      <c r="AI31" s="80">
        <f>MEDIAN(Monday!F957,Tuesday!F957,Wednesday!F957,Thursday!F957,Friday!F957)</f>
        <v>4.7</v>
      </c>
      <c r="AJ31" s="80">
        <f>AVERAGE(Monday!F1015,Tuesday!F1015,Wednesday!F1015,Thursday!F1015,Friday!F1015)</f>
        <v>4.58</v>
      </c>
      <c r="AK31" s="80">
        <f>MEDIAN(Monday!F1015,Tuesday!F1015,Wednesday!F1015,Thursday!F1015,Friday!F1015)</f>
        <v>4.55</v>
      </c>
      <c r="AL31" s="80">
        <f>AVERAGE(Monday!F1073,Tuesday!F1073,Wednesday!F1073,Thursday!F1073,Friday!F1073)</f>
        <v>4.5920000000000005</v>
      </c>
      <c r="AM31" s="80">
        <f>MEDIAN(Monday!F1073,Tuesday!F1073,Wednesday!F1073,Thursday!F1073,Friday!F1073)</f>
        <v>4.58</v>
      </c>
      <c r="AN31" s="80">
        <f>AVERAGE(Monday!F1131,Tuesday!F1131,Wednesday!F1131,Thursday!F1131,Friday!F1131)</f>
        <v>4.8599999999999994</v>
      </c>
      <c r="AO31" s="80">
        <f>MEDIAN(Monday!F1131,Tuesday!F1131,Wednesday!F1131,Thursday!F1131,Friday!F1131)</f>
        <v>4.88</v>
      </c>
      <c r="AP31" s="80">
        <f>AVERAGE(Monday!F1189,Tuesday!F1189,Wednesday!F1189,Thursday!F1189,Friday!F1189)</f>
        <v>4.6980000000000004</v>
      </c>
      <c r="AQ31" s="80">
        <f>MEDIAN(Monday!F1189,Tuesday!F1189,Wednesday!F1189,Thursday!F1189,Friday!F1189)</f>
        <v>4.75</v>
      </c>
      <c r="AR31" s="80">
        <f>AVERAGE(Monday!F1247,Tuesday!F1247,Wednesday!F1247,Thursday!F1247,Friday!F1247)</f>
        <v>4.8400000000000007</v>
      </c>
      <c r="AS31" s="80">
        <f>MEDIAN(Monday!F1247,Tuesday!F1247,Wednesday!F1247,Thursday!F1247,Friday!F1247)</f>
        <v>4.82</v>
      </c>
      <c r="AT31" s="80">
        <f>AVERAGE(Monday!F1305,Tuesday!F1305,Wednesday!F1305,Thursday!F1305,Friday!F1305)</f>
        <v>4.9340000000000002</v>
      </c>
      <c r="AU31" s="80">
        <f>MEDIAN(Monday!F1305,Tuesday!F1305,Wednesday!F1305,Thursday!F1305,Friday!F1305)</f>
        <v>4.92</v>
      </c>
      <c r="AV31" s="80">
        <f>AVERAGE(Monday!F1363,Tuesday!F1363,Wednesday!F1363,Thursday!F1363,Friday!F1363)</f>
        <v>4.8239999999999998</v>
      </c>
      <c r="AW31" s="80">
        <f>MEDIAN(Monday!F1363,Tuesday!F1363,Wednesday!F1363,Thursday!F1363,Friday!F1363)</f>
        <v>4.82</v>
      </c>
      <c r="AX31" s="80">
        <f>AVERAGE(Monday!F1421,Tuesday!F1421,Wednesday!F1421,Thursday!F1421,Friday!F1421)</f>
        <v>4.854000000000001</v>
      </c>
      <c r="AY31" s="80">
        <f>MEDIAN(Monday!F1421,Tuesday!F1421,Wednesday!F1421,Thursday!F1421,Friday!F1421)</f>
        <v>4.75</v>
      </c>
      <c r="AZ31" s="80">
        <f>AVERAGE(Monday!F1479,Tuesday!F1479,Wednesday!F1479,Thursday!F1479,Friday!F1479)</f>
        <v>5.0540000000000003</v>
      </c>
      <c r="BA31" s="80">
        <f>MEDIAN(Monday!F1479,Tuesday!F1479,Wednesday!F1479,Thursday!F1479,Friday!F1479)</f>
        <v>4.95</v>
      </c>
      <c r="BB31" s="81">
        <v>28</v>
      </c>
      <c r="BC31" s="80">
        <f t="shared" si="0"/>
        <v>4.3721538461538465</v>
      </c>
      <c r="BD31" s="80">
        <f t="shared" si="1"/>
        <v>4.4499999999999993</v>
      </c>
    </row>
    <row r="32" spans="1:56" x14ac:dyDescent="0.25">
      <c r="A32" s="33">
        <v>29</v>
      </c>
      <c r="B32" s="80">
        <f>AVERAGE(Monday!F30,Tuesday!F30,Wednesday!F30,Thursday!F30,Friday!F30)</f>
        <v>3.0460000000000003</v>
      </c>
      <c r="C32" s="80">
        <f>MEDIAN(Monday!F30,Tuesday!F30,Wednesday!F30,Thursday!F30,Friday!F30)</f>
        <v>3.02</v>
      </c>
      <c r="D32" s="80">
        <f>AVERAGE(Monday!F88,Tuesday!F88,Wednesday!F88,Thursday!F88,Friday!F88)</f>
        <v>3.4019999999999997</v>
      </c>
      <c r="E32" s="80">
        <f>MEDIAN(Monday!F88,Tuesday!F88,Wednesday!F88,Thursday!F88,Friday!F88)</f>
        <v>3.42</v>
      </c>
      <c r="F32" s="80">
        <f>AVERAGE(Monday!F146,Tuesday!F146,Wednesday!F146,Thursday!F146,Friday!F146)</f>
        <v>3.71</v>
      </c>
      <c r="G32" s="80">
        <f>MEDIAN(Monday!F146,Tuesday!F146,Wednesday!F146,Thursday!F146,Friday!F146)</f>
        <v>3.72</v>
      </c>
      <c r="H32" s="80">
        <f>AVERAGE(Monday!F204,Tuesday!F204,Wednesday!F204,Thursday!F204,Friday!F204)</f>
        <v>4.0999999999999996</v>
      </c>
      <c r="I32" s="80">
        <f>MEDIAN(Monday!F204,Tuesday!F204,Wednesday!F204,Thursday!F204,Friday!F204)</f>
        <v>4.0999999999999996</v>
      </c>
      <c r="J32" s="80">
        <f>AVERAGE(Monday!F262,Tuesday!F262,Wednesday!F262,Thursday!F262,Friday!F262)</f>
        <v>4.6999999999999993</v>
      </c>
      <c r="K32" s="80">
        <f>MEDIAN(Monday!F262,Tuesday!F262,Wednesday!F262,Thursday!F262,Friday!F262)</f>
        <v>4.5999999999999996</v>
      </c>
      <c r="L32" s="80">
        <f>AVERAGE(Monday!F320,Tuesday!F320,Wednesday!F320,Thursday!F320,Friday!F320)</f>
        <v>5.42</v>
      </c>
      <c r="M32" s="80">
        <f>MEDIAN(Monday!F320,Tuesday!F320,Wednesday!F320,Thursday!F320,Friday!F320)</f>
        <v>5.37</v>
      </c>
      <c r="N32" s="80">
        <f>AVERAGE(Monday!F378,Tuesday!F378,Wednesday!F378,Thursday!F378,Friday!F378)</f>
        <v>5.4060000000000006</v>
      </c>
      <c r="O32" s="80">
        <f>MEDIAN(Monday!F378,Tuesday!F378,Wednesday!F378,Thursday!F378,Friday!F378)</f>
        <v>5.47</v>
      </c>
      <c r="P32" s="80">
        <f>AVERAGE(Monday!F436,Tuesday!F436,Wednesday!F436,Thursday!F436,Friday!F436)</f>
        <v>5.2640000000000002</v>
      </c>
      <c r="Q32" s="80">
        <f>MEDIAN(Monday!F436,Tuesday!F436,Wednesday!F436,Thursday!F436,Friday!F436)</f>
        <v>4.97</v>
      </c>
      <c r="R32" s="80">
        <f>AVERAGE(Monday!F494,Tuesday!F494,Wednesday!F494,Thursday!F494,Friday!F494)</f>
        <v>4.8819999999999997</v>
      </c>
      <c r="S32" s="80">
        <f>MEDIAN(Monday!F494,Tuesday!F494,Wednesday!F494,Thursday!F494,Friday!F494)</f>
        <v>4.93</v>
      </c>
      <c r="T32" s="80">
        <f>AVERAGE(Monday!F552,Tuesday!F552,Wednesday!F552,Thursday!F552,Friday!F552)</f>
        <v>4.8199999999999994</v>
      </c>
      <c r="U32" s="80">
        <f>MEDIAN(Monday!F552,Tuesday!F552,Wednesday!F552,Thursday!F552,Friday!F552)</f>
        <v>4.97</v>
      </c>
      <c r="V32" s="80">
        <f>AVERAGE(Monday!F610,Tuesday!F610,Wednesday!F610,Thursday!F610,Friday!F610)</f>
        <v>4.6660000000000004</v>
      </c>
      <c r="W32" s="80">
        <f>MEDIAN(Monday!F610,Tuesday!F610,Wednesday!F610,Thursday!F610,Friday!F610)</f>
        <v>4.62</v>
      </c>
      <c r="X32" s="80">
        <f>AVERAGE(Monday!F668,Tuesday!F668,Wednesday!F668,Thursday!F668,Friday!F668)</f>
        <v>4.6599999999999993</v>
      </c>
      <c r="Y32" s="80">
        <f>MEDIAN(Monday!F668,Tuesday!F668,Wednesday!F668,Thursday!F668,Friday!F668)</f>
        <v>4.6500000000000004</v>
      </c>
      <c r="Z32" s="80">
        <f>AVERAGE(Monday!F726,Tuesday!F726,Wednesday!F726,Thursday!F726,Friday!F726)</f>
        <v>4.93</v>
      </c>
      <c r="AA32" s="80">
        <f>MEDIAN(Monday!F726,Tuesday!F726,Wednesday!F726,Thursday!F726,Friday!F726)</f>
        <v>4.9000000000000004</v>
      </c>
      <c r="AB32" s="80">
        <f>AVERAGE(Monday!F784,Tuesday!F784,Wednesday!F784,Thursday!F784,Friday!F784)</f>
        <v>4.1779999999999999</v>
      </c>
      <c r="AC32" s="80">
        <f>MEDIAN(Monday!F784,Tuesday!F784,Wednesday!F784,Thursday!F784,Friday!F784)</f>
        <v>4.13</v>
      </c>
      <c r="AD32" s="80">
        <f>AVERAGE(Monday!F842,Tuesday!F842,Wednesday!F842,Thursday!F842,Friday!F842)</f>
        <v>4.0860000000000003</v>
      </c>
      <c r="AE32" s="80">
        <f>MEDIAN(Monday!F842,Tuesday!F842,Wednesday!F842,Thursday!F842,Friday!F842)</f>
        <v>4.17</v>
      </c>
      <c r="AF32" s="80">
        <f>AVERAGE(Monday!F900,Tuesday!F900,Wednesday!F900,Thursday!F900,Friday!F900)</f>
        <v>4.331999999999999</v>
      </c>
      <c r="AG32" s="80">
        <f>MEDIAN(Monday!F900,Tuesday!F900,Wednesday!F900,Thursday!F900,Friday!F900)</f>
        <v>4.3499999999999996</v>
      </c>
      <c r="AH32" s="80">
        <f>AVERAGE(Monday!F958,Tuesday!F958,Wednesday!F958,Thursday!F958,Friday!F958)</f>
        <v>4.4339999999999993</v>
      </c>
      <c r="AI32" s="80">
        <f>MEDIAN(Monday!F958,Tuesday!F958,Wednesday!F958,Thursday!F958,Friday!F958)</f>
        <v>4.38</v>
      </c>
      <c r="AJ32" s="80">
        <f>AVERAGE(Monday!F1016,Tuesday!F1016,Wednesday!F1016,Thursday!F1016,Friday!F1016)</f>
        <v>4.4459999999999997</v>
      </c>
      <c r="AK32" s="80">
        <f>MEDIAN(Monday!F1016,Tuesday!F1016,Wednesday!F1016,Thursday!F1016,Friday!F1016)</f>
        <v>4.42</v>
      </c>
      <c r="AL32" s="80">
        <f>AVERAGE(Monday!F1074,Tuesday!F1074,Wednesday!F1074,Thursday!F1074,Friday!F1074)</f>
        <v>4.43</v>
      </c>
      <c r="AM32" s="80">
        <f>MEDIAN(Monday!F1074,Tuesday!F1074,Wednesday!F1074,Thursday!F1074,Friday!F1074)</f>
        <v>4.33</v>
      </c>
      <c r="AN32" s="80">
        <f>AVERAGE(Monday!F1132,Tuesday!F1132,Wednesday!F1132,Thursday!F1132,Friday!F1132)</f>
        <v>4.331999999999999</v>
      </c>
      <c r="AO32" s="80">
        <f>MEDIAN(Monday!F1132,Tuesday!F1132,Wednesday!F1132,Thursday!F1132,Friday!F1132)</f>
        <v>4.22</v>
      </c>
      <c r="AP32" s="80">
        <f>AVERAGE(Monday!F1190,Tuesday!F1190,Wednesday!F1190,Thursday!F1190,Friday!F1190)</f>
        <v>4.4079999999999995</v>
      </c>
      <c r="AQ32" s="80">
        <f>MEDIAN(Monday!F1190,Tuesday!F1190,Wednesday!F1190,Thursday!F1190,Friday!F1190)</f>
        <v>4.5</v>
      </c>
      <c r="AR32" s="80">
        <f>AVERAGE(Monday!F1248,Tuesday!F1248,Wednesday!F1248,Thursday!F1248,Friday!F1248)</f>
        <v>4.3040000000000003</v>
      </c>
      <c r="AS32" s="80">
        <f>MEDIAN(Monday!F1248,Tuesday!F1248,Wednesday!F1248,Thursday!F1248,Friday!F1248)</f>
        <v>4.37</v>
      </c>
      <c r="AT32" s="80">
        <f>AVERAGE(Monday!F1306,Tuesday!F1306,Wednesday!F1306,Thursday!F1306,Friday!F1306)</f>
        <v>4.1719999999999997</v>
      </c>
      <c r="AU32" s="80">
        <f>MEDIAN(Monday!F1306,Tuesday!F1306,Wednesday!F1306,Thursday!F1306,Friday!F1306)</f>
        <v>4.05</v>
      </c>
      <c r="AV32" s="80">
        <f>AVERAGE(Monday!F1364,Tuesday!F1364,Wednesday!F1364,Thursday!F1364,Friday!F1364)</f>
        <v>4.0579999999999998</v>
      </c>
      <c r="AW32" s="80">
        <f>MEDIAN(Monday!F1364,Tuesday!F1364,Wednesday!F1364,Thursday!F1364,Friday!F1364)</f>
        <v>4.07</v>
      </c>
      <c r="AX32" s="80">
        <f>AVERAGE(Monday!F1422,Tuesday!F1422,Wednesday!F1422,Thursday!F1422,Friday!F1422)</f>
        <v>3.8379999999999996</v>
      </c>
      <c r="AY32" s="80">
        <f>MEDIAN(Monday!F1422,Tuesday!F1422,Wednesday!F1422,Thursday!F1422,Friday!F1422)</f>
        <v>3.83</v>
      </c>
      <c r="AZ32" s="80">
        <f>AVERAGE(Monday!F1480,Tuesday!F1480,Wednesday!F1480,Thursday!F1480,Friday!F1480)</f>
        <v>3.8220000000000001</v>
      </c>
      <c r="BA32" s="80">
        <f>MEDIAN(Monday!F1480,Tuesday!F1480,Wednesday!F1480,Thursday!F1480,Friday!F1480)</f>
        <v>3.85</v>
      </c>
      <c r="BB32" s="81">
        <v>29</v>
      </c>
      <c r="BC32" s="80">
        <f t="shared" si="0"/>
        <v>4.3786923076923063</v>
      </c>
      <c r="BD32" s="80">
        <f t="shared" si="1"/>
        <v>4.3599999999999994</v>
      </c>
    </row>
    <row r="33" spans="1:56" x14ac:dyDescent="0.25">
      <c r="A33" s="33">
        <v>30</v>
      </c>
      <c r="B33" s="80">
        <f>AVERAGE(Monday!F31,Tuesday!F31,Wednesday!F31,Thursday!F31,Friday!F31)</f>
        <v>3.4379999999999997</v>
      </c>
      <c r="C33" s="80">
        <f>MEDIAN(Monday!F31,Tuesday!F31,Wednesday!F31,Thursday!F31,Friday!F31)</f>
        <v>3.5</v>
      </c>
      <c r="D33" s="80">
        <f>AVERAGE(Monday!F89,Tuesday!F89,Wednesday!F89,Thursday!F89,Friday!F89)</f>
        <v>4.016</v>
      </c>
      <c r="E33" s="80">
        <f>MEDIAN(Monday!F89,Tuesday!F89,Wednesday!F89,Thursday!F89,Friday!F89)</f>
        <v>3.97</v>
      </c>
      <c r="F33" s="80">
        <f>AVERAGE(Monday!F147,Tuesday!F147,Wednesday!F147,Thursday!F147,Friday!F147)</f>
        <v>4.758</v>
      </c>
      <c r="G33" s="80">
        <f>MEDIAN(Monday!F147,Tuesday!F147,Wednesday!F147,Thursday!F147,Friday!F147)</f>
        <v>4.6500000000000004</v>
      </c>
      <c r="H33" s="80">
        <f>AVERAGE(Monday!F205,Tuesday!F205,Wednesday!F205,Thursday!F205,Friday!F205)</f>
        <v>5.4239999999999995</v>
      </c>
      <c r="I33" s="80">
        <f>MEDIAN(Monday!F205,Tuesday!F205,Wednesday!F205,Thursday!F205,Friday!F205)</f>
        <v>5.58</v>
      </c>
      <c r="J33" s="80">
        <f>AVERAGE(Monday!F263,Tuesday!F263,Wednesday!F263,Thursday!F263,Friday!F263)</f>
        <v>5.9879999999999995</v>
      </c>
      <c r="K33" s="80">
        <f>MEDIAN(Monday!F263,Tuesday!F263,Wednesday!F263,Thursday!F263,Friday!F263)</f>
        <v>5.97</v>
      </c>
      <c r="L33" s="80">
        <f>AVERAGE(Monday!F321,Tuesday!F321,Wednesday!F321,Thursday!F321,Friday!F321)</f>
        <v>6.6859999999999999</v>
      </c>
      <c r="M33" s="80">
        <f>MEDIAN(Monday!F321,Tuesday!F321,Wednesday!F321,Thursday!F321,Friday!F321)</f>
        <v>6.13</v>
      </c>
      <c r="N33" s="80">
        <f>AVERAGE(Monday!F379,Tuesday!F379,Wednesday!F379,Thursday!F379,Friday!F379)</f>
        <v>6.5299999999999994</v>
      </c>
      <c r="O33" s="80">
        <f>MEDIAN(Monday!F379,Tuesday!F379,Wednesday!F379,Thursday!F379,Friday!F379)</f>
        <v>6.25</v>
      </c>
      <c r="P33" s="80">
        <f>AVERAGE(Monday!F437,Tuesday!F437,Wednesday!F437,Thursday!F437,Friday!F437)</f>
        <v>7.0180000000000007</v>
      </c>
      <c r="Q33" s="80">
        <f>MEDIAN(Monday!F437,Tuesday!F437,Wednesday!F437,Thursday!F437,Friday!F437)</f>
        <v>6.52</v>
      </c>
      <c r="R33" s="80">
        <f>AVERAGE(Monday!F495,Tuesday!F495,Wednesday!F495,Thursday!F495,Friday!F495)</f>
        <v>6.2740000000000009</v>
      </c>
      <c r="S33" s="80">
        <f>MEDIAN(Monday!F495,Tuesday!F495,Wednesday!F495,Thursday!F495,Friday!F495)</f>
        <v>6.45</v>
      </c>
      <c r="T33" s="80">
        <f>AVERAGE(Monday!F553,Tuesday!F553,Wednesday!F553,Thursday!F553,Friday!F553)</f>
        <v>6.3140000000000001</v>
      </c>
      <c r="U33" s="80">
        <f>MEDIAN(Monday!F553,Tuesday!F553,Wednesday!F553,Thursday!F553,Friday!F553)</f>
        <v>6.33</v>
      </c>
      <c r="V33" s="80">
        <f>AVERAGE(Monday!F611,Tuesday!F611,Wednesday!F611,Thursday!F611,Friday!F611)</f>
        <v>6.2</v>
      </c>
      <c r="W33" s="80">
        <f>MEDIAN(Monday!F611,Tuesday!F611,Wednesday!F611,Thursday!F611,Friday!F611)</f>
        <v>6.37</v>
      </c>
      <c r="X33" s="80">
        <f>AVERAGE(Monday!F669,Tuesday!F669,Wednesday!F669,Thursday!F669,Friday!F669)</f>
        <v>6.1079999999999997</v>
      </c>
      <c r="Y33" s="80">
        <f>MEDIAN(Monday!F669,Tuesday!F669,Wednesday!F669,Thursday!F669,Friday!F669)</f>
        <v>6.18</v>
      </c>
      <c r="Z33" s="80">
        <f>AVERAGE(Monday!F727,Tuesday!F727,Wednesday!F727,Thursday!F727,Friday!F727)</f>
        <v>6.1379999999999999</v>
      </c>
      <c r="AA33" s="80">
        <f>MEDIAN(Monday!F727,Tuesday!F727,Wednesday!F727,Thursday!F727,Friday!F727)</f>
        <v>6.08</v>
      </c>
      <c r="AB33" s="80">
        <f>AVERAGE(Monday!F785,Tuesday!F785,Wednesday!F785,Thursday!F785,Friday!F785)</f>
        <v>4.9880000000000004</v>
      </c>
      <c r="AC33" s="80">
        <f>MEDIAN(Monday!F785,Tuesday!F785,Wednesday!F785,Thursday!F785,Friday!F785)</f>
        <v>4.97</v>
      </c>
      <c r="AD33" s="80">
        <f>AVERAGE(Monday!F843,Tuesday!F843,Wednesday!F843,Thursday!F843,Friday!F843)</f>
        <v>4.9479999999999995</v>
      </c>
      <c r="AE33" s="80">
        <f>MEDIAN(Monday!F843,Tuesday!F843,Wednesday!F843,Thursday!F843,Friday!F843)</f>
        <v>4.93</v>
      </c>
      <c r="AF33" s="80">
        <f>AVERAGE(Monday!F901,Tuesday!F901,Wednesday!F901,Thursday!F901,Friday!F901)</f>
        <v>4.7219999999999995</v>
      </c>
      <c r="AG33" s="80">
        <f>MEDIAN(Monday!F901,Tuesday!F901,Wednesday!F901,Thursday!F901,Friday!F901)</f>
        <v>4.75</v>
      </c>
      <c r="AH33" s="80">
        <f>AVERAGE(Monday!F959,Tuesday!F959,Wednesday!F959,Thursday!F959,Friday!F959)</f>
        <v>4.484</v>
      </c>
      <c r="AI33" s="80">
        <f>MEDIAN(Monday!F959,Tuesday!F959,Wednesday!F959,Thursday!F959,Friday!F959)</f>
        <v>4.5199999999999996</v>
      </c>
      <c r="AJ33" s="80">
        <f>AVERAGE(Monday!F1017,Tuesday!F1017,Wednesday!F1017,Thursday!F1017,Friday!F1017)</f>
        <v>4.4399999999999995</v>
      </c>
      <c r="AK33" s="80">
        <f>MEDIAN(Monday!F1017,Tuesday!F1017,Wednesday!F1017,Thursday!F1017,Friday!F1017)</f>
        <v>4.43</v>
      </c>
      <c r="AL33" s="80">
        <f>AVERAGE(Monday!F1075,Tuesday!F1075,Wednesday!F1075,Thursday!F1075,Friday!F1075)</f>
        <v>4.0860000000000003</v>
      </c>
      <c r="AM33" s="80">
        <f>MEDIAN(Monday!F1075,Tuesday!F1075,Wednesday!F1075,Thursday!F1075,Friday!F1075)</f>
        <v>4.03</v>
      </c>
      <c r="AN33" s="80">
        <f>AVERAGE(Monday!F1133,Tuesday!F1133,Wednesday!F1133,Thursday!F1133,Friday!F1133)</f>
        <v>4.032</v>
      </c>
      <c r="AO33" s="80">
        <f>MEDIAN(Monday!F1133,Tuesday!F1133,Wednesday!F1133,Thursday!F1133,Friday!F1133)</f>
        <v>4.05</v>
      </c>
      <c r="AP33" s="80">
        <f>AVERAGE(Monday!F1191,Tuesday!F1191,Wednesday!F1191,Thursday!F1191,Friday!F1191)</f>
        <v>4.1099999999999994</v>
      </c>
      <c r="AQ33" s="80">
        <f>MEDIAN(Monday!F1191,Tuesday!F1191,Wednesday!F1191,Thursday!F1191,Friday!F1191)</f>
        <v>4.08</v>
      </c>
      <c r="AR33" s="80">
        <f>AVERAGE(Monday!F1249,Tuesday!F1249,Wednesday!F1249,Thursday!F1249,Friday!F1249)</f>
        <v>4.1199999999999992</v>
      </c>
      <c r="AS33" s="80">
        <f>MEDIAN(Monday!F1249,Tuesday!F1249,Wednesday!F1249,Thursday!F1249,Friday!F1249)</f>
        <v>4.13</v>
      </c>
      <c r="AT33" s="80">
        <f>AVERAGE(Monday!F1307,Tuesday!F1307,Wednesday!F1307,Thursday!F1307,Friday!F1307)</f>
        <v>4.2640000000000002</v>
      </c>
      <c r="AU33" s="80">
        <f>MEDIAN(Monday!F1307,Tuesday!F1307,Wednesday!F1307,Thursday!F1307,Friday!F1307)</f>
        <v>4.18</v>
      </c>
      <c r="AV33" s="80">
        <f>AVERAGE(Monday!F1365,Tuesday!F1365,Wednesday!F1365,Thursday!F1365,Friday!F1365)</f>
        <v>3.94</v>
      </c>
      <c r="AW33" s="80">
        <f>MEDIAN(Monday!F1365,Tuesday!F1365,Wednesday!F1365,Thursday!F1365,Friday!F1365)</f>
        <v>3.88</v>
      </c>
      <c r="AX33" s="80">
        <f>AVERAGE(Monday!F1423,Tuesday!F1423,Wednesday!F1423,Thursday!F1423,Friday!F1423)</f>
        <v>3.7520000000000002</v>
      </c>
      <c r="AY33" s="80">
        <f>MEDIAN(Monday!F1423,Tuesday!F1423,Wednesday!F1423,Thursday!F1423,Friday!F1423)</f>
        <v>3.83</v>
      </c>
      <c r="AZ33" s="80">
        <f>AVERAGE(Monday!F1481,Tuesday!F1481,Wednesday!F1481,Thursday!F1481,Friday!F1481)</f>
        <v>3.6320000000000001</v>
      </c>
      <c r="BA33" s="80">
        <f>MEDIAN(Monday!F1481,Tuesday!F1481,Wednesday!F1481,Thursday!F1481,Friday!F1481)</f>
        <v>3.62</v>
      </c>
      <c r="BB33" s="81">
        <v>30</v>
      </c>
      <c r="BC33" s="80">
        <f t="shared" si="0"/>
        <v>5.0157692307692292</v>
      </c>
      <c r="BD33" s="80">
        <f t="shared" si="1"/>
        <v>4.7</v>
      </c>
    </row>
    <row r="34" spans="1:56" x14ac:dyDescent="0.25">
      <c r="A34" s="33">
        <v>31</v>
      </c>
      <c r="B34" s="80">
        <f>AVERAGE(Monday!F32,Tuesday!F32,Wednesday!F32,Thursday!F32,Friday!F32)</f>
        <v>2.4200000000000004</v>
      </c>
      <c r="C34" s="80">
        <f>MEDIAN(Monday!F32,Tuesday!F32,Wednesday!F32,Thursday!F32,Friday!F32)</f>
        <v>2.4300000000000002</v>
      </c>
      <c r="D34" s="80">
        <f>AVERAGE(Monday!F90,Tuesday!F90,Wednesday!F90,Thursday!F90,Friday!F90)</f>
        <v>2.492</v>
      </c>
      <c r="E34" s="80">
        <f>MEDIAN(Monday!F90,Tuesday!F90,Wednesday!F90,Thursday!F90,Friday!F90)</f>
        <v>2.4500000000000002</v>
      </c>
      <c r="F34" s="80">
        <f>AVERAGE(Monday!F148,Tuesday!F148,Wednesday!F148,Thursday!F148,Friday!F148)</f>
        <v>2.5</v>
      </c>
      <c r="G34" s="80">
        <f>MEDIAN(Monday!F148,Tuesday!F148,Wednesday!F148,Thursday!F148,Friday!F148)</f>
        <v>2.5</v>
      </c>
      <c r="H34" s="80">
        <f>AVERAGE(Monday!F206,Tuesday!F206,Wednesday!F206,Thursday!F206,Friday!F206)</f>
        <v>2.6660000000000004</v>
      </c>
      <c r="I34" s="80">
        <f>MEDIAN(Monday!F206,Tuesday!F206,Wednesday!F206,Thursday!F206,Friday!F206)</f>
        <v>2.65</v>
      </c>
      <c r="J34" s="80">
        <f>AVERAGE(Monday!F264,Tuesday!F264,Wednesday!F264,Thursday!F264,Friday!F264)</f>
        <v>3.0019999999999998</v>
      </c>
      <c r="K34" s="80">
        <f>MEDIAN(Monday!F264,Tuesday!F264,Wednesday!F264,Thursday!F264,Friday!F264)</f>
        <v>2.98</v>
      </c>
      <c r="L34" s="80">
        <f>AVERAGE(Monday!F322,Tuesday!F322,Wednesday!F322,Thursday!F322,Friday!F322)</f>
        <v>3.536</v>
      </c>
      <c r="M34" s="80">
        <f>MEDIAN(Monday!F322,Tuesday!F322,Wednesday!F322,Thursday!F322,Friday!F322)</f>
        <v>3.32</v>
      </c>
      <c r="N34" s="80">
        <f>AVERAGE(Monday!F380,Tuesday!F380,Wednesday!F380,Thursday!F380,Friday!F380)</f>
        <v>4.6100000000000003</v>
      </c>
      <c r="O34" s="80">
        <f>MEDIAN(Monday!F380,Tuesday!F380,Wednesday!F380,Thursday!F380,Friday!F380)</f>
        <v>3.8</v>
      </c>
      <c r="P34" s="80">
        <f>AVERAGE(Monday!F438,Tuesday!F438,Wednesday!F438,Thursday!F438,Friday!F438)</f>
        <v>3.0420000000000003</v>
      </c>
      <c r="Q34" s="80">
        <f>MEDIAN(Monday!F438,Tuesday!F438,Wednesday!F438,Thursday!F438,Friday!F438)</f>
        <v>2.97</v>
      </c>
      <c r="R34" s="80">
        <f>AVERAGE(Monday!F496,Tuesday!F496,Wednesday!F496,Thursday!F496,Friday!F496)</f>
        <v>2.8739999999999997</v>
      </c>
      <c r="S34" s="80">
        <f>MEDIAN(Monday!F496,Tuesday!F496,Wednesday!F496,Thursday!F496,Friday!F496)</f>
        <v>2.77</v>
      </c>
      <c r="T34" s="80">
        <f>AVERAGE(Monday!F554,Tuesday!F554,Wednesday!F554,Thursday!F554,Friday!F554)</f>
        <v>2.8280000000000003</v>
      </c>
      <c r="U34" s="80">
        <f>MEDIAN(Monday!F554,Tuesday!F554,Wednesday!F554,Thursday!F554,Friday!F554)</f>
        <v>2.83</v>
      </c>
      <c r="V34" s="80">
        <f>AVERAGE(Monday!F612,Tuesday!F612,Wednesday!F612,Thursday!F612,Friday!F612)</f>
        <v>2.8099999999999996</v>
      </c>
      <c r="W34" s="80">
        <f>MEDIAN(Monday!F612,Tuesday!F612,Wednesday!F612,Thursday!F612,Friday!F612)</f>
        <v>2.82</v>
      </c>
      <c r="X34" s="80">
        <f>AVERAGE(Monday!F670,Tuesday!F670,Wednesday!F670,Thursday!F670,Friday!F670)</f>
        <v>2.9720000000000004</v>
      </c>
      <c r="Y34" s="80">
        <f>MEDIAN(Monday!F670,Tuesday!F670,Wednesday!F670,Thursday!F670,Friday!F670)</f>
        <v>2.83</v>
      </c>
      <c r="Z34" s="80">
        <f>AVERAGE(Monday!F728,Tuesday!F728,Wednesday!F728,Thursday!F728,Friday!F728)</f>
        <v>2.7080000000000002</v>
      </c>
      <c r="AA34" s="80">
        <f>MEDIAN(Monday!F728,Tuesday!F728,Wednesday!F728,Thursday!F728,Friday!F728)</f>
        <v>2.72</v>
      </c>
      <c r="AB34" s="80">
        <f>AVERAGE(Monday!F786,Tuesday!F786,Wednesday!F786,Thursday!F786,Friday!F786)</f>
        <v>3.2379999999999995</v>
      </c>
      <c r="AC34" s="80">
        <f>MEDIAN(Monday!F786,Tuesday!F786,Wednesday!F786,Thursday!F786,Friday!F786)</f>
        <v>3</v>
      </c>
      <c r="AD34" s="80">
        <f>AVERAGE(Monday!F844,Tuesday!F844,Wednesday!F844,Thursday!F844,Friday!F844)</f>
        <v>3.1420000000000003</v>
      </c>
      <c r="AE34" s="80">
        <f>MEDIAN(Monday!F844,Tuesday!F844,Wednesday!F844,Thursday!F844,Friday!F844)</f>
        <v>2.9</v>
      </c>
      <c r="AF34" s="80">
        <f>AVERAGE(Monday!F902,Tuesday!F902,Wednesday!F902,Thursday!F902,Friday!F902)</f>
        <v>3.1859999999999999</v>
      </c>
      <c r="AG34" s="80">
        <f>MEDIAN(Monday!F902,Tuesday!F902,Wednesday!F902,Thursday!F902,Friday!F902)</f>
        <v>3.17</v>
      </c>
      <c r="AH34" s="80">
        <f>AVERAGE(Monday!F960,Tuesday!F960,Wednesday!F960,Thursday!F960,Friday!F960)</f>
        <v>3.2260000000000004</v>
      </c>
      <c r="AI34" s="80">
        <f>MEDIAN(Monday!F960,Tuesday!F960,Wednesday!F960,Thursday!F960,Friday!F960)</f>
        <v>3.15</v>
      </c>
      <c r="AJ34" s="80">
        <f>AVERAGE(Monday!F1018,Tuesday!F1018,Wednesday!F1018,Thursday!F1018,Friday!F1018)</f>
        <v>3.4420000000000002</v>
      </c>
      <c r="AK34" s="80">
        <f>MEDIAN(Monday!F1018,Tuesday!F1018,Wednesday!F1018,Thursday!F1018,Friday!F1018)</f>
        <v>3.22</v>
      </c>
      <c r="AL34" s="80">
        <f>AVERAGE(Monday!F1076,Tuesday!F1076,Wednesday!F1076,Thursday!F1076,Friday!F1076)</f>
        <v>3.0300000000000002</v>
      </c>
      <c r="AM34" s="80">
        <f>MEDIAN(Monday!F1076,Tuesday!F1076,Wednesday!F1076,Thursday!F1076,Friday!F1076)</f>
        <v>2.78</v>
      </c>
      <c r="AN34" s="80">
        <f>AVERAGE(Monday!F1134,Tuesday!F1134,Wednesday!F1134,Thursday!F1134,Friday!F1134)</f>
        <v>2.94</v>
      </c>
      <c r="AO34" s="80">
        <f>MEDIAN(Monday!F1134,Tuesday!F1134,Wednesday!F1134,Thursday!F1134,Friday!F1134)</f>
        <v>2.95</v>
      </c>
      <c r="AP34" s="80">
        <f>AVERAGE(Monday!F1192,Tuesday!F1192,Wednesday!F1192,Thursday!F1192,Friday!F1192)</f>
        <v>3.286</v>
      </c>
      <c r="AQ34" s="80">
        <f>MEDIAN(Monday!F1192,Tuesday!F1192,Wednesday!F1192,Thursday!F1192,Friday!F1192)</f>
        <v>3.28</v>
      </c>
      <c r="AR34" s="80">
        <f>AVERAGE(Monday!F1250,Tuesday!F1250,Wednesday!F1250,Thursday!F1250,Friday!F1250)</f>
        <v>4.6020000000000003</v>
      </c>
      <c r="AS34" s="80">
        <f>MEDIAN(Monday!F1250,Tuesday!F1250,Wednesday!F1250,Thursday!F1250,Friday!F1250)</f>
        <v>4.08</v>
      </c>
      <c r="AT34" s="80">
        <f>AVERAGE(Monday!F1308,Tuesday!F1308,Wednesday!F1308,Thursday!F1308,Friday!F1308)</f>
        <v>5.9139999999999997</v>
      </c>
      <c r="AU34" s="80">
        <f>MEDIAN(Monday!F1308,Tuesday!F1308,Wednesday!F1308,Thursday!F1308,Friday!F1308)</f>
        <v>5.32</v>
      </c>
      <c r="AV34" s="80">
        <f>AVERAGE(Monday!F1366,Tuesday!F1366,Wednesday!F1366,Thursday!F1366,Friday!F1366)</f>
        <v>3.8740000000000001</v>
      </c>
      <c r="AW34" s="80">
        <f>MEDIAN(Monday!F1366,Tuesday!F1366,Wednesday!F1366,Thursday!F1366,Friday!F1366)</f>
        <v>3.77</v>
      </c>
      <c r="AX34" s="80">
        <f>AVERAGE(Monday!F1424,Tuesday!F1424,Wednesday!F1424,Thursday!F1424,Friday!F1424)</f>
        <v>3.2159999999999997</v>
      </c>
      <c r="AY34" s="80">
        <f>MEDIAN(Monday!F1424,Tuesday!F1424,Wednesday!F1424,Thursday!F1424,Friday!F1424)</f>
        <v>3.02</v>
      </c>
      <c r="AZ34" s="80">
        <f>AVERAGE(Monday!F1482,Tuesday!F1482,Wednesday!F1482,Thursday!F1482,Friday!F1482)</f>
        <v>2.9780000000000002</v>
      </c>
      <c r="BA34" s="80">
        <f>MEDIAN(Monday!F1482,Tuesday!F1482,Wednesday!F1482,Thursday!F1482,Friday!F1482)</f>
        <v>2.88</v>
      </c>
      <c r="BB34" s="81">
        <v>31</v>
      </c>
      <c r="BC34" s="80">
        <f t="shared" si="0"/>
        <v>3.2513076923076918</v>
      </c>
      <c r="BD34" s="80">
        <f t="shared" si="1"/>
        <v>2.96</v>
      </c>
    </row>
    <row r="35" spans="1:56" x14ac:dyDescent="0.25">
      <c r="A35" s="33">
        <v>32</v>
      </c>
      <c r="B35" s="80">
        <f>AVERAGE(Monday!F33,Tuesday!F33,Wednesday!F33,Thursday!F33,Friday!F33)</f>
        <v>1.6460000000000001</v>
      </c>
      <c r="C35" s="80">
        <f>MEDIAN(Monday!F33,Tuesday!F33,Wednesday!F33,Thursday!F33,Friday!F33)</f>
        <v>1.63</v>
      </c>
      <c r="D35" s="80">
        <f>AVERAGE(Monday!F91,Tuesday!F91,Wednesday!F91,Thursday!F91,Friday!F91)</f>
        <v>1.6199999999999999</v>
      </c>
      <c r="E35" s="80">
        <f>MEDIAN(Monday!F91,Tuesday!F91,Wednesday!F91,Thursday!F91,Friday!F91)</f>
        <v>1.62</v>
      </c>
      <c r="F35" s="80">
        <f>AVERAGE(Monday!F149,Tuesday!F149,Wednesday!F149,Thursday!F149,Friday!F149)</f>
        <v>1.6679999999999999</v>
      </c>
      <c r="G35" s="80">
        <f>MEDIAN(Monday!F149,Tuesday!F149,Wednesday!F149,Thursday!F149,Friday!F149)</f>
        <v>1.67</v>
      </c>
      <c r="H35" s="80">
        <f>AVERAGE(Monday!F207,Tuesday!F207,Wednesday!F207,Thursday!F207,Friday!F207)</f>
        <v>1.6839999999999999</v>
      </c>
      <c r="I35" s="80">
        <f>MEDIAN(Monday!F207,Tuesday!F207,Wednesday!F207,Thursday!F207,Friday!F207)</f>
        <v>1.68</v>
      </c>
      <c r="J35" s="80">
        <f>AVERAGE(Monday!F265,Tuesday!F265,Wednesday!F265,Thursday!F265,Friday!F265)</f>
        <v>1.7100000000000002</v>
      </c>
      <c r="K35" s="80">
        <f>MEDIAN(Monday!F265,Tuesday!F265,Wednesday!F265,Thursday!F265,Friday!F265)</f>
        <v>1.72</v>
      </c>
      <c r="L35" s="80">
        <f>AVERAGE(Monday!F323,Tuesday!F323,Wednesday!F323,Thursday!F323,Friday!F323)</f>
        <v>1.732</v>
      </c>
      <c r="M35" s="80">
        <f>MEDIAN(Monday!F323,Tuesday!F323,Wednesday!F323,Thursday!F323,Friday!F323)</f>
        <v>1.73</v>
      </c>
      <c r="N35" s="80">
        <f>AVERAGE(Monday!F381,Tuesday!F381,Wednesday!F381,Thursday!F381,Friday!F381)</f>
        <v>1.7399999999999998</v>
      </c>
      <c r="O35" s="80">
        <f>MEDIAN(Monday!F381,Tuesday!F381,Wednesday!F381,Thursday!F381,Friday!F381)</f>
        <v>1.75</v>
      </c>
      <c r="P35" s="80">
        <f>AVERAGE(Monday!F439,Tuesday!F439,Wednesday!F439,Thursday!F439,Friday!F439)</f>
        <v>1.722</v>
      </c>
      <c r="Q35" s="80">
        <f>MEDIAN(Monday!F439,Tuesday!F439,Wednesday!F439,Thursday!F439,Friday!F439)</f>
        <v>1.73</v>
      </c>
      <c r="R35" s="80">
        <f>AVERAGE(Monday!F497,Tuesday!F497,Wednesday!F497,Thursday!F497,Friday!F497)</f>
        <v>1.78</v>
      </c>
      <c r="S35" s="80">
        <f>MEDIAN(Monday!F497,Tuesday!F497,Wednesday!F497,Thursday!F497,Friday!F497)</f>
        <v>1.8</v>
      </c>
      <c r="T35" s="80">
        <f>AVERAGE(Monday!F555,Tuesday!F555,Wednesday!F555,Thursday!F555,Friday!F555)</f>
        <v>1.798</v>
      </c>
      <c r="U35" s="80">
        <f>MEDIAN(Monday!F555,Tuesday!F555,Wednesday!F555,Thursday!F555,Friday!F555)</f>
        <v>1.82</v>
      </c>
      <c r="V35" s="80">
        <f>AVERAGE(Monday!F613,Tuesday!F613,Wednesday!F613,Thursday!F613,Friday!F613)</f>
        <v>1.798</v>
      </c>
      <c r="W35" s="80">
        <f>MEDIAN(Monday!F613,Tuesday!F613,Wednesday!F613,Thursday!F613,Friday!F613)</f>
        <v>1.8</v>
      </c>
      <c r="X35" s="80">
        <f>AVERAGE(Monday!F671,Tuesday!F671,Wednesday!F671,Thursday!F671,Friday!F671)</f>
        <v>1.8059999999999998</v>
      </c>
      <c r="Y35" s="80">
        <f>MEDIAN(Monday!F671,Tuesday!F671,Wednesday!F671,Thursday!F671,Friday!F671)</f>
        <v>1.78</v>
      </c>
      <c r="Z35" s="80">
        <f>AVERAGE(Monday!F729,Tuesday!F729,Wednesday!F729,Thursday!F729,Friday!F729)</f>
        <v>1.8140000000000001</v>
      </c>
      <c r="AA35" s="80">
        <f>MEDIAN(Monday!F729,Tuesday!F729,Wednesday!F729,Thursday!F729,Friday!F729)</f>
        <v>1.82</v>
      </c>
      <c r="AB35" s="80">
        <f>AVERAGE(Monday!F787,Tuesday!F787,Wednesday!F787,Thursday!F787,Friday!F787)</f>
        <v>1.8740000000000001</v>
      </c>
      <c r="AC35" s="80">
        <f>MEDIAN(Monday!F787,Tuesday!F787,Wednesday!F787,Thursday!F787,Friday!F787)</f>
        <v>1.88</v>
      </c>
      <c r="AD35" s="80">
        <f>AVERAGE(Monday!F845,Tuesday!F845,Wednesday!F845,Thursday!F845,Friday!F845)</f>
        <v>1.95</v>
      </c>
      <c r="AE35" s="80">
        <f>MEDIAN(Monday!F845,Tuesday!F845,Wednesday!F845,Thursday!F845,Friday!F845)</f>
        <v>1.9</v>
      </c>
      <c r="AF35" s="80">
        <f>AVERAGE(Monday!F903,Tuesday!F903,Wednesday!F903,Thursday!F903,Friday!F903)</f>
        <v>1.8939999999999997</v>
      </c>
      <c r="AG35" s="80">
        <f>MEDIAN(Monday!F903,Tuesday!F903,Wednesday!F903,Thursday!F903,Friday!F903)</f>
        <v>1.9</v>
      </c>
      <c r="AH35" s="80">
        <f>AVERAGE(Monday!F961,Tuesday!F961,Wednesday!F961,Thursday!F961,Friday!F961)</f>
        <v>1.9579999999999997</v>
      </c>
      <c r="AI35" s="80">
        <f>MEDIAN(Monday!F961,Tuesday!F961,Wednesday!F961,Thursday!F961,Friday!F961)</f>
        <v>1.95</v>
      </c>
      <c r="AJ35" s="80">
        <f>AVERAGE(Monday!F1019,Tuesday!F1019,Wednesday!F1019,Thursday!F1019,Friday!F1019)</f>
        <v>1.9899999999999998</v>
      </c>
      <c r="AK35" s="80">
        <f>MEDIAN(Monday!F1019,Tuesday!F1019,Wednesday!F1019,Thursday!F1019,Friday!F1019)</f>
        <v>1.95</v>
      </c>
      <c r="AL35" s="80">
        <f>AVERAGE(Monday!F1077,Tuesday!F1077,Wednesday!F1077,Thursday!F1077,Friday!F1077)</f>
        <v>2.206</v>
      </c>
      <c r="AM35" s="80">
        <f>MEDIAN(Monday!F1077,Tuesday!F1077,Wednesday!F1077,Thursday!F1077,Friday!F1077)</f>
        <v>1.95</v>
      </c>
      <c r="AN35" s="80">
        <f>AVERAGE(Monday!F1135,Tuesday!F1135,Wednesday!F1135,Thursday!F1135,Friday!F1135)</f>
        <v>2.3159999999999998</v>
      </c>
      <c r="AO35" s="80">
        <f>MEDIAN(Monday!F1135,Tuesday!F1135,Wednesday!F1135,Thursday!F1135,Friday!F1135)</f>
        <v>1.92</v>
      </c>
      <c r="AP35" s="80">
        <f>AVERAGE(Monday!F1193,Tuesday!F1193,Wednesday!F1193,Thursday!F1193,Friday!F1193)</f>
        <v>2.3180000000000005</v>
      </c>
      <c r="AQ35" s="80">
        <f>MEDIAN(Monday!F1193,Tuesday!F1193,Wednesday!F1193,Thursday!F1193,Friday!F1193)</f>
        <v>2.23</v>
      </c>
      <c r="AR35" s="80">
        <f>AVERAGE(Monday!F1251,Tuesday!F1251,Wednesday!F1251,Thursday!F1251,Friday!F1251)</f>
        <v>2.512</v>
      </c>
      <c r="AS35" s="80">
        <f>MEDIAN(Monday!F1251,Tuesday!F1251,Wednesday!F1251,Thursday!F1251,Friday!F1251)</f>
        <v>2.33</v>
      </c>
      <c r="AT35" s="80">
        <f>AVERAGE(Monday!F1309,Tuesday!F1309,Wednesday!F1309,Thursday!F1309,Friday!F1309)</f>
        <v>2.806</v>
      </c>
      <c r="AU35" s="80">
        <f>MEDIAN(Monday!F1309,Tuesday!F1309,Wednesday!F1309,Thursday!F1309,Friday!F1309)</f>
        <v>2.8</v>
      </c>
      <c r="AV35" s="80">
        <f>AVERAGE(Monday!F1367,Tuesday!F1367,Wednesday!F1367,Thursday!F1367,Friday!F1367)</f>
        <v>3.0599999999999996</v>
      </c>
      <c r="AW35" s="80">
        <f>MEDIAN(Monday!F1367,Tuesday!F1367,Wednesday!F1367,Thursday!F1367,Friday!F1367)</f>
        <v>2.95</v>
      </c>
      <c r="AX35" s="80">
        <f>AVERAGE(Monday!F1425,Tuesday!F1425,Wednesday!F1425,Thursday!F1425,Friday!F1425)</f>
        <v>2.5979999999999999</v>
      </c>
      <c r="AY35" s="80">
        <f>MEDIAN(Monday!F1425,Tuesday!F1425,Wednesday!F1425,Thursday!F1425,Friday!F1425)</f>
        <v>2.62</v>
      </c>
      <c r="AZ35" s="80">
        <f>AVERAGE(Monday!F1483,Tuesday!F1483,Wednesday!F1483,Thursday!F1483,Friday!F1483)</f>
        <v>2.2999999999999998</v>
      </c>
      <c r="BA35" s="80">
        <f>MEDIAN(Monday!F1483,Tuesday!F1483,Wednesday!F1483,Thursday!F1483,Friday!F1483)</f>
        <v>2.42</v>
      </c>
      <c r="BB35" s="81">
        <v>32</v>
      </c>
      <c r="BC35" s="80">
        <f t="shared" si="0"/>
        <v>2.0115384615384615</v>
      </c>
      <c r="BD35" s="80">
        <f t="shared" si="1"/>
        <v>1.85</v>
      </c>
    </row>
    <row r="36" spans="1:56" x14ac:dyDescent="0.25">
      <c r="A36" s="33">
        <v>33</v>
      </c>
      <c r="B36" s="80">
        <f>AVERAGE(Monday!F34,Tuesday!F34,Wednesday!F34,Thursday!F34,Friday!F34)</f>
        <v>1.6300000000000001</v>
      </c>
      <c r="C36" s="80">
        <f>MEDIAN(Monday!F34,Tuesday!F34,Wednesday!F34,Thursday!F34,Friday!F34)</f>
        <v>1.63</v>
      </c>
      <c r="D36" s="80">
        <f>AVERAGE(Monday!F92,Tuesday!F92,Wednesday!F92,Thursday!F92,Friday!F92)</f>
        <v>1.6439999999999997</v>
      </c>
      <c r="E36" s="80">
        <f>MEDIAN(Monday!F92,Tuesday!F92,Wednesday!F92,Thursday!F92,Friday!F92)</f>
        <v>1.65</v>
      </c>
      <c r="F36" s="80">
        <f>AVERAGE(Monday!F150,Tuesday!F150,Wednesday!F150,Thursday!F150,Friday!F150)</f>
        <v>1.67</v>
      </c>
      <c r="G36" s="80">
        <f>MEDIAN(Monday!F150,Tuesday!F150,Wednesday!F150,Thursday!F150,Friday!F150)</f>
        <v>1.68</v>
      </c>
      <c r="H36" s="80">
        <f>AVERAGE(Monday!F208,Tuesday!F208,Wednesday!F208,Thursday!F208,Friday!F208)</f>
        <v>1.6940000000000002</v>
      </c>
      <c r="I36" s="80">
        <f>MEDIAN(Monday!F208,Tuesday!F208,Wednesday!F208,Thursday!F208,Friday!F208)</f>
        <v>1.68</v>
      </c>
      <c r="J36" s="80">
        <f>AVERAGE(Monday!F266,Tuesday!F266,Wednesday!F266,Thursday!F266,Friday!F266)</f>
        <v>1.7299999999999998</v>
      </c>
      <c r="K36" s="80">
        <f>MEDIAN(Monday!F266,Tuesday!F266,Wednesday!F266,Thursday!F266,Friday!F266)</f>
        <v>1.75</v>
      </c>
      <c r="L36" s="80">
        <f>AVERAGE(Monday!F324,Tuesday!F324,Wednesday!F324,Thursday!F324,Friday!F324)</f>
        <v>1.782</v>
      </c>
      <c r="M36" s="80">
        <f>MEDIAN(Monday!F324,Tuesday!F324,Wednesday!F324,Thursday!F324,Friday!F324)</f>
        <v>1.78</v>
      </c>
      <c r="N36" s="80">
        <f>AVERAGE(Monday!F382,Tuesday!F382,Wednesday!F382,Thursday!F382,Friday!F382)</f>
        <v>1.784</v>
      </c>
      <c r="O36" s="80">
        <f>MEDIAN(Monday!F382,Tuesday!F382,Wednesday!F382,Thursday!F382,Friday!F382)</f>
        <v>1.78</v>
      </c>
      <c r="P36" s="80">
        <f>AVERAGE(Monday!F440,Tuesday!F440,Wednesday!F440,Thursday!F440,Friday!F440)</f>
        <v>1.796</v>
      </c>
      <c r="Q36" s="80">
        <f>MEDIAN(Monday!F440,Tuesday!F440,Wednesday!F440,Thursday!F440,Friday!F440)</f>
        <v>1.8</v>
      </c>
      <c r="R36" s="80">
        <f>AVERAGE(Monday!F498,Tuesday!F498,Wednesday!F498,Thursday!F498,Friday!F498)</f>
        <v>1.8059999999999998</v>
      </c>
      <c r="S36" s="80">
        <f>MEDIAN(Monday!F498,Tuesday!F498,Wednesday!F498,Thursday!F498,Friday!F498)</f>
        <v>1.8</v>
      </c>
      <c r="T36" s="80">
        <f>AVERAGE(Monday!F556,Tuesday!F556,Wednesday!F556,Thursday!F556,Friday!F556)</f>
        <v>1.8380000000000003</v>
      </c>
      <c r="U36" s="80">
        <f>MEDIAN(Monday!F556,Tuesday!F556,Wednesday!F556,Thursday!F556,Friday!F556)</f>
        <v>1.83</v>
      </c>
      <c r="V36" s="80">
        <f>AVERAGE(Monday!F614,Tuesday!F614,Wednesday!F614,Thursday!F614,Friday!F614)</f>
        <v>1.8780000000000001</v>
      </c>
      <c r="W36" s="80">
        <f>MEDIAN(Monday!F614,Tuesday!F614,Wednesday!F614,Thursday!F614,Friday!F614)</f>
        <v>1.82</v>
      </c>
      <c r="X36" s="80">
        <f>AVERAGE(Monday!F672,Tuesday!F672,Wednesday!F672,Thursday!F672,Friday!F672)</f>
        <v>1.94</v>
      </c>
      <c r="Y36" s="80">
        <f>MEDIAN(Monday!F672,Tuesday!F672,Wednesday!F672,Thursday!F672,Friday!F672)</f>
        <v>1.87</v>
      </c>
      <c r="Z36" s="80">
        <f>AVERAGE(Monday!F730,Tuesday!F730,Wednesday!F730,Thursday!F730,Friday!F730)</f>
        <v>1.9219999999999999</v>
      </c>
      <c r="AA36" s="80">
        <f>MEDIAN(Monday!F730,Tuesday!F730,Wednesday!F730,Thursday!F730,Friday!F730)</f>
        <v>1.88</v>
      </c>
      <c r="AB36" s="80">
        <f>AVERAGE(Monday!F788,Tuesday!F788,Wednesday!F788,Thursday!F788,Friday!F788)</f>
        <v>1.988</v>
      </c>
      <c r="AC36" s="80">
        <f>MEDIAN(Monday!F788,Tuesday!F788,Wednesday!F788,Thursday!F788,Friday!F788)</f>
        <v>1.95</v>
      </c>
      <c r="AD36" s="80">
        <f>AVERAGE(Monday!F846,Tuesday!F846,Wednesday!F846,Thursday!F846,Friday!F846)</f>
        <v>2</v>
      </c>
      <c r="AE36" s="80">
        <f>MEDIAN(Monday!F846,Tuesday!F846,Wednesday!F846,Thursday!F846,Friday!F846)</f>
        <v>1.88</v>
      </c>
      <c r="AF36" s="80">
        <f>AVERAGE(Monday!F904,Tuesday!F904,Wednesday!F904,Thursday!F904,Friday!F904)</f>
        <v>1.9299999999999997</v>
      </c>
      <c r="AG36" s="80">
        <f>MEDIAN(Monday!F904,Tuesday!F904,Wednesday!F904,Thursday!F904,Friday!F904)</f>
        <v>1.92</v>
      </c>
      <c r="AH36" s="80">
        <f>AVERAGE(Monday!F962,Tuesday!F962,Wednesday!F962,Thursday!F962,Friday!F962)</f>
        <v>2.1539999999999999</v>
      </c>
      <c r="AI36" s="80">
        <f>MEDIAN(Monday!F962,Tuesday!F962,Wednesday!F962,Thursday!F962,Friday!F962)</f>
        <v>2.1800000000000002</v>
      </c>
      <c r="AJ36" s="80">
        <f>AVERAGE(Monday!F1020,Tuesday!F1020,Wednesday!F1020,Thursday!F1020,Friday!F1020)</f>
        <v>2.2039999999999997</v>
      </c>
      <c r="AK36" s="80">
        <f>MEDIAN(Monday!F1020,Tuesday!F1020,Wednesday!F1020,Thursday!F1020,Friday!F1020)</f>
        <v>2.17</v>
      </c>
      <c r="AL36" s="80">
        <f>AVERAGE(Monday!F1078,Tuesday!F1078,Wednesday!F1078,Thursday!F1078,Friday!F1078)</f>
        <v>2.3380000000000001</v>
      </c>
      <c r="AM36" s="80">
        <f>MEDIAN(Monday!F1078,Tuesday!F1078,Wednesday!F1078,Thursday!F1078,Friday!F1078)</f>
        <v>2.33</v>
      </c>
      <c r="AN36" s="80">
        <f>AVERAGE(Monday!F1136,Tuesday!F1136,Wednesday!F1136,Thursday!F1136,Friday!F1136)</f>
        <v>2.2320000000000002</v>
      </c>
      <c r="AO36" s="80">
        <f>MEDIAN(Monday!F1136,Tuesday!F1136,Wednesday!F1136,Thursday!F1136,Friday!F1136)</f>
        <v>2.2200000000000002</v>
      </c>
      <c r="AP36" s="80">
        <f>AVERAGE(Monday!F1194,Tuesday!F1194,Wednesday!F1194,Thursday!F1194,Friday!F1194)</f>
        <v>2.3199999999999998</v>
      </c>
      <c r="AQ36" s="80">
        <f>MEDIAN(Monday!F1194,Tuesday!F1194,Wednesday!F1194,Thursday!F1194,Friday!F1194)</f>
        <v>2.33</v>
      </c>
      <c r="AR36" s="80">
        <f>AVERAGE(Monday!F1252,Tuesday!F1252,Wednesday!F1252,Thursday!F1252,Friday!F1252)</f>
        <v>2.452</v>
      </c>
      <c r="AS36" s="80">
        <f>MEDIAN(Monday!F1252,Tuesday!F1252,Wednesday!F1252,Thursday!F1252,Friday!F1252)</f>
        <v>2.5</v>
      </c>
      <c r="AT36" s="80">
        <f>AVERAGE(Monday!F1310,Tuesday!F1310,Wednesday!F1310,Thursday!F1310,Friday!F1310)</f>
        <v>2.7480000000000002</v>
      </c>
      <c r="AU36" s="80">
        <f>MEDIAN(Monday!F1310,Tuesday!F1310,Wednesday!F1310,Thursday!F1310,Friday!F1310)</f>
        <v>2.73</v>
      </c>
      <c r="AV36" s="80">
        <f>AVERAGE(Monday!F1368,Tuesday!F1368,Wednesday!F1368,Thursday!F1368,Friday!F1368)</f>
        <v>2.6999999999999997</v>
      </c>
      <c r="AW36" s="80">
        <f>MEDIAN(Monday!F1368,Tuesday!F1368,Wednesday!F1368,Thursday!F1368,Friday!F1368)</f>
        <v>2.7</v>
      </c>
      <c r="AX36" s="80">
        <f>AVERAGE(Monday!F1426,Tuesday!F1426,Wednesday!F1426,Thursday!F1426,Friday!F1426)</f>
        <v>2.6040000000000001</v>
      </c>
      <c r="AY36" s="80">
        <f>MEDIAN(Monday!F1426,Tuesday!F1426,Wednesday!F1426,Thursday!F1426,Friday!F1426)</f>
        <v>2.5499999999999998</v>
      </c>
      <c r="AZ36" s="80">
        <f>AVERAGE(Monday!F1484,Tuesday!F1484,Wednesday!F1484,Thursday!F1484,Friday!F1484)</f>
        <v>2.532</v>
      </c>
      <c r="BA36" s="80">
        <f>MEDIAN(Monday!F1484,Tuesday!F1484,Wednesday!F1484,Thursday!F1484,Friday!F1484)</f>
        <v>2.48</v>
      </c>
      <c r="BB36" s="81">
        <v>33</v>
      </c>
      <c r="BC36" s="80">
        <f t="shared" ref="BC36:BC61" si="2">AVERAGE(B36,D36,F36,H36,J36,L36,N36,P36,R36,T36,V36,X36,Z36,AB36,AD36,AF36,AH36,AJ36,AL36,AN36,AP36,AR36,AT36,AV36,AX36,AZ36)</f>
        <v>2.0506153846153845</v>
      </c>
      <c r="BD36" s="80">
        <f t="shared" si="1"/>
        <v>1.88</v>
      </c>
    </row>
    <row r="37" spans="1:56" x14ac:dyDescent="0.25">
      <c r="A37" s="33">
        <v>34</v>
      </c>
      <c r="B37" s="80">
        <f>AVERAGE(Monday!F35,Tuesday!F35,Wednesday!F35,Thursday!F35,Friday!F35)</f>
        <v>1.6739999999999999</v>
      </c>
      <c r="C37" s="80">
        <f>MEDIAN(Monday!F35,Tuesday!F35,Wednesday!F35,Thursday!F35,Friday!F35)</f>
        <v>1.68</v>
      </c>
      <c r="D37" s="80">
        <f>AVERAGE(Monday!F93,Tuesday!F93,Wednesday!F93,Thursday!F93,Friday!F93)</f>
        <v>1.6839999999999999</v>
      </c>
      <c r="E37" s="80">
        <f>MEDIAN(Monday!F93,Tuesday!F93,Wednesday!F93,Thursday!F93,Friday!F93)</f>
        <v>1.7</v>
      </c>
      <c r="F37" s="80">
        <f>AVERAGE(Monday!F151,Tuesday!F151,Wednesday!F151,Thursday!F151,Friday!F151)</f>
        <v>1.714</v>
      </c>
      <c r="G37" s="80">
        <f>MEDIAN(Monday!F151,Tuesday!F151,Wednesday!F151,Thursday!F151,Friday!F151)</f>
        <v>1.7</v>
      </c>
      <c r="H37" s="80">
        <f>AVERAGE(Monday!F209,Tuesday!F209,Wednesday!F209,Thursday!F209,Friday!F209)</f>
        <v>1.7740000000000002</v>
      </c>
      <c r="I37" s="80">
        <f>MEDIAN(Monday!F209,Tuesday!F209,Wednesday!F209,Thursday!F209,Friday!F209)</f>
        <v>1.75</v>
      </c>
      <c r="J37" s="80">
        <f>AVERAGE(Monday!F267,Tuesday!F267,Wednesday!F267,Thursday!F267,Friday!F267)</f>
        <v>1.7400000000000002</v>
      </c>
      <c r="K37" s="80">
        <f>MEDIAN(Monday!F267,Tuesday!F267,Wednesday!F267,Thursday!F267,Friday!F267)</f>
        <v>1.73</v>
      </c>
      <c r="L37" s="80">
        <f>AVERAGE(Monday!F325,Tuesday!F325,Wednesday!F325,Thursday!F325,Friday!F325)</f>
        <v>1.8219999999999998</v>
      </c>
      <c r="M37" s="80">
        <f>MEDIAN(Monday!F325,Tuesday!F325,Wednesday!F325,Thursday!F325,Friday!F325)</f>
        <v>1.83</v>
      </c>
      <c r="N37" s="80">
        <f>AVERAGE(Monday!F383,Tuesday!F383,Wednesday!F383,Thursday!F383,Friday!F383)</f>
        <v>1.8519999999999999</v>
      </c>
      <c r="O37" s="80">
        <f>MEDIAN(Monday!F383,Tuesday!F383,Wednesday!F383,Thursday!F383,Friday!F383)</f>
        <v>1.85</v>
      </c>
      <c r="P37" s="80">
        <f>AVERAGE(Monday!F441,Tuesday!F441,Wednesday!F441,Thursday!F441,Friday!F441)</f>
        <v>1.8699999999999999</v>
      </c>
      <c r="Q37" s="80">
        <f>MEDIAN(Monday!F441,Tuesday!F441,Wednesday!F441,Thursday!F441,Friday!F441)</f>
        <v>1.85</v>
      </c>
      <c r="R37" s="80">
        <f>AVERAGE(Monday!F499,Tuesday!F499,Wednesday!F499,Thursday!F499,Friday!F499)</f>
        <v>1.9359999999999999</v>
      </c>
      <c r="S37" s="80">
        <f>MEDIAN(Monday!F499,Tuesday!F499,Wednesday!F499,Thursday!F499,Friday!F499)</f>
        <v>1.9</v>
      </c>
      <c r="T37" s="80">
        <f>AVERAGE(Monday!F557,Tuesday!F557,Wednesday!F557,Thursday!F557,Friday!F557)</f>
        <v>1.9760000000000002</v>
      </c>
      <c r="U37" s="80">
        <f>MEDIAN(Monday!F557,Tuesday!F557,Wednesday!F557,Thursday!F557,Friday!F557)</f>
        <v>1.9</v>
      </c>
      <c r="V37" s="80">
        <f>AVERAGE(Monday!F615,Tuesday!F615,Wednesday!F615,Thursday!F615,Friday!F615)</f>
        <v>1.9</v>
      </c>
      <c r="W37" s="80">
        <f>MEDIAN(Monday!F615,Tuesday!F615,Wednesday!F615,Thursday!F615,Friday!F615)</f>
        <v>1.87</v>
      </c>
      <c r="X37" s="80">
        <f>AVERAGE(Monday!F673,Tuesday!F673,Wednesday!F673,Thursday!F673,Friday!F673)</f>
        <v>2.0060000000000002</v>
      </c>
      <c r="Y37" s="80">
        <f>MEDIAN(Monday!F673,Tuesday!F673,Wednesday!F673,Thursday!F673,Friday!F673)</f>
        <v>1.92</v>
      </c>
      <c r="Z37" s="80">
        <f>AVERAGE(Monday!F731,Tuesday!F731,Wednesday!F731,Thursday!F731,Friday!F731)</f>
        <v>1.9099999999999997</v>
      </c>
      <c r="AA37" s="80">
        <f>MEDIAN(Monday!F731,Tuesday!F731,Wednesday!F731,Thursday!F731,Friday!F731)</f>
        <v>1.92</v>
      </c>
      <c r="AB37" s="80">
        <f>AVERAGE(Monday!F789,Tuesday!F789,Wednesday!F789,Thursday!F789,Friday!F789)</f>
        <v>2.12</v>
      </c>
      <c r="AC37" s="80">
        <f>MEDIAN(Monday!F789,Tuesday!F789,Wednesday!F789,Thursday!F789,Friday!F789)</f>
        <v>2.13</v>
      </c>
      <c r="AD37" s="80">
        <f>AVERAGE(Monday!F847,Tuesday!F847,Wednesday!F847,Thursday!F847,Friday!F847)</f>
        <v>2.1120000000000001</v>
      </c>
      <c r="AE37" s="80">
        <f>MEDIAN(Monday!F847,Tuesday!F847,Wednesday!F847,Thursday!F847,Friday!F847)</f>
        <v>2.15</v>
      </c>
      <c r="AF37" s="80">
        <f>AVERAGE(Monday!F905,Tuesday!F905,Wednesday!F905,Thursday!F905,Friday!F905)</f>
        <v>2.3319999999999999</v>
      </c>
      <c r="AG37" s="80">
        <f>MEDIAN(Monday!F905,Tuesday!F905,Wednesday!F905,Thursday!F905,Friday!F905)</f>
        <v>2.2999999999999998</v>
      </c>
      <c r="AH37" s="80">
        <f>AVERAGE(Monday!F963,Tuesday!F963,Wednesday!F963,Thursday!F963,Friday!F963)</f>
        <v>2.254</v>
      </c>
      <c r="AI37" s="80">
        <f>MEDIAN(Monday!F963,Tuesday!F963,Wednesday!F963,Thursday!F963,Friday!F963)</f>
        <v>2.12</v>
      </c>
      <c r="AJ37" s="80">
        <f>AVERAGE(Monday!F1021,Tuesday!F1021,Wednesday!F1021,Thursday!F1021,Friday!F1021)</f>
        <v>2.262</v>
      </c>
      <c r="AK37" s="80">
        <f>MEDIAN(Monday!F1021,Tuesday!F1021,Wednesday!F1021,Thursday!F1021,Friday!F1021)</f>
        <v>2.2000000000000002</v>
      </c>
      <c r="AL37" s="80">
        <f>AVERAGE(Monday!F1079,Tuesday!F1079,Wednesday!F1079,Thursday!F1079,Friday!F1079)</f>
        <v>2.7480000000000002</v>
      </c>
      <c r="AM37" s="80">
        <f>MEDIAN(Monday!F1079,Tuesday!F1079,Wednesday!F1079,Thursday!F1079,Friday!F1079)</f>
        <v>2.33</v>
      </c>
      <c r="AN37" s="80">
        <f>AVERAGE(Monday!F1137,Tuesday!F1137,Wednesday!F1137,Thursday!F1137,Friday!F1137)</f>
        <v>2.2519999999999998</v>
      </c>
      <c r="AO37" s="80">
        <f>MEDIAN(Monday!F1137,Tuesday!F1137,Wednesday!F1137,Thursday!F1137,Friday!F1137)</f>
        <v>2.2799999999999998</v>
      </c>
      <c r="AP37" s="80">
        <f>AVERAGE(Monday!F1195,Tuesday!F1195,Wednesday!F1195,Thursday!F1195,Friday!F1195)</f>
        <v>2.1960000000000002</v>
      </c>
      <c r="AQ37" s="80">
        <f>MEDIAN(Monday!F1195,Tuesday!F1195,Wednesday!F1195,Thursday!F1195,Friday!F1195)</f>
        <v>2.15</v>
      </c>
      <c r="AR37" s="80">
        <f>AVERAGE(Monday!F1253,Tuesday!F1253,Wednesday!F1253,Thursday!F1253,Friday!F1253)</f>
        <v>2.4800000000000004</v>
      </c>
      <c r="AS37" s="80">
        <f>MEDIAN(Monday!F1253,Tuesday!F1253,Wednesday!F1253,Thursday!F1253,Friday!F1253)</f>
        <v>2.23</v>
      </c>
      <c r="AT37" s="80">
        <f>AVERAGE(Monday!F1311,Tuesday!F1311,Wednesday!F1311,Thursday!F1311,Friday!F1311)</f>
        <v>2.9880000000000004</v>
      </c>
      <c r="AU37" s="80">
        <f>MEDIAN(Monday!F1311,Tuesday!F1311,Wednesday!F1311,Thursday!F1311,Friday!F1311)</f>
        <v>2.7</v>
      </c>
      <c r="AV37" s="80">
        <f>AVERAGE(Monday!F1369,Tuesday!F1369,Wednesday!F1369,Thursday!F1369,Friday!F1369)</f>
        <v>2.4620000000000002</v>
      </c>
      <c r="AW37" s="80">
        <f>MEDIAN(Monday!F1369,Tuesday!F1369,Wednesday!F1369,Thursday!F1369,Friday!F1369)</f>
        <v>2.42</v>
      </c>
      <c r="AX37" s="80">
        <f>AVERAGE(Monday!F1427,Tuesday!F1427,Wednesday!F1427,Thursday!F1427,Friday!F1427)</f>
        <v>2.3240000000000003</v>
      </c>
      <c r="AY37" s="80">
        <f>MEDIAN(Monday!F1427,Tuesday!F1427,Wednesday!F1427,Thursday!F1427,Friday!F1427)</f>
        <v>2.27</v>
      </c>
      <c r="AZ37" s="80">
        <f>AVERAGE(Monday!F1485,Tuesday!F1485,Wednesday!F1485,Thursday!F1485,Friday!F1485)</f>
        <v>2.052</v>
      </c>
      <c r="BA37" s="80">
        <f>MEDIAN(Monday!F1485,Tuesday!F1485,Wednesday!F1485,Thursday!F1485,Friday!F1485)</f>
        <v>2.08</v>
      </c>
      <c r="BB37" s="81">
        <v>34</v>
      </c>
      <c r="BC37" s="80">
        <f t="shared" si="2"/>
        <v>2.0938461538461537</v>
      </c>
      <c r="BD37" s="80">
        <f t="shared" si="1"/>
        <v>2</v>
      </c>
    </row>
    <row r="38" spans="1:56" x14ac:dyDescent="0.25">
      <c r="A38" s="33">
        <v>35</v>
      </c>
      <c r="B38" s="80">
        <f>AVERAGE(Monday!F36,Tuesday!F36,Wednesday!F36,Thursday!F36,Friday!F36)</f>
        <v>3.0780000000000003</v>
      </c>
      <c r="C38" s="80">
        <f>MEDIAN(Monday!F36,Tuesday!F36,Wednesday!F36,Thursday!F36,Friday!F36)</f>
        <v>3.08</v>
      </c>
      <c r="D38" s="80">
        <f>AVERAGE(Monday!F94,Tuesday!F94,Wednesday!F94,Thursday!F94,Friday!F94)</f>
        <v>3.2900000000000005</v>
      </c>
      <c r="E38" s="80">
        <f>MEDIAN(Monday!F94,Tuesday!F94,Wednesday!F94,Thursday!F94,Friday!F94)</f>
        <v>3.27</v>
      </c>
      <c r="F38" s="80">
        <f>AVERAGE(Monday!F152,Tuesday!F152,Wednesday!F152,Thursday!F152,Friday!F152)</f>
        <v>3.3860000000000001</v>
      </c>
      <c r="G38" s="80">
        <f>MEDIAN(Monday!F152,Tuesday!F152,Wednesday!F152,Thursday!F152,Friday!F152)</f>
        <v>3.37</v>
      </c>
      <c r="H38" s="80">
        <f>AVERAGE(Monday!F210,Tuesday!F210,Wednesday!F210,Thursday!F210,Friday!F210)</f>
        <v>3.4979999999999998</v>
      </c>
      <c r="I38" s="80">
        <f>MEDIAN(Monday!F210,Tuesday!F210,Wednesday!F210,Thursday!F210,Friday!F210)</f>
        <v>3.42</v>
      </c>
      <c r="J38" s="80">
        <f>AVERAGE(Monday!F268,Tuesday!F268,Wednesday!F268,Thursday!F268,Friday!F268)</f>
        <v>3.8540000000000001</v>
      </c>
      <c r="K38" s="80">
        <f>MEDIAN(Monday!F268,Tuesday!F268,Wednesday!F268,Thursday!F268,Friday!F268)</f>
        <v>3.85</v>
      </c>
      <c r="L38" s="80">
        <f>AVERAGE(Monday!F326,Tuesday!F326,Wednesday!F326,Thursday!F326,Friday!F326)</f>
        <v>4.3860000000000001</v>
      </c>
      <c r="M38" s="80">
        <f>MEDIAN(Monday!F326,Tuesday!F326,Wednesday!F326,Thursday!F326,Friday!F326)</f>
        <v>4.03</v>
      </c>
      <c r="N38" s="80">
        <f>AVERAGE(Monday!F384,Tuesday!F384,Wednesday!F384,Thursday!F384,Friday!F384)</f>
        <v>4.8680000000000003</v>
      </c>
      <c r="O38" s="80">
        <f>MEDIAN(Monday!F384,Tuesday!F384,Wednesday!F384,Thursday!F384,Friday!F384)</f>
        <v>4.63</v>
      </c>
      <c r="P38" s="80">
        <f>AVERAGE(Monday!F442,Tuesday!F442,Wednesday!F442,Thursday!F442,Friday!F442)</f>
        <v>4.444</v>
      </c>
      <c r="Q38" s="80">
        <f>MEDIAN(Monday!F442,Tuesday!F442,Wednesday!F442,Thursday!F442,Friday!F442)</f>
        <v>4.38</v>
      </c>
      <c r="R38" s="80">
        <f>AVERAGE(Monday!F500,Tuesday!F500,Wednesday!F500,Thursday!F500,Friday!F500)</f>
        <v>4.1659999999999995</v>
      </c>
      <c r="S38" s="80">
        <f>MEDIAN(Monday!F500,Tuesday!F500,Wednesday!F500,Thursday!F500,Friday!F500)</f>
        <v>3.9</v>
      </c>
      <c r="T38" s="80">
        <f>AVERAGE(Monday!F558,Tuesday!F558,Wednesday!F558,Thursday!F558,Friday!F558)</f>
        <v>3.9140000000000001</v>
      </c>
      <c r="U38" s="80">
        <f>MEDIAN(Monday!F558,Tuesday!F558,Wednesday!F558,Thursday!F558,Friday!F558)</f>
        <v>3.83</v>
      </c>
      <c r="V38" s="80">
        <f>AVERAGE(Monday!F616,Tuesday!F616,Wednesday!F616,Thursday!F616,Friday!F616)</f>
        <v>4.3379999999999992</v>
      </c>
      <c r="W38" s="80">
        <f>MEDIAN(Monday!F616,Tuesday!F616,Wednesday!F616,Thursday!F616,Friday!F616)</f>
        <v>4.1500000000000004</v>
      </c>
      <c r="X38" s="80">
        <f>AVERAGE(Monday!F674,Tuesday!F674,Wednesday!F674,Thursday!F674,Friday!F674)</f>
        <v>4.4320000000000004</v>
      </c>
      <c r="Y38" s="80">
        <f>MEDIAN(Monday!F674,Tuesday!F674,Wednesday!F674,Thursday!F674,Friday!F674)</f>
        <v>4.18</v>
      </c>
      <c r="Z38" s="80">
        <f>AVERAGE(Monday!F732,Tuesday!F732,Wednesday!F732,Thursday!F732,Friday!F732)</f>
        <v>3.8900000000000006</v>
      </c>
      <c r="AA38" s="80">
        <f>MEDIAN(Monday!F732,Tuesday!F732,Wednesday!F732,Thursday!F732,Friday!F732)</f>
        <v>3.82</v>
      </c>
      <c r="AB38" s="80">
        <f>AVERAGE(Monday!F790,Tuesday!F790,Wednesday!F790,Thursday!F790,Friday!F790)</f>
        <v>3.7519999999999998</v>
      </c>
      <c r="AC38" s="80">
        <f>MEDIAN(Monday!F790,Tuesday!F790,Wednesday!F790,Thursday!F790,Friday!F790)</f>
        <v>3.78</v>
      </c>
      <c r="AD38" s="80">
        <f>AVERAGE(Monday!F848,Tuesday!F848,Wednesday!F848,Thursday!F848,Friday!F848)</f>
        <v>3.8339999999999996</v>
      </c>
      <c r="AE38" s="80">
        <f>MEDIAN(Monday!F848,Tuesday!F848,Wednesday!F848,Thursday!F848,Friday!F848)</f>
        <v>3.93</v>
      </c>
      <c r="AF38" s="80">
        <f>AVERAGE(Monday!F906,Tuesday!F906,Wednesday!F906,Thursday!F906,Friday!F906)</f>
        <v>3.8120000000000003</v>
      </c>
      <c r="AG38" s="80">
        <f>MEDIAN(Monday!F906,Tuesday!F906,Wednesday!F906,Thursday!F906,Friday!F906)</f>
        <v>3.73</v>
      </c>
      <c r="AH38" s="80">
        <f>AVERAGE(Monday!F964,Tuesday!F964,Wednesday!F964,Thursday!F964,Friday!F964)</f>
        <v>3.9219999999999997</v>
      </c>
      <c r="AI38" s="80">
        <f>MEDIAN(Monday!F964,Tuesday!F964,Wednesday!F964,Thursday!F964,Friday!F964)</f>
        <v>3.95</v>
      </c>
      <c r="AJ38" s="80">
        <f>AVERAGE(Monday!F1022,Tuesday!F1022,Wednesday!F1022,Thursday!F1022,Friday!F1022)</f>
        <v>3.9659999999999997</v>
      </c>
      <c r="AK38" s="80">
        <f>MEDIAN(Monday!F1022,Tuesday!F1022,Wednesday!F1022,Thursday!F1022,Friday!F1022)</f>
        <v>3.98</v>
      </c>
      <c r="AL38" s="80">
        <f>AVERAGE(Monday!F1080,Tuesday!F1080,Wednesday!F1080,Thursday!F1080,Friday!F1080)</f>
        <v>3.9740000000000002</v>
      </c>
      <c r="AM38" s="80">
        <f>MEDIAN(Monday!F1080,Tuesday!F1080,Wednesday!F1080,Thursday!F1080,Friday!F1080)</f>
        <v>3.85</v>
      </c>
      <c r="AN38" s="80">
        <f>AVERAGE(Monday!F1138,Tuesday!F1138,Wednesday!F1138,Thursday!F1138,Friday!F1138)</f>
        <v>4.0359999999999996</v>
      </c>
      <c r="AO38" s="80">
        <f>MEDIAN(Monday!F1138,Tuesday!F1138,Wednesday!F1138,Thursday!F1138,Friday!F1138)</f>
        <v>3.97</v>
      </c>
      <c r="AP38" s="80">
        <f>AVERAGE(Monday!F1196,Tuesday!F1196,Wednesday!F1196,Thursday!F1196,Friday!F1196)</f>
        <v>4.4239999999999995</v>
      </c>
      <c r="AQ38" s="80">
        <f>MEDIAN(Monday!F1196,Tuesday!F1196,Wednesday!F1196,Thursday!F1196,Friday!F1196)</f>
        <v>4.43</v>
      </c>
      <c r="AR38" s="80">
        <f>AVERAGE(Monday!F1254,Tuesday!F1254,Wednesday!F1254,Thursday!F1254,Friday!F1254)</f>
        <v>4.9320000000000004</v>
      </c>
      <c r="AS38" s="80">
        <f>MEDIAN(Monday!F1254,Tuesday!F1254,Wednesday!F1254,Thursday!F1254,Friday!F1254)</f>
        <v>4.9800000000000004</v>
      </c>
      <c r="AT38" s="80">
        <f>AVERAGE(Monday!F1312,Tuesday!F1312,Wednesday!F1312,Thursday!F1312,Friday!F1312)</f>
        <v>5.2219999999999995</v>
      </c>
      <c r="AU38" s="80">
        <f>MEDIAN(Monday!F1312,Tuesday!F1312,Wednesday!F1312,Thursday!F1312,Friday!F1312)</f>
        <v>5.07</v>
      </c>
      <c r="AV38" s="80">
        <f>AVERAGE(Monday!F1370,Tuesday!F1370,Wednesday!F1370,Thursday!F1370,Friday!F1370)</f>
        <v>4.8</v>
      </c>
      <c r="AW38" s="80">
        <f>MEDIAN(Monday!F1370,Tuesday!F1370,Wednesday!F1370,Thursday!F1370,Friday!F1370)</f>
        <v>4.93</v>
      </c>
      <c r="AX38" s="80">
        <f>AVERAGE(Monday!F1428,Tuesday!F1428,Wednesday!F1428,Thursday!F1428,Friday!F1428)</f>
        <v>4.2859999999999996</v>
      </c>
      <c r="AY38" s="80">
        <f>MEDIAN(Monday!F1428,Tuesday!F1428,Wednesday!F1428,Thursday!F1428,Friday!F1428)</f>
        <v>4.4000000000000004</v>
      </c>
      <c r="AZ38" s="80">
        <f>AVERAGE(Monday!F1486,Tuesday!F1486,Wednesday!F1486,Thursday!F1486,Friday!F1486)</f>
        <v>4.4700000000000006</v>
      </c>
      <c r="BA38" s="80">
        <f>MEDIAN(Monday!F1486,Tuesday!F1486,Wednesday!F1486,Thursday!F1486,Friday!F1486)</f>
        <v>4.13</v>
      </c>
      <c r="BB38" s="81">
        <v>35</v>
      </c>
      <c r="BC38" s="80">
        <f t="shared" si="2"/>
        <v>4.1143846153846155</v>
      </c>
      <c r="BD38" s="80">
        <f t="shared" si="1"/>
        <v>3.96</v>
      </c>
    </row>
    <row r="39" spans="1:56" x14ac:dyDescent="0.25">
      <c r="A39" s="33">
        <v>36</v>
      </c>
      <c r="B39" s="80">
        <f>AVERAGE(Monday!F37,Tuesday!F37,Wednesday!F37,Thursday!F37,Friday!F37)</f>
        <v>2.5759999999999996</v>
      </c>
      <c r="C39" s="80">
        <f>MEDIAN(Monday!F37,Tuesday!F37,Wednesday!F37,Thursday!F37,Friday!F37)</f>
        <v>2.57</v>
      </c>
      <c r="D39" s="80">
        <f>AVERAGE(Monday!F95,Tuesday!F95,Wednesday!F95,Thursday!F95,Friday!F95)</f>
        <v>2.6680000000000001</v>
      </c>
      <c r="E39" s="80">
        <f>MEDIAN(Monday!F95,Tuesday!F95,Wednesday!F95,Thursday!F95,Friday!F95)</f>
        <v>2.65</v>
      </c>
      <c r="F39" s="80">
        <f>AVERAGE(Monday!F153,Tuesday!F153,Wednesday!F153,Thursday!F153,Friday!F153)</f>
        <v>2.7339999999999995</v>
      </c>
      <c r="G39" s="80">
        <f>MEDIAN(Monday!F153,Tuesday!F153,Wednesday!F153,Thursday!F153,Friday!F153)</f>
        <v>2.72</v>
      </c>
      <c r="H39" s="80">
        <f>AVERAGE(Monday!F211,Tuesday!F211,Wednesday!F211,Thursday!F211,Friday!F211)</f>
        <v>2.8660000000000001</v>
      </c>
      <c r="I39" s="80">
        <f>MEDIAN(Monday!F211,Tuesday!F211,Wednesday!F211,Thursday!F211,Friday!F211)</f>
        <v>2.87</v>
      </c>
      <c r="J39" s="80">
        <f>AVERAGE(Monday!F269,Tuesday!F269,Wednesday!F269,Thursday!F269,Friday!F269)</f>
        <v>3.0640000000000001</v>
      </c>
      <c r="K39" s="80">
        <f>MEDIAN(Monday!F269,Tuesday!F269,Wednesday!F269,Thursday!F269,Friday!F269)</f>
        <v>3.07</v>
      </c>
      <c r="L39" s="80">
        <f>AVERAGE(Monday!F327,Tuesday!F327,Wednesday!F327,Thursday!F327,Friday!F327)</f>
        <v>3.2939999999999996</v>
      </c>
      <c r="M39" s="80">
        <f>MEDIAN(Monday!F327,Tuesday!F327,Wednesday!F327,Thursday!F327,Friday!F327)</f>
        <v>3.3</v>
      </c>
      <c r="N39" s="80">
        <f>AVERAGE(Monday!F385,Tuesday!F385,Wednesday!F385,Thursday!F385,Friday!F385)</f>
        <v>3.2300000000000004</v>
      </c>
      <c r="O39" s="80">
        <f>MEDIAN(Monday!F385,Tuesday!F385,Wednesday!F385,Thursday!F385,Friday!F385)</f>
        <v>3.18</v>
      </c>
      <c r="P39" s="80">
        <f>AVERAGE(Monday!F443,Tuesday!F443,Wednesday!F443,Thursday!F443,Friday!F443)</f>
        <v>3.1259999999999999</v>
      </c>
      <c r="Q39" s="80">
        <f>MEDIAN(Monday!F443,Tuesday!F443,Wednesday!F443,Thursday!F443,Friday!F443)</f>
        <v>3.1</v>
      </c>
      <c r="R39" s="80">
        <f>AVERAGE(Monday!F501,Tuesday!F501,Wednesday!F501,Thursday!F501,Friday!F501)</f>
        <v>3.13</v>
      </c>
      <c r="S39" s="80">
        <f>MEDIAN(Monday!F501,Tuesday!F501,Wednesday!F501,Thursday!F501,Friday!F501)</f>
        <v>3.08</v>
      </c>
      <c r="T39" s="80">
        <f>AVERAGE(Monday!F559,Tuesday!F559,Wednesday!F559,Thursday!F559,Friday!F559)</f>
        <v>3.1040000000000001</v>
      </c>
      <c r="U39" s="80">
        <f>MEDIAN(Monday!F559,Tuesday!F559,Wednesday!F559,Thursday!F559,Friday!F559)</f>
        <v>3.12</v>
      </c>
      <c r="V39" s="80">
        <f>AVERAGE(Monday!F617,Tuesday!F617,Wednesday!F617,Thursday!F617,Friday!F617)</f>
        <v>3.0740000000000003</v>
      </c>
      <c r="W39" s="80">
        <f>MEDIAN(Monday!F617,Tuesday!F617,Wednesday!F617,Thursday!F617,Friday!F617)</f>
        <v>3.08</v>
      </c>
      <c r="X39" s="80">
        <f>AVERAGE(Monday!F675,Tuesday!F675,Wednesday!F675,Thursday!F675,Friday!F675)</f>
        <v>3.032</v>
      </c>
      <c r="Y39" s="80">
        <f>MEDIAN(Monday!F675,Tuesday!F675,Wednesday!F675,Thursday!F675,Friday!F675)</f>
        <v>3.05</v>
      </c>
      <c r="Z39" s="80">
        <f>AVERAGE(Monday!F733,Tuesday!F733,Wednesday!F733,Thursday!F733,Friday!F733)</f>
        <v>3.056</v>
      </c>
      <c r="AA39" s="80">
        <f>MEDIAN(Monday!F733,Tuesday!F733,Wednesday!F733,Thursday!F733,Friday!F733)</f>
        <v>3.02</v>
      </c>
      <c r="AB39" s="80">
        <f>AVERAGE(Monday!F791,Tuesday!F791,Wednesday!F791,Thursday!F791,Friday!F791)</f>
        <v>3.2400000000000007</v>
      </c>
      <c r="AC39" s="80">
        <f>MEDIAN(Monday!F791,Tuesday!F791,Wednesday!F791,Thursday!F791,Friday!F791)</f>
        <v>3.27</v>
      </c>
      <c r="AD39" s="80">
        <f>AVERAGE(Monday!F849,Tuesday!F849,Wednesday!F849,Thursday!F849,Friday!F849)</f>
        <v>3.3460000000000001</v>
      </c>
      <c r="AE39" s="80">
        <f>MEDIAN(Monday!F849,Tuesday!F849,Wednesday!F849,Thursday!F849,Friday!F849)</f>
        <v>3.35</v>
      </c>
      <c r="AF39" s="80">
        <f>AVERAGE(Monday!F907,Tuesday!F907,Wednesday!F907,Thursday!F907,Friday!F907)</f>
        <v>3.3039999999999998</v>
      </c>
      <c r="AG39" s="80">
        <f>MEDIAN(Monday!F907,Tuesday!F907,Wednesday!F907,Thursday!F907,Friday!F907)</f>
        <v>3.32</v>
      </c>
      <c r="AH39" s="80">
        <f>AVERAGE(Monday!F965,Tuesday!F965,Wednesday!F965,Thursday!F965,Friday!F965)</f>
        <v>3.3639999999999999</v>
      </c>
      <c r="AI39" s="80">
        <f>MEDIAN(Monday!F965,Tuesday!F965,Wednesday!F965,Thursday!F965,Friday!F965)</f>
        <v>3.38</v>
      </c>
      <c r="AJ39" s="80">
        <f>AVERAGE(Monday!F1023,Tuesday!F1023,Wednesday!F1023,Thursday!F1023,Friday!F1023)</f>
        <v>3.3379999999999996</v>
      </c>
      <c r="AK39" s="80">
        <f>MEDIAN(Monday!F1023,Tuesday!F1023,Wednesday!F1023,Thursday!F1023,Friday!F1023)</f>
        <v>3.32</v>
      </c>
      <c r="AL39" s="80">
        <f>AVERAGE(Monday!F1081,Tuesday!F1081,Wednesday!F1081,Thursday!F1081,Friday!F1081)</f>
        <v>3.3900000000000006</v>
      </c>
      <c r="AM39" s="80">
        <f>MEDIAN(Monday!F1081,Tuesday!F1081,Wednesday!F1081,Thursday!F1081,Friday!F1081)</f>
        <v>3.4</v>
      </c>
      <c r="AN39" s="80">
        <f>AVERAGE(Monday!F1139,Tuesday!F1139,Wednesday!F1139,Thursday!F1139,Friday!F1139)</f>
        <v>3.5879999999999996</v>
      </c>
      <c r="AO39" s="80">
        <f>MEDIAN(Monday!F1139,Tuesday!F1139,Wednesday!F1139,Thursday!F1139,Friday!F1139)</f>
        <v>3.53</v>
      </c>
      <c r="AP39" s="80">
        <f>AVERAGE(Monday!F1197,Tuesday!F1197,Wednesday!F1197,Thursday!F1197,Friday!F1197)</f>
        <v>3.9820000000000002</v>
      </c>
      <c r="AQ39" s="80">
        <f>MEDIAN(Monday!F1197,Tuesday!F1197,Wednesday!F1197,Thursday!F1197,Friday!F1197)</f>
        <v>3.98</v>
      </c>
      <c r="AR39" s="80">
        <f>AVERAGE(Monday!F1255,Tuesday!F1255,Wednesday!F1255,Thursday!F1255,Friday!F1255)</f>
        <v>4.6019999999999994</v>
      </c>
      <c r="AS39" s="80">
        <f>MEDIAN(Monday!F1255,Tuesday!F1255,Wednesday!F1255,Thursday!F1255,Friday!F1255)</f>
        <v>4.7699999999999996</v>
      </c>
      <c r="AT39" s="80">
        <f>AVERAGE(Monday!F1313,Tuesday!F1313,Wednesday!F1313,Thursday!F1313,Friday!F1313)</f>
        <v>4.4180000000000001</v>
      </c>
      <c r="AU39" s="80">
        <f>MEDIAN(Monday!F1313,Tuesday!F1313,Wednesday!F1313,Thursday!F1313,Friday!F1313)</f>
        <v>4.45</v>
      </c>
      <c r="AV39" s="80">
        <f>AVERAGE(Monday!F1371,Tuesday!F1371,Wednesday!F1371,Thursday!F1371,Friday!F1371)</f>
        <v>4.0739999999999998</v>
      </c>
      <c r="AW39" s="80">
        <f>MEDIAN(Monday!F1371,Tuesday!F1371,Wednesday!F1371,Thursday!F1371,Friday!F1371)</f>
        <v>4.0199999999999996</v>
      </c>
      <c r="AX39" s="80">
        <f>AVERAGE(Monday!F1429,Tuesday!F1429,Wednesday!F1429,Thursday!F1429,Friday!F1429)</f>
        <v>4.0759999999999987</v>
      </c>
      <c r="AY39" s="80">
        <f>MEDIAN(Monday!F1429,Tuesday!F1429,Wednesday!F1429,Thursday!F1429,Friday!F1429)</f>
        <v>4.12</v>
      </c>
      <c r="AZ39" s="80">
        <f>AVERAGE(Monday!F1487,Tuesday!F1487,Wednesday!F1487,Thursday!F1487,Friday!F1487)</f>
        <v>3.8600000000000003</v>
      </c>
      <c r="BA39" s="80">
        <f>MEDIAN(Monday!F1487,Tuesday!F1487,Wednesday!F1487,Thursday!F1487,Friday!F1487)</f>
        <v>3.9</v>
      </c>
      <c r="BB39" s="81">
        <v>36</v>
      </c>
      <c r="BC39" s="80">
        <f t="shared" si="2"/>
        <v>3.366769230769231</v>
      </c>
      <c r="BD39" s="80">
        <f t="shared" si="1"/>
        <v>3.2850000000000001</v>
      </c>
    </row>
    <row r="40" spans="1:56" x14ac:dyDescent="0.25">
      <c r="A40" s="33">
        <v>37</v>
      </c>
      <c r="B40" s="80">
        <f>AVERAGE(Monday!F38,Tuesday!F38,Wednesday!F38,Thursday!F38,Friday!F38)</f>
        <v>3.1399999999999997</v>
      </c>
      <c r="C40" s="80">
        <f>MEDIAN(Monday!F38,Tuesday!F38,Wednesday!F38,Thursday!F38,Friday!F38)</f>
        <v>3.17</v>
      </c>
      <c r="D40" s="80">
        <f>AVERAGE(Monday!F96,Tuesday!F96,Wednesday!F96,Thursday!F96,Friday!F96)</f>
        <v>3.3540000000000001</v>
      </c>
      <c r="E40" s="80">
        <f>MEDIAN(Monday!F96,Tuesday!F96,Wednesday!F96,Thursday!F96,Friday!F96)</f>
        <v>3.37</v>
      </c>
      <c r="F40" s="80">
        <f>AVERAGE(Monday!F154,Tuesday!F154,Wednesday!F154,Thursday!F154,Friday!F154)</f>
        <v>3.3560000000000003</v>
      </c>
      <c r="G40" s="80">
        <f>MEDIAN(Monday!F154,Tuesday!F154,Wednesday!F154,Thursday!F154,Friday!F154)</f>
        <v>3.37</v>
      </c>
      <c r="H40" s="80">
        <f>AVERAGE(Monday!F212,Tuesday!F212,Wednesday!F212,Thursday!F212,Friday!F212)</f>
        <v>3.5720000000000001</v>
      </c>
      <c r="I40" s="80">
        <f>MEDIAN(Monday!F212,Tuesday!F212,Wednesday!F212,Thursday!F212,Friday!F212)</f>
        <v>3.63</v>
      </c>
      <c r="J40" s="80">
        <f>AVERAGE(Monday!F270,Tuesday!F270,Wednesday!F270,Thursday!F270,Friday!F270)</f>
        <v>3.91</v>
      </c>
      <c r="K40" s="80">
        <f>MEDIAN(Monday!F270,Tuesday!F270,Wednesday!F270,Thursday!F270,Friday!F270)</f>
        <v>3.85</v>
      </c>
      <c r="L40" s="80">
        <f>AVERAGE(Monday!F328,Tuesday!F328,Wednesday!F328,Thursday!F328,Friday!F328)</f>
        <v>4.0739999999999998</v>
      </c>
      <c r="M40" s="80">
        <f>MEDIAN(Monday!F328,Tuesday!F328,Wednesday!F328,Thursday!F328,Friday!F328)</f>
        <v>4.05</v>
      </c>
      <c r="N40" s="80">
        <f>AVERAGE(Monday!F386,Tuesday!F386,Wednesday!F386,Thursday!F386,Friday!F386)</f>
        <v>4.2140000000000004</v>
      </c>
      <c r="O40" s="80">
        <f>MEDIAN(Monday!F386,Tuesday!F386,Wednesday!F386,Thursday!F386,Friday!F386)</f>
        <v>4.2300000000000004</v>
      </c>
      <c r="P40" s="80">
        <f>AVERAGE(Monday!F444,Tuesday!F444,Wednesday!F444,Thursday!F444,Friday!F444)</f>
        <v>3.9939999999999998</v>
      </c>
      <c r="Q40" s="80">
        <f>MEDIAN(Monday!F444,Tuesday!F444,Wednesday!F444,Thursday!F444,Friday!F444)</f>
        <v>3.98</v>
      </c>
      <c r="R40" s="80">
        <f>AVERAGE(Monday!F502,Tuesday!F502,Wednesday!F502,Thursday!F502,Friday!F502)</f>
        <v>4.1440000000000001</v>
      </c>
      <c r="S40" s="80">
        <f>MEDIAN(Monday!F502,Tuesday!F502,Wednesday!F502,Thursday!F502,Friday!F502)</f>
        <v>4.22</v>
      </c>
      <c r="T40" s="80">
        <f>AVERAGE(Monday!F560,Tuesday!F560,Wednesday!F560,Thursday!F560,Friday!F560)</f>
        <v>3.964</v>
      </c>
      <c r="U40" s="80">
        <f>MEDIAN(Monday!F560,Tuesday!F560,Wednesday!F560,Thursday!F560,Friday!F560)</f>
        <v>3.95</v>
      </c>
      <c r="V40" s="80">
        <f>AVERAGE(Monday!F618,Tuesday!F618,Wednesday!F618,Thursday!F618,Friday!F618)</f>
        <v>3.9580000000000006</v>
      </c>
      <c r="W40" s="80">
        <f>MEDIAN(Monday!F618,Tuesday!F618,Wednesday!F618,Thursday!F618,Friday!F618)</f>
        <v>4</v>
      </c>
      <c r="X40" s="80">
        <f>AVERAGE(Monday!F676,Tuesday!F676,Wednesday!F676,Thursday!F676,Friday!F676)</f>
        <v>3.9380000000000002</v>
      </c>
      <c r="Y40" s="80">
        <f>MEDIAN(Monday!F676,Tuesday!F676,Wednesday!F676,Thursday!F676,Friday!F676)</f>
        <v>3.98</v>
      </c>
      <c r="Z40" s="80">
        <f>AVERAGE(Monday!F734,Tuesday!F734,Wednesday!F734,Thursday!F734,Friday!F734)</f>
        <v>3.9159999999999995</v>
      </c>
      <c r="AA40" s="80">
        <f>MEDIAN(Monday!F734,Tuesday!F734,Wednesday!F734,Thursday!F734,Friday!F734)</f>
        <v>3.98</v>
      </c>
      <c r="AB40" s="80">
        <f>AVERAGE(Monday!F792,Tuesday!F792,Wednesday!F792,Thursday!F792,Friday!F792)</f>
        <v>4.6760000000000002</v>
      </c>
      <c r="AC40" s="80">
        <f>MEDIAN(Monday!F792,Tuesday!F792,Wednesday!F792,Thursday!F792,Friday!F792)</f>
        <v>4.75</v>
      </c>
      <c r="AD40" s="80">
        <f>AVERAGE(Monday!F850,Tuesday!F850,Wednesday!F850,Thursday!F850,Friday!F850)</f>
        <v>4.6680000000000001</v>
      </c>
      <c r="AE40" s="80">
        <f>MEDIAN(Monday!F850,Tuesday!F850,Wednesday!F850,Thursday!F850,Friday!F850)</f>
        <v>4.63</v>
      </c>
      <c r="AF40" s="80">
        <f>AVERAGE(Monday!F908,Tuesday!F908,Wednesday!F908,Thursday!F908,Friday!F908)</f>
        <v>4.4539999999999997</v>
      </c>
      <c r="AG40" s="80">
        <f>MEDIAN(Monday!F908,Tuesday!F908,Wednesday!F908,Thursday!F908,Friday!F908)</f>
        <v>4.5199999999999996</v>
      </c>
      <c r="AH40" s="80">
        <f>AVERAGE(Monday!F966,Tuesday!F966,Wednesday!F966,Thursday!F966,Friday!F966)</f>
        <v>4.9320000000000004</v>
      </c>
      <c r="AI40" s="80">
        <f>MEDIAN(Monday!F966,Tuesday!F966,Wednesday!F966,Thursday!F966,Friday!F966)</f>
        <v>4.87</v>
      </c>
      <c r="AJ40" s="80">
        <f>AVERAGE(Monday!F1024,Tuesday!F1024,Wednesday!F1024,Thursday!F1024,Friday!F1024)</f>
        <v>5.0620000000000003</v>
      </c>
      <c r="AK40" s="80">
        <f>MEDIAN(Monday!F1024,Tuesday!F1024,Wednesday!F1024,Thursday!F1024,Friday!F1024)</f>
        <v>5.03</v>
      </c>
      <c r="AL40" s="80">
        <f>AVERAGE(Monday!F1082,Tuesday!F1082,Wednesday!F1082,Thursday!F1082,Friday!F1082)</f>
        <v>4.8699999999999992</v>
      </c>
      <c r="AM40" s="80">
        <f>MEDIAN(Monday!F1082,Tuesday!F1082,Wednesday!F1082,Thursday!F1082,Friday!F1082)</f>
        <v>4.83</v>
      </c>
      <c r="AN40" s="80">
        <f>AVERAGE(Monday!F1140,Tuesday!F1140,Wednesday!F1140,Thursday!F1140,Friday!F1140)</f>
        <v>4.7120000000000006</v>
      </c>
      <c r="AO40" s="80">
        <f>MEDIAN(Monday!F1140,Tuesday!F1140,Wednesday!F1140,Thursday!F1140,Friday!F1140)</f>
        <v>4.75</v>
      </c>
      <c r="AP40" s="80">
        <f>AVERAGE(Monday!F1198,Tuesday!F1198,Wednesday!F1198,Thursday!F1198,Friday!F1198)</f>
        <v>5.9819999999999993</v>
      </c>
      <c r="AQ40" s="80">
        <f>MEDIAN(Monday!F1198,Tuesday!F1198,Wednesday!F1198,Thursday!F1198,Friday!F1198)</f>
        <v>5.83</v>
      </c>
      <c r="AR40" s="80">
        <f>AVERAGE(Monday!F1256,Tuesday!F1256,Wednesday!F1256,Thursday!F1256,Friday!F1256)</f>
        <v>6.7379999999999995</v>
      </c>
      <c r="AS40" s="80">
        <f>MEDIAN(Monday!F1256,Tuesday!F1256,Wednesday!F1256,Thursday!F1256,Friday!F1256)</f>
        <v>7.02</v>
      </c>
      <c r="AT40" s="80">
        <f>AVERAGE(Monday!F1314,Tuesday!F1314,Wednesday!F1314,Thursday!F1314,Friday!F1314)</f>
        <v>6.1280000000000001</v>
      </c>
      <c r="AU40" s="80">
        <f>MEDIAN(Monday!F1314,Tuesday!F1314,Wednesday!F1314,Thursday!F1314,Friday!F1314)</f>
        <v>6.3</v>
      </c>
      <c r="AV40" s="80">
        <f>AVERAGE(Monday!F1372,Tuesday!F1372,Wednesday!F1372,Thursday!F1372,Friday!F1372)</f>
        <v>5.9139999999999997</v>
      </c>
      <c r="AW40" s="80">
        <f>MEDIAN(Monday!F1372,Tuesday!F1372,Wednesday!F1372,Thursday!F1372,Friday!F1372)</f>
        <v>5.67</v>
      </c>
      <c r="AX40" s="80">
        <f>AVERAGE(Monday!F1430,Tuesday!F1430,Wednesday!F1430,Thursday!F1430,Friday!F1430)</f>
        <v>6.1959999999999997</v>
      </c>
      <c r="AY40" s="80">
        <f>MEDIAN(Monday!F1430,Tuesday!F1430,Wednesday!F1430,Thursday!F1430,Friday!F1430)</f>
        <v>5.42</v>
      </c>
      <c r="AZ40" s="80">
        <f>AVERAGE(Monday!F1488,Tuesday!F1488,Wednesday!F1488,Thursday!F1488,Friday!F1488)</f>
        <v>5.9300000000000006</v>
      </c>
      <c r="BA40" s="80">
        <f>MEDIAN(Monday!F1488,Tuesday!F1488,Wednesday!F1488,Thursday!F1488,Friday!F1488)</f>
        <v>6.08</v>
      </c>
      <c r="BB40" s="81">
        <v>37</v>
      </c>
      <c r="BC40" s="80">
        <f t="shared" si="2"/>
        <v>4.6075384615384616</v>
      </c>
      <c r="BD40" s="80">
        <f t="shared" si="1"/>
        <v>4.375</v>
      </c>
    </row>
    <row r="41" spans="1:56" x14ac:dyDescent="0.25">
      <c r="A41" s="33">
        <v>38</v>
      </c>
      <c r="B41" s="80">
        <f>AVERAGE(Monday!F39,Tuesday!F39,Wednesday!F39,Thursday!F39,Friday!F39)</f>
        <v>3.274</v>
      </c>
      <c r="C41" s="80">
        <f>MEDIAN(Monday!F39,Tuesday!F39,Wednesday!F39,Thursday!F39,Friday!F39)</f>
        <v>3.32</v>
      </c>
      <c r="D41" s="80">
        <f>AVERAGE(Monday!F97,Tuesday!F97,Wednesday!F97,Thursday!F97,Friday!F97)</f>
        <v>3.2960000000000007</v>
      </c>
      <c r="E41" s="80">
        <f>MEDIAN(Monday!F97,Tuesday!F97,Wednesday!F97,Thursday!F97,Friday!F97)</f>
        <v>3.3</v>
      </c>
      <c r="F41" s="80">
        <f>AVERAGE(Monday!F155,Tuesday!F155,Wednesday!F155,Thursday!F155,Friday!F155)</f>
        <v>3.4879999999999995</v>
      </c>
      <c r="G41" s="80">
        <f>MEDIAN(Monday!F155,Tuesday!F155,Wednesday!F155,Thursday!F155,Friday!F155)</f>
        <v>3.48</v>
      </c>
      <c r="H41" s="80">
        <f>AVERAGE(Monday!F213,Tuesday!F213,Wednesday!F213,Thursday!F213,Friday!F213)</f>
        <v>3.4880000000000004</v>
      </c>
      <c r="I41" s="80">
        <f>MEDIAN(Monday!F213,Tuesday!F213,Wednesday!F213,Thursday!F213,Friday!F213)</f>
        <v>3.48</v>
      </c>
      <c r="J41" s="80">
        <f>AVERAGE(Monday!F271,Tuesday!F271,Wednesday!F271,Thursday!F271,Friday!F271)</f>
        <v>3.6280000000000001</v>
      </c>
      <c r="K41" s="80">
        <f>MEDIAN(Monday!F271,Tuesday!F271,Wednesday!F271,Thursday!F271,Friday!F271)</f>
        <v>3.62</v>
      </c>
      <c r="L41" s="80">
        <f>AVERAGE(Monday!F329,Tuesday!F329,Wednesday!F329,Thursday!F329,Friday!F329)</f>
        <v>3.6520000000000001</v>
      </c>
      <c r="M41" s="80">
        <f>MEDIAN(Monday!F329,Tuesday!F329,Wednesday!F329,Thursday!F329,Friday!F329)</f>
        <v>3.63</v>
      </c>
      <c r="N41" s="80">
        <f>AVERAGE(Monday!F387,Tuesday!F387,Wednesday!F387,Thursday!F387,Friday!F387)</f>
        <v>3.806</v>
      </c>
      <c r="O41" s="80">
        <f>MEDIAN(Monday!F387,Tuesday!F387,Wednesday!F387,Thursday!F387,Friday!F387)</f>
        <v>3.8</v>
      </c>
      <c r="P41" s="80">
        <f>AVERAGE(Monday!F445,Tuesday!F445,Wednesday!F445,Thursday!F445,Friday!F445)</f>
        <v>3.8359999999999999</v>
      </c>
      <c r="Q41" s="80">
        <f>MEDIAN(Monday!F445,Tuesday!F445,Wednesday!F445,Thursday!F445,Friday!F445)</f>
        <v>3.82</v>
      </c>
      <c r="R41" s="80">
        <f>AVERAGE(Monday!F503,Tuesday!F503,Wednesday!F503,Thursday!F503,Friday!F503)</f>
        <v>3.78</v>
      </c>
      <c r="S41" s="80">
        <f>MEDIAN(Monday!F503,Tuesday!F503,Wednesday!F503,Thursday!F503,Friday!F503)</f>
        <v>3.77</v>
      </c>
      <c r="T41" s="80">
        <f>AVERAGE(Monday!F561,Tuesday!F561,Wednesday!F561,Thursday!F561,Friday!F561)</f>
        <v>3.7739999999999996</v>
      </c>
      <c r="U41" s="80">
        <f>MEDIAN(Monday!F561,Tuesday!F561,Wednesday!F561,Thursday!F561,Friday!F561)</f>
        <v>3.78</v>
      </c>
      <c r="V41" s="80">
        <f>AVERAGE(Monday!F619,Tuesday!F619,Wednesday!F619,Thursday!F619,Friday!F619)</f>
        <v>3.7520000000000002</v>
      </c>
      <c r="W41" s="80">
        <f>MEDIAN(Monday!F619,Tuesday!F619,Wednesday!F619,Thursday!F619,Friday!F619)</f>
        <v>3.75</v>
      </c>
      <c r="X41" s="80">
        <f>AVERAGE(Monday!F677,Tuesday!F677,Wednesday!F677,Thursday!F677,Friday!F677)</f>
        <v>3.8359999999999999</v>
      </c>
      <c r="Y41" s="80">
        <f>MEDIAN(Monday!F677,Tuesday!F677,Wednesday!F677,Thursday!F677,Friday!F677)</f>
        <v>3.87</v>
      </c>
      <c r="Z41" s="80">
        <f>AVERAGE(Monday!F735,Tuesday!F735,Wednesday!F735,Thursday!F735,Friday!F735)</f>
        <v>3.8679999999999999</v>
      </c>
      <c r="AA41" s="80">
        <f>MEDIAN(Monday!F735,Tuesday!F735,Wednesday!F735,Thursday!F735,Friday!F735)</f>
        <v>3.87</v>
      </c>
      <c r="AB41" s="80">
        <f>AVERAGE(Monday!F793,Tuesday!F793,Wednesday!F793,Thursday!F793,Friday!F793)</f>
        <v>4.3519999999999994</v>
      </c>
      <c r="AC41" s="80">
        <f>MEDIAN(Monday!F793,Tuesday!F793,Wednesday!F793,Thursday!F793,Friday!F793)</f>
        <v>4.38</v>
      </c>
      <c r="AD41" s="80">
        <f>AVERAGE(Monday!F851,Tuesday!F851,Wednesday!F851,Thursday!F851,Friday!F851)</f>
        <v>4.3899999999999997</v>
      </c>
      <c r="AE41" s="80">
        <f>MEDIAN(Monday!F851,Tuesday!F851,Wednesday!F851,Thursday!F851,Friday!F851)</f>
        <v>4.4800000000000004</v>
      </c>
      <c r="AF41" s="80">
        <f>AVERAGE(Monday!F909,Tuesday!F909,Wednesday!F909,Thursday!F909,Friday!F909)</f>
        <v>4.468</v>
      </c>
      <c r="AG41" s="80">
        <f>MEDIAN(Monday!F909,Tuesday!F909,Wednesday!F909,Thursday!F909,Friday!F909)</f>
        <v>4.5</v>
      </c>
      <c r="AH41" s="80">
        <f>AVERAGE(Monday!F967,Tuesday!F967,Wednesday!F967,Thursday!F967,Friday!F967)</f>
        <v>4.4820000000000011</v>
      </c>
      <c r="AI41" s="80">
        <f>MEDIAN(Monday!F967,Tuesday!F967,Wednesday!F967,Thursday!F967,Friday!F967)</f>
        <v>4.4800000000000004</v>
      </c>
      <c r="AJ41" s="80">
        <f>AVERAGE(Monday!F1025,Tuesday!F1025,Wednesday!F1025,Thursday!F1025,Friday!F1025)</f>
        <v>4.5600000000000005</v>
      </c>
      <c r="AK41" s="80">
        <f>MEDIAN(Monday!F1025,Tuesday!F1025,Wednesday!F1025,Thursday!F1025,Friday!F1025)</f>
        <v>4.53</v>
      </c>
      <c r="AL41" s="80">
        <f>AVERAGE(Monday!F1083,Tuesday!F1083,Wednesday!F1083,Thursday!F1083,Friday!F1083)</f>
        <v>4.57</v>
      </c>
      <c r="AM41" s="80">
        <f>MEDIAN(Monday!F1083,Tuesday!F1083,Wednesday!F1083,Thursday!F1083,Friday!F1083)</f>
        <v>4.62</v>
      </c>
      <c r="AN41" s="80">
        <f>AVERAGE(Monday!F1141,Tuesday!F1141,Wednesday!F1141,Thursday!F1141,Friday!F1141)</f>
        <v>4.5299999999999994</v>
      </c>
      <c r="AO41" s="80">
        <f>MEDIAN(Monday!F1141,Tuesday!F1141,Wednesday!F1141,Thursday!F1141,Friday!F1141)</f>
        <v>4.53</v>
      </c>
      <c r="AP41" s="80">
        <f>AVERAGE(Monday!F1199,Tuesday!F1199,Wednesday!F1199,Thursday!F1199,Friday!F1199)</f>
        <v>4.6579999999999995</v>
      </c>
      <c r="AQ41" s="80">
        <f>MEDIAN(Monday!F1199,Tuesday!F1199,Wednesday!F1199,Thursday!F1199,Friday!F1199)</f>
        <v>4.67</v>
      </c>
      <c r="AR41" s="80">
        <f>AVERAGE(Monday!F1257,Tuesday!F1257,Wednesday!F1257,Thursday!F1257,Friday!F1257)</f>
        <v>4.798</v>
      </c>
      <c r="AS41" s="80">
        <f>MEDIAN(Monday!F1257,Tuesday!F1257,Wednesday!F1257,Thursday!F1257,Friday!F1257)</f>
        <v>4.7300000000000004</v>
      </c>
      <c r="AT41" s="80">
        <f>AVERAGE(Monday!F1315,Tuesday!F1315,Wednesday!F1315,Thursday!F1315,Friday!F1315)</f>
        <v>5.194</v>
      </c>
      <c r="AU41" s="80">
        <f>MEDIAN(Monday!F1315,Tuesday!F1315,Wednesday!F1315,Thursday!F1315,Friday!F1315)</f>
        <v>5.28</v>
      </c>
      <c r="AV41" s="80">
        <f>AVERAGE(Monday!F1373,Tuesday!F1373,Wednesday!F1373,Thursday!F1373,Friday!F1373)</f>
        <v>5.5659999999999998</v>
      </c>
      <c r="AW41" s="80">
        <f>MEDIAN(Monday!F1373,Tuesday!F1373,Wednesday!F1373,Thursday!F1373,Friday!F1373)</f>
        <v>5.72</v>
      </c>
      <c r="AX41" s="80">
        <f>AVERAGE(Monday!F1431,Tuesday!F1431,Wednesday!F1431,Thursday!F1431,Friday!F1431)</f>
        <v>5.6619999999999999</v>
      </c>
      <c r="AY41" s="80">
        <f>MEDIAN(Monday!F1431,Tuesday!F1431,Wednesday!F1431,Thursday!F1431,Friday!F1431)</f>
        <v>5.7</v>
      </c>
      <c r="AZ41" s="80">
        <f>AVERAGE(Monday!F1489,Tuesday!F1489,Wednesday!F1489,Thursday!F1489,Friday!F1489)</f>
        <v>5.5179999999999998</v>
      </c>
      <c r="BA41" s="80">
        <f>MEDIAN(Monday!F1489,Tuesday!F1489,Wednesday!F1489,Thursday!F1489,Friday!F1489)</f>
        <v>5.52</v>
      </c>
      <c r="BB41" s="81">
        <v>38</v>
      </c>
      <c r="BC41" s="80">
        <f t="shared" si="2"/>
        <v>4.2394615384615397</v>
      </c>
      <c r="BD41" s="80">
        <f t="shared" si="1"/>
        <v>4.125</v>
      </c>
    </row>
    <row r="42" spans="1:56" x14ac:dyDescent="0.25">
      <c r="A42" s="33">
        <v>39</v>
      </c>
      <c r="B42" s="80">
        <f>AVERAGE(Monday!F40,Tuesday!F40,Wednesday!F40,Thursday!F40,Friday!F40)</f>
        <v>3.04</v>
      </c>
      <c r="C42" s="80">
        <f>MEDIAN(Monday!F40,Tuesday!F40,Wednesday!F40,Thursday!F40,Friday!F40)</f>
        <v>3.08</v>
      </c>
      <c r="D42" s="80">
        <f>AVERAGE(Monday!F98,Tuesday!F98,Wednesday!F98,Thursday!F98,Friday!F98)</f>
        <v>3.0760000000000001</v>
      </c>
      <c r="E42" s="80">
        <f>MEDIAN(Monday!F98,Tuesday!F98,Wednesday!F98,Thursday!F98,Friday!F98)</f>
        <v>3.05</v>
      </c>
      <c r="F42" s="80">
        <f>AVERAGE(Monday!F156,Tuesday!F156,Wednesday!F156,Thursday!F156,Friday!F156)</f>
        <v>3.1440000000000006</v>
      </c>
      <c r="G42" s="80">
        <f>MEDIAN(Monday!F156,Tuesday!F156,Wednesday!F156,Thursday!F156,Friday!F156)</f>
        <v>3.12</v>
      </c>
      <c r="H42" s="80">
        <f>AVERAGE(Monday!F214,Tuesday!F214,Wednesday!F214,Thursday!F214,Friday!F214)</f>
        <v>3.15</v>
      </c>
      <c r="I42" s="80">
        <f>MEDIAN(Monday!F214,Tuesday!F214,Wednesday!F214,Thursday!F214,Friday!F214)</f>
        <v>3.13</v>
      </c>
      <c r="J42" s="80">
        <f>AVERAGE(Monday!F272,Tuesday!F272,Wednesday!F272,Thursday!F272,Friday!F272)</f>
        <v>3.1539999999999999</v>
      </c>
      <c r="K42" s="80">
        <f>MEDIAN(Monday!F272,Tuesday!F272,Wednesday!F272,Thursday!F272,Friday!F272)</f>
        <v>3.15</v>
      </c>
      <c r="L42" s="80">
        <f>AVERAGE(Monday!F330,Tuesday!F330,Wednesday!F330,Thursday!F330,Friday!F330)</f>
        <v>3.2099999999999995</v>
      </c>
      <c r="M42" s="80">
        <f>MEDIAN(Monday!F330,Tuesday!F330,Wednesday!F330,Thursday!F330,Friday!F330)</f>
        <v>3.18</v>
      </c>
      <c r="N42" s="80">
        <f>AVERAGE(Monday!F388,Tuesday!F388,Wednesday!F388,Thursday!F388,Friday!F388)</f>
        <v>3.31</v>
      </c>
      <c r="O42" s="80">
        <f>MEDIAN(Monday!F388,Tuesday!F388,Wednesday!F388,Thursday!F388,Friday!F388)</f>
        <v>3.32</v>
      </c>
      <c r="P42" s="80">
        <f>AVERAGE(Monday!F446,Tuesday!F446,Wednesday!F446,Thursday!F446,Friday!F446)</f>
        <v>3.4</v>
      </c>
      <c r="Q42" s="80">
        <f>MEDIAN(Monday!F446,Tuesday!F446,Wednesday!F446,Thursday!F446,Friday!F446)</f>
        <v>3.4</v>
      </c>
      <c r="R42" s="80">
        <f>AVERAGE(Monday!F504,Tuesday!F504,Wednesday!F504,Thursday!F504,Friday!F504)</f>
        <v>3.4240000000000004</v>
      </c>
      <c r="S42" s="80">
        <f>MEDIAN(Monday!F504,Tuesday!F504,Wednesday!F504,Thursday!F504,Friday!F504)</f>
        <v>3.45</v>
      </c>
      <c r="T42" s="80">
        <f>AVERAGE(Monday!F562,Tuesday!F562,Wednesday!F562,Thursday!F562,Friday!F562)</f>
        <v>3.3820000000000001</v>
      </c>
      <c r="U42" s="80">
        <f>MEDIAN(Monday!F562,Tuesday!F562,Wednesday!F562,Thursday!F562,Friday!F562)</f>
        <v>3.42</v>
      </c>
      <c r="V42" s="80">
        <f>AVERAGE(Monday!F620,Tuesday!F620,Wednesday!F620,Thursday!F620,Friday!F620)</f>
        <v>3.3639999999999999</v>
      </c>
      <c r="W42" s="80">
        <f>MEDIAN(Monday!F620,Tuesday!F620,Wednesday!F620,Thursday!F620,Friday!F620)</f>
        <v>3.35</v>
      </c>
      <c r="X42" s="80">
        <f>AVERAGE(Monday!F678,Tuesday!F678,Wednesday!F678,Thursday!F678,Friday!F678)</f>
        <v>3.3820000000000001</v>
      </c>
      <c r="Y42" s="80">
        <f>MEDIAN(Monday!F678,Tuesday!F678,Wednesday!F678,Thursday!F678,Friday!F678)</f>
        <v>3.37</v>
      </c>
      <c r="Z42" s="80">
        <f>AVERAGE(Monday!F736,Tuesday!F736,Wednesday!F736,Thursday!F736,Friday!F736)</f>
        <v>3.45</v>
      </c>
      <c r="AA42" s="80">
        <f>MEDIAN(Monday!F736,Tuesday!F736,Wednesday!F736,Thursday!F736,Friday!F736)</f>
        <v>3.45</v>
      </c>
      <c r="AB42" s="80">
        <f>AVERAGE(Monday!F794,Tuesday!F794,Wednesday!F794,Thursday!F794,Friday!F794)</f>
        <v>3.6420000000000003</v>
      </c>
      <c r="AC42" s="80">
        <f>MEDIAN(Monday!F794,Tuesday!F794,Wednesday!F794,Thursday!F794,Friday!F794)</f>
        <v>3.55</v>
      </c>
      <c r="AD42" s="80">
        <f>AVERAGE(Monday!F852,Tuesday!F852,Wednesday!F852,Thursday!F852,Friday!F852)</f>
        <v>3.5479999999999996</v>
      </c>
      <c r="AE42" s="80">
        <f>MEDIAN(Monday!F852,Tuesday!F852,Wednesday!F852,Thursday!F852,Friday!F852)</f>
        <v>3.6</v>
      </c>
      <c r="AF42" s="80">
        <f>AVERAGE(Monday!F910,Tuesday!F910,Wednesday!F910,Thursday!F910,Friday!F910)</f>
        <v>3.6640000000000001</v>
      </c>
      <c r="AG42" s="80">
        <f>MEDIAN(Monday!F910,Tuesday!F910,Wednesday!F910,Thursday!F910,Friday!F910)</f>
        <v>3.63</v>
      </c>
      <c r="AH42" s="80">
        <f>AVERAGE(Monday!F968,Tuesday!F968,Wednesday!F968,Thursday!F968,Friday!F968)</f>
        <v>3.7239999999999993</v>
      </c>
      <c r="AI42" s="80">
        <f>MEDIAN(Monday!F968,Tuesday!F968,Wednesday!F968,Thursday!F968,Friday!F968)</f>
        <v>3.68</v>
      </c>
      <c r="AJ42" s="80">
        <f>AVERAGE(Monday!F1026,Tuesday!F1026,Wednesday!F1026,Thursday!F1026,Friday!F1026)</f>
        <v>3.9200000000000004</v>
      </c>
      <c r="AK42" s="80">
        <f>MEDIAN(Monday!F1026,Tuesday!F1026,Wednesday!F1026,Thursday!F1026,Friday!F1026)</f>
        <v>3.8</v>
      </c>
      <c r="AL42" s="80">
        <f>AVERAGE(Monday!F1084,Tuesday!F1084,Wednesday!F1084,Thursday!F1084,Friday!F1084)</f>
        <v>3.7679999999999998</v>
      </c>
      <c r="AM42" s="80">
        <f>MEDIAN(Monday!F1084,Tuesday!F1084,Wednesday!F1084,Thursday!F1084,Friday!F1084)</f>
        <v>3.77</v>
      </c>
      <c r="AN42" s="80">
        <f>AVERAGE(Monday!F1142,Tuesday!F1142,Wednesday!F1142,Thursday!F1142,Friday!F1142)</f>
        <v>3.6680000000000001</v>
      </c>
      <c r="AO42" s="80">
        <f>MEDIAN(Monday!F1142,Tuesday!F1142,Wednesday!F1142,Thursday!F1142,Friday!F1142)</f>
        <v>3.63</v>
      </c>
      <c r="AP42" s="80">
        <f>AVERAGE(Monday!F1200,Tuesday!F1200,Wednesday!F1200,Thursday!F1200,Friday!F1200)</f>
        <v>3.6819999999999995</v>
      </c>
      <c r="AQ42" s="80">
        <f>MEDIAN(Monday!F1200,Tuesday!F1200,Wednesday!F1200,Thursday!F1200,Friday!F1200)</f>
        <v>3.68</v>
      </c>
      <c r="AR42" s="80">
        <f>AVERAGE(Monday!F1258,Tuesday!F1258,Wednesday!F1258,Thursday!F1258,Friday!F1258)</f>
        <v>3.9079999999999999</v>
      </c>
      <c r="AS42" s="80">
        <f>MEDIAN(Monday!F1258,Tuesday!F1258,Wednesday!F1258,Thursday!F1258,Friday!F1258)</f>
        <v>3.88</v>
      </c>
      <c r="AT42" s="80">
        <f>AVERAGE(Monday!F1316,Tuesday!F1316,Wednesday!F1316,Thursday!F1316,Friday!F1316)</f>
        <v>3.8740000000000001</v>
      </c>
      <c r="AU42" s="80">
        <f>MEDIAN(Monday!F1316,Tuesday!F1316,Wednesday!F1316,Thursday!F1316,Friday!F1316)</f>
        <v>3.82</v>
      </c>
      <c r="AV42" s="80">
        <f>AVERAGE(Monday!F1374,Tuesday!F1374,Wednesday!F1374,Thursday!F1374,Friday!F1374)</f>
        <v>3.91</v>
      </c>
      <c r="AW42" s="80">
        <f>MEDIAN(Monday!F1374,Tuesday!F1374,Wednesday!F1374,Thursday!F1374,Friday!F1374)</f>
        <v>3.87</v>
      </c>
      <c r="AX42" s="80">
        <f>AVERAGE(Monday!F1432,Tuesday!F1432,Wednesday!F1432,Thursday!F1432,Friday!F1432)</f>
        <v>3.972</v>
      </c>
      <c r="AY42" s="80">
        <f>MEDIAN(Monday!F1432,Tuesday!F1432,Wednesday!F1432,Thursday!F1432,Friday!F1432)</f>
        <v>3.97</v>
      </c>
      <c r="AZ42" s="80">
        <f>AVERAGE(Monday!F1490,Tuesday!F1490,Wednesday!F1490,Thursday!F1490,Friday!F1490)</f>
        <v>4.0019999999999998</v>
      </c>
      <c r="BA42" s="80">
        <f>MEDIAN(Monday!F1490,Tuesday!F1490,Wednesday!F1490,Thursday!F1490,Friday!F1490)</f>
        <v>3.93</v>
      </c>
      <c r="BB42" s="81">
        <v>39</v>
      </c>
      <c r="BC42" s="80">
        <f t="shared" si="2"/>
        <v>3.5295384615384608</v>
      </c>
      <c r="BD42" s="80">
        <f t="shared" si="1"/>
        <v>3.5</v>
      </c>
    </row>
    <row r="43" spans="1:56" x14ac:dyDescent="0.25">
      <c r="A43" s="33">
        <v>40</v>
      </c>
      <c r="B43" s="80">
        <f>AVERAGE(Monday!F41,Tuesday!F41,Wednesday!F41,Thursday!F41,Friday!F41)</f>
        <v>2.6259999999999999</v>
      </c>
      <c r="C43" s="80">
        <f>MEDIAN(Monday!F41,Tuesday!F41,Wednesday!F41,Thursday!F41,Friday!F41)</f>
        <v>2.63</v>
      </c>
      <c r="D43" s="80">
        <f>AVERAGE(Monday!F99,Tuesday!F99,Wednesday!F99,Thursday!F99,Friday!F99)</f>
        <v>2.6159999999999997</v>
      </c>
      <c r="E43" s="80">
        <f>MEDIAN(Monday!F99,Tuesday!F99,Wednesday!F99,Thursday!F99,Friday!F99)</f>
        <v>2.62</v>
      </c>
      <c r="F43" s="80">
        <f>AVERAGE(Monday!F157,Tuesday!F157,Wednesday!F157,Thursday!F157,Friday!F157)</f>
        <v>2.6539999999999999</v>
      </c>
      <c r="G43" s="80">
        <f>MEDIAN(Monday!F157,Tuesday!F157,Wednesday!F157,Thursday!F157,Friday!F157)</f>
        <v>2.65</v>
      </c>
      <c r="H43" s="80">
        <f>AVERAGE(Monday!F215,Tuesday!F215,Wednesday!F215,Thursday!F215,Friday!F215)</f>
        <v>2.6759999999999997</v>
      </c>
      <c r="I43" s="80">
        <f>MEDIAN(Monday!F215,Tuesday!F215,Wednesday!F215,Thursday!F215,Friday!F215)</f>
        <v>2.67</v>
      </c>
      <c r="J43" s="80">
        <f>AVERAGE(Monday!F273,Tuesday!F273,Wednesday!F273,Thursday!F273,Friday!F273)</f>
        <v>2.698</v>
      </c>
      <c r="K43" s="80">
        <f>MEDIAN(Monday!F273,Tuesday!F273,Wednesday!F273,Thursday!F273,Friday!F273)</f>
        <v>2.68</v>
      </c>
      <c r="L43" s="80">
        <f>AVERAGE(Monday!F331,Tuesday!F331,Wednesday!F331,Thursday!F331,Friday!F331)</f>
        <v>2.7160000000000002</v>
      </c>
      <c r="M43" s="80">
        <f>MEDIAN(Monday!F331,Tuesday!F331,Wednesday!F331,Thursday!F331,Friday!F331)</f>
        <v>2.72</v>
      </c>
      <c r="N43" s="80">
        <f>AVERAGE(Monday!F389,Tuesday!F389,Wednesday!F389,Thursday!F389,Friday!F389)</f>
        <v>2.7660000000000005</v>
      </c>
      <c r="O43" s="80">
        <f>MEDIAN(Monday!F389,Tuesday!F389,Wednesday!F389,Thursday!F389,Friday!F389)</f>
        <v>2.75</v>
      </c>
      <c r="P43" s="80">
        <f>AVERAGE(Monday!F447,Tuesday!F447,Wednesday!F447,Thursday!F447,Friday!F447)</f>
        <v>2.8440000000000003</v>
      </c>
      <c r="Q43" s="80">
        <f>MEDIAN(Monday!F447,Tuesday!F447,Wednesday!F447,Thursday!F447,Friday!F447)</f>
        <v>2.85</v>
      </c>
      <c r="R43" s="80">
        <f>AVERAGE(Monday!F505,Tuesday!F505,Wednesday!F505,Thursday!F505,Friday!F505)</f>
        <v>2.8380000000000001</v>
      </c>
      <c r="S43" s="80">
        <f>MEDIAN(Monday!F505,Tuesday!F505,Wednesday!F505,Thursday!F505,Friday!F505)</f>
        <v>2.82</v>
      </c>
      <c r="T43" s="80">
        <f>AVERAGE(Monday!F563,Tuesday!F563,Wednesday!F563,Thursday!F563,Friday!F563)</f>
        <v>2.8039999999999998</v>
      </c>
      <c r="U43" s="80">
        <f>MEDIAN(Monday!F563,Tuesday!F563,Wednesday!F563,Thursday!F563,Friday!F563)</f>
        <v>2.82</v>
      </c>
      <c r="V43" s="80">
        <f>AVERAGE(Monday!F621,Tuesday!F621,Wednesday!F621,Thursday!F621,Friday!F621)</f>
        <v>2.91</v>
      </c>
      <c r="W43" s="80">
        <f>MEDIAN(Monday!F621,Tuesday!F621,Wednesday!F621,Thursday!F621,Friday!F621)</f>
        <v>2.87</v>
      </c>
      <c r="X43" s="80">
        <f>AVERAGE(Monday!F679,Tuesday!F679,Wednesday!F679,Thursday!F679,Friday!F679)</f>
        <v>2.8780000000000001</v>
      </c>
      <c r="Y43" s="80">
        <f>MEDIAN(Monday!F679,Tuesday!F679,Wednesday!F679,Thursday!F679,Friday!F679)</f>
        <v>2.88</v>
      </c>
      <c r="Z43" s="80">
        <f>AVERAGE(Monday!F737,Tuesday!F737,Wednesday!F737,Thursday!F737,Friday!F737)</f>
        <v>2.8679999999999999</v>
      </c>
      <c r="AA43" s="80">
        <f>MEDIAN(Monday!F737,Tuesday!F737,Wednesday!F737,Thursday!F737,Friday!F737)</f>
        <v>2.83</v>
      </c>
      <c r="AB43" s="80">
        <f>AVERAGE(Monday!F795,Tuesday!F795,Wednesday!F795,Thursday!F795,Friday!F795)</f>
        <v>3.0339999999999998</v>
      </c>
      <c r="AC43" s="80">
        <f>MEDIAN(Monday!F795,Tuesday!F795,Wednesday!F795,Thursday!F795,Friday!F795)</f>
        <v>3.05</v>
      </c>
      <c r="AD43" s="80">
        <f>AVERAGE(Monday!F853,Tuesday!F853,Wednesday!F853,Thursday!F853,Friday!F853)</f>
        <v>3.0960000000000001</v>
      </c>
      <c r="AE43" s="80">
        <f>MEDIAN(Monday!F853,Tuesday!F853,Wednesday!F853,Thursday!F853,Friday!F853)</f>
        <v>3.08</v>
      </c>
      <c r="AF43" s="80">
        <f>AVERAGE(Monday!F911,Tuesday!F911,Wednesday!F911,Thursday!F911,Friday!F911)</f>
        <v>3.1920000000000002</v>
      </c>
      <c r="AG43" s="80">
        <f>MEDIAN(Monday!F911,Tuesday!F911,Wednesday!F911,Thursday!F911,Friday!F911)</f>
        <v>3.18</v>
      </c>
      <c r="AH43" s="80">
        <f>AVERAGE(Monday!F969,Tuesday!F969,Wednesday!F969,Thursday!F969,Friday!F969)</f>
        <v>3.242</v>
      </c>
      <c r="AI43" s="80">
        <f>MEDIAN(Monday!F969,Tuesday!F969,Wednesday!F969,Thursday!F969,Friday!F969)</f>
        <v>3.23</v>
      </c>
      <c r="AJ43" s="80">
        <f>AVERAGE(Monday!F1027,Tuesday!F1027,Wednesday!F1027,Thursday!F1027,Friday!F1027)</f>
        <v>3.3579999999999997</v>
      </c>
      <c r="AK43" s="80">
        <f>MEDIAN(Monday!F1027,Tuesday!F1027,Wednesday!F1027,Thursday!F1027,Friday!F1027)</f>
        <v>3.38</v>
      </c>
      <c r="AL43" s="80">
        <f>AVERAGE(Monday!F1085,Tuesday!F1085,Wednesday!F1085,Thursday!F1085,Friday!F1085)</f>
        <v>3.3920000000000003</v>
      </c>
      <c r="AM43" s="80">
        <f>MEDIAN(Monday!F1085,Tuesday!F1085,Wednesday!F1085,Thursday!F1085,Friday!F1085)</f>
        <v>3.38</v>
      </c>
      <c r="AN43" s="80">
        <f>AVERAGE(Monday!F1143,Tuesday!F1143,Wednesday!F1143,Thursday!F1143,Friday!F1143)</f>
        <v>3.2619999999999996</v>
      </c>
      <c r="AO43" s="80">
        <f>MEDIAN(Monday!F1143,Tuesday!F1143,Wednesday!F1143,Thursday!F1143,Friday!F1143)</f>
        <v>3.25</v>
      </c>
      <c r="AP43" s="80">
        <f>AVERAGE(Monday!F1201,Tuesday!F1201,Wednesday!F1201,Thursday!F1201,Friday!F1201)</f>
        <v>3.286</v>
      </c>
      <c r="AQ43" s="80">
        <f>MEDIAN(Monday!F1201,Tuesday!F1201,Wednesday!F1201,Thursday!F1201,Friday!F1201)</f>
        <v>3.25</v>
      </c>
      <c r="AR43" s="80">
        <f>AVERAGE(Monday!F1259,Tuesday!F1259,Wednesday!F1259,Thursday!F1259,Friday!F1259)</f>
        <v>3.3959999999999999</v>
      </c>
      <c r="AS43" s="80">
        <f>MEDIAN(Monday!F1259,Tuesday!F1259,Wednesday!F1259,Thursday!F1259,Friday!F1259)</f>
        <v>3.42</v>
      </c>
      <c r="AT43" s="80">
        <f>AVERAGE(Monday!F1317,Tuesday!F1317,Wednesday!F1317,Thursday!F1317,Friday!F1317)</f>
        <v>3.306</v>
      </c>
      <c r="AU43" s="80">
        <f>MEDIAN(Monday!F1317,Tuesday!F1317,Wednesday!F1317,Thursday!F1317,Friday!F1317)</f>
        <v>3.27</v>
      </c>
      <c r="AV43" s="80">
        <f>AVERAGE(Monday!F1375,Tuesday!F1375,Wednesday!F1375,Thursday!F1375,Friday!F1375)</f>
        <v>3.3079999999999998</v>
      </c>
      <c r="AW43" s="80">
        <f>MEDIAN(Monday!F1375,Tuesday!F1375,Wednesday!F1375,Thursday!F1375,Friday!F1375)</f>
        <v>3.25</v>
      </c>
      <c r="AX43" s="80">
        <f>AVERAGE(Monday!F1433,Tuesday!F1433,Wednesday!F1433,Thursday!F1433,Friday!F1433)</f>
        <v>3.3699999999999997</v>
      </c>
      <c r="AY43" s="80">
        <f>MEDIAN(Monday!F1433,Tuesday!F1433,Wednesday!F1433,Thursday!F1433,Friday!F1433)</f>
        <v>3.32</v>
      </c>
      <c r="AZ43" s="80">
        <f>AVERAGE(Monday!F1491,Tuesday!F1491,Wednesday!F1491,Thursday!F1491,Friday!F1491)</f>
        <v>3.3619999999999997</v>
      </c>
      <c r="BA43" s="80">
        <f>MEDIAN(Monday!F1491,Tuesday!F1491,Wednesday!F1491,Thursday!F1491,Friday!F1491)</f>
        <v>3.33</v>
      </c>
      <c r="BB43" s="81">
        <v>40</v>
      </c>
      <c r="BC43" s="80">
        <f t="shared" si="2"/>
        <v>3.0191538461538459</v>
      </c>
      <c r="BD43" s="80">
        <f t="shared" si="1"/>
        <v>2.9649999999999999</v>
      </c>
    </row>
    <row r="44" spans="1:56" x14ac:dyDescent="0.25">
      <c r="A44" s="33">
        <v>41</v>
      </c>
      <c r="B44" s="80">
        <f>AVERAGE(Monday!F42,Tuesday!F42,Wednesday!F42,Thursday!F42,Friday!F42)</f>
        <v>3.0659999999999998</v>
      </c>
      <c r="C44" s="80">
        <f>MEDIAN(Monday!F42,Tuesday!F42,Wednesday!F42,Thursday!F42,Friday!F42)</f>
        <v>3.07</v>
      </c>
      <c r="D44" s="80">
        <f>AVERAGE(Monday!F100,Tuesday!F100,Wednesday!F100,Thursday!F100,Friday!F100)</f>
        <v>3.2440000000000007</v>
      </c>
      <c r="E44" s="80">
        <f>MEDIAN(Monday!F100,Tuesday!F100,Wednesday!F100,Thursday!F100,Friday!F100)</f>
        <v>3.27</v>
      </c>
      <c r="F44" s="80">
        <f>AVERAGE(Monday!F158,Tuesday!F158,Wednesday!F158,Thursday!F158,Friday!F158)</f>
        <v>3.3340000000000005</v>
      </c>
      <c r="G44" s="80">
        <f>MEDIAN(Monday!F158,Tuesday!F158,Wednesday!F158,Thursday!F158,Friday!F158)</f>
        <v>3.33</v>
      </c>
      <c r="H44" s="80">
        <f>AVERAGE(Monday!F216,Tuesday!F216,Wednesday!F216,Thursday!F216,Friday!F216)</f>
        <v>3.65</v>
      </c>
      <c r="I44" s="80">
        <f>MEDIAN(Monday!F216,Tuesday!F216,Wednesday!F216,Thursday!F216,Friday!F216)</f>
        <v>3.72</v>
      </c>
      <c r="J44" s="80">
        <f>AVERAGE(Monday!F274,Tuesday!F274,Wednesday!F274,Thursday!F274,Friday!F274)</f>
        <v>4.3499999999999996</v>
      </c>
      <c r="K44" s="80">
        <f>MEDIAN(Monday!F274,Tuesday!F274,Wednesday!F274,Thursday!F274,Friday!F274)</f>
        <v>4.4000000000000004</v>
      </c>
      <c r="L44" s="80">
        <f>AVERAGE(Monday!F332,Tuesday!F332,Wednesday!F332,Thursday!F332,Friday!F332)</f>
        <v>5.7279999999999998</v>
      </c>
      <c r="M44" s="80">
        <f>MEDIAN(Monday!F332,Tuesday!F332,Wednesday!F332,Thursday!F332,Friday!F332)</f>
        <v>5.78</v>
      </c>
      <c r="N44" s="80">
        <f>AVERAGE(Monday!F390,Tuesday!F390,Wednesday!F390,Thursday!F390,Friday!F390)</f>
        <v>5.4960000000000004</v>
      </c>
      <c r="O44" s="80">
        <f>MEDIAN(Monday!F390,Tuesday!F390,Wednesday!F390,Thursday!F390,Friday!F390)</f>
        <v>5.32</v>
      </c>
      <c r="P44" s="80">
        <f>AVERAGE(Monday!F448,Tuesday!F448,Wednesday!F448,Thursday!F448,Friday!F448)</f>
        <v>5.1560000000000006</v>
      </c>
      <c r="Q44" s="80">
        <f>MEDIAN(Monday!F448,Tuesday!F448,Wednesday!F448,Thursday!F448,Friday!F448)</f>
        <v>4.67</v>
      </c>
      <c r="R44" s="80">
        <f>AVERAGE(Monday!F506,Tuesday!F506,Wednesday!F506,Thursday!F506,Friday!F506)</f>
        <v>4.6719999999999997</v>
      </c>
      <c r="S44" s="80">
        <f>MEDIAN(Monday!F506,Tuesday!F506,Wednesday!F506,Thursday!F506,Friday!F506)</f>
        <v>4.57</v>
      </c>
      <c r="T44" s="80">
        <f>AVERAGE(Monday!F564,Tuesday!F564,Wednesday!F564,Thursday!F564,Friday!F564)</f>
        <v>4.258</v>
      </c>
      <c r="U44" s="80">
        <f>MEDIAN(Monday!F564,Tuesday!F564,Wednesday!F564,Thursday!F564,Friday!F564)</f>
        <v>4.18</v>
      </c>
      <c r="V44" s="80">
        <f>AVERAGE(Monday!F622,Tuesday!F622,Wednesday!F622,Thursday!F622,Friday!F622)</f>
        <v>4.33</v>
      </c>
      <c r="W44" s="80">
        <f>MEDIAN(Monday!F622,Tuesday!F622,Wednesday!F622,Thursday!F622,Friday!F622)</f>
        <v>4.2300000000000004</v>
      </c>
      <c r="X44" s="80">
        <f>AVERAGE(Monday!F680,Tuesday!F680,Wednesday!F680,Thursday!F680,Friday!F680)</f>
        <v>4.3940000000000001</v>
      </c>
      <c r="Y44" s="80">
        <f>MEDIAN(Monday!F680,Tuesday!F680,Wednesday!F680,Thursday!F680,Friday!F680)</f>
        <v>4.32</v>
      </c>
      <c r="Z44" s="80">
        <f>AVERAGE(Monday!F738,Tuesday!F738,Wednesday!F738,Thursday!F738,Friday!F738)</f>
        <v>4.3259999999999996</v>
      </c>
      <c r="AA44" s="80">
        <f>MEDIAN(Monday!F738,Tuesday!F738,Wednesday!F738,Thursday!F738,Friday!F738)</f>
        <v>4.3</v>
      </c>
      <c r="AB44" s="80">
        <f>AVERAGE(Monday!F796,Tuesday!F796,Wednesday!F796,Thursday!F796,Friday!F796)</f>
        <v>4.8220000000000001</v>
      </c>
      <c r="AC44" s="80">
        <f>MEDIAN(Monday!F796,Tuesday!F796,Wednesday!F796,Thursday!F796,Friday!F796)</f>
        <v>4.75</v>
      </c>
      <c r="AD44" s="80">
        <f>AVERAGE(Monday!F854,Tuesday!F854,Wednesday!F854,Thursday!F854,Friday!F854)</f>
        <v>4.8639999999999999</v>
      </c>
      <c r="AE44" s="80">
        <f>MEDIAN(Monday!F854,Tuesday!F854,Wednesday!F854,Thursday!F854,Friday!F854)</f>
        <v>4.87</v>
      </c>
      <c r="AF44" s="80">
        <f>AVERAGE(Monday!F912,Tuesday!F912,Wednesday!F912,Thursday!F912,Friday!F912)</f>
        <v>4.8659999999999997</v>
      </c>
      <c r="AG44" s="80">
        <f>MEDIAN(Monday!F912,Tuesday!F912,Wednesday!F912,Thursday!F912,Friday!F912)</f>
        <v>4.8</v>
      </c>
      <c r="AH44" s="80">
        <f>AVERAGE(Monday!F970,Tuesday!F970,Wednesday!F970,Thursday!F970,Friday!F970)</f>
        <v>4.8439999999999994</v>
      </c>
      <c r="AI44" s="80">
        <f>MEDIAN(Monday!F970,Tuesday!F970,Wednesday!F970,Thursday!F970,Friday!F970)</f>
        <v>4.83</v>
      </c>
      <c r="AJ44" s="80">
        <f>AVERAGE(Monday!F1028,Tuesday!F1028,Wednesday!F1028,Thursday!F1028,Friday!F1028)</f>
        <v>4.88</v>
      </c>
      <c r="AK44" s="80">
        <f>MEDIAN(Monday!F1028,Tuesday!F1028,Wednesday!F1028,Thursday!F1028,Friday!F1028)</f>
        <v>4.62</v>
      </c>
      <c r="AL44" s="80">
        <f>AVERAGE(Monday!F1086,Tuesday!F1086,Wednesday!F1086,Thursday!F1086,Friday!F1086)</f>
        <v>4.8719999999999999</v>
      </c>
      <c r="AM44" s="80">
        <f>MEDIAN(Monday!F1086,Tuesday!F1086,Wednesday!F1086,Thursday!F1086,Friday!F1086)</f>
        <v>4.67</v>
      </c>
      <c r="AN44" s="80">
        <f>AVERAGE(Monday!F1144,Tuesday!F1144,Wednesday!F1144,Thursday!F1144,Friday!F1144)</f>
        <v>4.8280000000000003</v>
      </c>
      <c r="AO44" s="80">
        <f>MEDIAN(Monday!F1144,Tuesday!F1144,Wednesday!F1144,Thursday!F1144,Friday!F1144)</f>
        <v>4.82</v>
      </c>
      <c r="AP44" s="80">
        <f>AVERAGE(Monday!F1202,Tuesday!F1202,Wednesday!F1202,Thursday!F1202,Friday!F1202)</f>
        <v>5.3160000000000007</v>
      </c>
      <c r="AQ44" s="80">
        <f>MEDIAN(Monday!F1202,Tuesday!F1202,Wednesday!F1202,Thursday!F1202,Friday!F1202)</f>
        <v>5.15</v>
      </c>
      <c r="AR44" s="80">
        <f>AVERAGE(Monday!F1260,Tuesday!F1260,Wednesday!F1260,Thursday!F1260,Friday!F1260)</f>
        <v>6.5939999999999994</v>
      </c>
      <c r="AS44" s="80">
        <f>MEDIAN(Monday!F1260,Tuesday!F1260,Wednesday!F1260,Thursday!F1260,Friday!F1260)</f>
        <v>6.85</v>
      </c>
      <c r="AT44" s="80">
        <f>AVERAGE(Monday!F1318,Tuesday!F1318,Wednesday!F1318,Thursday!F1318,Friday!F1318)</f>
        <v>6.2080000000000002</v>
      </c>
      <c r="AU44" s="80">
        <f>MEDIAN(Monday!F1318,Tuesday!F1318,Wednesday!F1318,Thursday!F1318,Friday!F1318)</f>
        <v>6.35</v>
      </c>
      <c r="AV44" s="80">
        <f>AVERAGE(Monday!F1376,Tuesday!F1376,Wednesday!F1376,Thursday!F1376,Friday!F1376)</f>
        <v>6.0499999999999989</v>
      </c>
      <c r="AW44" s="80">
        <f>MEDIAN(Monday!F1376,Tuesday!F1376,Wednesday!F1376,Thursday!F1376,Friday!F1376)</f>
        <v>5.68</v>
      </c>
      <c r="AX44" s="80">
        <f>AVERAGE(Monday!F1434,Tuesday!F1434,Wednesday!F1434,Thursday!F1434,Friday!F1434)</f>
        <v>5.1179999999999994</v>
      </c>
      <c r="AY44" s="80">
        <f>MEDIAN(Monday!F1434,Tuesday!F1434,Wednesday!F1434,Thursday!F1434,Friday!F1434)</f>
        <v>5.07</v>
      </c>
      <c r="AZ44" s="80">
        <f>AVERAGE(Monday!F1492,Tuesday!F1492,Wednesday!F1492,Thursday!F1492,Friday!F1492)</f>
        <v>4.7560000000000002</v>
      </c>
      <c r="BA44" s="80">
        <f>MEDIAN(Monday!F1492,Tuesday!F1492,Wednesday!F1492,Thursday!F1492,Friday!F1492)</f>
        <v>4.7300000000000004</v>
      </c>
      <c r="BB44" s="81">
        <v>41</v>
      </c>
      <c r="BC44" s="80">
        <f t="shared" si="2"/>
        <v>4.770076923076922</v>
      </c>
      <c r="BD44" s="80">
        <f t="shared" si="1"/>
        <v>4.7</v>
      </c>
    </row>
    <row r="45" spans="1:56" x14ac:dyDescent="0.25">
      <c r="A45" s="33">
        <v>42</v>
      </c>
      <c r="B45" s="80">
        <f>AVERAGE(Monday!F43,Tuesday!F43,Wednesday!F43,Thursday!F43,Friday!F43)</f>
        <v>3.1779999999999999</v>
      </c>
      <c r="C45" s="80">
        <f>MEDIAN(Monday!F43,Tuesday!F43,Wednesday!F43,Thursday!F43,Friday!F43)</f>
        <v>3.17</v>
      </c>
      <c r="D45" s="80">
        <f>AVERAGE(Monday!F101,Tuesday!F101,Wednesday!F101,Thursday!F101,Friday!F101)</f>
        <v>3.2559999999999993</v>
      </c>
      <c r="E45" s="80">
        <f>MEDIAN(Monday!F101,Tuesday!F101,Wednesday!F101,Thursday!F101,Friday!F101)</f>
        <v>3.27</v>
      </c>
      <c r="F45" s="80">
        <f>AVERAGE(Monday!F159,Tuesday!F159,Wednesday!F159,Thursday!F159,Friday!F159)</f>
        <v>3.4079999999999999</v>
      </c>
      <c r="G45" s="80">
        <f>MEDIAN(Monday!F159,Tuesday!F159,Wednesday!F159,Thursday!F159,Friday!F159)</f>
        <v>3.4</v>
      </c>
      <c r="H45" s="80">
        <f>AVERAGE(Monday!F217,Tuesday!F217,Wednesday!F217,Thursday!F217,Friday!F217)</f>
        <v>3.6579999999999999</v>
      </c>
      <c r="I45" s="80">
        <f>MEDIAN(Monday!F217,Tuesday!F217,Wednesday!F217,Thursday!F217,Friday!F217)</f>
        <v>3.63</v>
      </c>
      <c r="J45" s="80">
        <f>AVERAGE(Monday!F275,Tuesday!F275,Wednesday!F275,Thursday!F275,Friday!F275)</f>
        <v>4.38</v>
      </c>
      <c r="K45" s="80">
        <f>MEDIAN(Monday!F275,Tuesday!F275,Wednesday!F275,Thursday!F275,Friday!F275)</f>
        <v>4.38</v>
      </c>
      <c r="L45" s="80">
        <f>AVERAGE(Monday!F333,Tuesday!F333,Wednesday!F333,Thursday!F333,Friday!F333)</f>
        <v>4.7519999999999998</v>
      </c>
      <c r="M45" s="80">
        <f>MEDIAN(Monday!F333,Tuesday!F333,Wednesday!F333,Thursday!F333,Friday!F333)</f>
        <v>4.7699999999999996</v>
      </c>
      <c r="N45" s="80">
        <f>AVERAGE(Monday!F391,Tuesday!F391,Wednesday!F391,Thursday!F391,Friday!F391)</f>
        <v>4.8579999999999997</v>
      </c>
      <c r="O45" s="80">
        <f>MEDIAN(Monday!F391,Tuesday!F391,Wednesday!F391,Thursday!F391,Friday!F391)</f>
        <v>4.87</v>
      </c>
      <c r="P45" s="80">
        <f>AVERAGE(Monday!F449,Tuesday!F449,Wednesday!F449,Thursday!F449,Friday!F449)</f>
        <v>4.7840000000000007</v>
      </c>
      <c r="Q45" s="80">
        <f>MEDIAN(Monday!F449,Tuesday!F449,Wednesday!F449,Thursday!F449,Friday!F449)</f>
        <v>4.47</v>
      </c>
      <c r="R45" s="80">
        <f>AVERAGE(Monday!F507,Tuesday!F507,Wednesday!F507,Thursday!F507,Friday!F507)</f>
        <v>4.3079999999999998</v>
      </c>
      <c r="S45" s="80">
        <f>MEDIAN(Monday!F507,Tuesday!F507,Wednesday!F507,Thursday!F507,Friday!F507)</f>
        <v>4.3</v>
      </c>
      <c r="T45" s="80">
        <f>AVERAGE(Monday!F565,Tuesday!F565,Wednesday!F565,Thursday!F565,Friday!F565)</f>
        <v>4.0319999999999991</v>
      </c>
      <c r="U45" s="80">
        <f>MEDIAN(Monday!F565,Tuesday!F565,Wednesday!F565,Thursday!F565,Friday!F565)</f>
        <v>4.03</v>
      </c>
      <c r="V45" s="80">
        <f>AVERAGE(Monday!F623,Tuesday!F623,Wednesday!F623,Thursday!F623,Friday!F623)</f>
        <v>4.4499999999999993</v>
      </c>
      <c r="W45" s="80">
        <f>MEDIAN(Monday!F623,Tuesday!F623,Wednesday!F623,Thursday!F623,Friday!F623)</f>
        <v>4.37</v>
      </c>
      <c r="X45" s="80">
        <f>AVERAGE(Monday!F681,Tuesday!F681,Wednesday!F681,Thursday!F681,Friday!F681)</f>
        <v>4.1079999999999997</v>
      </c>
      <c r="Y45" s="80">
        <f>MEDIAN(Monday!F681,Tuesday!F681,Wednesday!F681,Thursday!F681,Friday!F681)</f>
        <v>4.08</v>
      </c>
      <c r="Z45" s="80">
        <f>AVERAGE(Monday!F739,Tuesday!F739,Wednesday!F739,Thursday!F739,Friday!F739)</f>
        <v>4.0039999999999996</v>
      </c>
      <c r="AA45" s="80">
        <f>MEDIAN(Monday!F739,Tuesday!F739,Wednesday!F739,Thursday!F739,Friday!F739)</f>
        <v>4</v>
      </c>
      <c r="AB45" s="80">
        <f>AVERAGE(Monday!F797,Tuesday!F797,Wednesday!F797,Thursday!F797,Friday!F797)</f>
        <v>4.4159999999999995</v>
      </c>
      <c r="AC45" s="80">
        <f>MEDIAN(Monday!F797,Tuesday!F797,Wednesday!F797,Thursday!F797,Friday!F797)</f>
        <v>4.57</v>
      </c>
      <c r="AD45" s="80">
        <f>AVERAGE(Monday!F855,Tuesday!F855,Wednesday!F855,Thursday!F855,Friday!F855)</f>
        <v>4.9640000000000004</v>
      </c>
      <c r="AE45" s="80">
        <f>MEDIAN(Monday!F855,Tuesday!F855,Wednesday!F855,Thursday!F855,Friday!F855)</f>
        <v>4.7</v>
      </c>
      <c r="AF45" s="80">
        <f>AVERAGE(Monday!F913,Tuesday!F913,Wednesday!F913,Thursday!F913,Friday!F913)</f>
        <v>4.7859999999999996</v>
      </c>
      <c r="AG45" s="80">
        <f>MEDIAN(Monday!F913,Tuesday!F913,Wednesday!F913,Thursday!F913,Friday!F913)</f>
        <v>4.7300000000000004</v>
      </c>
      <c r="AH45" s="80">
        <f>AVERAGE(Monday!F971,Tuesday!F971,Wednesday!F971,Thursday!F971,Friday!F971)</f>
        <v>4.8360000000000003</v>
      </c>
      <c r="AI45" s="80">
        <f>MEDIAN(Monday!F971,Tuesday!F971,Wednesday!F971,Thursday!F971,Friday!F971)</f>
        <v>4.67</v>
      </c>
      <c r="AJ45" s="80">
        <f>AVERAGE(Monday!F1029,Tuesday!F1029,Wednesday!F1029,Thursday!F1029,Friday!F1029)</f>
        <v>4.5200000000000005</v>
      </c>
      <c r="AK45" s="80">
        <f>MEDIAN(Monday!F1029,Tuesday!F1029,Wednesday!F1029,Thursday!F1029,Friday!F1029)</f>
        <v>4.5999999999999996</v>
      </c>
      <c r="AL45" s="80">
        <f>AVERAGE(Monday!F1087,Tuesday!F1087,Wednesday!F1087,Thursday!F1087,Friday!F1087)</f>
        <v>4.3420000000000005</v>
      </c>
      <c r="AM45" s="80">
        <f>MEDIAN(Monday!F1087,Tuesday!F1087,Wednesday!F1087,Thursday!F1087,Friday!F1087)</f>
        <v>4.3</v>
      </c>
      <c r="AN45" s="80">
        <f>AVERAGE(Monday!F1145,Tuesday!F1145,Wednesday!F1145,Thursday!F1145,Friday!F1145)</f>
        <v>4.3499999999999996</v>
      </c>
      <c r="AO45" s="80">
        <f>MEDIAN(Monday!F1145,Tuesday!F1145,Wednesday!F1145,Thursday!F1145,Friday!F1145)</f>
        <v>4.3499999999999996</v>
      </c>
      <c r="AP45" s="80">
        <f>AVERAGE(Monday!F1203,Tuesday!F1203,Wednesday!F1203,Thursday!F1203,Friday!F1203)</f>
        <v>4.8900000000000006</v>
      </c>
      <c r="AQ45" s="80">
        <f>MEDIAN(Monday!F1203,Tuesday!F1203,Wednesday!F1203,Thursday!F1203,Friday!F1203)</f>
        <v>4.87</v>
      </c>
      <c r="AR45" s="80">
        <f>AVERAGE(Monday!F1261,Tuesday!F1261,Wednesday!F1261,Thursday!F1261,Friday!F1261)</f>
        <v>5.8979999999999997</v>
      </c>
      <c r="AS45" s="80">
        <f>MEDIAN(Monday!F1261,Tuesday!F1261,Wednesday!F1261,Thursday!F1261,Friday!F1261)</f>
        <v>5.57</v>
      </c>
      <c r="AT45" s="80">
        <f>AVERAGE(Monday!F1319,Tuesday!F1319,Wednesday!F1319,Thursday!F1319,Friday!F1319)</f>
        <v>5.5839999999999996</v>
      </c>
      <c r="AU45" s="80">
        <f>MEDIAN(Monday!F1319,Tuesday!F1319,Wednesday!F1319,Thursday!F1319,Friday!F1319)</f>
        <v>5.7</v>
      </c>
      <c r="AV45" s="80">
        <f>AVERAGE(Monday!F1377,Tuesday!F1377,Wednesday!F1377,Thursday!F1377,Friday!F1377)</f>
        <v>5.1319999999999997</v>
      </c>
      <c r="AW45" s="80">
        <f>MEDIAN(Monday!F1377,Tuesday!F1377,Wednesday!F1377,Thursday!F1377,Friday!F1377)</f>
        <v>4.97</v>
      </c>
      <c r="AX45" s="80">
        <f>AVERAGE(Monday!F1435,Tuesday!F1435,Wednesday!F1435,Thursday!F1435,Friday!F1435)</f>
        <v>4.968</v>
      </c>
      <c r="AY45" s="80">
        <f>MEDIAN(Monday!F1435,Tuesday!F1435,Wednesday!F1435,Thursday!F1435,Friday!F1435)</f>
        <v>4.7</v>
      </c>
      <c r="AZ45" s="80">
        <f>AVERAGE(Monday!F1493,Tuesday!F1493,Wednesday!F1493,Thursday!F1493,Friday!F1493)</f>
        <v>4.5520000000000005</v>
      </c>
      <c r="BA45" s="80">
        <f>MEDIAN(Monday!F1493,Tuesday!F1493,Wednesday!F1493,Thursday!F1493,Friday!F1493)</f>
        <v>4.55</v>
      </c>
      <c r="BB45" s="81">
        <v>42</v>
      </c>
      <c r="BC45" s="80">
        <f t="shared" si="2"/>
        <v>4.4774615384615384</v>
      </c>
      <c r="BD45" s="80">
        <f t="shared" si="1"/>
        <v>4.51</v>
      </c>
    </row>
    <row r="46" spans="1:56" x14ac:dyDescent="0.25">
      <c r="A46" s="33">
        <v>43</v>
      </c>
      <c r="B46" s="80">
        <f>AVERAGE(Monday!F44,Tuesday!F44,Wednesday!F44,Thursday!F44,Friday!F44)</f>
        <v>2.9079999999999999</v>
      </c>
      <c r="C46" s="80">
        <f>MEDIAN(Monday!F44,Tuesday!F44,Wednesday!F44,Thursday!F44,Friday!F44)</f>
        <v>2.9</v>
      </c>
      <c r="D46" s="80">
        <f>AVERAGE(Monday!F102,Tuesday!F102,Wednesday!F102,Thursday!F102,Friday!F102)</f>
        <v>3.0220000000000002</v>
      </c>
      <c r="E46" s="80">
        <f>MEDIAN(Monday!F102,Tuesday!F102,Wednesday!F102,Thursday!F102,Friday!F102)</f>
        <v>3.02</v>
      </c>
      <c r="F46" s="80">
        <f>AVERAGE(Monday!F160,Tuesday!F160,Wednesday!F160,Thursday!F160,Friday!F160)</f>
        <v>3.1320000000000001</v>
      </c>
      <c r="G46" s="80">
        <f>MEDIAN(Monday!F160,Tuesday!F160,Wednesday!F160,Thursday!F160,Friday!F160)</f>
        <v>3.17</v>
      </c>
      <c r="H46" s="80">
        <f>AVERAGE(Monday!F218,Tuesday!F218,Wednesday!F218,Thursday!F218,Friday!F218)</f>
        <v>3.21</v>
      </c>
      <c r="I46" s="80">
        <f>MEDIAN(Monday!F218,Tuesday!F218,Wednesday!F218,Thursday!F218,Friday!F218)</f>
        <v>3.18</v>
      </c>
      <c r="J46" s="80">
        <f>AVERAGE(Monday!F276,Tuesday!F276,Wednesday!F276,Thursday!F276,Friday!F276)</f>
        <v>3.3560000000000003</v>
      </c>
      <c r="K46" s="80">
        <f>MEDIAN(Monday!F276,Tuesday!F276,Wednesday!F276,Thursday!F276,Friday!F276)</f>
        <v>3.37</v>
      </c>
      <c r="L46" s="80">
        <f>AVERAGE(Monday!F334,Tuesday!F334,Wednesday!F334,Thursday!F334,Friday!F334)</f>
        <v>3.4840000000000004</v>
      </c>
      <c r="M46" s="80">
        <f>MEDIAN(Monday!F334,Tuesday!F334,Wednesday!F334,Thursday!F334,Friday!F334)</f>
        <v>3.52</v>
      </c>
      <c r="N46" s="80">
        <f>AVERAGE(Monday!F392,Tuesday!F392,Wednesday!F392,Thursday!F392,Friday!F392)</f>
        <v>3.6080000000000005</v>
      </c>
      <c r="O46" s="80">
        <f>MEDIAN(Monday!F392,Tuesday!F392,Wednesday!F392,Thursday!F392,Friday!F392)</f>
        <v>3.62</v>
      </c>
      <c r="P46" s="80">
        <f>AVERAGE(Monday!F450,Tuesday!F450,Wednesday!F450,Thursday!F450,Friday!F450)</f>
        <v>3.5520000000000005</v>
      </c>
      <c r="Q46" s="80">
        <f>MEDIAN(Monday!F450,Tuesday!F450,Wednesday!F450,Thursday!F450,Friday!F450)</f>
        <v>3.58</v>
      </c>
      <c r="R46" s="80">
        <f>AVERAGE(Monday!F508,Tuesday!F508,Wednesday!F508,Thursday!F508,Friday!F508)</f>
        <v>3.53</v>
      </c>
      <c r="S46" s="80">
        <f>MEDIAN(Monday!F508,Tuesday!F508,Wednesday!F508,Thursday!F508,Friday!F508)</f>
        <v>3.58</v>
      </c>
      <c r="T46" s="80">
        <f>AVERAGE(Monday!F566,Tuesday!F566,Wednesday!F566,Thursday!F566,Friday!F566)</f>
        <v>3.5400000000000005</v>
      </c>
      <c r="U46" s="80">
        <f>MEDIAN(Monday!F566,Tuesday!F566,Wednesday!F566,Thursday!F566,Friday!F566)</f>
        <v>3.55</v>
      </c>
      <c r="V46" s="80">
        <f>AVERAGE(Monday!F624,Tuesday!F624,Wednesday!F624,Thursday!F624,Friday!F624)</f>
        <v>3.5980000000000003</v>
      </c>
      <c r="W46" s="80">
        <f>MEDIAN(Monday!F624,Tuesday!F624,Wednesday!F624,Thursday!F624,Friday!F624)</f>
        <v>3.6</v>
      </c>
      <c r="X46" s="80">
        <f>AVERAGE(Monday!F682,Tuesday!F682,Wednesday!F682,Thursday!F682,Friday!F682)</f>
        <v>3.5759999999999996</v>
      </c>
      <c r="Y46" s="80">
        <f>MEDIAN(Monday!F682,Tuesday!F682,Wednesday!F682,Thursday!F682,Friday!F682)</f>
        <v>3.57</v>
      </c>
      <c r="Z46" s="80">
        <f>AVERAGE(Monday!F740,Tuesday!F740,Wednesday!F740,Thursday!F740,Friday!F740)</f>
        <v>3.5380000000000003</v>
      </c>
      <c r="AA46" s="80">
        <f>MEDIAN(Monday!F740,Tuesday!F740,Wednesday!F740,Thursday!F740,Friday!F740)</f>
        <v>3.55</v>
      </c>
      <c r="AB46" s="80">
        <f>AVERAGE(Monday!F798,Tuesday!F798,Wednesday!F798,Thursday!F798,Friday!F798)</f>
        <v>3.7119999999999997</v>
      </c>
      <c r="AC46" s="80">
        <f>MEDIAN(Monday!F798,Tuesday!F798,Wednesday!F798,Thursday!F798,Friday!F798)</f>
        <v>3.72</v>
      </c>
      <c r="AD46" s="80">
        <f>AVERAGE(Monday!F856,Tuesday!F856,Wednesday!F856,Thursday!F856,Friday!F856)</f>
        <v>3.7280000000000002</v>
      </c>
      <c r="AE46" s="80">
        <f>MEDIAN(Monday!F856,Tuesday!F856,Wednesday!F856,Thursday!F856,Friday!F856)</f>
        <v>3.7</v>
      </c>
      <c r="AF46" s="80">
        <f>AVERAGE(Monday!F914,Tuesday!F914,Wednesday!F914,Thursday!F914,Friday!F914)</f>
        <v>3.79</v>
      </c>
      <c r="AG46" s="80">
        <f>MEDIAN(Monday!F914,Tuesday!F914,Wednesday!F914,Thursday!F914,Friday!F914)</f>
        <v>3.82</v>
      </c>
      <c r="AH46" s="80">
        <f>AVERAGE(Monday!F972,Tuesday!F972,Wednesday!F972,Thursday!F972,Friday!F972)</f>
        <v>3.9479999999999995</v>
      </c>
      <c r="AI46" s="80">
        <f>MEDIAN(Monday!F972,Tuesday!F972,Wednesday!F972,Thursday!F972,Friday!F972)</f>
        <v>3.98</v>
      </c>
      <c r="AJ46" s="80">
        <f>AVERAGE(Monday!F1030,Tuesday!F1030,Wednesday!F1030,Thursday!F1030,Friday!F1030)</f>
        <v>4.0179999999999998</v>
      </c>
      <c r="AK46" s="80">
        <f>MEDIAN(Monday!F1030,Tuesday!F1030,Wednesday!F1030,Thursday!F1030,Friday!F1030)</f>
        <v>3.88</v>
      </c>
      <c r="AL46" s="80">
        <f>AVERAGE(Monday!F1088,Tuesday!F1088,Wednesday!F1088,Thursday!F1088,Friday!F1088)</f>
        <v>4.1940000000000008</v>
      </c>
      <c r="AM46" s="80">
        <f>MEDIAN(Monday!F1088,Tuesday!F1088,Wednesday!F1088,Thursday!F1088,Friday!F1088)</f>
        <v>4.07</v>
      </c>
      <c r="AN46" s="80">
        <f>AVERAGE(Monday!F1146,Tuesday!F1146,Wednesday!F1146,Thursday!F1146,Friday!F1146)</f>
        <v>4.0739999999999998</v>
      </c>
      <c r="AO46" s="80">
        <f>MEDIAN(Monday!F1146,Tuesday!F1146,Wednesday!F1146,Thursday!F1146,Friday!F1146)</f>
        <v>4.0999999999999996</v>
      </c>
      <c r="AP46" s="80">
        <f>AVERAGE(Monday!F1204,Tuesday!F1204,Wednesday!F1204,Thursday!F1204,Friday!F1204)</f>
        <v>4.2680000000000007</v>
      </c>
      <c r="AQ46" s="80">
        <f>MEDIAN(Monday!F1204,Tuesday!F1204,Wednesday!F1204,Thursday!F1204,Friday!F1204)</f>
        <v>4.25</v>
      </c>
      <c r="AR46" s="80">
        <f>AVERAGE(Monday!F1262,Tuesday!F1262,Wednesday!F1262,Thursday!F1262,Friday!F1262)</f>
        <v>5.03</v>
      </c>
      <c r="AS46" s="80">
        <f>MEDIAN(Monday!F1262,Tuesday!F1262,Wednesday!F1262,Thursday!F1262,Friday!F1262)</f>
        <v>5.05</v>
      </c>
      <c r="AT46" s="80">
        <f>AVERAGE(Monday!F1320,Tuesday!F1320,Wednesday!F1320,Thursday!F1320,Friday!F1320)</f>
        <v>4.7</v>
      </c>
      <c r="AU46" s="80">
        <f>MEDIAN(Monday!F1320,Tuesday!F1320,Wednesday!F1320,Thursday!F1320,Friday!F1320)</f>
        <v>4.58</v>
      </c>
      <c r="AV46" s="80">
        <f>AVERAGE(Monday!F1378,Tuesday!F1378,Wednesday!F1378,Thursday!F1378,Friday!F1378)</f>
        <v>4.3159999999999998</v>
      </c>
      <c r="AW46" s="80">
        <f>MEDIAN(Monday!F1378,Tuesday!F1378,Wednesday!F1378,Thursday!F1378,Friday!F1378)</f>
        <v>3.95</v>
      </c>
      <c r="AX46" s="80">
        <f>AVERAGE(Monday!F1436,Tuesday!F1436,Wednesday!F1436,Thursday!F1436,Friday!F1436)</f>
        <v>3.9219999999999997</v>
      </c>
      <c r="AY46" s="80">
        <f>MEDIAN(Monday!F1436,Tuesday!F1436,Wednesday!F1436,Thursday!F1436,Friday!F1436)</f>
        <v>3.8</v>
      </c>
      <c r="AZ46" s="80">
        <f>AVERAGE(Monday!F1494,Tuesday!F1494,Wednesday!F1494,Thursday!F1494,Friday!F1494)</f>
        <v>3.8400000000000007</v>
      </c>
      <c r="BA46" s="80">
        <f>MEDIAN(Monday!F1494,Tuesday!F1494,Wednesday!F1494,Thursday!F1494,Friday!F1494)</f>
        <v>3.75</v>
      </c>
      <c r="BB46" s="81">
        <v>43</v>
      </c>
      <c r="BC46" s="80">
        <f t="shared" si="2"/>
        <v>3.7536153846153848</v>
      </c>
      <c r="BD46" s="80">
        <f t="shared" si="1"/>
        <v>3.66</v>
      </c>
    </row>
    <row r="47" spans="1:56" x14ac:dyDescent="0.25">
      <c r="A47" s="33">
        <v>44</v>
      </c>
      <c r="B47" s="80">
        <f>AVERAGE(Monday!F45,Tuesday!F45,Wednesday!F45,Thursday!F45,Friday!F45)</f>
        <v>3.7479999999999998</v>
      </c>
      <c r="C47" s="80">
        <f>MEDIAN(Monday!F45,Tuesday!F45,Wednesday!F45,Thursday!F45,Friday!F45)</f>
        <v>3.73</v>
      </c>
      <c r="D47" s="80">
        <f>AVERAGE(Monday!F103,Tuesday!F103,Wednesday!F103,Thursday!F103,Friday!F103)</f>
        <v>3.8679999999999999</v>
      </c>
      <c r="E47" s="80">
        <f>MEDIAN(Monday!F103,Tuesday!F103,Wednesday!F103,Thursday!F103,Friday!F103)</f>
        <v>3.87</v>
      </c>
      <c r="F47" s="80">
        <f>AVERAGE(Monday!F161,Tuesday!F161,Wednesday!F161,Thursday!F161,Friday!F161)</f>
        <v>4.048</v>
      </c>
      <c r="G47" s="80">
        <f>MEDIAN(Monday!F161,Tuesday!F161,Wednesday!F161,Thursday!F161,Friday!F161)</f>
        <v>3.98</v>
      </c>
      <c r="H47" s="80">
        <f>AVERAGE(Monday!F219,Tuesday!F219,Wednesday!F219,Thursday!F219,Friday!F219)</f>
        <v>4.1800000000000006</v>
      </c>
      <c r="I47" s="80">
        <f>MEDIAN(Monday!F219,Tuesday!F219,Wednesday!F219,Thursday!F219,Friday!F219)</f>
        <v>4.18</v>
      </c>
      <c r="J47" s="80">
        <f>AVERAGE(Monday!F277,Tuesday!F277,Wednesday!F277,Thursday!F277,Friday!F277)</f>
        <v>4.5939999999999994</v>
      </c>
      <c r="K47" s="80">
        <f>MEDIAN(Monday!F277,Tuesday!F277,Wednesday!F277,Thursday!F277,Friday!F277)</f>
        <v>4.5999999999999996</v>
      </c>
      <c r="L47" s="80">
        <f>AVERAGE(Monday!F335,Tuesday!F335,Wednesday!F335,Thursday!F335,Friday!F335)</f>
        <v>5.2319999999999993</v>
      </c>
      <c r="M47" s="80">
        <f>MEDIAN(Monday!F335,Tuesday!F335,Wednesday!F335,Thursday!F335,Friday!F335)</f>
        <v>5.15</v>
      </c>
      <c r="N47" s="80">
        <f>AVERAGE(Monday!F393,Tuesday!F393,Wednesday!F393,Thursday!F393,Friday!F393)</f>
        <v>5.1019999999999994</v>
      </c>
      <c r="O47" s="80">
        <f>MEDIAN(Monday!F393,Tuesday!F393,Wednesday!F393,Thursday!F393,Friday!F393)</f>
        <v>5.13</v>
      </c>
      <c r="P47" s="80">
        <f>AVERAGE(Monday!F451,Tuesday!F451,Wednesday!F451,Thursday!F451,Friday!F451)</f>
        <v>4.839999999999999</v>
      </c>
      <c r="Q47" s="80">
        <f>MEDIAN(Monday!F451,Tuesday!F451,Wednesday!F451,Thursday!F451,Friday!F451)</f>
        <v>4.67</v>
      </c>
      <c r="R47" s="80">
        <f>AVERAGE(Monday!F509,Tuesday!F509,Wednesday!F509,Thursday!F509,Friday!F509)</f>
        <v>4.5880000000000001</v>
      </c>
      <c r="S47" s="80">
        <f>MEDIAN(Monday!F509,Tuesday!F509,Wednesday!F509,Thursday!F509,Friday!F509)</f>
        <v>4.6500000000000004</v>
      </c>
      <c r="T47" s="80">
        <f>AVERAGE(Monday!F567,Tuesday!F567,Wednesday!F567,Thursday!F567,Friday!F567)</f>
        <v>4.6599999999999993</v>
      </c>
      <c r="U47" s="80">
        <f>MEDIAN(Monday!F567,Tuesday!F567,Wednesday!F567,Thursday!F567,Friday!F567)</f>
        <v>4.67</v>
      </c>
      <c r="V47" s="80">
        <f>AVERAGE(Monday!F625,Tuesday!F625,Wednesday!F625,Thursday!F625,Friday!F625)</f>
        <v>4.7200000000000006</v>
      </c>
      <c r="W47" s="80">
        <f>MEDIAN(Monday!F625,Tuesday!F625,Wednesday!F625,Thursday!F625,Friday!F625)</f>
        <v>4.68</v>
      </c>
      <c r="X47" s="80">
        <f>AVERAGE(Monday!F683,Tuesday!F683,Wednesday!F683,Thursday!F683,Friday!F683)</f>
        <v>4.6500000000000004</v>
      </c>
      <c r="Y47" s="80">
        <f>MEDIAN(Monday!F683,Tuesday!F683,Wednesday!F683,Thursday!F683,Friday!F683)</f>
        <v>4.63</v>
      </c>
      <c r="Z47" s="80">
        <f>AVERAGE(Monday!F741,Tuesday!F741,Wednesday!F741,Thursday!F741,Friday!F741)</f>
        <v>4.82</v>
      </c>
      <c r="AA47" s="80">
        <f>MEDIAN(Monday!F741,Tuesday!F741,Wednesday!F741,Thursday!F741,Friday!F741)</f>
        <v>4.75</v>
      </c>
      <c r="AB47" s="80">
        <f>AVERAGE(Monday!F799,Tuesday!F799,Wednesday!F799,Thursday!F799,Friday!F799)</f>
        <v>4.6420000000000003</v>
      </c>
      <c r="AC47" s="80">
        <f>MEDIAN(Monday!F799,Tuesday!F799,Wednesday!F799,Thursday!F799,Friday!F799)</f>
        <v>4.63</v>
      </c>
      <c r="AD47" s="80">
        <f>AVERAGE(Monday!F857,Tuesday!F857,Wednesday!F857,Thursday!F857,Friday!F857)</f>
        <v>4.5559999999999992</v>
      </c>
      <c r="AE47" s="80">
        <f>MEDIAN(Monday!F857,Tuesday!F857,Wednesday!F857,Thursday!F857,Friday!F857)</f>
        <v>4.63</v>
      </c>
      <c r="AF47" s="80">
        <f>AVERAGE(Monday!F915,Tuesday!F915,Wednesday!F915,Thursday!F915,Friday!F915)</f>
        <v>4.6440000000000001</v>
      </c>
      <c r="AG47" s="80">
        <f>MEDIAN(Monday!F915,Tuesday!F915,Wednesday!F915,Thursday!F915,Friday!F915)</f>
        <v>4.6500000000000004</v>
      </c>
      <c r="AH47" s="80">
        <f>AVERAGE(Monday!F973,Tuesday!F973,Wednesday!F973,Thursday!F973,Friday!F973)</f>
        <v>4.6219999999999999</v>
      </c>
      <c r="AI47" s="80">
        <f>MEDIAN(Monday!F973,Tuesday!F973,Wednesday!F973,Thursday!F973,Friday!F973)</f>
        <v>4.6500000000000004</v>
      </c>
      <c r="AJ47" s="80">
        <f>AVERAGE(Monday!F1031,Tuesday!F1031,Wednesday!F1031,Thursday!F1031,Friday!F1031)</f>
        <v>4.5739999999999998</v>
      </c>
      <c r="AK47" s="80">
        <f>MEDIAN(Monday!F1031,Tuesday!F1031,Wednesday!F1031,Thursday!F1031,Friday!F1031)</f>
        <v>4.5999999999999996</v>
      </c>
      <c r="AL47" s="80">
        <f>AVERAGE(Monday!F1089,Tuesday!F1089,Wednesday!F1089,Thursday!F1089,Friday!F1089)</f>
        <v>4.6319999999999997</v>
      </c>
      <c r="AM47" s="80">
        <f>MEDIAN(Monday!F1089,Tuesday!F1089,Wednesday!F1089,Thursday!F1089,Friday!F1089)</f>
        <v>4.7</v>
      </c>
      <c r="AN47" s="80">
        <f>AVERAGE(Monday!F1147,Tuesday!F1147,Wednesday!F1147,Thursday!F1147,Friday!F1147)</f>
        <v>4.5840000000000005</v>
      </c>
      <c r="AO47" s="80">
        <f>MEDIAN(Monday!F1147,Tuesday!F1147,Wednesday!F1147,Thursday!F1147,Friday!F1147)</f>
        <v>4.57</v>
      </c>
      <c r="AP47" s="80">
        <f>AVERAGE(Monday!F1205,Tuesday!F1205,Wednesday!F1205,Thursday!F1205,Friday!F1205)</f>
        <v>4.8059999999999992</v>
      </c>
      <c r="AQ47" s="80">
        <f>MEDIAN(Monday!F1205,Tuesday!F1205,Wednesday!F1205,Thursday!F1205,Friday!F1205)</f>
        <v>4.83</v>
      </c>
      <c r="AR47" s="80">
        <f>AVERAGE(Monday!F1263,Tuesday!F1263,Wednesday!F1263,Thursday!F1263,Friday!F1263)</f>
        <v>4.952</v>
      </c>
      <c r="AS47" s="80">
        <f>MEDIAN(Monday!F1263,Tuesday!F1263,Wednesday!F1263,Thursday!F1263,Friday!F1263)</f>
        <v>4.88</v>
      </c>
      <c r="AT47" s="80">
        <f>AVERAGE(Monday!F1321,Tuesday!F1321,Wednesday!F1321,Thursday!F1321,Friday!F1321)</f>
        <v>4.9219999999999997</v>
      </c>
      <c r="AU47" s="80">
        <f>MEDIAN(Monday!F1321,Tuesday!F1321,Wednesday!F1321,Thursday!F1321,Friday!F1321)</f>
        <v>4.88</v>
      </c>
      <c r="AV47" s="80">
        <f>AVERAGE(Monday!F1379,Tuesday!F1379,Wednesday!F1379,Thursday!F1379,Friday!F1379)</f>
        <v>4.7840000000000007</v>
      </c>
      <c r="AW47" s="80">
        <f>MEDIAN(Monday!F1379,Tuesday!F1379,Wednesday!F1379,Thursday!F1379,Friday!F1379)</f>
        <v>4.82</v>
      </c>
      <c r="AX47" s="80">
        <f>AVERAGE(Monday!F1437,Tuesday!F1437,Wednesday!F1437,Thursday!F1437,Friday!F1437)</f>
        <v>4.82</v>
      </c>
      <c r="AY47" s="80">
        <f>MEDIAN(Monday!F1437,Tuesday!F1437,Wednesday!F1437,Thursday!F1437,Friday!F1437)</f>
        <v>4.88</v>
      </c>
      <c r="AZ47" s="80">
        <f>AVERAGE(Monday!F1495,Tuesday!F1495,Wednesday!F1495,Thursday!F1495,Friday!F1495)</f>
        <v>4.5739999999999998</v>
      </c>
      <c r="BA47" s="80">
        <f>MEDIAN(Monday!F1495,Tuesday!F1495,Wednesday!F1495,Thursday!F1495,Friday!F1495)</f>
        <v>4.47</v>
      </c>
      <c r="BB47" s="81">
        <v>44</v>
      </c>
      <c r="BC47" s="80">
        <f t="shared" si="2"/>
        <v>4.6216153846153851</v>
      </c>
      <c r="BD47" s="80">
        <f t="shared" si="1"/>
        <v>4.6500000000000004</v>
      </c>
    </row>
    <row r="48" spans="1:56" x14ac:dyDescent="0.25">
      <c r="A48" s="33">
        <v>45</v>
      </c>
      <c r="B48" s="80">
        <f>AVERAGE(Monday!F46,Tuesday!F46,Wednesday!F46,Thursday!F46,Friday!F46)</f>
        <v>2.9620000000000002</v>
      </c>
      <c r="C48" s="80">
        <f>MEDIAN(Monday!F46,Tuesday!F46,Wednesday!F46,Thursday!F46,Friday!F46)</f>
        <v>2.93</v>
      </c>
      <c r="D48" s="80">
        <f>AVERAGE(Monday!F104,Tuesday!F104,Wednesday!F104,Thursday!F104,Friday!F104)</f>
        <v>3.0179999999999998</v>
      </c>
      <c r="E48" s="80">
        <f>MEDIAN(Monday!F104,Tuesday!F104,Wednesday!F104,Thursday!F104,Friday!F104)</f>
        <v>3</v>
      </c>
      <c r="F48" s="80">
        <f>AVERAGE(Monday!F162,Tuesday!F162,Wednesday!F162,Thursday!F162,Friday!F162)</f>
        <v>3.1300000000000003</v>
      </c>
      <c r="G48" s="80">
        <f>MEDIAN(Monday!F162,Tuesday!F162,Wednesday!F162,Thursday!F162,Friday!F162)</f>
        <v>3.12</v>
      </c>
      <c r="H48" s="80">
        <f>AVERAGE(Monday!F220,Tuesday!F220,Wednesday!F220,Thursday!F220,Friday!F220)</f>
        <v>3.282</v>
      </c>
      <c r="I48" s="80">
        <f>MEDIAN(Monday!F220,Tuesday!F220,Wednesday!F220,Thursday!F220,Friday!F220)</f>
        <v>3.28</v>
      </c>
      <c r="J48" s="80">
        <f>AVERAGE(Monday!F278,Tuesday!F278,Wednesday!F278,Thursday!F278,Friday!F278)</f>
        <v>3.4840000000000004</v>
      </c>
      <c r="K48" s="80">
        <f>MEDIAN(Monday!F278,Tuesday!F278,Wednesday!F278,Thursday!F278,Friday!F278)</f>
        <v>3.5</v>
      </c>
      <c r="L48" s="80">
        <f>AVERAGE(Monday!F336,Tuesday!F336,Wednesday!F336,Thursday!F336,Friday!F336)</f>
        <v>3.7700000000000005</v>
      </c>
      <c r="M48" s="80">
        <f>MEDIAN(Monday!F336,Tuesday!F336,Wednesday!F336,Thursday!F336,Friday!F336)</f>
        <v>3.73</v>
      </c>
      <c r="N48" s="80">
        <f>AVERAGE(Monday!F394,Tuesday!F394,Wednesday!F394,Thursday!F394,Friday!F394)</f>
        <v>3.95</v>
      </c>
      <c r="O48" s="80">
        <f>MEDIAN(Monday!F394,Tuesday!F394,Wednesday!F394,Thursday!F394,Friday!F394)</f>
        <v>3.98</v>
      </c>
      <c r="P48" s="80">
        <f>AVERAGE(Monday!F452,Tuesday!F452,Wednesday!F452,Thursday!F452,Friday!F452)</f>
        <v>3.7839999999999998</v>
      </c>
      <c r="Q48" s="80">
        <f>MEDIAN(Monday!F452,Tuesday!F452,Wednesday!F452,Thursday!F452,Friday!F452)</f>
        <v>3.8</v>
      </c>
      <c r="R48" s="80">
        <f>AVERAGE(Monday!F510,Tuesday!F510,Wednesday!F510,Thursday!F510,Friday!F510)</f>
        <v>3.6960000000000002</v>
      </c>
      <c r="S48" s="80">
        <f>MEDIAN(Monday!F510,Tuesday!F510,Wednesday!F510,Thursday!F510,Friday!F510)</f>
        <v>3.73</v>
      </c>
      <c r="T48" s="80">
        <f>AVERAGE(Monday!F568,Tuesday!F568,Wednesday!F568,Thursday!F568,Friday!F568)</f>
        <v>3.4880000000000004</v>
      </c>
      <c r="U48" s="80">
        <f>MEDIAN(Monday!F568,Tuesday!F568,Wednesday!F568,Thursday!F568,Friday!F568)</f>
        <v>3.48</v>
      </c>
      <c r="V48" s="80">
        <f>AVERAGE(Monday!F626,Tuesday!F626,Wednesday!F626,Thursday!F626,Friday!F626)</f>
        <v>3.5199999999999996</v>
      </c>
      <c r="W48" s="80">
        <f>MEDIAN(Monday!F626,Tuesday!F626,Wednesday!F626,Thursday!F626,Friday!F626)</f>
        <v>3.53</v>
      </c>
      <c r="X48" s="80">
        <f>AVERAGE(Monday!F684,Tuesday!F684,Wednesday!F684,Thursday!F684,Friday!F684)</f>
        <v>3.4739999999999993</v>
      </c>
      <c r="Y48" s="80">
        <f>MEDIAN(Monday!F684,Tuesday!F684,Wednesday!F684,Thursday!F684,Friday!F684)</f>
        <v>3.5</v>
      </c>
      <c r="Z48" s="80">
        <f>AVERAGE(Monday!F742,Tuesday!F742,Wednesday!F742,Thursday!F742,Friday!F742)</f>
        <v>3.5200000000000005</v>
      </c>
      <c r="AA48" s="80">
        <f>MEDIAN(Monday!F742,Tuesday!F742,Wednesday!F742,Thursday!F742,Friday!F742)</f>
        <v>3.45</v>
      </c>
      <c r="AB48" s="80">
        <f>AVERAGE(Monday!F800,Tuesday!F800,Wednesday!F800,Thursday!F800,Friday!F800)</f>
        <v>3.8359999999999999</v>
      </c>
      <c r="AC48" s="80">
        <f>MEDIAN(Monday!F800,Tuesday!F800,Wednesday!F800,Thursday!F800,Friday!F800)</f>
        <v>3.78</v>
      </c>
      <c r="AD48" s="80">
        <f>AVERAGE(Monday!F858,Tuesday!F858,Wednesday!F858,Thursday!F858,Friday!F858)</f>
        <v>3.78</v>
      </c>
      <c r="AE48" s="80">
        <f>MEDIAN(Monday!F858,Tuesday!F858,Wednesday!F858,Thursday!F858,Friday!F858)</f>
        <v>3.8</v>
      </c>
      <c r="AF48" s="80">
        <f>AVERAGE(Monday!F916,Tuesday!F916,Wednesday!F916,Thursday!F916,Friday!F916)</f>
        <v>3.8220000000000001</v>
      </c>
      <c r="AG48" s="80">
        <f>MEDIAN(Monday!F916,Tuesday!F916,Wednesday!F916,Thursday!F916,Friday!F916)</f>
        <v>3.9</v>
      </c>
      <c r="AH48" s="80">
        <f>AVERAGE(Monday!F974,Tuesday!F974,Wednesday!F974,Thursday!F974,Friday!F974)</f>
        <v>3.88</v>
      </c>
      <c r="AI48" s="80">
        <f>MEDIAN(Monday!F974,Tuesday!F974,Wednesday!F974,Thursday!F974,Friday!F974)</f>
        <v>3.8</v>
      </c>
      <c r="AJ48" s="80">
        <f>AVERAGE(Monday!F1032,Tuesday!F1032,Wednesday!F1032,Thursday!F1032,Friday!F1032)</f>
        <v>3.9520000000000004</v>
      </c>
      <c r="AK48" s="80">
        <f>MEDIAN(Monday!F1032,Tuesday!F1032,Wednesday!F1032,Thursday!F1032,Friday!F1032)</f>
        <v>3.88</v>
      </c>
      <c r="AL48" s="80">
        <f>AVERAGE(Monday!F1090,Tuesday!F1090,Wednesday!F1090,Thursday!F1090,Friday!F1090)</f>
        <v>3.8</v>
      </c>
      <c r="AM48" s="80">
        <f>MEDIAN(Monday!F1090,Tuesday!F1090,Wednesday!F1090,Thursday!F1090,Friday!F1090)</f>
        <v>3.75</v>
      </c>
      <c r="AN48" s="80">
        <f>AVERAGE(Monday!F1148,Tuesday!F1148,Wednesday!F1148,Thursday!F1148,Friday!F1148)</f>
        <v>4.3119999999999994</v>
      </c>
      <c r="AO48" s="80">
        <f>MEDIAN(Monday!F1148,Tuesday!F1148,Wednesday!F1148,Thursday!F1148,Friday!F1148)</f>
        <v>4.32</v>
      </c>
      <c r="AP48" s="80">
        <f>AVERAGE(Monday!F1206,Tuesday!F1206,Wednesday!F1206,Thursday!F1206,Friday!F1206)</f>
        <v>4.7439999999999998</v>
      </c>
      <c r="AQ48" s="80">
        <f>MEDIAN(Monday!F1206,Tuesday!F1206,Wednesday!F1206,Thursday!F1206,Friday!F1206)</f>
        <v>4.62</v>
      </c>
      <c r="AR48" s="80">
        <f>AVERAGE(Monday!F1264,Tuesday!F1264,Wednesday!F1264,Thursday!F1264,Friday!F1264)</f>
        <v>6.0380000000000011</v>
      </c>
      <c r="AS48" s="80">
        <f>MEDIAN(Monday!F1264,Tuesday!F1264,Wednesday!F1264,Thursday!F1264,Friday!F1264)</f>
        <v>6.15</v>
      </c>
      <c r="AT48" s="80">
        <f>AVERAGE(Monday!F1322,Tuesday!F1322,Wednesday!F1322,Thursday!F1322,Friday!F1322)</f>
        <v>5.6719999999999997</v>
      </c>
      <c r="AU48" s="80">
        <f>MEDIAN(Monday!F1322,Tuesday!F1322,Wednesday!F1322,Thursday!F1322,Friday!F1322)</f>
        <v>5.67</v>
      </c>
      <c r="AV48" s="80">
        <f>AVERAGE(Monday!F1380,Tuesday!F1380,Wednesday!F1380,Thursday!F1380,Friday!F1380)</f>
        <v>5.242</v>
      </c>
      <c r="AW48" s="80">
        <f>MEDIAN(Monday!F1380,Tuesday!F1380,Wednesday!F1380,Thursday!F1380,Friday!F1380)</f>
        <v>5.28</v>
      </c>
      <c r="AX48" s="80">
        <f>AVERAGE(Monday!F1438,Tuesday!F1438,Wednesday!F1438,Thursday!F1438,Friday!F1438)</f>
        <v>4.7279999999999998</v>
      </c>
      <c r="AY48" s="80">
        <f>MEDIAN(Monday!F1438,Tuesday!F1438,Wednesday!F1438,Thursday!F1438,Friday!F1438)</f>
        <v>4.45</v>
      </c>
      <c r="AZ48" s="80">
        <f>AVERAGE(Monday!F1496,Tuesday!F1496,Wednesday!F1496,Thursday!F1496,Friday!F1496)</f>
        <v>4.9139999999999997</v>
      </c>
      <c r="BA48" s="80">
        <f>MEDIAN(Monday!F1496,Tuesday!F1496,Wednesday!F1496,Thursday!F1496,Friday!F1496)</f>
        <v>4.7300000000000004</v>
      </c>
      <c r="BB48" s="81">
        <v>45</v>
      </c>
      <c r="BC48" s="80">
        <f t="shared" si="2"/>
        <v>3.9922307692307695</v>
      </c>
      <c r="BD48" s="80">
        <f t="shared" si="1"/>
        <v>3.79</v>
      </c>
    </row>
    <row r="49" spans="1:56" x14ac:dyDescent="0.25">
      <c r="A49" s="33">
        <v>46</v>
      </c>
      <c r="B49" s="80">
        <f>AVERAGE(Monday!F47,Tuesday!F47,Wednesday!F47,Thursday!F47,Friday!F47)</f>
        <v>3.34</v>
      </c>
      <c r="C49" s="80">
        <f>MEDIAN(Monday!F47,Tuesday!F47,Wednesday!F47,Thursday!F47,Friday!F47)</f>
        <v>3.33</v>
      </c>
      <c r="D49" s="80">
        <f>AVERAGE(Monday!F105,Tuesday!F105,Wednesday!F105,Thursday!F105,Friday!F105)</f>
        <v>3.4720000000000004</v>
      </c>
      <c r="E49" s="80">
        <f>MEDIAN(Monday!F105,Tuesday!F105,Wednesday!F105,Thursday!F105,Friday!F105)</f>
        <v>3.45</v>
      </c>
      <c r="F49" s="80">
        <f>AVERAGE(Monday!F163,Tuesday!F163,Wednesday!F163,Thursday!F163,Friday!F163)</f>
        <v>3.5519999999999996</v>
      </c>
      <c r="G49" s="80">
        <f>MEDIAN(Monday!F163,Tuesday!F163,Wednesday!F163,Thursday!F163,Friday!F163)</f>
        <v>3.57</v>
      </c>
      <c r="H49" s="80">
        <f>AVERAGE(Monday!F221,Tuesday!F221,Wednesday!F221,Thursday!F221,Friday!F221)</f>
        <v>3.5859999999999999</v>
      </c>
      <c r="I49" s="80">
        <f>MEDIAN(Monday!F221,Tuesday!F221,Wednesday!F221,Thursday!F221,Friday!F221)</f>
        <v>3.62</v>
      </c>
      <c r="J49" s="80">
        <f>AVERAGE(Monday!F279,Tuesday!F279,Wednesday!F279,Thursday!F279,Friday!F279)</f>
        <v>3.7979999999999996</v>
      </c>
      <c r="K49" s="80">
        <f>MEDIAN(Monday!F279,Tuesday!F279,Wednesday!F279,Thursday!F279,Friday!F279)</f>
        <v>3.78</v>
      </c>
      <c r="L49" s="80">
        <f>AVERAGE(Monday!F337,Tuesday!F337,Wednesday!F337,Thursday!F337,Friday!F337)</f>
        <v>4.0039999999999996</v>
      </c>
      <c r="M49" s="80">
        <f>MEDIAN(Monday!F337,Tuesday!F337,Wednesday!F337,Thursday!F337,Friday!F337)</f>
        <v>3.95</v>
      </c>
      <c r="N49" s="80">
        <f>AVERAGE(Monday!F395,Tuesday!F395,Wednesday!F395,Thursday!F395,Friday!F395)</f>
        <v>4.1740000000000004</v>
      </c>
      <c r="O49" s="80">
        <f>MEDIAN(Monday!F395,Tuesday!F395,Wednesday!F395,Thursday!F395,Friday!F395)</f>
        <v>4.18</v>
      </c>
      <c r="P49" s="80">
        <f>AVERAGE(Monday!F453,Tuesday!F453,Wednesday!F453,Thursday!F453,Friday!F453)</f>
        <v>4.2320000000000002</v>
      </c>
      <c r="Q49" s="80">
        <f>MEDIAN(Monday!F453,Tuesday!F453,Wednesday!F453,Thursday!F453,Friday!F453)</f>
        <v>4.2300000000000004</v>
      </c>
      <c r="R49" s="80">
        <f>AVERAGE(Monday!F511,Tuesday!F511,Wednesday!F511,Thursday!F511,Friday!F511)</f>
        <v>4.1879999999999997</v>
      </c>
      <c r="S49" s="80">
        <f>MEDIAN(Monday!F511,Tuesday!F511,Wednesday!F511,Thursday!F511,Friday!F511)</f>
        <v>4.18</v>
      </c>
      <c r="T49" s="80">
        <f>AVERAGE(Monday!F569,Tuesday!F569,Wednesday!F569,Thursday!F569,Friday!F569)</f>
        <v>3.8</v>
      </c>
      <c r="U49" s="80">
        <f>MEDIAN(Monday!F569,Tuesday!F569,Wednesday!F569,Thursday!F569,Friday!F569)</f>
        <v>3.8</v>
      </c>
      <c r="V49" s="80">
        <f>AVERAGE(Monday!F627,Tuesday!F627,Wednesday!F627,Thursday!F627,Friday!F627)</f>
        <v>3.6680000000000001</v>
      </c>
      <c r="W49" s="80">
        <f>MEDIAN(Monday!F627,Tuesday!F627,Wednesday!F627,Thursday!F627,Friday!F627)</f>
        <v>3.67</v>
      </c>
      <c r="X49" s="80">
        <f>AVERAGE(Monday!F685,Tuesday!F685,Wednesday!F685,Thursday!F685,Friday!F685)</f>
        <v>3.8159999999999998</v>
      </c>
      <c r="Y49" s="80">
        <f>MEDIAN(Monday!F685,Tuesday!F685,Wednesday!F685,Thursday!F685,Friday!F685)</f>
        <v>3.83</v>
      </c>
      <c r="Z49" s="80">
        <f>AVERAGE(Monday!F743,Tuesday!F743,Wednesday!F743,Thursday!F743,Friday!F743)</f>
        <v>3.7699999999999996</v>
      </c>
      <c r="AA49" s="80">
        <f>MEDIAN(Monday!F743,Tuesday!F743,Wednesday!F743,Thursday!F743,Friday!F743)</f>
        <v>3.77</v>
      </c>
      <c r="AB49" s="80">
        <f>AVERAGE(Monday!F801,Tuesday!F801,Wednesday!F801,Thursday!F801,Friday!F801)</f>
        <v>3.992</v>
      </c>
      <c r="AC49" s="80">
        <f>MEDIAN(Monday!F801,Tuesday!F801,Wednesday!F801,Thursday!F801,Friday!F801)</f>
        <v>4.0199999999999996</v>
      </c>
      <c r="AD49" s="80">
        <f>AVERAGE(Monday!F859,Tuesday!F859,Wednesday!F859,Thursday!F859,Friday!F859)</f>
        <v>3.9880000000000004</v>
      </c>
      <c r="AE49" s="80">
        <f>MEDIAN(Monday!F859,Tuesday!F859,Wednesday!F859,Thursday!F859,Friday!F859)</f>
        <v>3.95</v>
      </c>
      <c r="AF49" s="80">
        <f>AVERAGE(Monday!F917,Tuesday!F917,Wednesday!F917,Thursday!F917,Friday!F917)</f>
        <v>4.0259999999999998</v>
      </c>
      <c r="AG49" s="80">
        <f>MEDIAN(Monday!F917,Tuesday!F917,Wednesday!F917,Thursday!F917,Friday!F917)</f>
        <v>4</v>
      </c>
      <c r="AH49" s="80">
        <f>AVERAGE(Monday!F975,Tuesday!F975,Wednesday!F975,Thursday!F975,Friday!F975)</f>
        <v>4.0780000000000003</v>
      </c>
      <c r="AI49" s="80">
        <f>MEDIAN(Monday!F975,Tuesday!F975,Wednesday!F975,Thursday!F975,Friday!F975)</f>
        <v>4.03</v>
      </c>
      <c r="AJ49" s="80">
        <f>AVERAGE(Monday!F1033,Tuesday!F1033,Wednesday!F1033,Thursday!F1033,Friday!F1033)</f>
        <v>4.0840000000000005</v>
      </c>
      <c r="AK49" s="80">
        <f>MEDIAN(Monday!F1033,Tuesday!F1033,Wednesday!F1033,Thursday!F1033,Friday!F1033)</f>
        <v>4.05</v>
      </c>
      <c r="AL49" s="80">
        <f>AVERAGE(Monday!F1091,Tuesday!F1091,Wednesday!F1091,Thursday!F1091,Friday!F1091)</f>
        <v>4.1040000000000001</v>
      </c>
      <c r="AM49" s="80">
        <f>MEDIAN(Monday!F1091,Tuesday!F1091,Wednesday!F1091,Thursday!F1091,Friday!F1091)</f>
        <v>4.12</v>
      </c>
      <c r="AN49" s="80">
        <f>AVERAGE(Monday!F1149,Tuesday!F1149,Wednesday!F1149,Thursday!F1149,Friday!F1149)</f>
        <v>4.0639999999999992</v>
      </c>
      <c r="AO49" s="80">
        <f>MEDIAN(Monday!F1149,Tuesday!F1149,Wednesday!F1149,Thursday!F1149,Friday!F1149)</f>
        <v>4.12</v>
      </c>
      <c r="AP49" s="80">
        <f>AVERAGE(Monday!F1207,Tuesday!F1207,Wednesday!F1207,Thursday!F1207,Friday!F1207)</f>
        <v>4.8019999999999996</v>
      </c>
      <c r="AQ49" s="80">
        <f>MEDIAN(Monday!F1207,Tuesday!F1207,Wednesday!F1207,Thursday!F1207,Friday!F1207)</f>
        <v>4.87</v>
      </c>
      <c r="AR49" s="80">
        <f>AVERAGE(Monday!F1265,Tuesday!F1265,Wednesday!F1265,Thursday!F1265,Friday!F1265)</f>
        <v>5.806</v>
      </c>
      <c r="AS49" s="80">
        <f>MEDIAN(Monday!F1265,Tuesday!F1265,Wednesday!F1265,Thursday!F1265,Friday!F1265)</f>
        <v>5.53</v>
      </c>
      <c r="AT49" s="80">
        <f>AVERAGE(Monday!F1323,Tuesday!F1323,Wednesday!F1323,Thursday!F1323,Friday!F1323)</f>
        <v>5.6779999999999999</v>
      </c>
      <c r="AU49" s="80">
        <f>MEDIAN(Monday!F1323,Tuesday!F1323,Wednesday!F1323,Thursday!F1323,Friday!F1323)</f>
        <v>5.57</v>
      </c>
      <c r="AV49" s="80">
        <f>AVERAGE(Monday!F1381,Tuesday!F1381,Wednesday!F1381,Thursday!F1381,Friday!F1381)</f>
        <v>5.0720000000000001</v>
      </c>
      <c r="AW49" s="80">
        <f>MEDIAN(Monday!F1381,Tuesday!F1381,Wednesday!F1381,Thursday!F1381,Friday!F1381)</f>
        <v>4.9800000000000004</v>
      </c>
      <c r="AX49" s="80">
        <f>AVERAGE(Monday!F1439,Tuesday!F1439,Wednesday!F1439,Thursday!F1439,Friday!F1439)</f>
        <v>5.0579999999999998</v>
      </c>
      <c r="AY49" s="80">
        <f>MEDIAN(Monday!F1439,Tuesday!F1439,Wednesday!F1439,Thursday!F1439,Friday!F1439)</f>
        <v>5.0199999999999996</v>
      </c>
      <c r="AZ49" s="80">
        <f>AVERAGE(Monday!F1497,Tuesday!F1497,Wednesday!F1497,Thursday!F1497,Friday!F1497)</f>
        <v>4.9020000000000001</v>
      </c>
      <c r="BA49" s="80">
        <f>MEDIAN(Monday!F1497,Tuesday!F1497,Wednesday!F1497,Thursday!F1497,Friday!F1497)</f>
        <v>4.82</v>
      </c>
      <c r="BB49" s="81">
        <v>46</v>
      </c>
      <c r="BC49" s="80">
        <f t="shared" si="2"/>
        <v>4.1943846153846156</v>
      </c>
      <c r="BD49" s="80">
        <f t="shared" si="1"/>
        <v>4.0250000000000004</v>
      </c>
    </row>
    <row r="50" spans="1:56" x14ac:dyDescent="0.25">
      <c r="A50" s="41">
        <v>47</v>
      </c>
      <c r="B50" s="80">
        <f>AVERAGE(Monday!F48,Tuesday!F48,Wednesday!F48,Thursday!F48,Friday!F48)</f>
        <v>3.1859999999999999</v>
      </c>
      <c r="C50" s="80">
        <f>MEDIAN(Monday!F48,Tuesday!F48,Wednesday!F48,Thursday!F48,Friday!F48)</f>
        <v>3.17</v>
      </c>
      <c r="D50" s="80">
        <f>AVERAGE(Monday!F106,Tuesday!F106,Wednesday!F106,Thursday!F106,Friday!F106)</f>
        <v>3.34</v>
      </c>
      <c r="E50" s="80">
        <f>MEDIAN(Monday!F106,Tuesday!F106,Wednesday!F106,Thursday!F106,Friday!F106)</f>
        <v>3.33</v>
      </c>
      <c r="F50" s="80">
        <f>AVERAGE(Monday!F164,Tuesday!F164,Wednesday!F164,Thursday!F164,Friday!F164)</f>
        <v>3.6819999999999999</v>
      </c>
      <c r="G50" s="80">
        <f>MEDIAN(Monday!F164,Tuesday!F164,Wednesday!F164,Thursday!F164,Friday!F164)</f>
        <v>3.7</v>
      </c>
      <c r="H50" s="80">
        <f>AVERAGE(Monday!F222,Tuesday!F222,Wednesday!F222,Thursday!F222,Friday!F222)</f>
        <v>4.0999999999999996</v>
      </c>
      <c r="I50" s="80">
        <f>MEDIAN(Monday!F222,Tuesday!F222,Wednesday!F222,Thursday!F222,Friday!F222)</f>
        <v>4.07</v>
      </c>
      <c r="J50" s="80">
        <f>AVERAGE(Monday!F280,Tuesday!F280,Wednesday!F280,Thursday!F280,Friday!F280)</f>
        <v>5.01</v>
      </c>
      <c r="K50" s="80">
        <f>MEDIAN(Monday!F280,Tuesday!F280,Wednesday!F280,Thursday!F280,Friday!F280)</f>
        <v>4.9800000000000004</v>
      </c>
      <c r="L50" s="80">
        <f>AVERAGE(Monday!F338,Tuesday!F338,Wednesday!F338,Thursday!F338,Friday!F338)</f>
        <v>6.0340000000000007</v>
      </c>
      <c r="M50" s="80">
        <f>MEDIAN(Monday!F338,Tuesday!F338,Wednesday!F338,Thursday!F338,Friday!F338)</f>
        <v>5.88</v>
      </c>
      <c r="N50" s="80">
        <f>AVERAGE(Monday!F396,Tuesday!F396,Wednesday!F396,Thursday!F396,Friday!F396)</f>
        <v>6.1980000000000004</v>
      </c>
      <c r="O50" s="80">
        <f>MEDIAN(Monday!F396,Tuesday!F396,Wednesday!F396,Thursday!F396,Friday!F396)</f>
        <v>6.32</v>
      </c>
      <c r="P50" s="80">
        <f>AVERAGE(Monday!F454,Tuesday!F454,Wednesday!F454,Thursday!F454,Friday!F454)</f>
        <v>5.7060000000000013</v>
      </c>
      <c r="Q50" s="80">
        <f>MEDIAN(Monday!F454,Tuesday!F454,Wednesday!F454,Thursday!F454,Friday!F454)</f>
        <v>5.12</v>
      </c>
      <c r="R50" s="80">
        <f>AVERAGE(Monday!F512,Tuesday!F512,Wednesday!F512,Thursday!F512,Friday!F512)</f>
        <v>5.35</v>
      </c>
      <c r="S50" s="80">
        <f>MEDIAN(Monday!F512,Tuesday!F512,Wednesday!F512,Thursday!F512,Friday!F512)</f>
        <v>5.18</v>
      </c>
      <c r="T50" s="80">
        <f>AVERAGE(Monday!F570,Tuesday!F570,Wednesday!F570,Thursday!F570,Friday!F570)</f>
        <v>5.984</v>
      </c>
      <c r="U50" s="80">
        <f>MEDIAN(Monday!F570,Tuesday!F570,Wednesday!F570,Thursday!F570,Friday!F570)</f>
        <v>5.7</v>
      </c>
      <c r="V50" s="80">
        <f>AVERAGE(Monday!F628,Tuesday!F628,Wednesday!F628,Thursday!F628,Friday!F628)</f>
        <v>5.9320000000000004</v>
      </c>
      <c r="W50" s="80">
        <f>MEDIAN(Monday!F628,Tuesday!F628,Wednesday!F628,Thursday!F628,Friday!F628)</f>
        <v>6.15</v>
      </c>
      <c r="X50" s="80">
        <f>AVERAGE(Monday!F686,Tuesday!F686,Wednesday!F686,Thursday!F686,Friday!F686)</f>
        <v>5.6019999999999994</v>
      </c>
      <c r="Y50" s="80">
        <f>MEDIAN(Monday!F686,Tuesday!F686,Wednesday!F686,Thursday!F686,Friday!F686)</f>
        <v>5.32</v>
      </c>
      <c r="Z50" s="80">
        <f>AVERAGE(Monday!F744,Tuesday!F744,Wednesday!F744,Thursday!F744,Friday!F744)</f>
        <v>5.2159999999999993</v>
      </c>
      <c r="AA50" s="80">
        <f>MEDIAN(Monday!F744,Tuesday!F744,Wednesday!F744,Thursday!F744,Friday!F744)</f>
        <v>5.25</v>
      </c>
      <c r="AB50" s="80">
        <f>AVERAGE(Monday!F802,Tuesday!F802,Wednesday!F802,Thursday!F802,Friday!F802)</f>
        <v>4.6440000000000001</v>
      </c>
      <c r="AC50" s="80">
        <f>MEDIAN(Monday!F802,Tuesday!F802,Wednesday!F802,Thursday!F802,Friday!F802)</f>
        <v>4.42</v>
      </c>
      <c r="AD50" s="80">
        <f>AVERAGE(Monday!F860,Tuesday!F860,Wednesday!F860,Thursday!F860,Friday!F860)</f>
        <v>4.5660000000000007</v>
      </c>
      <c r="AE50" s="80">
        <f>MEDIAN(Monday!F860,Tuesday!F860,Wednesday!F860,Thursday!F860,Friday!F860)</f>
        <v>4.55</v>
      </c>
      <c r="AF50" s="80">
        <f>AVERAGE(Monday!F918,Tuesday!F918,Wednesday!F918,Thursday!F918,Friday!F918)</f>
        <v>4.7259999999999991</v>
      </c>
      <c r="AG50" s="80">
        <f>MEDIAN(Monday!F918,Tuesday!F918,Wednesday!F918,Thursday!F918,Friday!F918)</f>
        <v>4.7699999999999996</v>
      </c>
      <c r="AH50" s="80">
        <f>AVERAGE(Monday!F976,Tuesday!F976,Wednesday!F976,Thursday!F976,Friday!F976)</f>
        <v>5.548</v>
      </c>
      <c r="AI50" s="80">
        <f>MEDIAN(Monday!F976,Tuesday!F976,Wednesday!F976,Thursday!F976,Friday!F976)</f>
        <v>5.55</v>
      </c>
      <c r="AJ50" s="80">
        <f>AVERAGE(Monday!F1034,Tuesday!F1034,Wednesday!F1034,Thursday!F1034,Friday!F1034)</f>
        <v>5.8440000000000003</v>
      </c>
      <c r="AK50" s="80">
        <f>MEDIAN(Monday!F1034,Tuesday!F1034,Wednesday!F1034,Thursday!F1034,Friday!F1034)</f>
        <v>5.28</v>
      </c>
      <c r="AL50" s="80">
        <f>AVERAGE(Monday!F1092,Tuesday!F1092,Wednesday!F1092,Thursday!F1092,Friday!F1092)</f>
        <v>5.3760000000000003</v>
      </c>
      <c r="AM50" s="80">
        <f>MEDIAN(Monday!F1092,Tuesday!F1092,Wednesday!F1092,Thursday!F1092,Friday!F1092)</f>
        <v>5.35</v>
      </c>
      <c r="AN50" s="80">
        <f>AVERAGE(Monday!F1150,Tuesday!F1150,Wednesday!F1150,Thursday!F1150,Friday!F1150)</f>
        <v>5.51</v>
      </c>
      <c r="AO50" s="80">
        <f>MEDIAN(Monday!F1150,Tuesday!F1150,Wednesday!F1150,Thursday!F1150,Friday!F1150)</f>
        <v>5.47</v>
      </c>
      <c r="AP50" s="80">
        <f>AVERAGE(Monday!F1208,Tuesday!F1208,Wednesday!F1208,Thursday!F1208,Friday!F1208)</f>
        <v>6.15</v>
      </c>
      <c r="AQ50" s="80">
        <f>MEDIAN(Monday!F1208,Tuesday!F1208,Wednesday!F1208,Thursday!F1208,Friday!F1208)</f>
        <v>6.37</v>
      </c>
      <c r="AR50" s="80">
        <f>AVERAGE(Monday!F1266,Tuesday!F1266,Wednesday!F1266,Thursday!F1266,Friday!F1266)</f>
        <v>7.402000000000001</v>
      </c>
      <c r="AS50" s="80">
        <f>MEDIAN(Monday!F1266,Tuesday!F1266,Wednesday!F1266,Thursday!F1266,Friday!F1266)</f>
        <v>7.47</v>
      </c>
      <c r="AT50" s="80">
        <f>AVERAGE(Monday!F1324,Tuesday!F1324,Wednesday!F1324,Thursday!F1324,Friday!F1324)</f>
        <v>7.3079999999999981</v>
      </c>
      <c r="AU50" s="80">
        <f>MEDIAN(Monday!F1324,Tuesday!F1324,Wednesday!F1324,Thursday!F1324,Friday!F1324)</f>
        <v>7.85</v>
      </c>
      <c r="AV50" s="80">
        <f>AVERAGE(Monday!F1382,Tuesday!F1382,Wednesday!F1382,Thursday!F1382,Friday!F1382)</f>
        <v>6.581999999999999</v>
      </c>
      <c r="AW50" s="80">
        <f>MEDIAN(Monday!F1382,Tuesday!F1382,Wednesday!F1382,Thursday!F1382,Friday!F1382)</f>
        <v>5.78</v>
      </c>
      <c r="AX50" s="80">
        <f>AVERAGE(Monday!F1440,Tuesday!F1440,Wednesday!F1440,Thursday!F1440,Friday!F1440)</f>
        <v>5.76</v>
      </c>
      <c r="AY50" s="80">
        <f>MEDIAN(Monday!F1440,Tuesday!F1440,Wednesday!F1440,Thursday!F1440,Friday!F1440)</f>
        <v>5.72</v>
      </c>
      <c r="AZ50" s="80">
        <f>AVERAGE(Monday!F1498,Tuesday!F1498,Wednesday!F1498,Thursday!F1498,Friday!F1498)</f>
        <v>5.7780000000000005</v>
      </c>
      <c r="BA50" s="80">
        <f>MEDIAN(Monday!F1498,Tuesday!F1498,Wednesday!F1498,Thursday!F1498,Friday!F1498)</f>
        <v>5.7</v>
      </c>
      <c r="BB50" s="82">
        <v>47</v>
      </c>
      <c r="BC50" s="80">
        <f t="shared" si="2"/>
        <v>5.405153846153846</v>
      </c>
      <c r="BD50" s="80">
        <f t="shared" si="1"/>
        <v>5.335</v>
      </c>
    </row>
    <row r="51" spans="1:56" x14ac:dyDescent="0.25">
      <c r="A51" s="33">
        <v>48</v>
      </c>
      <c r="B51" s="80">
        <f>AVERAGE(Monday!F49,Tuesday!F49,Wednesday!F49,Thursday!F49,Friday!F49)</f>
        <v>3.008</v>
      </c>
      <c r="C51" s="80">
        <f>MEDIAN(Monday!F49,Tuesday!F49,Wednesday!F49,Thursday!F49,Friday!F49)</f>
        <v>3</v>
      </c>
      <c r="D51" s="80">
        <f>AVERAGE(Monday!F107,Tuesday!F107,Wednesday!F107,Thursday!F107,Friday!F107)</f>
        <v>3.1559999999999997</v>
      </c>
      <c r="E51" s="80">
        <f>MEDIAN(Monday!F107,Tuesday!F107,Wednesday!F107,Thursday!F107,Friday!F107)</f>
        <v>3.12</v>
      </c>
      <c r="F51" s="80">
        <f>AVERAGE(Monday!F165,Tuesday!F165,Wednesday!F165,Thursday!F165,Friday!F165)</f>
        <v>3.3440000000000003</v>
      </c>
      <c r="G51" s="80">
        <f>MEDIAN(Monday!F165,Tuesday!F165,Wednesday!F165,Thursday!F165,Friday!F165)</f>
        <v>3.35</v>
      </c>
      <c r="H51" s="80">
        <f>AVERAGE(Monday!F223,Tuesday!F223,Wednesday!F223,Thursday!F223,Friday!F223)</f>
        <v>3.5780000000000003</v>
      </c>
      <c r="I51" s="80">
        <f>MEDIAN(Monday!F223,Tuesday!F223,Wednesday!F223,Thursday!F223,Friday!F223)</f>
        <v>3.62</v>
      </c>
      <c r="J51" s="80">
        <f>AVERAGE(Monday!F281,Tuesday!F281,Wednesday!F281,Thursday!F281,Friday!F281)</f>
        <v>3.8980000000000006</v>
      </c>
      <c r="K51" s="80">
        <f>MEDIAN(Monday!F281,Tuesday!F281,Wednesday!F281,Thursday!F281,Friday!F281)</f>
        <v>3.87</v>
      </c>
      <c r="L51" s="80">
        <f>AVERAGE(Monday!F339,Tuesday!F339,Wednesday!F339,Thursday!F339,Friday!F339)</f>
        <v>4.2820000000000009</v>
      </c>
      <c r="M51" s="80">
        <f>MEDIAN(Monday!F339,Tuesday!F339,Wednesday!F339,Thursday!F339,Friday!F339)</f>
        <v>4.33</v>
      </c>
      <c r="N51" s="80">
        <f>AVERAGE(Monday!F397,Tuesday!F397,Wednesday!F397,Thursday!F397,Friday!F397)</f>
        <v>4.42</v>
      </c>
      <c r="O51" s="80">
        <f>MEDIAN(Monday!F397,Tuesday!F397,Wednesday!F397,Thursday!F397,Friday!F397)</f>
        <v>4.3499999999999996</v>
      </c>
      <c r="P51" s="80">
        <f>AVERAGE(Monday!F455,Tuesday!F455,Wednesday!F455,Thursday!F455,Friday!F455)</f>
        <v>4.0540000000000003</v>
      </c>
      <c r="Q51" s="80">
        <f>MEDIAN(Monday!F455,Tuesday!F455,Wednesday!F455,Thursday!F455,Friday!F455)</f>
        <v>4</v>
      </c>
      <c r="R51" s="80">
        <f>AVERAGE(Monday!F513,Tuesday!F513,Wednesday!F513,Thursday!F513,Friday!F513)</f>
        <v>3.6759999999999997</v>
      </c>
      <c r="S51" s="80">
        <f>MEDIAN(Monday!F513,Tuesday!F513,Wednesday!F513,Thursday!F513,Friday!F513)</f>
        <v>3.57</v>
      </c>
      <c r="T51" s="80">
        <f>AVERAGE(Monday!F571,Tuesday!F571,Wednesday!F571,Thursday!F571,Friday!F571)</f>
        <v>3.782</v>
      </c>
      <c r="U51" s="80">
        <f>MEDIAN(Monday!F571,Tuesday!F571,Wednesday!F571,Thursday!F571,Friday!F571)</f>
        <v>3.8</v>
      </c>
      <c r="V51" s="80">
        <f>AVERAGE(Monday!F629,Tuesday!F629,Wednesday!F629,Thursday!F629,Friday!F629)</f>
        <v>3.8260000000000005</v>
      </c>
      <c r="W51" s="80">
        <f>MEDIAN(Monday!F629,Tuesday!F629,Wednesday!F629,Thursday!F629,Friday!F629)</f>
        <v>3.75</v>
      </c>
      <c r="X51" s="80">
        <f>AVERAGE(Monday!F687,Tuesday!F687,Wednesday!F687,Thursday!F687,Friday!F687)</f>
        <v>3.7560000000000002</v>
      </c>
      <c r="Y51" s="80">
        <f>MEDIAN(Monday!F687,Tuesday!F687,Wednesday!F687,Thursday!F687,Friday!F687)</f>
        <v>3.82</v>
      </c>
      <c r="Z51" s="80">
        <f>AVERAGE(Monday!F745,Tuesday!F745,Wednesday!F745,Thursday!F745,Friday!F745)</f>
        <v>3.782</v>
      </c>
      <c r="AA51" s="80">
        <f>MEDIAN(Monday!F745,Tuesday!F745,Wednesday!F745,Thursday!F745,Friday!F745)</f>
        <v>3.83</v>
      </c>
      <c r="AB51" s="80">
        <f>AVERAGE(Monday!F803,Tuesday!F803,Wednesday!F803,Thursday!F803,Friday!F803)</f>
        <v>3.8699999999999997</v>
      </c>
      <c r="AC51" s="80">
        <f>MEDIAN(Monday!F803,Tuesday!F803,Wednesday!F803,Thursday!F803,Friday!F803)</f>
        <v>3.9</v>
      </c>
      <c r="AD51" s="80">
        <f>AVERAGE(Monday!F861,Tuesday!F861,Wednesday!F861,Thursday!F861,Friday!F861)</f>
        <v>3.9939999999999998</v>
      </c>
      <c r="AE51" s="80">
        <f>MEDIAN(Monday!F861,Tuesday!F861,Wednesday!F861,Thursday!F861,Friday!F861)</f>
        <v>3.98</v>
      </c>
      <c r="AF51" s="80">
        <f>AVERAGE(Monday!F919,Tuesday!F919,Wednesday!F919,Thursday!F919,Friday!F919)</f>
        <v>4.2320000000000002</v>
      </c>
      <c r="AG51" s="80">
        <f>MEDIAN(Monday!F919,Tuesday!F919,Wednesday!F919,Thursday!F919,Friday!F919)</f>
        <v>4.22</v>
      </c>
      <c r="AH51" s="80">
        <f>AVERAGE(Monday!F977,Tuesday!F977,Wednesday!F977,Thursday!F977,Friday!F977)</f>
        <v>4.2140000000000004</v>
      </c>
      <c r="AI51" s="80">
        <f>MEDIAN(Monday!F977,Tuesday!F977,Wednesday!F977,Thursday!F977,Friday!F977)</f>
        <v>4.18</v>
      </c>
      <c r="AJ51" s="80">
        <f>AVERAGE(Monday!F1035,Tuesday!F1035,Wednesday!F1035,Thursday!F1035,Friday!F1035)</f>
        <v>4.3480000000000008</v>
      </c>
      <c r="AK51" s="80">
        <f>MEDIAN(Monday!F1035,Tuesday!F1035,Wednesday!F1035,Thursday!F1035,Friday!F1035)</f>
        <v>4.37</v>
      </c>
      <c r="AL51" s="80">
        <f>AVERAGE(Monday!F1093,Tuesday!F1093,Wednesday!F1093,Thursday!F1093,Friday!F1093)</f>
        <v>4.3959999999999999</v>
      </c>
      <c r="AM51" s="80">
        <f>MEDIAN(Monday!F1093,Tuesday!F1093,Wednesday!F1093,Thursday!F1093,Friday!F1093)</f>
        <v>4.38</v>
      </c>
      <c r="AN51" s="80">
        <f>AVERAGE(Monday!F1151,Tuesday!F1151,Wednesday!F1151,Thursday!F1151,Friday!F1151)</f>
        <v>4.282</v>
      </c>
      <c r="AO51" s="80">
        <f>MEDIAN(Monday!F1151,Tuesday!F1151,Wednesday!F1151,Thursday!F1151,Friday!F1151)</f>
        <v>4.22</v>
      </c>
      <c r="AP51" s="80">
        <f>AVERAGE(Monday!F1209,Tuesday!F1209,Wednesday!F1209,Thursday!F1209,Friday!F1209)</f>
        <v>4.8319999999999999</v>
      </c>
      <c r="AQ51" s="80">
        <f>MEDIAN(Monday!F1209,Tuesday!F1209,Wednesday!F1209,Thursday!F1209,Friday!F1209)</f>
        <v>4.87</v>
      </c>
      <c r="AR51" s="80">
        <f>AVERAGE(Monday!F1267,Tuesday!F1267,Wednesday!F1267,Thursday!F1267,Friday!F1267)</f>
        <v>6.0039999999999996</v>
      </c>
      <c r="AS51" s="80">
        <f>MEDIAN(Monday!F1267,Tuesday!F1267,Wednesday!F1267,Thursday!F1267,Friday!F1267)</f>
        <v>5.68</v>
      </c>
      <c r="AT51" s="80">
        <f>AVERAGE(Monday!F1325,Tuesday!F1325,Wednesday!F1325,Thursday!F1325,Friday!F1325)</f>
        <v>4.79</v>
      </c>
      <c r="AU51" s="80">
        <f>MEDIAN(Monday!F1325,Tuesday!F1325,Wednesday!F1325,Thursday!F1325,Friday!F1325)</f>
        <v>4.53</v>
      </c>
      <c r="AV51" s="80">
        <f>AVERAGE(Monday!F1383,Tuesday!F1383,Wednesday!F1383,Thursday!F1383,Friday!F1383)</f>
        <v>4.3079999999999998</v>
      </c>
      <c r="AW51" s="80">
        <f>MEDIAN(Monday!F1383,Tuesday!F1383,Wednesday!F1383,Thursday!F1383,Friday!F1383)</f>
        <v>4.2699999999999996</v>
      </c>
      <c r="AX51" s="80">
        <f>AVERAGE(Monday!F1441,Tuesday!F1441,Wednesday!F1441,Thursday!F1441,Friday!F1441)</f>
        <v>4.4139999999999997</v>
      </c>
      <c r="AY51" s="80">
        <f>MEDIAN(Monday!F1441,Tuesday!F1441,Wednesday!F1441,Thursday!F1441,Friday!F1441)</f>
        <v>4.33</v>
      </c>
      <c r="AZ51" s="80">
        <f>AVERAGE(Monday!F1499,Tuesday!F1499,Wednesday!F1499,Thursday!F1499,Friday!F1499)</f>
        <v>4.2219999999999995</v>
      </c>
      <c r="BA51" s="80">
        <f>MEDIAN(Monday!F1499,Tuesday!F1499,Wednesday!F1499,Thursday!F1499,Friday!F1499)</f>
        <v>4.25</v>
      </c>
      <c r="BB51" s="81">
        <v>48</v>
      </c>
      <c r="BC51" s="80">
        <f t="shared" si="2"/>
        <v>4.0949230769230773</v>
      </c>
      <c r="BD51" s="80">
        <f t="shared" si="1"/>
        <v>4.09</v>
      </c>
    </row>
    <row r="52" spans="1:56" x14ac:dyDescent="0.25">
      <c r="A52" s="33">
        <v>49</v>
      </c>
      <c r="B52" s="80">
        <f>AVERAGE(Monday!F50,Tuesday!F50,Wednesday!F50,Thursday!F50,Friday!F50)</f>
        <v>3.2960000000000003</v>
      </c>
      <c r="C52" s="80">
        <f>MEDIAN(Monday!F50,Tuesday!F50,Wednesday!F50,Thursday!F50,Friday!F50)</f>
        <v>3.32</v>
      </c>
      <c r="D52" s="80">
        <f>AVERAGE(Monday!F108,Tuesday!F108,Wednesday!F108,Thursday!F108,Friday!F108)</f>
        <v>3.3319999999999999</v>
      </c>
      <c r="E52" s="80">
        <f>MEDIAN(Monday!F108,Tuesday!F108,Wednesday!F108,Thursday!F108,Friday!F108)</f>
        <v>3.35</v>
      </c>
      <c r="F52" s="80">
        <f>AVERAGE(Monday!F166,Tuesday!F166,Wednesday!F166,Thursday!F166,Friday!F166)</f>
        <v>3.4420000000000002</v>
      </c>
      <c r="G52" s="80">
        <f>MEDIAN(Monday!F166,Tuesday!F166,Wednesday!F166,Thursday!F166,Friday!F166)</f>
        <v>3.52</v>
      </c>
      <c r="H52" s="80">
        <f>AVERAGE(Monday!F224,Tuesday!F224,Wednesday!F224,Thursday!F224,Friday!F224)</f>
        <v>3.8159999999999998</v>
      </c>
      <c r="I52" s="80">
        <f>MEDIAN(Monday!F224,Tuesday!F224,Wednesday!F224,Thursday!F224,Friday!F224)</f>
        <v>3.88</v>
      </c>
      <c r="J52" s="80">
        <f>AVERAGE(Monday!F282,Tuesday!F282,Wednesday!F282,Thursday!F282,Friday!F282)</f>
        <v>4.2200000000000006</v>
      </c>
      <c r="K52" s="80">
        <f>MEDIAN(Monday!F282,Tuesday!F282,Wednesday!F282,Thursday!F282,Friday!F282)</f>
        <v>4.28</v>
      </c>
      <c r="L52" s="80">
        <f>AVERAGE(Monday!F340,Tuesday!F340,Wednesday!F340,Thursday!F340,Friday!F340)</f>
        <v>4.9599999999999991</v>
      </c>
      <c r="M52" s="80">
        <f>MEDIAN(Monday!F340,Tuesday!F340,Wednesday!F340,Thursday!F340,Friday!F340)</f>
        <v>4.87</v>
      </c>
      <c r="N52" s="80">
        <f>AVERAGE(Monday!F398,Tuesday!F398,Wednesday!F398,Thursday!F398,Friday!F398)</f>
        <v>5.16</v>
      </c>
      <c r="O52" s="80">
        <f>MEDIAN(Monday!F398,Tuesday!F398,Wednesday!F398,Thursday!F398,Friday!F398)</f>
        <v>5.07</v>
      </c>
      <c r="P52" s="80">
        <f>AVERAGE(Monday!F456,Tuesday!F456,Wednesday!F456,Thursday!F456,Friday!F456)</f>
        <v>4.7039999999999997</v>
      </c>
      <c r="Q52" s="80">
        <f>MEDIAN(Monday!F456,Tuesday!F456,Wednesday!F456,Thursday!F456,Friday!F456)</f>
        <v>4.82</v>
      </c>
      <c r="R52" s="80">
        <f>AVERAGE(Monday!F514,Tuesday!F514,Wednesday!F514,Thursday!F514,Friday!F514)</f>
        <v>4.1459999999999999</v>
      </c>
      <c r="S52" s="80">
        <f>MEDIAN(Monday!F514,Tuesday!F514,Wednesday!F514,Thursday!F514,Friday!F514)</f>
        <v>4.03</v>
      </c>
      <c r="T52" s="80">
        <f>AVERAGE(Monday!F572,Tuesday!F572,Wednesday!F572,Thursday!F572,Friday!F572)</f>
        <v>4.0579999999999998</v>
      </c>
      <c r="U52" s="80">
        <f>MEDIAN(Monday!F572,Tuesday!F572,Wednesday!F572,Thursday!F572,Friday!F572)</f>
        <v>3.97</v>
      </c>
      <c r="V52" s="80">
        <f>AVERAGE(Monday!F630,Tuesday!F630,Wednesday!F630,Thursday!F630,Friday!F630)</f>
        <v>3.8860000000000001</v>
      </c>
      <c r="W52" s="80">
        <f>MEDIAN(Monday!F630,Tuesday!F630,Wednesday!F630,Thursday!F630,Friday!F630)</f>
        <v>3.87</v>
      </c>
      <c r="X52" s="80">
        <f>AVERAGE(Monday!F688,Tuesday!F688,Wednesday!F688,Thursday!F688,Friday!F688)</f>
        <v>4.09</v>
      </c>
      <c r="Y52" s="80">
        <f>MEDIAN(Monday!F688,Tuesday!F688,Wednesday!F688,Thursday!F688,Friday!F688)</f>
        <v>4.0199999999999996</v>
      </c>
      <c r="Z52" s="80">
        <f>AVERAGE(Monday!F746,Tuesday!F746,Wednesday!F746,Thursday!F746,Friday!F746)</f>
        <v>3.9080000000000004</v>
      </c>
      <c r="AA52" s="80">
        <f>MEDIAN(Monday!F746,Tuesday!F746,Wednesday!F746,Thursday!F746,Friday!F746)</f>
        <v>3.92</v>
      </c>
      <c r="AB52" s="80">
        <f>AVERAGE(Monday!F804,Tuesday!F804,Wednesday!F804,Thursday!F804,Friday!F804)</f>
        <v>4.145999999999999</v>
      </c>
      <c r="AC52" s="80">
        <f>MEDIAN(Monday!F804,Tuesday!F804,Wednesday!F804,Thursday!F804,Friday!F804)</f>
        <v>4.2</v>
      </c>
      <c r="AD52" s="80">
        <f>AVERAGE(Monday!F862,Tuesday!F862,Wednesday!F862,Thursday!F862,Friday!F862)</f>
        <v>4.3080000000000007</v>
      </c>
      <c r="AE52" s="80">
        <f>MEDIAN(Monday!F862,Tuesday!F862,Wednesday!F862,Thursday!F862,Friday!F862)</f>
        <v>4.13</v>
      </c>
      <c r="AF52" s="80">
        <f>AVERAGE(Monday!F920,Tuesday!F920,Wednesday!F920,Thursday!F920,Friday!F920)</f>
        <v>4.3900000000000006</v>
      </c>
      <c r="AG52" s="80">
        <f>MEDIAN(Monday!F920,Tuesday!F920,Wednesday!F920,Thursday!F920,Friday!F920)</f>
        <v>4.42</v>
      </c>
      <c r="AH52" s="80">
        <f>AVERAGE(Monday!F978,Tuesday!F978,Wednesday!F978,Thursday!F978,Friday!F978)</f>
        <v>4.5299999999999994</v>
      </c>
      <c r="AI52" s="80">
        <f>MEDIAN(Monday!F978,Tuesday!F978,Wednesday!F978,Thursday!F978,Friday!F978)</f>
        <v>4.5999999999999996</v>
      </c>
      <c r="AJ52" s="80">
        <f>AVERAGE(Monday!F1036,Tuesday!F1036,Wednesday!F1036,Thursday!F1036,Friday!F1036)</f>
        <v>4.7060000000000004</v>
      </c>
      <c r="AK52" s="80">
        <f>MEDIAN(Monday!F1036,Tuesday!F1036,Wednesday!F1036,Thursday!F1036,Friday!F1036)</f>
        <v>4.87</v>
      </c>
      <c r="AL52" s="80">
        <f>AVERAGE(Monday!F1094,Tuesday!F1094,Wednesday!F1094,Thursday!F1094,Friday!F1094)</f>
        <v>4.9660000000000002</v>
      </c>
      <c r="AM52" s="80">
        <f>MEDIAN(Monday!F1094,Tuesday!F1094,Wednesday!F1094,Thursday!F1094,Friday!F1094)</f>
        <v>5.0999999999999996</v>
      </c>
      <c r="AN52" s="80">
        <f>AVERAGE(Monday!F1152,Tuesday!F1152,Wednesday!F1152,Thursday!F1152,Friday!F1152)</f>
        <v>4.6479999999999997</v>
      </c>
      <c r="AO52" s="80">
        <f>MEDIAN(Monday!F1152,Tuesday!F1152,Wednesday!F1152,Thursday!F1152,Friday!F1152)</f>
        <v>4.68</v>
      </c>
      <c r="AP52" s="80">
        <f>AVERAGE(Monday!F1210,Tuesday!F1210,Wednesday!F1210,Thursday!F1210,Friday!F1210)</f>
        <v>4.9620000000000006</v>
      </c>
      <c r="AQ52" s="80">
        <f>MEDIAN(Monday!F1210,Tuesday!F1210,Wednesday!F1210,Thursday!F1210,Friday!F1210)</f>
        <v>5.15</v>
      </c>
      <c r="AR52" s="80">
        <f>AVERAGE(Monday!F1268,Tuesday!F1268,Wednesday!F1268,Thursday!F1268,Friday!F1268)</f>
        <v>6.4219999999999997</v>
      </c>
      <c r="AS52" s="80">
        <f>MEDIAN(Monday!F1268,Tuesday!F1268,Wednesday!F1268,Thursday!F1268,Friday!F1268)</f>
        <v>6.13</v>
      </c>
      <c r="AT52" s="80">
        <f>AVERAGE(Monday!F1326,Tuesday!F1326,Wednesday!F1326,Thursday!F1326,Friday!F1326)</f>
        <v>7.7880000000000011</v>
      </c>
      <c r="AU52" s="80">
        <f>MEDIAN(Monday!F1326,Tuesday!F1326,Wednesday!F1326,Thursday!F1326,Friday!F1326)</f>
        <v>8.3699999999999992</v>
      </c>
      <c r="AV52" s="80">
        <f>AVERAGE(Monday!F1384,Tuesday!F1384,Wednesday!F1384,Thursday!F1384,Friday!F1384)</f>
        <v>7.2859999999999996</v>
      </c>
      <c r="AW52" s="80">
        <f>MEDIAN(Monday!F1384,Tuesday!F1384,Wednesday!F1384,Thursday!F1384,Friday!F1384)</f>
        <v>6.37</v>
      </c>
      <c r="AX52" s="80">
        <f>AVERAGE(Monday!F1442,Tuesday!F1442,Wednesday!F1442,Thursday!F1442,Friday!F1442)</f>
        <v>5.3340000000000005</v>
      </c>
      <c r="AY52" s="80">
        <f>MEDIAN(Monday!F1442,Tuesday!F1442,Wednesday!F1442,Thursday!F1442,Friday!F1442)</f>
        <v>4.83</v>
      </c>
      <c r="AZ52" s="80">
        <f>AVERAGE(Monday!F1500,Tuesday!F1500,Wednesday!F1500,Thursday!F1500,Friday!F1500)</f>
        <v>5.2320000000000002</v>
      </c>
      <c r="BA52" s="80">
        <f>MEDIAN(Monday!F1500,Tuesday!F1500,Wednesday!F1500,Thursday!F1500,Friday!F1500)</f>
        <v>4.67</v>
      </c>
      <c r="BB52" s="81">
        <v>49</v>
      </c>
      <c r="BC52" s="80">
        <f t="shared" si="2"/>
        <v>4.6821538461538461</v>
      </c>
      <c r="BD52" s="80">
        <f t="shared" si="1"/>
        <v>4.51</v>
      </c>
    </row>
    <row r="53" spans="1:56" x14ac:dyDescent="0.25">
      <c r="A53" s="33">
        <v>50</v>
      </c>
      <c r="B53" s="80">
        <f>AVERAGE(Monday!F51,Tuesday!F51,Wednesday!F51,Thursday!F51,Friday!F51)</f>
        <v>2.8140000000000001</v>
      </c>
      <c r="C53" s="80">
        <f>MEDIAN(Monday!F51,Tuesday!F51,Wednesday!F51,Thursday!F51,Friday!F51)</f>
        <v>2.77</v>
      </c>
      <c r="D53" s="80">
        <f>AVERAGE(Monday!F109,Tuesday!F109,Wednesday!F109,Thursday!F109,Friday!F109)</f>
        <v>2.8839999999999999</v>
      </c>
      <c r="E53" s="80">
        <f>MEDIAN(Monday!F109,Tuesday!F109,Wednesday!F109,Thursday!F109,Friday!F109)</f>
        <v>2.85</v>
      </c>
      <c r="F53" s="80">
        <f>AVERAGE(Monday!F167,Tuesday!F167,Wednesday!F167,Thursday!F167,Friday!F167)</f>
        <v>2.976</v>
      </c>
      <c r="G53" s="80">
        <f>MEDIAN(Monday!F167,Tuesday!F167,Wednesday!F167,Thursday!F167,Friday!F167)</f>
        <v>3</v>
      </c>
      <c r="H53" s="80">
        <f>AVERAGE(Monday!F225,Tuesday!F225,Wednesday!F225,Thursday!F225,Friday!F225)</f>
        <v>3.1079999999999997</v>
      </c>
      <c r="I53" s="80">
        <f>MEDIAN(Monday!F225,Tuesday!F225,Wednesday!F225,Thursday!F225,Friday!F225)</f>
        <v>3.12</v>
      </c>
      <c r="J53" s="80">
        <f>AVERAGE(Monday!F283,Tuesday!F283,Wednesday!F283,Thursday!F283,Friday!F283)</f>
        <v>3.1859999999999999</v>
      </c>
      <c r="K53" s="80">
        <f>MEDIAN(Monday!F283,Tuesday!F283,Wednesday!F283,Thursday!F283,Friday!F283)</f>
        <v>3.2</v>
      </c>
      <c r="L53" s="80">
        <f>AVERAGE(Monday!F341,Tuesday!F341,Wednesday!F341,Thursday!F341,Friday!F341)</f>
        <v>3.218</v>
      </c>
      <c r="M53" s="80">
        <f>MEDIAN(Monday!F341,Tuesday!F341,Wednesday!F341,Thursday!F341,Friday!F341)</f>
        <v>3.22</v>
      </c>
      <c r="N53" s="80">
        <f>AVERAGE(Monday!F399,Tuesday!F399,Wednesday!F399,Thursday!F399,Friday!F399)</f>
        <v>3.1320000000000001</v>
      </c>
      <c r="O53" s="80">
        <f>MEDIAN(Monday!F399,Tuesday!F399,Wednesday!F399,Thursday!F399,Friday!F399)</f>
        <v>3.13</v>
      </c>
      <c r="P53" s="80">
        <f>AVERAGE(Monday!F457,Tuesday!F457,Wednesday!F457,Thursday!F457,Friday!F457)</f>
        <v>3.1139999999999999</v>
      </c>
      <c r="Q53" s="80">
        <f>MEDIAN(Monday!F457,Tuesday!F457,Wednesday!F457,Thursday!F457,Friday!F457)</f>
        <v>3.13</v>
      </c>
      <c r="R53" s="80">
        <f>AVERAGE(Monday!F515,Tuesday!F515,Wednesday!F515,Thursday!F515,Friday!F515)</f>
        <v>3.1</v>
      </c>
      <c r="S53" s="80">
        <f>MEDIAN(Monday!F515,Tuesday!F515,Wednesday!F515,Thursday!F515,Friday!F515)</f>
        <v>3.07</v>
      </c>
      <c r="T53" s="80">
        <f>AVERAGE(Monday!F573,Tuesday!F573,Wednesday!F573,Thursday!F573,Friday!F573)</f>
        <v>3.1360000000000001</v>
      </c>
      <c r="U53" s="80">
        <f>MEDIAN(Monday!F573,Tuesday!F573,Wednesday!F573,Thursday!F573,Friday!F573)</f>
        <v>3.15</v>
      </c>
      <c r="V53" s="80">
        <f>AVERAGE(Monday!F631,Tuesday!F631,Wednesday!F631,Thursday!F631,Friday!F631)</f>
        <v>3.1360000000000001</v>
      </c>
      <c r="W53" s="80">
        <f>MEDIAN(Monday!F631,Tuesday!F631,Wednesday!F631,Thursday!F631,Friday!F631)</f>
        <v>3.15</v>
      </c>
      <c r="X53" s="80">
        <f>AVERAGE(Monday!F689,Tuesday!F689,Wednesday!F689,Thursday!F689,Friday!F689)</f>
        <v>3.1680000000000001</v>
      </c>
      <c r="Y53" s="80">
        <f>MEDIAN(Monday!F689,Tuesday!F689,Wednesday!F689,Thursday!F689,Friday!F689)</f>
        <v>3.15</v>
      </c>
      <c r="Z53" s="80">
        <f>AVERAGE(Monday!F747,Tuesday!F747,Wednesday!F747,Thursday!F747,Friday!F747)</f>
        <v>3.1</v>
      </c>
      <c r="AA53" s="80">
        <f>MEDIAN(Monday!F747,Tuesday!F747,Wednesday!F747,Thursday!F747,Friday!F747)</f>
        <v>3.12</v>
      </c>
      <c r="AB53" s="80">
        <f>AVERAGE(Monday!F805,Tuesday!F805,Wednesday!F805,Thursday!F805,Friday!F805)</f>
        <v>3.21</v>
      </c>
      <c r="AC53" s="80">
        <f>MEDIAN(Monday!F805,Tuesday!F805,Wednesday!F805,Thursday!F805,Friday!F805)</f>
        <v>3.2</v>
      </c>
      <c r="AD53" s="80">
        <f>AVERAGE(Monday!F863,Tuesday!F863,Wednesday!F863,Thursday!F863,Friday!F863)</f>
        <v>3.2659999999999996</v>
      </c>
      <c r="AE53" s="80">
        <f>MEDIAN(Monday!F863,Tuesday!F863,Wednesday!F863,Thursday!F863,Friday!F863)</f>
        <v>3.32</v>
      </c>
      <c r="AF53" s="80">
        <f>AVERAGE(Monday!F921,Tuesday!F921,Wednesday!F921,Thursday!F921,Friday!F921)</f>
        <v>3.3800000000000003</v>
      </c>
      <c r="AG53" s="80">
        <f>MEDIAN(Monday!F921,Tuesday!F921,Wednesday!F921,Thursday!F921,Friday!F921)</f>
        <v>3.42</v>
      </c>
      <c r="AH53" s="80">
        <f>AVERAGE(Monday!F979,Tuesday!F979,Wednesday!F979,Thursday!F979,Friday!F979)</f>
        <v>3.4899999999999998</v>
      </c>
      <c r="AI53" s="80">
        <f>MEDIAN(Monday!F979,Tuesday!F979,Wednesday!F979,Thursday!F979,Friday!F979)</f>
        <v>3.48</v>
      </c>
      <c r="AJ53" s="80">
        <f>AVERAGE(Monday!F1037,Tuesday!F1037,Wednesday!F1037,Thursday!F1037,Friday!F1037)</f>
        <v>3.536</v>
      </c>
      <c r="AK53" s="80">
        <f>MEDIAN(Monday!F1037,Tuesday!F1037,Wednesday!F1037,Thursday!F1037,Friday!F1037)</f>
        <v>3.53</v>
      </c>
      <c r="AL53" s="80">
        <f>AVERAGE(Monday!F1095,Tuesday!F1095,Wednesday!F1095,Thursday!F1095,Friday!F1095)</f>
        <v>3.5700000000000003</v>
      </c>
      <c r="AM53" s="80">
        <f>MEDIAN(Monday!F1095,Tuesday!F1095,Wednesday!F1095,Thursday!F1095,Friday!F1095)</f>
        <v>3.6</v>
      </c>
      <c r="AN53" s="80">
        <f>AVERAGE(Monday!F1153,Tuesday!F1153,Wednesday!F1153,Thursday!F1153,Friday!F1153)</f>
        <v>3.5259999999999998</v>
      </c>
      <c r="AO53" s="80">
        <f>MEDIAN(Monday!F1153,Tuesday!F1153,Wednesday!F1153,Thursday!F1153,Friday!F1153)</f>
        <v>3.52</v>
      </c>
      <c r="AP53" s="80">
        <f>AVERAGE(Monday!F1211,Tuesday!F1211,Wednesday!F1211,Thursday!F1211,Friday!F1211)</f>
        <v>3.5019999999999998</v>
      </c>
      <c r="AQ53" s="80">
        <f>MEDIAN(Monday!F1211,Tuesday!F1211,Wednesday!F1211,Thursday!F1211,Friday!F1211)</f>
        <v>3.5</v>
      </c>
      <c r="AR53" s="80">
        <f>AVERAGE(Monday!F1269,Tuesday!F1269,Wednesday!F1269,Thursday!F1269,Friday!F1269)</f>
        <v>3.4359999999999999</v>
      </c>
      <c r="AS53" s="80">
        <f>MEDIAN(Monday!F1269,Tuesday!F1269,Wednesday!F1269,Thursday!F1269,Friday!F1269)</f>
        <v>3.48</v>
      </c>
      <c r="AT53" s="80">
        <f>AVERAGE(Monday!F1327,Tuesday!F1327,Wednesday!F1327,Thursday!F1327,Friday!F1327)</f>
        <v>3.3880000000000003</v>
      </c>
      <c r="AU53" s="80">
        <f>MEDIAN(Monday!F1327,Tuesday!F1327,Wednesday!F1327,Thursday!F1327,Friday!F1327)</f>
        <v>3.38</v>
      </c>
      <c r="AV53" s="80">
        <f>AVERAGE(Monday!F1385,Tuesday!F1385,Wednesday!F1385,Thursday!F1385,Friday!F1385)</f>
        <v>3.4199999999999995</v>
      </c>
      <c r="AW53" s="80">
        <f>MEDIAN(Monday!F1385,Tuesday!F1385,Wednesday!F1385,Thursday!F1385,Friday!F1385)</f>
        <v>3.45</v>
      </c>
      <c r="AX53" s="80">
        <f>AVERAGE(Monday!F1443,Tuesday!F1443,Wednesday!F1443,Thursday!F1443,Friday!F1443)</f>
        <v>3.2380000000000004</v>
      </c>
      <c r="AY53" s="80">
        <f>MEDIAN(Monday!F1443,Tuesday!F1443,Wednesday!F1443,Thursday!F1443,Friday!F1443)</f>
        <v>3.22</v>
      </c>
      <c r="AZ53" s="80">
        <f>AVERAGE(Monday!F1501,Tuesday!F1501,Wednesday!F1501,Thursday!F1501,Friday!F1501)</f>
        <v>3.194</v>
      </c>
      <c r="BA53" s="80">
        <f>MEDIAN(Monday!F1501,Tuesday!F1501,Wednesday!F1501,Thursday!F1501,Friday!F1501)</f>
        <v>3.2</v>
      </c>
      <c r="BB53" s="81">
        <v>50</v>
      </c>
      <c r="BC53" s="80">
        <f t="shared" si="2"/>
        <v>3.2395384615384617</v>
      </c>
      <c r="BD53" s="80">
        <f t="shared" si="1"/>
        <v>3.2</v>
      </c>
    </row>
    <row r="54" spans="1:56" x14ac:dyDescent="0.25">
      <c r="A54" s="33">
        <v>51</v>
      </c>
      <c r="B54" s="80">
        <f>AVERAGE(Monday!F52,Tuesday!F52,Wednesday!F52,Thursday!F52,Friday!F52)</f>
        <v>4.984</v>
      </c>
      <c r="C54" s="80">
        <f>MEDIAN(Monday!F52,Tuesday!F52,Wednesday!F52,Thursday!F52,Friday!F52)</f>
        <v>4.97</v>
      </c>
      <c r="D54" s="80">
        <f>AVERAGE(Monday!F110,Tuesday!F110,Wednesday!F110,Thursday!F110,Friday!F110)</f>
        <v>4.95</v>
      </c>
      <c r="E54" s="80">
        <f>MEDIAN(Monday!F110,Tuesday!F110,Wednesday!F110,Thursday!F110,Friday!F110)</f>
        <v>4.9800000000000004</v>
      </c>
      <c r="F54" s="80">
        <f>AVERAGE(Monday!F168,Tuesday!F168,Wednesday!F168,Thursday!F168,Friday!F168)</f>
        <v>5.1639999999999997</v>
      </c>
      <c r="G54" s="80">
        <f>MEDIAN(Monday!F168,Tuesday!F168,Wednesday!F168,Thursday!F168,Friday!F168)</f>
        <v>5.0999999999999996</v>
      </c>
      <c r="H54" s="80">
        <f>AVERAGE(Monday!F226,Tuesday!F226,Wednesday!F226,Thursday!F226,Friday!F226)</f>
        <v>5.4099999999999993</v>
      </c>
      <c r="I54" s="80">
        <f>MEDIAN(Monday!F226,Tuesday!F226,Wednesday!F226,Thursday!F226,Friday!F226)</f>
        <v>5.43</v>
      </c>
      <c r="J54" s="80">
        <f>AVERAGE(Monday!F284,Tuesday!F284,Wednesday!F284,Thursday!F284,Friday!F284)</f>
        <v>5.9260000000000002</v>
      </c>
      <c r="K54" s="80">
        <f>MEDIAN(Monday!F284,Tuesday!F284,Wednesday!F284,Thursday!F284,Friday!F284)</f>
        <v>5.9</v>
      </c>
      <c r="L54" s="80">
        <f>AVERAGE(Monday!F342,Tuesday!F342,Wednesday!F342,Thursday!F342,Friday!F342)</f>
        <v>6.2780000000000005</v>
      </c>
      <c r="M54" s="80">
        <f>MEDIAN(Monday!F342,Tuesday!F342,Wednesday!F342,Thursday!F342,Friday!F342)</f>
        <v>6.23</v>
      </c>
      <c r="N54" s="80">
        <f>AVERAGE(Monday!F400,Tuesday!F400,Wednesday!F400,Thursday!F400,Friday!F400)</f>
        <v>6.2879999999999994</v>
      </c>
      <c r="O54" s="80">
        <f>MEDIAN(Monday!F400,Tuesday!F400,Wednesday!F400,Thursday!F400,Friday!F400)</f>
        <v>6.3</v>
      </c>
      <c r="P54" s="80">
        <f>AVERAGE(Monday!F458,Tuesday!F458,Wednesday!F458,Thursday!F458,Friday!F458)</f>
        <v>5.85</v>
      </c>
      <c r="Q54" s="80">
        <f>MEDIAN(Monday!F458,Tuesday!F458,Wednesday!F458,Thursday!F458,Friday!F458)</f>
        <v>5.83</v>
      </c>
      <c r="R54" s="80">
        <f>AVERAGE(Monday!F516,Tuesday!F516,Wednesday!F516,Thursday!F516,Friday!F516)</f>
        <v>5.72</v>
      </c>
      <c r="S54" s="80">
        <f>MEDIAN(Monday!F516,Tuesday!F516,Wednesday!F516,Thursday!F516,Friday!F516)</f>
        <v>5.7</v>
      </c>
      <c r="T54" s="80">
        <f>AVERAGE(Monday!F574,Tuesday!F574,Wednesday!F574,Thursday!F574,Friday!F574)</f>
        <v>5.8519999999999994</v>
      </c>
      <c r="U54" s="80">
        <f>MEDIAN(Monday!F574,Tuesday!F574,Wednesday!F574,Thursday!F574,Friday!F574)</f>
        <v>5.83</v>
      </c>
      <c r="V54" s="80">
        <f>AVERAGE(Monday!F632,Tuesday!F632,Wednesday!F632,Thursday!F632,Friday!F632)</f>
        <v>5.8239999999999998</v>
      </c>
      <c r="W54" s="80">
        <f>MEDIAN(Monday!F632,Tuesday!F632,Wednesday!F632,Thursday!F632,Friday!F632)</f>
        <v>5.85</v>
      </c>
      <c r="X54" s="80">
        <f>AVERAGE(Monday!F690,Tuesday!F690,Wednesday!F690,Thursday!F690,Friday!F690)</f>
        <v>5.84</v>
      </c>
      <c r="Y54" s="80">
        <f>MEDIAN(Monday!F690,Tuesday!F690,Wednesday!F690,Thursday!F690,Friday!F690)</f>
        <v>5.78</v>
      </c>
      <c r="Z54" s="80">
        <f>AVERAGE(Monday!F748,Tuesday!F748,Wednesday!F748,Thursday!F748,Friday!F748)</f>
        <v>5.76</v>
      </c>
      <c r="AA54" s="80">
        <f>MEDIAN(Monday!F748,Tuesday!F748,Wednesday!F748,Thursday!F748,Friday!F748)</f>
        <v>5.75</v>
      </c>
      <c r="AB54" s="80">
        <f>AVERAGE(Monday!F806,Tuesday!F806,Wednesday!F806,Thursday!F806,Friday!F806)</f>
        <v>5.9799999999999995</v>
      </c>
      <c r="AC54" s="80">
        <f>MEDIAN(Monday!F806,Tuesday!F806,Wednesday!F806,Thursday!F806,Friday!F806)</f>
        <v>5.85</v>
      </c>
      <c r="AD54" s="80">
        <f>AVERAGE(Monday!F864,Tuesday!F864,Wednesday!F864,Thursday!F864,Friday!F864)</f>
        <v>6.04</v>
      </c>
      <c r="AE54" s="80">
        <f>MEDIAN(Monday!F864,Tuesday!F864,Wednesday!F864,Thursday!F864,Friday!F864)</f>
        <v>5.88</v>
      </c>
      <c r="AF54" s="80">
        <f>AVERAGE(Monday!F922,Tuesday!F922,Wednesday!F922,Thursday!F922,Friday!F922)</f>
        <v>5.9580000000000002</v>
      </c>
      <c r="AG54" s="80">
        <f>MEDIAN(Monday!F922,Tuesday!F922,Wednesday!F922,Thursday!F922,Friday!F922)</f>
        <v>5.98</v>
      </c>
      <c r="AH54" s="80">
        <f>AVERAGE(Monday!F980,Tuesday!F980,Wednesday!F980,Thursday!F980,Friday!F980)</f>
        <v>6.1659999999999995</v>
      </c>
      <c r="AI54" s="80">
        <f>MEDIAN(Monday!F980,Tuesday!F980,Wednesday!F980,Thursday!F980,Friday!F980)</f>
        <v>5.93</v>
      </c>
      <c r="AJ54" s="80">
        <f>AVERAGE(Monday!F1038,Tuesday!F1038,Wednesday!F1038,Thursday!F1038,Friday!F1038)</f>
        <v>6.1459999999999999</v>
      </c>
      <c r="AK54" s="80">
        <f>MEDIAN(Monday!F1038,Tuesday!F1038,Wednesday!F1038,Thursday!F1038,Friday!F1038)</f>
        <v>6.18</v>
      </c>
      <c r="AL54" s="80">
        <f>AVERAGE(Monday!F1096,Tuesday!F1096,Wednesday!F1096,Thursday!F1096,Friday!F1096)</f>
        <v>6.0780000000000003</v>
      </c>
      <c r="AM54" s="80">
        <f>MEDIAN(Monday!F1096,Tuesday!F1096,Wednesday!F1096,Thursday!F1096,Friday!F1096)</f>
        <v>6.1</v>
      </c>
      <c r="AN54" s="80">
        <f>AVERAGE(Monday!F1154,Tuesday!F1154,Wednesday!F1154,Thursday!F1154,Friday!F1154)</f>
        <v>5.8519999999999994</v>
      </c>
      <c r="AO54" s="80">
        <f>MEDIAN(Monday!F1154,Tuesday!F1154,Wednesday!F1154,Thursday!F1154,Friday!F1154)</f>
        <v>5.88</v>
      </c>
      <c r="AP54" s="80">
        <f>AVERAGE(Monday!F1212,Tuesday!F1212,Wednesday!F1212,Thursday!F1212,Friday!F1212)</f>
        <v>6.2039999999999997</v>
      </c>
      <c r="AQ54" s="80">
        <f>MEDIAN(Monday!F1212,Tuesday!F1212,Wednesday!F1212,Thursday!F1212,Friday!F1212)</f>
        <v>6.22</v>
      </c>
      <c r="AR54" s="80">
        <f>AVERAGE(Monday!F1270,Tuesday!F1270,Wednesday!F1270,Thursday!F1270,Friday!F1270)</f>
        <v>6.35</v>
      </c>
      <c r="AS54" s="80">
        <f>MEDIAN(Monday!F1270,Tuesday!F1270,Wednesday!F1270,Thursday!F1270,Friday!F1270)</f>
        <v>6.25</v>
      </c>
      <c r="AT54" s="80">
        <f>AVERAGE(Monday!F1328,Tuesday!F1328,Wednesday!F1328,Thursday!F1328,Friday!F1328)</f>
        <v>6.2159999999999993</v>
      </c>
      <c r="AU54" s="80">
        <f>MEDIAN(Monday!F1328,Tuesday!F1328,Wednesday!F1328,Thursday!F1328,Friday!F1328)</f>
        <v>6.22</v>
      </c>
      <c r="AV54" s="80">
        <f>AVERAGE(Monday!F1386,Tuesday!F1386,Wednesday!F1386,Thursday!F1386,Friday!F1386)</f>
        <v>6.13</v>
      </c>
      <c r="AW54" s="80">
        <f>MEDIAN(Monday!F1386,Tuesday!F1386,Wednesday!F1386,Thursday!F1386,Friday!F1386)</f>
        <v>5.93</v>
      </c>
      <c r="AX54" s="80">
        <f>AVERAGE(Monday!F1444,Tuesday!F1444,Wednesday!F1444,Thursday!F1444,Friday!F1444)</f>
        <v>5.9399999999999995</v>
      </c>
      <c r="AY54" s="80">
        <f>MEDIAN(Monday!F1444,Tuesday!F1444,Wednesday!F1444,Thursday!F1444,Friday!F1444)</f>
        <v>5.97</v>
      </c>
      <c r="AZ54" s="80">
        <f>AVERAGE(Monday!F1502,Tuesday!F1502,Wednesday!F1502,Thursday!F1502,Friday!F1502)</f>
        <v>5.8020000000000005</v>
      </c>
      <c r="BA54" s="80">
        <f>MEDIAN(Monday!F1502,Tuesday!F1502,Wednesday!F1502,Thursday!F1502,Friday!F1502)</f>
        <v>5.8</v>
      </c>
      <c r="BB54" s="81">
        <v>51</v>
      </c>
      <c r="BC54" s="80">
        <f t="shared" si="2"/>
        <v>5.873384615384615</v>
      </c>
      <c r="BD54" s="80">
        <f t="shared" si="1"/>
        <v>5.88</v>
      </c>
    </row>
    <row r="55" spans="1:56" x14ac:dyDescent="0.25">
      <c r="A55" s="33">
        <v>52</v>
      </c>
      <c r="B55" s="80">
        <f>AVERAGE(Monday!F53,Tuesday!F53,Wednesday!F53,Thursday!F53,Friday!F53)</f>
        <v>2.5539999999999998</v>
      </c>
      <c r="C55" s="80">
        <f>MEDIAN(Monday!F53,Tuesday!F53,Wednesday!F53,Thursday!F53,Friday!F53)</f>
        <v>2.5299999999999998</v>
      </c>
      <c r="D55" s="80">
        <f>AVERAGE(Monday!F111,Tuesday!F111,Wednesday!F111,Thursday!F111,Friday!F111)</f>
        <v>2.65</v>
      </c>
      <c r="E55" s="80">
        <f>MEDIAN(Monday!F111,Tuesday!F111,Wednesday!F111,Thursday!F111,Friday!F111)</f>
        <v>2.65</v>
      </c>
      <c r="F55" s="80">
        <f>AVERAGE(Monday!F169,Tuesday!F169,Wednesday!F169,Thursday!F169,Friday!F169)</f>
        <v>2.7519999999999998</v>
      </c>
      <c r="G55" s="80">
        <f>MEDIAN(Monday!F169,Tuesday!F169,Wednesday!F169,Thursday!F169,Friday!F169)</f>
        <v>2.75</v>
      </c>
      <c r="H55" s="80">
        <f>AVERAGE(Monday!F227,Tuesday!F227,Wednesday!F227,Thursday!F227,Friday!F227)</f>
        <v>2.7879999999999998</v>
      </c>
      <c r="I55" s="80">
        <f>MEDIAN(Monday!F227,Tuesday!F227,Wednesday!F227,Thursday!F227,Friday!F227)</f>
        <v>2.75</v>
      </c>
      <c r="J55" s="80">
        <f>AVERAGE(Monday!F285,Tuesday!F285,Wednesday!F285,Thursday!F285,Friday!F285)</f>
        <v>2.9119999999999999</v>
      </c>
      <c r="K55" s="80">
        <f>MEDIAN(Monday!F285,Tuesday!F285,Wednesday!F285,Thursday!F285,Friday!F285)</f>
        <v>2.85</v>
      </c>
      <c r="L55" s="80">
        <f>AVERAGE(Monday!F343,Tuesday!F343,Wednesday!F343,Thursday!F343,Friday!F343)</f>
        <v>2.9259999999999997</v>
      </c>
      <c r="M55" s="80">
        <f>MEDIAN(Monday!F343,Tuesday!F343,Wednesday!F343,Thursday!F343,Friday!F343)</f>
        <v>2.9</v>
      </c>
      <c r="N55" s="80">
        <f>AVERAGE(Monday!F401,Tuesday!F401,Wednesday!F401,Thursday!F401,Friday!F401)</f>
        <v>2.9619999999999997</v>
      </c>
      <c r="O55" s="80">
        <f>MEDIAN(Monday!F401,Tuesday!F401,Wednesday!F401,Thursday!F401,Friday!F401)</f>
        <v>2.98</v>
      </c>
      <c r="P55" s="80">
        <f>AVERAGE(Monday!F459,Tuesday!F459,Wednesday!F459,Thursday!F459,Friday!F459)</f>
        <v>2.9920000000000004</v>
      </c>
      <c r="Q55" s="80">
        <f>MEDIAN(Monday!F459,Tuesday!F459,Wednesday!F459,Thursday!F459,Friday!F459)</f>
        <v>2.97</v>
      </c>
      <c r="R55" s="80">
        <f>AVERAGE(Monday!F517,Tuesday!F517,Wednesday!F517,Thursday!F517,Friday!F517)</f>
        <v>2.9499999999999997</v>
      </c>
      <c r="S55" s="80">
        <f>MEDIAN(Monday!F517,Tuesday!F517,Wednesday!F517,Thursday!F517,Friday!F517)</f>
        <v>2.9</v>
      </c>
      <c r="T55" s="80">
        <f>AVERAGE(Monday!F575,Tuesday!F575,Wednesday!F575,Thursday!F575,Friday!F575)</f>
        <v>2.9460000000000002</v>
      </c>
      <c r="U55" s="80">
        <f>MEDIAN(Monday!F575,Tuesday!F575,Wednesday!F575,Thursday!F575,Friday!F575)</f>
        <v>2.93</v>
      </c>
      <c r="V55" s="80">
        <f>AVERAGE(Monday!F633,Tuesday!F633,Wednesday!F633,Thursday!F633,Friday!F633)</f>
        <v>2.8600000000000003</v>
      </c>
      <c r="W55" s="80">
        <f>MEDIAN(Monday!F633,Tuesday!F633,Wednesday!F633,Thursday!F633,Friday!F633)</f>
        <v>2.83</v>
      </c>
      <c r="X55" s="80">
        <f>AVERAGE(Monday!F691,Tuesday!F691,Wednesday!F691,Thursday!F691,Friday!F691)</f>
        <v>2.91</v>
      </c>
      <c r="Y55" s="80">
        <f>MEDIAN(Monday!F691,Tuesday!F691,Wednesday!F691,Thursday!F691,Friday!F691)</f>
        <v>2.93</v>
      </c>
      <c r="Z55" s="80">
        <f>AVERAGE(Monday!F749,Tuesday!F749,Wednesday!F749,Thursday!F749,Friday!F749)</f>
        <v>2.8859999999999997</v>
      </c>
      <c r="AA55" s="80">
        <f>MEDIAN(Monday!F749,Tuesday!F749,Wednesday!F749,Thursday!F749,Friday!F749)</f>
        <v>2.88</v>
      </c>
      <c r="AB55" s="80">
        <f>AVERAGE(Monday!F807,Tuesday!F807,Wednesday!F807,Thursday!F807,Friday!F807)</f>
        <v>2.8740000000000001</v>
      </c>
      <c r="AC55" s="80">
        <f>MEDIAN(Monday!F807,Tuesday!F807,Wednesday!F807,Thursday!F807,Friday!F807)</f>
        <v>2.88</v>
      </c>
      <c r="AD55" s="80">
        <f>AVERAGE(Monday!F865,Tuesday!F865,Wednesday!F865,Thursday!F865,Friday!F865)</f>
        <v>2.944</v>
      </c>
      <c r="AE55" s="80">
        <f>MEDIAN(Monday!F865,Tuesday!F865,Wednesday!F865,Thursday!F865,Friday!F865)</f>
        <v>2.93</v>
      </c>
      <c r="AF55" s="80">
        <f>AVERAGE(Monday!F923,Tuesday!F923,Wednesday!F923,Thursday!F923,Friday!F923)</f>
        <v>3.0020000000000002</v>
      </c>
      <c r="AG55" s="80">
        <f>MEDIAN(Monday!F923,Tuesday!F923,Wednesday!F923,Thursday!F923,Friday!F923)</f>
        <v>2.97</v>
      </c>
      <c r="AH55" s="80">
        <f>AVERAGE(Monday!F981,Tuesday!F981,Wednesday!F981,Thursday!F981,Friday!F981)</f>
        <v>3.0300000000000002</v>
      </c>
      <c r="AI55" s="80">
        <f>MEDIAN(Monday!F981,Tuesday!F981,Wednesday!F981,Thursday!F981,Friday!F981)</f>
        <v>3.05</v>
      </c>
      <c r="AJ55" s="80">
        <f>AVERAGE(Monday!F1039,Tuesday!F1039,Wednesday!F1039,Thursday!F1039,Friday!F1039)</f>
        <v>2.9659999999999997</v>
      </c>
      <c r="AK55" s="80">
        <f>MEDIAN(Monday!F1039,Tuesday!F1039,Wednesday!F1039,Thursday!F1039,Friday!F1039)</f>
        <v>2.93</v>
      </c>
      <c r="AL55" s="80">
        <f>AVERAGE(Monday!F1097,Tuesday!F1097,Wednesday!F1097,Thursday!F1097,Friday!F1097)</f>
        <v>2.9059999999999997</v>
      </c>
      <c r="AM55" s="80">
        <f>MEDIAN(Monday!F1097,Tuesday!F1097,Wednesday!F1097,Thursday!F1097,Friday!F1097)</f>
        <v>2.92</v>
      </c>
      <c r="AN55" s="80">
        <f>AVERAGE(Monday!F1155,Tuesday!F1155,Wednesday!F1155,Thursday!F1155,Friday!F1155)</f>
        <v>2.9359999999999999</v>
      </c>
      <c r="AO55" s="80">
        <f>MEDIAN(Monday!F1155,Tuesday!F1155,Wednesday!F1155,Thursday!F1155,Friday!F1155)</f>
        <v>2.93</v>
      </c>
      <c r="AP55" s="80">
        <f>AVERAGE(Monday!F1213,Tuesday!F1213,Wednesday!F1213,Thursday!F1213,Friday!F1213)</f>
        <v>2.9180000000000001</v>
      </c>
      <c r="AQ55" s="80">
        <f>MEDIAN(Monday!F1213,Tuesday!F1213,Wednesday!F1213,Thursday!F1213,Friday!F1213)</f>
        <v>2.92</v>
      </c>
      <c r="AR55" s="80">
        <f>AVERAGE(Monday!F1271,Tuesday!F1271,Wednesday!F1271,Thursday!F1271,Friday!F1271)</f>
        <v>2.94</v>
      </c>
      <c r="AS55" s="80">
        <f>MEDIAN(Monday!F1271,Tuesday!F1271,Wednesday!F1271,Thursday!F1271,Friday!F1271)</f>
        <v>2.92</v>
      </c>
      <c r="AT55" s="80">
        <f>AVERAGE(Monday!F1329,Tuesday!F1329,Wednesday!F1329,Thursday!F1329,Friday!F1329)</f>
        <v>2.9119999999999999</v>
      </c>
      <c r="AU55" s="80">
        <f>MEDIAN(Monday!F1329,Tuesday!F1329,Wednesday!F1329,Thursday!F1329,Friday!F1329)</f>
        <v>2.9</v>
      </c>
      <c r="AV55" s="80">
        <f>AVERAGE(Monday!F1387,Tuesday!F1387,Wednesday!F1387,Thursday!F1387,Friday!F1387)</f>
        <v>2.8600000000000003</v>
      </c>
      <c r="AW55" s="80">
        <f>MEDIAN(Monday!F1387,Tuesday!F1387,Wednesday!F1387,Thursday!F1387,Friday!F1387)</f>
        <v>2.87</v>
      </c>
      <c r="AX55" s="80">
        <f>AVERAGE(Monday!F1445,Tuesday!F1445,Wednesday!F1445,Thursday!F1445,Friday!F1445)</f>
        <v>2.8560000000000003</v>
      </c>
      <c r="AY55" s="80">
        <f>MEDIAN(Monday!F1445,Tuesday!F1445,Wednesday!F1445,Thursday!F1445,Friday!F1445)</f>
        <v>2.85</v>
      </c>
      <c r="AZ55" s="80">
        <f>AVERAGE(Monday!F1503,Tuesday!F1503,Wednesday!F1503,Thursday!F1503,Friday!F1503)</f>
        <v>2.8840000000000003</v>
      </c>
      <c r="BA55" s="80">
        <f>MEDIAN(Monday!F1503,Tuesday!F1503,Wednesday!F1503,Thursday!F1503,Friday!F1503)</f>
        <v>2.87</v>
      </c>
      <c r="BB55" s="81">
        <v>52</v>
      </c>
      <c r="BC55" s="80">
        <f t="shared" si="2"/>
        <v>2.8890769230769231</v>
      </c>
      <c r="BD55" s="80">
        <f t="shared" si="1"/>
        <v>2.9</v>
      </c>
    </row>
    <row r="56" spans="1:56" x14ac:dyDescent="0.25">
      <c r="A56" s="33">
        <v>53</v>
      </c>
      <c r="B56" s="80">
        <f>AVERAGE(Monday!F54,Tuesday!F54,Wednesday!F54,Thursday!F54,Friday!F54)</f>
        <v>3.194</v>
      </c>
      <c r="C56" s="80">
        <f>MEDIAN(Monday!F54,Tuesday!F54,Wednesday!F54,Thursday!F54,Friday!F54)</f>
        <v>3.22</v>
      </c>
      <c r="D56" s="80">
        <f>AVERAGE(Monday!F112,Tuesday!F112,Wednesday!F112,Thursday!F112,Friday!F112)</f>
        <v>3.2759999999999998</v>
      </c>
      <c r="E56" s="80">
        <f>MEDIAN(Monday!F112,Tuesday!F112,Wednesday!F112,Thursday!F112,Friday!F112)</f>
        <v>3.27</v>
      </c>
      <c r="F56" s="80">
        <f>AVERAGE(Monday!F170,Tuesday!F170,Wednesday!F170,Thursday!F170,Friday!F170)</f>
        <v>3.35</v>
      </c>
      <c r="G56" s="80">
        <f>MEDIAN(Monday!F170,Tuesday!F170,Wednesday!F170,Thursday!F170,Friday!F170)</f>
        <v>3.35</v>
      </c>
      <c r="H56" s="80">
        <f>AVERAGE(Monday!F228,Tuesday!F228,Wednesday!F228,Thursday!F228,Friday!F228)</f>
        <v>3.468</v>
      </c>
      <c r="I56" s="80">
        <f>MEDIAN(Monday!F228,Tuesday!F228,Wednesday!F228,Thursday!F228,Friday!F228)</f>
        <v>3.47</v>
      </c>
      <c r="J56" s="80">
        <f>AVERAGE(Monday!F286,Tuesday!F286,Wednesday!F286,Thursday!F286,Friday!F286)</f>
        <v>3.6859999999999999</v>
      </c>
      <c r="K56" s="80">
        <f>MEDIAN(Monday!F286,Tuesday!F286,Wednesday!F286,Thursday!F286,Friday!F286)</f>
        <v>3.72</v>
      </c>
      <c r="L56" s="80">
        <f>AVERAGE(Monday!F344,Tuesday!F344,Wednesday!F344,Thursday!F344,Friday!F344)</f>
        <v>3.9519999999999995</v>
      </c>
      <c r="M56" s="80">
        <f>MEDIAN(Monday!F344,Tuesday!F344,Wednesday!F344,Thursday!F344,Friday!F344)</f>
        <v>3.97</v>
      </c>
      <c r="N56" s="80">
        <f>AVERAGE(Monday!F402,Tuesday!F402,Wednesday!F402,Thursday!F402,Friday!F402)</f>
        <v>4.1440000000000001</v>
      </c>
      <c r="O56" s="80">
        <f>MEDIAN(Monday!F402,Tuesday!F402,Wednesday!F402,Thursday!F402,Friday!F402)</f>
        <v>4.12</v>
      </c>
      <c r="P56" s="80">
        <f>AVERAGE(Monday!F460,Tuesday!F460,Wednesday!F460,Thursday!F460,Friday!F460)</f>
        <v>3.9440000000000004</v>
      </c>
      <c r="Q56" s="80">
        <f>MEDIAN(Monday!F460,Tuesday!F460,Wednesday!F460,Thursday!F460,Friday!F460)</f>
        <v>3.97</v>
      </c>
      <c r="R56" s="80">
        <f>AVERAGE(Monday!F518,Tuesday!F518,Wednesday!F518,Thursday!F518,Friday!F518)</f>
        <v>3.8639999999999999</v>
      </c>
      <c r="S56" s="80">
        <f>MEDIAN(Monday!F518,Tuesday!F518,Wednesday!F518,Thursday!F518,Friday!F518)</f>
        <v>3.85</v>
      </c>
      <c r="T56" s="80">
        <f>AVERAGE(Monday!F576,Tuesday!F576,Wednesday!F576,Thursday!F576,Friday!F576)</f>
        <v>3.7560000000000002</v>
      </c>
      <c r="U56" s="80">
        <f>MEDIAN(Monday!F576,Tuesday!F576,Wednesday!F576,Thursday!F576,Friday!F576)</f>
        <v>3.75</v>
      </c>
      <c r="V56" s="80">
        <f>AVERAGE(Monday!F634,Tuesday!F634,Wednesday!F634,Thursday!F634,Friday!F634)</f>
        <v>3.7479999999999998</v>
      </c>
      <c r="W56" s="80">
        <f>MEDIAN(Monday!F634,Tuesday!F634,Wednesday!F634,Thursday!F634,Friday!F634)</f>
        <v>3.73</v>
      </c>
      <c r="X56" s="80">
        <f>AVERAGE(Monday!F692,Tuesday!F692,Wednesday!F692,Thursday!F692,Friday!F692)</f>
        <v>3.8079999999999998</v>
      </c>
      <c r="Y56" s="80">
        <f>MEDIAN(Monday!F692,Tuesday!F692,Wednesday!F692,Thursday!F692,Friday!F692)</f>
        <v>3.83</v>
      </c>
      <c r="Z56" s="80">
        <f>AVERAGE(Monday!F750,Tuesday!F750,Wednesday!F750,Thursday!F750,Friday!F750)</f>
        <v>3.7980000000000005</v>
      </c>
      <c r="AA56" s="80">
        <f>MEDIAN(Monday!F750,Tuesday!F750,Wednesday!F750,Thursday!F750,Friday!F750)</f>
        <v>3.75</v>
      </c>
      <c r="AB56" s="80">
        <f>AVERAGE(Monday!F808,Tuesday!F808,Wednesday!F808,Thursday!F808,Friday!F808)</f>
        <v>3.8200000000000003</v>
      </c>
      <c r="AC56" s="80">
        <f>MEDIAN(Monday!F808,Tuesday!F808,Wednesday!F808,Thursday!F808,Friday!F808)</f>
        <v>3.8</v>
      </c>
      <c r="AD56" s="80">
        <f>AVERAGE(Monday!F866,Tuesday!F866,Wednesday!F866,Thursday!F866,Friday!F866)</f>
        <v>4.0239999999999991</v>
      </c>
      <c r="AE56" s="80">
        <f>MEDIAN(Monday!F866,Tuesday!F866,Wednesday!F866,Thursday!F866,Friday!F866)</f>
        <v>4.05</v>
      </c>
      <c r="AF56" s="80">
        <f>AVERAGE(Monday!F924,Tuesday!F924,Wednesday!F924,Thursday!F924,Friday!F924)</f>
        <v>4.008</v>
      </c>
      <c r="AG56" s="80">
        <f>MEDIAN(Monday!F924,Tuesday!F924,Wednesday!F924,Thursday!F924,Friday!F924)</f>
        <v>3.97</v>
      </c>
      <c r="AH56" s="80">
        <f>AVERAGE(Monday!F982,Tuesday!F982,Wednesday!F982,Thursday!F982,Friday!F982)</f>
        <v>4.1440000000000001</v>
      </c>
      <c r="AI56" s="80">
        <f>MEDIAN(Monday!F982,Tuesday!F982,Wednesday!F982,Thursday!F982,Friday!F982)</f>
        <v>4.08</v>
      </c>
      <c r="AJ56" s="80">
        <f>AVERAGE(Monday!F1040,Tuesday!F1040,Wednesday!F1040,Thursday!F1040,Friday!F1040)</f>
        <v>3.9959999999999996</v>
      </c>
      <c r="AK56" s="80">
        <f>MEDIAN(Monday!F1040,Tuesday!F1040,Wednesday!F1040,Thursday!F1040,Friday!F1040)</f>
        <v>3.93</v>
      </c>
      <c r="AL56" s="80">
        <f>AVERAGE(Monday!F1098,Tuesday!F1098,Wednesday!F1098,Thursday!F1098,Friday!F1098)</f>
        <v>3.8140000000000001</v>
      </c>
      <c r="AM56" s="80">
        <f>MEDIAN(Monday!F1098,Tuesday!F1098,Wednesday!F1098,Thursday!F1098,Friday!F1098)</f>
        <v>3.78</v>
      </c>
      <c r="AN56" s="80">
        <f>AVERAGE(Monday!F1156,Tuesday!F1156,Wednesday!F1156,Thursday!F1156,Friday!F1156)</f>
        <v>3.7759999999999998</v>
      </c>
      <c r="AO56" s="80">
        <f>MEDIAN(Monday!F1156,Tuesday!F1156,Wednesday!F1156,Thursday!F1156,Friday!F1156)</f>
        <v>3.75</v>
      </c>
      <c r="AP56" s="80">
        <f>AVERAGE(Monday!F1214,Tuesday!F1214,Wednesday!F1214,Thursday!F1214,Friday!F1214)</f>
        <v>3.8980000000000006</v>
      </c>
      <c r="AQ56" s="80">
        <f>MEDIAN(Monday!F1214,Tuesday!F1214,Wednesday!F1214,Thursday!F1214,Friday!F1214)</f>
        <v>3.87</v>
      </c>
      <c r="AR56" s="80">
        <f>AVERAGE(Monday!F1272,Tuesday!F1272,Wednesday!F1272,Thursday!F1272,Friday!F1272)</f>
        <v>3.9660000000000002</v>
      </c>
      <c r="AS56" s="80">
        <f>MEDIAN(Monday!F1272,Tuesday!F1272,Wednesday!F1272,Thursday!F1272,Friday!F1272)</f>
        <v>4.0199999999999996</v>
      </c>
      <c r="AT56" s="80">
        <f>AVERAGE(Monday!F1330,Tuesday!F1330,Wednesday!F1330,Thursday!F1330,Friday!F1330)</f>
        <v>3.9619999999999997</v>
      </c>
      <c r="AU56" s="80">
        <f>MEDIAN(Monday!F1330,Tuesday!F1330,Wednesday!F1330,Thursday!F1330,Friday!F1330)</f>
        <v>4.0199999999999996</v>
      </c>
      <c r="AV56" s="80">
        <f>AVERAGE(Monday!F1388,Tuesday!F1388,Wednesday!F1388,Thursday!F1388,Friday!F1388)</f>
        <v>4.0900000000000007</v>
      </c>
      <c r="AW56" s="80">
        <f>MEDIAN(Monday!F1388,Tuesday!F1388,Wednesday!F1388,Thursday!F1388,Friday!F1388)</f>
        <v>4.05</v>
      </c>
      <c r="AX56" s="80">
        <f>AVERAGE(Monday!F1446,Tuesday!F1446,Wednesday!F1446,Thursday!F1446,Friday!F1446)</f>
        <v>4.016</v>
      </c>
      <c r="AY56" s="80">
        <f>MEDIAN(Monday!F1446,Tuesday!F1446,Wednesday!F1446,Thursday!F1446,Friday!F1446)</f>
        <v>3.95</v>
      </c>
      <c r="AZ56" s="80">
        <f>AVERAGE(Monday!F1504,Tuesday!F1504,Wednesday!F1504,Thursday!F1504,Friday!F1504)</f>
        <v>3.9159999999999995</v>
      </c>
      <c r="BA56" s="80">
        <f>MEDIAN(Monday!F1504,Tuesday!F1504,Wednesday!F1504,Thursday!F1504,Friday!F1504)</f>
        <v>3.87</v>
      </c>
      <c r="BB56" s="81">
        <v>53</v>
      </c>
      <c r="BC56" s="80">
        <f t="shared" si="2"/>
        <v>3.8237692307692308</v>
      </c>
      <c r="BD56" s="80">
        <f t="shared" si="1"/>
        <v>3.8600000000000003</v>
      </c>
    </row>
    <row r="57" spans="1:56" x14ac:dyDescent="0.25">
      <c r="A57" s="33">
        <v>54</v>
      </c>
      <c r="B57" s="80">
        <f>AVERAGE(Monday!F55,Tuesday!F55,Wednesday!F55,Thursday!F55,Friday!F55)</f>
        <v>2.2280000000000002</v>
      </c>
      <c r="C57" s="80">
        <f>MEDIAN(Monday!F55,Tuesday!F55,Wednesday!F55,Thursday!F55,Friday!F55)</f>
        <v>2.27</v>
      </c>
      <c r="D57" s="80">
        <f>AVERAGE(Monday!F113,Tuesday!F113,Wednesday!F113,Thursday!F113,Friday!F113)</f>
        <v>2.4119999999999999</v>
      </c>
      <c r="E57" s="80">
        <f>MEDIAN(Monday!F113,Tuesday!F113,Wednesday!F113,Thursday!F113,Friday!F113)</f>
        <v>2.42</v>
      </c>
      <c r="F57" s="80">
        <f>AVERAGE(Monday!F171,Tuesday!F171,Wednesday!F171,Thursday!F171,Friday!F171)</f>
        <v>2.6320000000000001</v>
      </c>
      <c r="G57" s="80">
        <f>MEDIAN(Monday!F171,Tuesday!F171,Wednesday!F171,Thursday!F171,Friday!F171)</f>
        <v>2.65</v>
      </c>
      <c r="H57" s="80">
        <f>AVERAGE(Monday!F229,Tuesday!F229,Wednesday!F229,Thursday!F229,Friday!F229)</f>
        <v>3.0740000000000003</v>
      </c>
      <c r="I57" s="80">
        <f>MEDIAN(Monday!F229,Tuesday!F229,Wednesday!F229,Thursday!F229,Friday!F229)</f>
        <v>3</v>
      </c>
      <c r="J57" s="80">
        <f>AVERAGE(Monday!F287,Tuesday!F287,Wednesday!F287,Thursday!F287,Friday!F287)</f>
        <v>4.806</v>
      </c>
      <c r="K57" s="80">
        <f>MEDIAN(Monday!F287,Tuesday!F287,Wednesday!F287,Thursday!F287,Friday!F287)</f>
        <v>4.92</v>
      </c>
      <c r="L57" s="80">
        <f>AVERAGE(Monday!F345,Tuesday!F345,Wednesday!F345,Thursday!F345,Friday!F345)</f>
        <v>5.2460000000000004</v>
      </c>
      <c r="M57" s="80">
        <f>MEDIAN(Monday!F345,Tuesday!F345,Wednesday!F345,Thursday!F345,Friday!F345)</f>
        <v>5.62</v>
      </c>
      <c r="N57" s="80">
        <f>AVERAGE(Monday!F403,Tuesday!F403,Wednesday!F403,Thursday!F403,Friday!F403)</f>
        <v>6.2159999999999993</v>
      </c>
      <c r="O57" s="80">
        <f>MEDIAN(Monday!F403,Tuesday!F403,Wednesday!F403,Thursday!F403,Friday!F403)</f>
        <v>6.18</v>
      </c>
      <c r="P57" s="80">
        <f>AVERAGE(Monday!F461,Tuesday!F461,Wednesday!F461,Thursday!F461,Friday!F461)</f>
        <v>6.4779999999999998</v>
      </c>
      <c r="Q57" s="80">
        <f>MEDIAN(Monday!F461,Tuesday!F461,Wednesday!F461,Thursday!F461,Friday!F461)</f>
        <v>6.18</v>
      </c>
      <c r="R57" s="80">
        <f>AVERAGE(Monday!F519,Tuesday!F519,Wednesday!F519,Thursday!F519,Friday!F519)</f>
        <v>5.5600000000000005</v>
      </c>
      <c r="S57" s="80">
        <f>MEDIAN(Monday!F519,Tuesday!F519,Wednesday!F519,Thursday!F519,Friday!F519)</f>
        <v>5.53</v>
      </c>
      <c r="T57" s="80">
        <f>AVERAGE(Monday!F577,Tuesday!F577,Wednesday!F577,Thursday!F577,Friday!F577)</f>
        <v>4.7859999999999996</v>
      </c>
      <c r="U57" s="80">
        <f>MEDIAN(Monday!F577,Tuesday!F577,Wednesday!F577,Thursday!F577,Friday!F577)</f>
        <v>4.6500000000000004</v>
      </c>
      <c r="V57" s="80">
        <f>AVERAGE(Monday!F635,Tuesday!F635,Wednesday!F635,Thursday!F635,Friday!F635)</f>
        <v>5.048</v>
      </c>
      <c r="W57" s="80">
        <f>MEDIAN(Monday!F635,Tuesday!F635,Wednesday!F635,Thursday!F635,Friday!F635)</f>
        <v>5.12</v>
      </c>
      <c r="X57" s="80">
        <f>AVERAGE(Monday!F693,Tuesday!F693,Wednesday!F693,Thursday!F693,Friday!F693)</f>
        <v>4.4239999999999995</v>
      </c>
      <c r="Y57" s="80">
        <f>MEDIAN(Monday!F693,Tuesday!F693,Wednesday!F693,Thursday!F693,Friday!F693)</f>
        <v>4.3</v>
      </c>
      <c r="Z57" s="80">
        <f>AVERAGE(Monday!F751,Tuesday!F751,Wednesday!F751,Thursday!F751,Friday!F751)</f>
        <v>4.1100000000000003</v>
      </c>
      <c r="AA57" s="80">
        <f>MEDIAN(Monday!F751,Tuesday!F751,Wednesday!F751,Thursday!F751,Friday!F751)</f>
        <v>4.43</v>
      </c>
      <c r="AB57" s="80">
        <f>AVERAGE(Monday!F809,Tuesday!F809,Wednesday!F809,Thursday!F809,Friday!F809)</f>
        <v>3.3200000000000003</v>
      </c>
      <c r="AC57" s="80">
        <f>MEDIAN(Monday!F809,Tuesday!F809,Wednesday!F809,Thursday!F809,Friday!F809)</f>
        <v>3.3</v>
      </c>
      <c r="AD57" s="80">
        <f>AVERAGE(Monday!F867,Tuesday!F867,Wednesday!F867,Thursday!F867,Friday!F867)</f>
        <v>3.4039999999999999</v>
      </c>
      <c r="AE57" s="80">
        <f>MEDIAN(Monday!F867,Tuesday!F867,Wednesday!F867,Thursday!F867,Friday!F867)</f>
        <v>3.35</v>
      </c>
      <c r="AF57" s="80">
        <f>AVERAGE(Monday!F925,Tuesday!F925,Wednesday!F925,Thursday!F925,Friday!F925)</f>
        <v>3.4020000000000001</v>
      </c>
      <c r="AG57" s="80">
        <f>MEDIAN(Monday!F925,Tuesday!F925,Wednesday!F925,Thursday!F925,Friday!F925)</f>
        <v>3.28</v>
      </c>
      <c r="AH57" s="80">
        <f>AVERAGE(Monday!F983,Tuesday!F983,Wednesday!F983,Thursday!F983,Friday!F983)</f>
        <v>3.25</v>
      </c>
      <c r="AI57" s="80">
        <f>MEDIAN(Monday!F983,Tuesday!F983,Wednesday!F983,Thursday!F983,Friday!F983)</f>
        <v>3.4</v>
      </c>
      <c r="AJ57" s="80">
        <f>AVERAGE(Monday!F1041,Tuesday!F1041,Wednesday!F1041,Thursday!F1041,Friday!F1041)</f>
        <v>3.3420000000000001</v>
      </c>
      <c r="AK57" s="80">
        <f>MEDIAN(Monday!F1041,Tuesday!F1041,Wednesday!F1041,Thursday!F1041,Friday!F1041)</f>
        <v>3.27</v>
      </c>
      <c r="AL57" s="80">
        <f>AVERAGE(Monday!F1099,Tuesday!F1099,Wednesday!F1099,Thursday!F1099,Friday!F1099)</f>
        <v>3.2939999999999996</v>
      </c>
      <c r="AM57" s="80">
        <f>MEDIAN(Monday!F1099,Tuesday!F1099,Wednesday!F1099,Thursday!F1099,Friday!F1099)</f>
        <v>3.28</v>
      </c>
      <c r="AN57" s="80">
        <f>AVERAGE(Monday!F1157,Tuesday!F1157,Wednesday!F1157,Thursday!F1157,Friday!F1157)</f>
        <v>3.0840000000000001</v>
      </c>
      <c r="AO57" s="80">
        <f>MEDIAN(Monday!F1157,Tuesday!F1157,Wednesday!F1157,Thursday!F1157,Friday!F1157)</f>
        <v>3.05</v>
      </c>
      <c r="AP57" s="80">
        <f>AVERAGE(Monday!F1215,Tuesday!F1215,Wednesday!F1215,Thursday!F1215,Friday!F1215)</f>
        <v>3.6439999999999997</v>
      </c>
      <c r="AQ57" s="80">
        <f>MEDIAN(Monday!F1215,Tuesday!F1215,Wednesday!F1215,Thursday!F1215,Friday!F1215)</f>
        <v>3.23</v>
      </c>
      <c r="AR57" s="80">
        <f>AVERAGE(Monday!F1273,Tuesday!F1273,Wednesday!F1273,Thursday!F1273,Friday!F1273)</f>
        <v>4.468</v>
      </c>
      <c r="AS57" s="80">
        <f>MEDIAN(Monday!F1273,Tuesday!F1273,Wednesday!F1273,Thursday!F1273,Friday!F1273)</f>
        <v>4.42</v>
      </c>
      <c r="AT57" s="80">
        <f>AVERAGE(Monday!F1331,Tuesday!F1331,Wednesday!F1331,Thursday!F1331,Friday!F1331)</f>
        <v>4.0600000000000005</v>
      </c>
      <c r="AU57" s="80">
        <f>MEDIAN(Monday!F1331,Tuesday!F1331,Wednesday!F1331,Thursday!F1331,Friday!F1331)</f>
        <v>4.17</v>
      </c>
      <c r="AV57" s="80">
        <f>AVERAGE(Monday!F1389,Tuesday!F1389,Wednesday!F1389,Thursday!F1389,Friday!F1389)</f>
        <v>3.786</v>
      </c>
      <c r="AW57" s="80">
        <f>MEDIAN(Monday!F1389,Tuesday!F1389,Wednesday!F1389,Thursday!F1389,Friday!F1389)</f>
        <v>3.45</v>
      </c>
      <c r="AX57" s="80">
        <f>AVERAGE(Monday!F1447,Tuesday!F1447,Wednesday!F1447,Thursday!F1447,Friday!F1447)</f>
        <v>3.3439999999999999</v>
      </c>
      <c r="AY57" s="80">
        <f>MEDIAN(Monday!F1447,Tuesday!F1447,Wednesday!F1447,Thursday!F1447,Friday!F1447)</f>
        <v>3.13</v>
      </c>
      <c r="AZ57" s="80">
        <f>AVERAGE(Monday!F1505,Tuesday!F1505,Wednesday!F1505,Thursday!F1505,Friday!F1505)</f>
        <v>3.2560000000000002</v>
      </c>
      <c r="BA57" s="80">
        <f>MEDIAN(Monday!F1505,Tuesday!F1505,Wednesday!F1505,Thursday!F1505,Friday!F1505)</f>
        <v>3.1</v>
      </c>
      <c r="BB57" s="81">
        <v>54</v>
      </c>
      <c r="BC57" s="80">
        <f t="shared" si="2"/>
        <v>3.9490000000000007</v>
      </c>
      <c r="BD57" s="80">
        <f t="shared" si="1"/>
        <v>3.375</v>
      </c>
    </row>
    <row r="58" spans="1:56" x14ac:dyDescent="0.25">
      <c r="A58" s="33">
        <v>55</v>
      </c>
      <c r="B58" s="80">
        <f>AVERAGE(Monday!F56,Tuesday!F56,Wednesday!F56,Thursday!F56,Friday!F56)</f>
        <v>1.7920000000000003</v>
      </c>
      <c r="C58" s="80">
        <f>MEDIAN(Monday!F56,Tuesday!F56,Wednesday!F56,Thursday!F56,Friday!F56)</f>
        <v>1.82</v>
      </c>
      <c r="D58" s="80">
        <f>AVERAGE(Monday!F114,Tuesday!F114,Wednesday!F114,Thursday!F114,Friday!F114)</f>
        <v>1.8679999999999999</v>
      </c>
      <c r="E58" s="80">
        <f>MEDIAN(Monday!F114,Tuesday!F114,Wednesday!F114,Thursday!F114,Friday!F114)</f>
        <v>1.87</v>
      </c>
      <c r="F58" s="80">
        <f>AVERAGE(Monday!F172,Tuesday!F172,Wednesday!F172,Thursday!F172,Friday!F172)</f>
        <v>1.9620000000000002</v>
      </c>
      <c r="G58" s="80">
        <f>MEDIAN(Monday!F172,Tuesday!F172,Wednesday!F172,Thursday!F172,Friday!F172)</f>
        <v>1.95</v>
      </c>
      <c r="H58" s="80">
        <f>AVERAGE(Monday!F230,Tuesday!F230,Wednesday!F230,Thursday!F230,Friday!F230)</f>
        <v>2.0680000000000001</v>
      </c>
      <c r="I58" s="80">
        <f>MEDIAN(Monday!F230,Tuesday!F230,Wednesday!F230,Thursday!F230,Friday!F230)</f>
        <v>2.15</v>
      </c>
      <c r="J58" s="80">
        <f>AVERAGE(Monday!F288,Tuesday!F288,Wednesday!F288,Thursday!F288,Friday!F288)</f>
        <v>2.242</v>
      </c>
      <c r="K58" s="80">
        <f>MEDIAN(Monday!F288,Tuesday!F288,Wednesday!F288,Thursday!F288,Friday!F288)</f>
        <v>2.25</v>
      </c>
      <c r="L58" s="80">
        <f>AVERAGE(Monday!F346,Tuesday!F346,Wednesday!F346,Thursday!F346,Friday!F346)</f>
        <v>2.6219999999999999</v>
      </c>
      <c r="M58" s="80">
        <f>MEDIAN(Monday!F346,Tuesday!F346,Wednesday!F346,Thursday!F346,Friday!F346)</f>
        <v>2.1800000000000002</v>
      </c>
      <c r="N58" s="80">
        <f>AVERAGE(Monday!F404,Tuesday!F404,Wednesday!F404,Thursday!F404,Friday!F404)</f>
        <v>3.1399999999999997</v>
      </c>
      <c r="O58" s="80">
        <f>MEDIAN(Monday!F404,Tuesday!F404,Wednesday!F404,Thursday!F404,Friday!F404)</f>
        <v>2.27</v>
      </c>
      <c r="P58" s="80">
        <f>AVERAGE(Monday!F462,Tuesday!F462,Wednesday!F462,Thursday!F462,Friday!F462)</f>
        <v>3.5</v>
      </c>
      <c r="Q58" s="80">
        <f>MEDIAN(Monday!F462,Tuesday!F462,Wednesday!F462,Thursday!F462,Friday!F462)</f>
        <v>2.3199999999999998</v>
      </c>
      <c r="R58" s="80">
        <f>AVERAGE(Monday!F520,Tuesday!F520,Wednesday!F520,Thursday!F520,Friday!F520)</f>
        <v>2.41</v>
      </c>
      <c r="S58" s="80">
        <f>MEDIAN(Monday!F520,Tuesday!F520,Wednesday!F520,Thursday!F520,Friday!F520)</f>
        <v>2.2999999999999998</v>
      </c>
      <c r="T58" s="80">
        <f>AVERAGE(Monday!F578,Tuesday!F578,Wednesday!F578,Thursday!F578,Friday!F578)</f>
        <v>2.5520000000000005</v>
      </c>
      <c r="U58" s="80">
        <f>MEDIAN(Monday!F578,Tuesday!F578,Wednesday!F578,Thursday!F578,Friday!F578)</f>
        <v>2.35</v>
      </c>
      <c r="V58" s="80">
        <f>AVERAGE(Monday!F636,Tuesday!F636,Wednesday!F636,Thursday!F636,Friday!F636)</f>
        <v>3.6120000000000005</v>
      </c>
      <c r="W58" s="80">
        <f>MEDIAN(Monday!F636,Tuesday!F636,Wednesday!F636,Thursday!F636,Friday!F636)</f>
        <v>2.27</v>
      </c>
      <c r="X58" s="80">
        <f>AVERAGE(Monday!F694,Tuesday!F694,Wednesday!F694,Thursday!F694,Friday!F694)</f>
        <v>3.0979999999999999</v>
      </c>
      <c r="Y58" s="80">
        <f>MEDIAN(Monday!F694,Tuesday!F694,Wednesday!F694,Thursday!F694,Friday!F694)</f>
        <v>2.2000000000000002</v>
      </c>
      <c r="Z58" s="80">
        <f>AVERAGE(Monday!F752,Tuesday!F752,Wednesday!F752,Thursday!F752,Friday!F752)</f>
        <v>3.2199999999999998</v>
      </c>
      <c r="AA58" s="80">
        <f>MEDIAN(Monday!F752,Tuesday!F752,Wednesday!F752,Thursday!F752,Friday!F752)</f>
        <v>2.27</v>
      </c>
      <c r="AB58" s="80">
        <f>AVERAGE(Monday!F810,Tuesday!F810,Wednesday!F810,Thursday!F810,Friday!F810)</f>
        <v>3.5880000000000001</v>
      </c>
      <c r="AC58" s="80">
        <f>MEDIAN(Monday!F810,Tuesday!F810,Wednesday!F810,Thursday!F810,Friday!F810)</f>
        <v>3.73</v>
      </c>
      <c r="AD58" s="80">
        <f>AVERAGE(Monday!F868,Tuesday!F868,Wednesday!F868,Thursday!F868,Friday!F868)</f>
        <v>4.3159999999999998</v>
      </c>
      <c r="AE58" s="80">
        <f>MEDIAN(Monday!F868,Tuesday!F868,Wednesday!F868,Thursday!F868,Friday!F868)</f>
        <v>2.4300000000000002</v>
      </c>
      <c r="AF58" s="80">
        <f>AVERAGE(Monday!F926,Tuesday!F926,Wednesday!F926,Thursday!F926,Friday!F926)</f>
        <v>4.3559999999999999</v>
      </c>
      <c r="AG58" s="80">
        <f>MEDIAN(Monday!F926,Tuesday!F926,Wednesday!F926,Thursday!F926,Friday!F926)</f>
        <v>2.35</v>
      </c>
      <c r="AH58" s="80">
        <f>AVERAGE(Monday!F984,Tuesday!F984,Wednesday!F984,Thursday!F984,Friday!F984)</f>
        <v>2.6759999999999997</v>
      </c>
      <c r="AI58" s="80">
        <f>MEDIAN(Monday!F984,Tuesday!F984,Wednesday!F984,Thursday!F984,Friday!F984)</f>
        <v>2.35</v>
      </c>
      <c r="AJ58" s="80">
        <f>AVERAGE(Monday!F1042,Tuesday!F1042,Wednesday!F1042,Thursday!F1042,Friday!F1042)</f>
        <v>2.3739999999999997</v>
      </c>
      <c r="AK58" s="80">
        <f>MEDIAN(Monday!F1042,Tuesday!F1042,Wednesday!F1042,Thursday!F1042,Friday!F1042)</f>
        <v>2.33</v>
      </c>
      <c r="AL58" s="80">
        <f>AVERAGE(Monday!F1100,Tuesday!F1100,Wednesday!F1100,Thursday!F1100,Friday!F1100)</f>
        <v>2.3059999999999996</v>
      </c>
      <c r="AM58" s="80">
        <f>MEDIAN(Monday!F1100,Tuesday!F1100,Wednesday!F1100,Thursday!F1100,Friday!F1100)</f>
        <v>2.2799999999999998</v>
      </c>
      <c r="AN58" s="80">
        <f>AVERAGE(Monday!F1158,Tuesday!F1158,Wednesday!F1158,Thursday!F1158,Friday!F1158)</f>
        <v>2.274</v>
      </c>
      <c r="AO58" s="80">
        <f>MEDIAN(Monday!F1158,Tuesday!F1158,Wednesday!F1158,Thursday!F1158,Friday!F1158)</f>
        <v>2.25</v>
      </c>
      <c r="AP58" s="80">
        <f>AVERAGE(Monday!F1216,Tuesday!F1216,Wednesday!F1216,Thursday!F1216,Friday!F1216)</f>
        <v>2.2960000000000003</v>
      </c>
      <c r="AQ58" s="80">
        <f>MEDIAN(Monday!F1216,Tuesday!F1216,Wednesday!F1216,Thursday!F1216,Friday!F1216)</f>
        <v>2.27</v>
      </c>
      <c r="AR58" s="80">
        <f>AVERAGE(Monday!F1274,Tuesday!F1274,Wednesday!F1274,Thursday!F1274,Friday!F1274)</f>
        <v>2.4000000000000004</v>
      </c>
      <c r="AS58" s="80">
        <f>MEDIAN(Monday!F1274,Tuesday!F1274,Wednesday!F1274,Thursday!F1274,Friday!F1274)</f>
        <v>2.4</v>
      </c>
      <c r="AT58" s="80">
        <f>AVERAGE(Monday!F1332,Tuesday!F1332,Wednesday!F1332,Thursday!F1332,Friday!F1332)</f>
        <v>2.3359999999999999</v>
      </c>
      <c r="AU58" s="80">
        <f>MEDIAN(Monday!F1332,Tuesday!F1332,Wednesday!F1332,Thursday!F1332,Friday!F1332)</f>
        <v>2.33</v>
      </c>
      <c r="AV58" s="80">
        <f>AVERAGE(Monday!F1390,Tuesday!F1390,Wednesday!F1390,Thursday!F1390,Friday!F1390)</f>
        <v>2.3200000000000003</v>
      </c>
      <c r="AW58" s="80">
        <f>MEDIAN(Monday!F1390,Tuesday!F1390,Wednesday!F1390,Thursday!F1390,Friday!F1390)</f>
        <v>2.33</v>
      </c>
      <c r="AX58" s="80">
        <f>AVERAGE(Monday!F1448,Tuesday!F1448,Wednesday!F1448,Thursday!F1448,Friday!F1448)</f>
        <v>2.274</v>
      </c>
      <c r="AY58" s="80">
        <f>MEDIAN(Monday!F1448,Tuesday!F1448,Wednesday!F1448,Thursday!F1448,Friday!F1448)</f>
        <v>2.2799999999999998</v>
      </c>
      <c r="AZ58" s="80">
        <f>AVERAGE(Monday!F1506,Tuesday!F1506,Wednesday!F1506,Thursday!F1506,Friday!F1506)</f>
        <v>2.2479999999999998</v>
      </c>
      <c r="BA58" s="80">
        <f>MEDIAN(Monday!F1506,Tuesday!F1506,Wednesday!F1506,Thursday!F1506,Friday!F1506)</f>
        <v>2.2200000000000002</v>
      </c>
      <c r="BB58" s="81">
        <v>55</v>
      </c>
      <c r="BC58" s="80">
        <f t="shared" si="2"/>
        <v>2.6865384615384618</v>
      </c>
      <c r="BD58" s="80">
        <f t="shared" si="1"/>
        <v>2.2749999999999999</v>
      </c>
    </row>
    <row r="59" spans="1:56" x14ac:dyDescent="0.25">
      <c r="A59" s="41">
        <v>56</v>
      </c>
      <c r="B59" s="80">
        <f>AVERAGE(Monday!F57,Tuesday!F57,Wednesday!F57,Thursday!F57,Friday!F57)</f>
        <v>3.3</v>
      </c>
      <c r="C59" s="80">
        <f>MEDIAN(Monday!F57,Tuesday!F57,Wednesday!F57,Thursday!F57,Friday!F57)</f>
        <v>3.32</v>
      </c>
      <c r="D59" s="80">
        <f>AVERAGE(Monday!F115,Tuesday!F115,Wednesday!F115,Thursday!F115,Friday!F115)</f>
        <v>3.7060000000000004</v>
      </c>
      <c r="E59" s="80">
        <f>MEDIAN(Monday!F115,Tuesday!F115,Wednesday!F115,Thursday!F115,Friday!F115)</f>
        <v>3.63</v>
      </c>
      <c r="F59" s="80">
        <f>AVERAGE(Monday!F173,Tuesday!F173,Wednesday!F173,Thursday!F173,Friday!F173)</f>
        <v>3.88</v>
      </c>
      <c r="G59" s="80">
        <f>MEDIAN(Monday!F173,Tuesday!F173,Wednesday!F173,Thursday!F173,Friday!F173)</f>
        <v>3.9</v>
      </c>
      <c r="H59" s="80">
        <f>AVERAGE(Monday!F231,Tuesday!F231,Wednesday!F231,Thursday!F231,Friday!F231)</f>
        <v>3.9200000000000004</v>
      </c>
      <c r="I59" s="80">
        <f>MEDIAN(Monday!F231,Tuesday!F231,Wednesday!F231,Thursday!F231,Friday!F231)</f>
        <v>3.85</v>
      </c>
      <c r="J59" s="80">
        <f>AVERAGE(Monday!F289,Tuesday!F289,Wednesday!F289,Thursday!F289,Friday!F289)</f>
        <v>4.7</v>
      </c>
      <c r="K59" s="80">
        <f>MEDIAN(Monday!F289,Tuesday!F289,Wednesday!F289,Thursday!F289,Friday!F289)</f>
        <v>4.67</v>
      </c>
      <c r="L59" s="80">
        <f>AVERAGE(Monday!F347,Tuesday!F347,Wednesday!F347,Thursday!F347,Friday!F347)</f>
        <v>4.5979999999999999</v>
      </c>
      <c r="M59" s="80">
        <f>MEDIAN(Monday!F347,Tuesday!F347,Wednesday!F347,Thursday!F347,Friday!F347)</f>
        <v>4.78</v>
      </c>
      <c r="N59" s="80">
        <f>AVERAGE(Monday!F405,Tuesday!F405,Wednesday!F405,Thursday!F405,Friday!F405)</f>
        <v>4.9700000000000006</v>
      </c>
      <c r="O59" s="80">
        <f>MEDIAN(Monday!F405,Tuesday!F405,Wednesday!F405,Thursday!F405,Friday!F405)</f>
        <v>5</v>
      </c>
      <c r="P59" s="80">
        <f>AVERAGE(Monday!F463,Tuesday!F463,Wednesday!F463,Thursday!F463,Friday!F463)</f>
        <v>4.6500000000000004</v>
      </c>
      <c r="Q59" s="80">
        <f>MEDIAN(Monday!F463,Tuesday!F463,Wednesday!F463,Thursday!F463,Friday!F463)</f>
        <v>4.7300000000000004</v>
      </c>
      <c r="R59" s="80">
        <f>AVERAGE(Monday!F521,Tuesday!F521,Wednesday!F521,Thursday!F521,Friday!F521)</f>
        <v>4.9700000000000006</v>
      </c>
      <c r="S59" s="80">
        <f>MEDIAN(Monday!F521,Tuesday!F521,Wednesday!F521,Thursday!F521,Friday!F521)</f>
        <v>5.0199999999999996</v>
      </c>
      <c r="T59" s="80">
        <f>AVERAGE(Monday!F579,Tuesday!F579,Wednesday!F579,Thursday!F579,Friday!F579)</f>
        <v>5.8820000000000006</v>
      </c>
      <c r="U59" s="80">
        <f>MEDIAN(Monday!F579,Tuesday!F579,Wednesday!F579,Thursday!F579,Friday!F579)</f>
        <v>5.87</v>
      </c>
      <c r="V59" s="80">
        <f>AVERAGE(Monday!F637,Tuesday!F637,Wednesday!F637,Thursday!F637,Friday!F637)</f>
        <v>5.4899999999999993</v>
      </c>
      <c r="W59" s="80">
        <f>MEDIAN(Monday!F637,Tuesday!F637,Wednesday!F637,Thursday!F637,Friday!F637)</f>
        <v>5.58</v>
      </c>
      <c r="X59" s="80">
        <f>AVERAGE(Monday!F695,Tuesday!F695,Wednesday!F695,Thursday!F695,Friday!F695)</f>
        <v>6.08</v>
      </c>
      <c r="Y59" s="80">
        <f>MEDIAN(Monday!F695,Tuesday!F695,Wednesday!F695,Thursday!F695,Friday!F695)</f>
        <v>6.3</v>
      </c>
      <c r="Z59" s="80">
        <f>AVERAGE(Monday!F753,Tuesday!F753,Wednesday!F753,Thursday!F753,Friday!F753)</f>
        <v>5.8480000000000008</v>
      </c>
      <c r="AA59" s="80">
        <f>MEDIAN(Monday!F753,Tuesday!F753,Wednesday!F753,Thursday!F753,Friday!F753)</f>
        <v>5.8</v>
      </c>
      <c r="AB59" s="80">
        <f>AVERAGE(Monday!F811,Tuesday!F811,Wednesday!F811,Thursday!F811,Friday!F811)</f>
        <v>5.2060000000000004</v>
      </c>
      <c r="AC59" s="80">
        <f>MEDIAN(Monday!F811,Tuesday!F811,Wednesday!F811,Thursday!F811,Friday!F811)</f>
        <v>5.05</v>
      </c>
      <c r="AD59" s="80">
        <f>AVERAGE(Monday!F869,Tuesday!F869,Wednesday!F869,Thursday!F869,Friday!F869)</f>
        <v>5.1659999999999995</v>
      </c>
      <c r="AE59" s="80">
        <f>MEDIAN(Monday!F869,Tuesday!F869,Wednesday!F869,Thursday!F869,Friday!F869)</f>
        <v>4.95</v>
      </c>
      <c r="AF59" s="80">
        <f>AVERAGE(Monday!F927,Tuesday!F927,Wednesday!F927,Thursday!F927,Friday!F927)</f>
        <v>4.9760000000000009</v>
      </c>
      <c r="AG59" s="80">
        <f>MEDIAN(Monday!F927,Tuesday!F927,Wednesday!F927,Thursday!F927,Friday!F927)</f>
        <v>5</v>
      </c>
      <c r="AH59" s="80">
        <f>AVERAGE(Monday!F985,Tuesday!F985,Wednesday!F985,Thursday!F985,Friday!F985)</f>
        <v>4.9560000000000004</v>
      </c>
      <c r="AI59" s="80">
        <f>MEDIAN(Monday!F985,Tuesday!F985,Wednesday!F985,Thursday!F985,Friday!F985)</f>
        <v>5</v>
      </c>
      <c r="AJ59" s="80">
        <f>AVERAGE(Monday!F1043,Tuesday!F1043,Wednesday!F1043,Thursday!F1043,Friday!F1043)</f>
        <v>5.2239999999999993</v>
      </c>
      <c r="AK59" s="80">
        <f>MEDIAN(Monday!F1043,Tuesday!F1043,Wednesday!F1043,Thursday!F1043,Friday!F1043)</f>
        <v>4.9800000000000004</v>
      </c>
      <c r="AL59" s="80">
        <f>AVERAGE(Monday!F1101,Tuesday!F1101,Wednesday!F1101,Thursday!F1101,Friday!F1101)</f>
        <v>5.234</v>
      </c>
      <c r="AM59" s="80">
        <f>MEDIAN(Monday!F1101,Tuesday!F1101,Wednesday!F1101,Thursday!F1101,Friday!F1101)</f>
        <v>5.2</v>
      </c>
      <c r="AN59" s="80">
        <f>AVERAGE(Monday!F1159,Tuesday!F1159,Wednesday!F1159,Thursday!F1159,Friday!F1159)</f>
        <v>4.9859999999999998</v>
      </c>
      <c r="AO59" s="80">
        <f>MEDIAN(Monday!F1159,Tuesday!F1159,Wednesday!F1159,Thursday!F1159,Friday!F1159)</f>
        <v>4.87</v>
      </c>
      <c r="AP59" s="80">
        <f>AVERAGE(Monday!F1217,Tuesday!F1217,Wednesday!F1217,Thursday!F1217,Friday!F1217)</f>
        <v>5.3159999999999998</v>
      </c>
      <c r="AQ59" s="80">
        <f>MEDIAN(Monday!F1217,Tuesday!F1217,Wednesday!F1217,Thursday!F1217,Friday!F1217)</f>
        <v>5.23</v>
      </c>
      <c r="AR59" s="80">
        <f>AVERAGE(Monday!F1275,Tuesday!F1275,Wednesday!F1275,Thursday!F1275,Friday!F1275)</f>
        <v>6.3059999999999992</v>
      </c>
      <c r="AS59" s="80">
        <f>MEDIAN(Monday!F1275,Tuesday!F1275,Wednesday!F1275,Thursday!F1275,Friday!F1275)</f>
        <v>6.38</v>
      </c>
      <c r="AT59" s="80">
        <f>AVERAGE(Monday!F1333,Tuesday!F1333,Wednesday!F1333,Thursday!F1333,Friday!F1333)</f>
        <v>6.4960000000000004</v>
      </c>
      <c r="AU59" s="80">
        <f>MEDIAN(Monday!F1333,Tuesday!F1333,Wednesday!F1333,Thursday!F1333,Friday!F1333)</f>
        <v>6.72</v>
      </c>
      <c r="AV59" s="80">
        <f>AVERAGE(Monday!F1391,Tuesday!F1391,Wednesday!F1391,Thursday!F1391,Friday!F1391)</f>
        <v>6.7460000000000004</v>
      </c>
      <c r="AW59" s="80">
        <f>MEDIAN(Monday!F1391,Tuesday!F1391,Wednesday!F1391,Thursday!F1391,Friday!F1391)</f>
        <v>6.82</v>
      </c>
      <c r="AX59" s="80">
        <f>AVERAGE(Monday!F1449,Tuesday!F1449,Wednesday!F1449,Thursday!F1449,Friday!F1449)</f>
        <v>6.7900000000000009</v>
      </c>
      <c r="AY59" s="80">
        <f>MEDIAN(Monday!F1449,Tuesday!F1449,Wednesday!F1449,Thursday!F1449,Friday!F1449)</f>
        <v>6.75</v>
      </c>
      <c r="AZ59" s="80">
        <f>AVERAGE(Monday!F1507,Tuesday!F1507,Wednesday!F1507,Thursday!F1507,Friday!F1507)</f>
        <v>6.6659999999999995</v>
      </c>
      <c r="BA59" s="80">
        <f>MEDIAN(Monday!F1507,Tuesday!F1507,Wednesday!F1507,Thursday!F1507,Friday!F1507)</f>
        <v>6.7</v>
      </c>
      <c r="BB59" s="82">
        <v>56</v>
      </c>
      <c r="BC59" s="80">
        <f t="shared" si="2"/>
        <v>5.2331538461538454</v>
      </c>
      <c r="BD59" s="80">
        <f t="shared" si="1"/>
        <v>5.01</v>
      </c>
    </row>
    <row r="60" spans="1:56" x14ac:dyDescent="0.25">
      <c r="A60" s="33">
        <v>57</v>
      </c>
      <c r="B60" s="80">
        <f>AVERAGE(Monday!F58,Tuesday!F58,Wednesday!F58,Thursday!F58,Friday!F58)</f>
        <v>3.254</v>
      </c>
      <c r="C60" s="80">
        <f>MEDIAN(Monday!F58,Tuesday!F58,Wednesday!F58,Thursday!F58,Friday!F58)</f>
        <v>3.27</v>
      </c>
      <c r="D60" s="80">
        <f>AVERAGE(Monday!F116,Tuesday!F116,Wednesday!F116,Thursday!F116,Friday!F116)</f>
        <v>3.3560000000000003</v>
      </c>
      <c r="E60" s="80">
        <f>MEDIAN(Monday!F116,Tuesday!F116,Wednesday!F116,Thursday!F116,Friday!F116)</f>
        <v>3.37</v>
      </c>
      <c r="F60" s="80">
        <f>AVERAGE(Monday!F174,Tuesday!F174,Wednesday!F174,Thursday!F174,Friday!F174)</f>
        <v>3.5219999999999998</v>
      </c>
      <c r="G60" s="80">
        <f>MEDIAN(Monday!F174,Tuesday!F174,Wednesday!F174,Thursday!F174,Friday!F174)</f>
        <v>3.48</v>
      </c>
      <c r="H60" s="80">
        <f>AVERAGE(Monday!F232,Tuesday!F232,Wednesday!F232,Thursday!F232,Friday!F232)</f>
        <v>3.6960000000000002</v>
      </c>
      <c r="I60" s="80">
        <f>MEDIAN(Monday!F232,Tuesday!F232,Wednesday!F232,Thursday!F232,Friday!F232)</f>
        <v>3.7</v>
      </c>
      <c r="J60" s="80">
        <f>AVERAGE(Monday!F290,Tuesday!F290,Wednesday!F290,Thursday!F290,Friday!F290)</f>
        <v>3.7679999999999998</v>
      </c>
      <c r="K60" s="80">
        <f>MEDIAN(Monday!F290,Tuesday!F290,Wednesday!F290,Thursday!F290,Friday!F290)</f>
        <v>3.73</v>
      </c>
      <c r="L60" s="80">
        <f>AVERAGE(Monday!F348,Tuesday!F348,Wednesday!F348,Thursday!F348,Friday!F348)</f>
        <v>4.0419999999999998</v>
      </c>
      <c r="M60" s="80">
        <f>MEDIAN(Monday!F348,Tuesday!F348,Wednesday!F348,Thursday!F348,Friday!F348)</f>
        <v>3.98</v>
      </c>
      <c r="N60" s="80">
        <f>AVERAGE(Monday!F406,Tuesday!F406,Wednesday!F406,Thursday!F406,Friday!F406)</f>
        <v>4.1760000000000002</v>
      </c>
      <c r="O60" s="80">
        <f>MEDIAN(Monday!F406,Tuesday!F406,Wednesday!F406,Thursday!F406,Friday!F406)</f>
        <v>4.2</v>
      </c>
      <c r="P60" s="80">
        <f>AVERAGE(Monday!F464,Tuesday!F464,Wednesday!F464,Thursday!F464,Friday!F464)</f>
        <v>4.4819999999999993</v>
      </c>
      <c r="Q60" s="80">
        <f>MEDIAN(Monday!F464,Tuesday!F464,Wednesday!F464,Thursday!F464,Friday!F464)</f>
        <v>4.37</v>
      </c>
      <c r="R60" s="80">
        <f>AVERAGE(Monday!F522,Tuesday!F522,Wednesday!F522,Thursday!F522,Friday!F522)</f>
        <v>4.2600000000000007</v>
      </c>
      <c r="S60" s="80">
        <f>MEDIAN(Monday!F522,Tuesday!F522,Wednesday!F522,Thursday!F522,Friday!F522)</f>
        <v>4.17</v>
      </c>
      <c r="T60" s="80">
        <f>AVERAGE(Monday!F580,Tuesday!F580,Wednesday!F580,Thursday!F580,Friday!F580)</f>
        <v>4.5540000000000003</v>
      </c>
      <c r="U60" s="80">
        <f>MEDIAN(Monday!F580,Tuesday!F580,Wednesday!F580,Thursday!F580,Friday!F580)</f>
        <v>4.2300000000000004</v>
      </c>
      <c r="V60" s="80">
        <f>AVERAGE(Monday!F638,Tuesday!F638,Wednesday!F638,Thursday!F638,Friday!F638)</f>
        <v>4.3</v>
      </c>
      <c r="W60" s="80">
        <f>MEDIAN(Monday!F638,Tuesday!F638,Wednesday!F638,Thursday!F638,Friday!F638)</f>
        <v>4.05</v>
      </c>
      <c r="X60" s="80">
        <f>AVERAGE(Monday!F696,Tuesday!F696,Wednesday!F696,Thursday!F696,Friday!F696)</f>
        <v>4.1659999999999995</v>
      </c>
      <c r="Y60" s="80">
        <f>MEDIAN(Monday!F696,Tuesday!F696,Wednesday!F696,Thursday!F696,Friday!F696)</f>
        <v>4.18</v>
      </c>
      <c r="Z60" s="80">
        <f>AVERAGE(Monday!F754,Tuesday!F754,Wednesday!F754,Thursday!F754,Friday!F754)</f>
        <v>4.2080000000000002</v>
      </c>
      <c r="AA60" s="80">
        <f>MEDIAN(Monday!F754,Tuesday!F754,Wednesday!F754,Thursday!F754,Friday!F754)</f>
        <v>4.0999999999999996</v>
      </c>
      <c r="AB60" s="80">
        <f>AVERAGE(Monday!F812,Tuesday!F812,Wednesday!F812,Thursday!F812,Friday!F812)</f>
        <v>4.508</v>
      </c>
      <c r="AC60" s="80">
        <f>MEDIAN(Monday!F812,Tuesday!F812,Wednesday!F812,Thursday!F812,Friday!F812)</f>
        <v>4.4800000000000004</v>
      </c>
      <c r="AD60" s="80">
        <f>AVERAGE(Monday!F870,Tuesday!F870,Wednesday!F870,Thursday!F870,Friday!F870)</f>
        <v>4.3559999999999999</v>
      </c>
      <c r="AE60" s="80">
        <f>MEDIAN(Monday!F870,Tuesday!F870,Wednesday!F870,Thursday!F870,Friday!F870)</f>
        <v>4.45</v>
      </c>
      <c r="AF60" s="80">
        <f>AVERAGE(Monday!F928,Tuesday!F928,Wednesday!F928,Thursday!F928,Friday!F928)</f>
        <v>4.5979999999999999</v>
      </c>
      <c r="AG60" s="80">
        <f>MEDIAN(Monday!F928,Tuesday!F928,Wednesday!F928,Thursday!F928,Friday!F928)</f>
        <v>4.68</v>
      </c>
      <c r="AH60" s="80">
        <f>AVERAGE(Monday!F986,Tuesday!F986,Wednesday!F986,Thursday!F986,Friday!F986)</f>
        <v>4.8499999999999996</v>
      </c>
      <c r="AI60" s="80">
        <f>MEDIAN(Monday!F986,Tuesday!F986,Wednesday!F986,Thursday!F986,Friday!F986)</f>
        <v>4.92</v>
      </c>
      <c r="AJ60" s="80">
        <f>AVERAGE(Monday!F1044,Tuesday!F1044,Wednesday!F1044,Thursday!F1044,Friday!F1044)</f>
        <v>4.6180000000000003</v>
      </c>
      <c r="AK60" s="80">
        <f>MEDIAN(Monday!F1044,Tuesday!F1044,Wednesday!F1044,Thursday!F1044,Friday!F1044)</f>
        <v>4.5999999999999996</v>
      </c>
      <c r="AL60" s="80">
        <f>AVERAGE(Monday!F1102,Tuesday!F1102,Wednesday!F1102,Thursday!F1102,Friday!F1102)</f>
        <v>4.5439999999999996</v>
      </c>
      <c r="AM60" s="80">
        <f>MEDIAN(Monday!F1102,Tuesday!F1102,Wednesday!F1102,Thursday!F1102,Friday!F1102)</f>
        <v>4.3499999999999996</v>
      </c>
      <c r="AN60" s="80">
        <f>AVERAGE(Monday!F1160,Tuesday!F1160,Wednesday!F1160,Thursday!F1160,Friday!F1160)</f>
        <v>4.604000000000001</v>
      </c>
      <c r="AO60" s="80">
        <f>MEDIAN(Monday!F1160,Tuesday!F1160,Wednesday!F1160,Thursday!F1160,Friday!F1160)</f>
        <v>4.4800000000000004</v>
      </c>
      <c r="AP60" s="80">
        <f>AVERAGE(Monday!F1218,Tuesday!F1218,Wednesday!F1218,Thursday!F1218,Friday!F1218)</f>
        <v>5.548</v>
      </c>
      <c r="AQ60" s="80">
        <f>MEDIAN(Monday!F1218,Tuesday!F1218,Wednesday!F1218,Thursday!F1218,Friday!F1218)</f>
        <v>5.67</v>
      </c>
      <c r="AR60" s="80">
        <f>AVERAGE(Monday!F1276,Tuesday!F1276,Wednesday!F1276,Thursday!F1276,Friday!F1276)</f>
        <v>6.3439999999999994</v>
      </c>
      <c r="AS60" s="80">
        <f>MEDIAN(Monday!F1276,Tuesday!F1276,Wednesday!F1276,Thursday!F1276,Friday!F1276)</f>
        <v>6.45</v>
      </c>
      <c r="AT60" s="80">
        <f>AVERAGE(Monday!F1334,Tuesday!F1334,Wednesday!F1334,Thursday!F1334,Friday!F1334)</f>
        <v>6.55</v>
      </c>
      <c r="AU60" s="80">
        <f>MEDIAN(Monday!F1334,Tuesday!F1334,Wednesday!F1334,Thursday!F1334,Friday!F1334)</f>
        <v>6.57</v>
      </c>
      <c r="AV60" s="80">
        <f>AVERAGE(Monday!F1392,Tuesday!F1392,Wednesday!F1392,Thursday!F1392,Friday!F1392)</f>
        <v>6.5419999999999998</v>
      </c>
      <c r="AW60" s="80">
        <f>MEDIAN(Monday!F1392,Tuesday!F1392,Wednesday!F1392,Thursday!F1392,Friday!F1392)</f>
        <v>6.6</v>
      </c>
      <c r="AX60" s="80">
        <f>AVERAGE(Monday!F1450,Tuesday!F1450,Wednesday!F1450,Thursday!F1450,Friday!F1450)</f>
        <v>5.9320000000000004</v>
      </c>
      <c r="AY60" s="80">
        <f>MEDIAN(Monday!F1450,Tuesday!F1450,Wednesday!F1450,Thursday!F1450,Friday!F1450)</f>
        <v>6.33</v>
      </c>
      <c r="AZ60" s="80">
        <f>AVERAGE(Monday!F1508,Tuesday!F1508,Wednesday!F1508,Thursday!F1508,Friday!F1508)</f>
        <v>5.8979999999999997</v>
      </c>
      <c r="BA60" s="80">
        <f>MEDIAN(Monday!F1508,Tuesday!F1508,Wednesday!F1508,Thursday!F1508,Friday!F1508)</f>
        <v>6.22</v>
      </c>
      <c r="BB60" s="81">
        <v>57</v>
      </c>
      <c r="BC60" s="80">
        <f t="shared" si="2"/>
        <v>4.6413846153846148</v>
      </c>
      <c r="BD60" s="80">
        <f t="shared" si="1"/>
        <v>4.3599999999999994</v>
      </c>
    </row>
    <row r="61" spans="1:56" x14ac:dyDescent="0.25">
      <c r="A61" s="33">
        <v>58</v>
      </c>
      <c r="B61" s="80">
        <f>AVERAGE(Monday!F59,Tuesday!F59,Wednesday!F59,Thursday!F59,Friday!F59)</f>
        <v>3.0579999999999998</v>
      </c>
      <c r="C61" s="80">
        <f>MEDIAN(Monday!F59,Tuesday!F59,Wednesday!F59,Thursday!F59,Friday!F59)</f>
        <v>3.03</v>
      </c>
      <c r="D61" s="80">
        <f>AVERAGE(Monday!F117,Tuesday!F117,Wednesday!F117,Thursday!F117,Friday!F117)</f>
        <v>3.12</v>
      </c>
      <c r="E61" s="80">
        <f>MEDIAN(Monday!F117,Tuesday!F117,Wednesday!F117,Thursday!F117,Friday!F117)</f>
        <v>3.13</v>
      </c>
      <c r="F61" s="80">
        <f>AVERAGE(Monday!F175,Tuesday!F175,Wednesday!F175,Thursday!F175,Friday!F175)</f>
        <v>3.194</v>
      </c>
      <c r="G61" s="80">
        <f>MEDIAN(Monday!F175,Tuesday!F175,Wednesday!F175,Thursday!F175,Friday!F175)</f>
        <v>3.18</v>
      </c>
      <c r="H61" s="80">
        <f>AVERAGE(Monday!F233,Tuesday!F233,Wednesday!F233,Thursday!F233,Friday!F233)</f>
        <v>3.3820000000000001</v>
      </c>
      <c r="I61" s="80">
        <f>MEDIAN(Monday!F233,Tuesday!F233,Wednesday!F233,Thursday!F233,Friday!F233)</f>
        <v>3.38</v>
      </c>
      <c r="J61" s="80">
        <f>AVERAGE(Monday!F291,Tuesday!F291,Wednesday!F291,Thursday!F291,Friday!F291)</f>
        <v>3.464</v>
      </c>
      <c r="K61" s="80">
        <f>MEDIAN(Monday!F291,Tuesday!F291,Wednesday!F291,Thursday!F291,Friday!F291)</f>
        <v>3.47</v>
      </c>
      <c r="L61" s="80">
        <f>AVERAGE(Monday!F349,Tuesday!F349,Wednesday!F349,Thursday!F349,Friday!F349)</f>
        <v>3.6659999999999995</v>
      </c>
      <c r="M61" s="80">
        <f>MEDIAN(Monday!F349,Tuesday!F349,Wednesday!F349,Thursday!F349,Friday!F349)</f>
        <v>3.7</v>
      </c>
      <c r="N61" s="80">
        <f>AVERAGE(Monday!F407,Tuesday!F407,Wednesday!F407,Thursday!F407,Friday!F407)</f>
        <v>3.7399999999999998</v>
      </c>
      <c r="O61" s="80">
        <f>MEDIAN(Monday!F407,Tuesday!F407,Wednesday!F407,Thursday!F407,Friday!F407)</f>
        <v>3.75</v>
      </c>
      <c r="P61" s="80">
        <f>AVERAGE(Monday!F465,Tuesday!F465,Wednesday!F465,Thursday!F465,Friday!F465)</f>
        <v>3.8939999999999997</v>
      </c>
      <c r="Q61" s="80">
        <f>MEDIAN(Monday!F465,Tuesday!F465,Wednesday!F465,Thursday!F465,Friday!F465)</f>
        <v>3.92</v>
      </c>
      <c r="R61" s="80">
        <f>AVERAGE(Monday!F523,Tuesday!F523,Wednesday!F523,Thursday!F523,Friday!F523)</f>
        <v>3.8299999999999996</v>
      </c>
      <c r="S61" s="80">
        <f>MEDIAN(Monday!F523,Tuesday!F523,Wednesday!F523,Thursday!F523,Friday!F523)</f>
        <v>3.8</v>
      </c>
      <c r="T61" s="80">
        <f>AVERAGE(Monday!F581,Tuesday!F581,Wednesday!F581,Thursday!F581,Friday!F581)</f>
        <v>3.8079999999999998</v>
      </c>
      <c r="U61" s="80">
        <f>MEDIAN(Monday!F581,Tuesday!F581,Wednesday!F581,Thursday!F581,Friday!F581)</f>
        <v>3.83</v>
      </c>
      <c r="V61" s="80">
        <f>AVERAGE(Monday!F639,Tuesday!F639,Wednesday!F639,Thursday!F639,Friday!F639)</f>
        <v>3.9420000000000002</v>
      </c>
      <c r="W61" s="80">
        <f>MEDIAN(Monday!F639,Tuesday!F639,Wednesday!F639,Thursday!F639,Friday!F639)</f>
        <v>3.97</v>
      </c>
      <c r="X61" s="80">
        <f>AVERAGE(Monday!F697,Tuesday!F697,Wednesday!F697,Thursday!F697,Friday!F697)</f>
        <v>3.9979999999999998</v>
      </c>
      <c r="Y61" s="80">
        <f>MEDIAN(Monday!F697,Tuesday!F697,Wednesday!F697,Thursday!F697,Friday!F697)</f>
        <v>3.97</v>
      </c>
      <c r="Z61" s="80">
        <f>AVERAGE(Monday!F755,Tuesday!F755,Wednesday!F755,Thursday!F755,Friday!F755)</f>
        <v>3.9880000000000004</v>
      </c>
      <c r="AA61" s="80">
        <f>MEDIAN(Monday!F755,Tuesday!F755,Wednesday!F755,Thursday!F755,Friday!F755)</f>
        <v>3.98</v>
      </c>
      <c r="AB61" s="80">
        <f>AVERAGE(Monday!F813,Tuesday!F813,Wednesday!F813,Thursday!F813,Friday!F813)</f>
        <v>4.26</v>
      </c>
      <c r="AC61" s="80">
        <f>MEDIAN(Monday!F813,Tuesday!F813,Wednesday!F813,Thursday!F813,Friday!F813)</f>
        <v>4.28</v>
      </c>
      <c r="AD61" s="80">
        <f>AVERAGE(Monday!F871,Tuesday!F871,Wednesday!F871,Thursday!F871,Friday!F871)</f>
        <v>4.3940000000000001</v>
      </c>
      <c r="AE61" s="80">
        <f>MEDIAN(Monday!F871,Tuesday!F871,Wednesday!F871,Thursday!F871,Friday!F871)</f>
        <v>4.3499999999999996</v>
      </c>
      <c r="AF61" s="80">
        <f>AVERAGE(Monday!F929,Tuesday!F929,Wednesday!F929,Thursday!F929,Friday!F929)</f>
        <v>4.3380000000000001</v>
      </c>
      <c r="AG61" s="80">
        <f>MEDIAN(Monday!F929,Tuesday!F929,Wednesday!F929,Thursday!F929,Friday!F929)</f>
        <v>4.3499999999999996</v>
      </c>
      <c r="AH61" s="80">
        <f>AVERAGE(Monday!F987,Tuesday!F987,Wednesday!F987,Thursday!F987,Friday!F987)</f>
        <v>4.4859999999999998</v>
      </c>
      <c r="AI61" s="80">
        <f>MEDIAN(Monday!F987,Tuesday!F987,Wednesday!F987,Thursday!F987,Friday!F987)</f>
        <v>4.5</v>
      </c>
      <c r="AJ61" s="80">
        <f>AVERAGE(Monday!F1045,Tuesday!F1045,Wednesday!F1045,Thursday!F1045,Friday!F1045)</f>
        <v>4.63</v>
      </c>
      <c r="AK61" s="80">
        <f>MEDIAN(Monday!F1045,Tuesday!F1045,Wednesday!F1045,Thursday!F1045,Friday!F1045)</f>
        <v>4.6500000000000004</v>
      </c>
      <c r="AL61" s="80">
        <f>AVERAGE(Monday!F1103,Tuesday!F1103,Wednesday!F1103,Thursday!F1103,Friday!F1103)</f>
        <v>4.468</v>
      </c>
      <c r="AM61" s="80">
        <f>MEDIAN(Monday!F1103,Tuesday!F1103,Wednesday!F1103,Thursday!F1103,Friday!F1103)</f>
        <v>4.43</v>
      </c>
      <c r="AN61" s="80">
        <f>AVERAGE(Monday!F1161,Tuesday!F1161,Wednesday!F1161,Thursday!F1161,Friday!F1161)</f>
        <v>4.4359999999999999</v>
      </c>
      <c r="AO61" s="80">
        <f>MEDIAN(Monday!F1161,Tuesday!F1161,Wednesday!F1161,Thursday!F1161,Friday!F1161)</f>
        <v>4.42</v>
      </c>
      <c r="AP61" s="80">
        <f>AVERAGE(Monday!F1219,Tuesday!F1219,Wednesday!F1219,Thursday!F1219,Friday!F1219)</f>
        <v>5.0140000000000002</v>
      </c>
      <c r="AQ61" s="80">
        <f>MEDIAN(Monday!F1219,Tuesday!F1219,Wednesday!F1219,Thursday!F1219,Friday!F1219)</f>
        <v>5.07</v>
      </c>
      <c r="AR61" s="80">
        <f>AVERAGE(Monday!F1277,Tuesday!F1277,Wednesday!F1277,Thursday!F1277,Friday!F1277)</f>
        <v>6.0520000000000005</v>
      </c>
      <c r="AS61" s="80">
        <f>MEDIAN(Monday!F1277,Tuesday!F1277,Wednesday!F1277,Thursday!F1277,Friday!F1277)</f>
        <v>5.9</v>
      </c>
      <c r="AT61" s="80">
        <f>AVERAGE(Monday!F1335,Tuesday!F1335,Wednesday!F1335,Thursday!F1335,Friday!F1335)</f>
        <v>5.6360000000000001</v>
      </c>
      <c r="AU61" s="80">
        <f>MEDIAN(Monday!F1335,Tuesday!F1335,Wednesday!F1335,Thursday!F1335,Friday!F1335)</f>
        <v>5.63</v>
      </c>
      <c r="AV61" s="80">
        <f>AVERAGE(Monday!F1393,Tuesday!F1393,Wednesday!F1393,Thursday!F1393,Friday!F1393)</f>
        <v>4.9359999999999999</v>
      </c>
      <c r="AW61" s="80">
        <f>MEDIAN(Monday!F1393,Tuesday!F1393,Wednesday!F1393,Thursday!F1393,Friday!F1393)</f>
        <v>5.0199999999999996</v>
      </c>
      <c r="AX61" s="80">
        <f>AVERAGE(Monday!F1451,Tuesday!F1451,Wednesday!F1451,Thursday!F1451,Friday!F1451)</f>
        <v>4.718</v>
      </c>
      <c r="AY61" s="80">
        <f>MEDIAN(Monday!F1451,Tuesday!F1451,Wednesday!F1451,Thursday!F1451,Friday!F1451)</f>
        <v>4.68</v>
      </c>
      <c r="AZ61" s="80">
        <f>AVERAGE(Monday!F1509,Tuesday!F1509,Wednesday!F1509,Thursday!F1509,Friday!F1509)</f>
        <v>4.6520000000000001</v>
      </c>
      <c r="BA61" s="80">
        <f>MEDIAN(Monday!F1509,Tuesday!F1509,Wednesday!F1509,Thursday!F1509,Friday!F1509)</f>
        <v>4.72</v>
      </c>
      <c r="BB61" s="81">
        <v>58</v>
      </c>
      <c r="BC61" s="80">
        <f t="shared" si="2"/>
        <v>4.1963076923076921</v>
      </c>
      <c r="BD61" s="80">
        <f t="shared" si="1"/>
        <v>4.13</v>
      </c>
    </row>
    <row r="62" spans="1:56" s="24" customFormat="1" x14ac:dyDescent="0.25">
      <c r="A62" s="76"/>
      <c r="B62" s="83">
        <f>AVERAGE(B4:B61)</f>
        <v>2.8247586206896553</v>
      </c>
      <c r="C62" s="83"/>
      <c r="D62" s="83">
        <f t="shared" ref="D62:P62" si="3">AVERAGE(D4:D61)</f>
        <v>2.9526551724137939</v>
      </c>
      <c r="E62" s="83"/>
      <c r="F62" s="83">
        <f t="shared" si="3"/>
        <v>3.1025172413793087</v>
      </c>
      <c r="G62" s="83"/>
      <c r="H62" s="83">
        <f t="shared" si="3"/>
        <v>3.250620689655173</v>
      </c>
      <c r="I62" s="83"/>
      <c r="J62" s="83">
        <f t="shared" si="3"/>
        <v>3.5629310344827578</v>
      </c>
      <c r="K62" s="83"/>
      <c r="L62" s="83">
        <f t="shared" si="3"/>
        <v>3.920379310344829</v>
      </c>
      <c r="M62" s="83"/>
      <c r="N62" s="83">
        <f t="shared" si="3"/>
        <v>4.0777241379310345</v>
      </c>
      <c r="O62" s="83"/>
      <c r="P62" s="83">
        <f t="shared" si="3"/>
        <v>3.9314827586206893</v>
      </c>
      <c r="Q62" s="83"/>
      <c r="R62" s="83">
        <f t="shared" ref="R62" si="4">AVERAGE(R4:R61)</f>
        <v>3.7650344827586197</v>
      </c>
      <c r="S62" s="83"/>
      <c r="T62" s="83">
        <f t="shared" ref="T62" si="5">AVERAGE(T4:T61)</f>
        <v>3.7642068965517241</v>
      </c>
      <c r="U62" s="83"/>
      <c r="V62" s="83">
        <f t="shared" ref="V62" si="6">AVERAGE(V4:V61)</f>
        <v>3.8230344827586218</v>
      </c>
      <c r="W62" s="83"/>
      <c r="X62" s="83">
        <f t="shared" ref="X62" si="7">AVERAGE(X4:X61)</f>
        <v>3.7963448275862075</v>
      </c>
      <c r="Y62" s="83"/>
      <c r="Z62" s="83">
        <f t="shared" ref="Z62" si="8">AVERAGE(Z4:Z61)</f>
        <v>3.77251724137931</v>
      </c>
      <c r="AA62" s="83"/>
      <c r="AB62" s="83">
        <f t="shared" ref="AB62" si="9">AVERAGE(AB4:AB61)</f>
        <v>3.8256551724137924</v>
      </c>
      <c r="AC62" s="83"/>
      <c r="AD62" s="83">
        <f t="shared" ref="AD62" si="10">AVERAGE(AD4:AD61)</f>
        <v>3.8755517241379303</v>
      </c>
      <c r="AE62" s="83"/>
      <c r="AF62" s="83">
        <f t="shared" ref="AF62" si="11">AVERAGE(AF4:AF61)</f>
        <v>3.9045517241379315</v>
      </c>
      <c r="AG62" s="83"/>
      <c r="AH62" s="83">
        <f t="shared" ref="AH62" si="12">AVERAGE(AH4:AH61)</f>
        <v>3.9687586206896537</v>
      </c>
      <c r="AI62" s="83"/>
      <c r="AJ62" s="83">
        <f t="shared" ref="AJ62" si="13">AVERAGE(AJ4:AJ61)</f>
        <v>3.9990000000000001</v>
      </c>
      <c r="AK62" s="83"/>
      <c r="AL62" s="83">
        <f t="shared" ref="AL62" si="14">AVERAGE(AL4:AL61)</f>
        <v>3.9583793103448279</v>
      </c>
      <c r="AM62" s="83"/>
      <c r="AN62" s="83">
        <f t="shared" ref="AN62" si="15">AVERAGE(AN4:AN61)</f>
        <v>3.896586206896552</v>
      </c>
      <c r="AO62" s="83"/>
      <c r="AP62" s="83">
        <f t="shared" ref="AP62" si="16">AVERAGE(AP4:AP61)</f>
        <v>4.2111379310344832</v>
      </c>
      <c r="AQ62" s="83"/>
      <c r="AR62" s="83">
        <f t="shared" ref="AR62" si="17">AVERAGE(AR4:AR61)</f>
        <v>4.7535172413793099</v>
      </c>
      <c r="AS62" s="83"/>
      <c r="AT62" s="83">
        <f>AVERAGE(AT4:AT61)</f>
        <v>4.8010000000000002</v>
      </c>
      <c r="AU62" s="83"/>
      <c r="AV62" s="83">
        <f t="shared" ref="AV62" si="18">AVERAGE(AV4:AV61)</f>
        <v>4.5659999999999989</v>
      </c>
      <c r="AW62" s="83"/>
      <c r="AX62" s="83">
        <f t="shared" ref="AX62" si="19">AVERAGE(AX4:AX61)</f>
        <v>4.3037586206896545</v>
      </c>
      <c r="AY62" s="83"/>
      <c r="AZ62" s="83">
        <f t="shared" ref="AZ62" si="20">AVERAGE(AZ4:AZ61)</f>
        <v>4.1352413793103437</v>
      </c>
      <c r="BA62" s="83"/>
      <c r="BB62" s="83"/>
      <c r="BC62" s="83"/>
      <c r="BD62" s="83"/>
    </row>
    <row r="63" spans="1:56" x14ac:dyDescent="0.25">
      <c r="B63" s="80"/>
      <c r="C63" s="80">
        <f>MEDIAN(C4:C61)</f>
        <v>2.8899999999999997</v>
      </c>
      <c r="D63" s="80"/>
      <c r="E63" s="80">
        <f t="shared" ref="E63:BA63" si="21">MEDIAN(E4:E61)</f>
        <v>3</v>
      </c>
      <c r="F63" s="80"/>
      <c r="G63" s="80">
        <f t="shared" si="21"/>
        <v>3.1349999999999998</v>
      </c>
      <c r="H63" s="80"/>
      <c r="I63" s="80">
        <f t="shared" si="21"/>
        <v>3.2749999999999999</v>
      </c>
      <c r="J63" s="80"/>
      <c r="K63" s="80">
        <f t="shared" si="21"/>
        <v>3.62</v>
      </c>
      <c r="L63" s="80"/>
      <c r="M63" s="80">
        <f t="shared" si="21"/>
        <v>3.84</v>
      </c>
      <c r="N63" s="80"/>
      <c r="O63" s="80">
        <f t="shared" si="21"/>
        <v>4.1500000000000004</v>
      </c>
      <c r="P63" s="80"/>
      <c r="Q63" s="80">
        <f t="shared" si="21"/>
        <v>3.87</v>
      </c>
      <c r="R63" s="80"/>
      <c r="S63" s="80">
        <f t="shared" si="21"/>
        <v>3.7850000000000001</v>
      </c>
      <c r="T63" s="80"/>
      <c r="U63" s="80">
        <f t="shared" si="21"/>
        <v>3.79</v>
      </c>
      <c r="V63" s="80"/>
      <c r="W63" s="80">
        <f t="shared" si="21"/>
        <v>3.75</v>
      </c>
      <c r="X63" s="80"/>
      <c r="Y63" s="80">
        <f t="shared" si="21"/>
        <v>3.8250000000000002</v>
      </c>
      <c r="Z63" s="80"/>
      <c r="AA63" s="80">
        <f t="shared" si="21"/>
        <v>3.79</v>
      </c>
      <c r="AB63" s="80"/>
      <c r="AC63" s="80">
        <f t="shared" si="21"/>
        <v>3.78</v>
      </c>
      <c r="AD63" s="80"/>
      <c r="AE63" s="80">
        <f t="shared" si="21"/>
        <v>3.8600000000000003</v>
      </c>
      <c r="AF63" s="80"/>
      <c r="AG63" s="80">
        <f t="shared" si="21"/>
        <v>3.8449999999999998</v>
      </c>
      <c r="AH63" s="80"/>
      <c r="AI63" s="80">
        <f t="shared" si="21"/>
        <v>3.96</v>
      </c>
      <c r="AJ63" s="80"/>
      <c r="AK63" s="80">
        <f t="shared" si="21"/>
        <v>3.98</v>
      </c>
      <c r="AL63" s="80"/>
      <c r="AM63" s="80">
        <f t="shared" si="21"/>
        <v>3.84</v>
      </c>
      <c r="AN63" s="80"/>
      <c r="AO63" s="80">
        <f t="shared" si="21"/>
        <v>3.7749999999999999</v>
      </c>
      <c r="AP63" s="80"/>
      <c r="AQ63" s="80">
        <f t="shared" si="21"/>
        <v>4.04</v>
      </c>
      <c r="AR63" s="80"/>
      <c r="AS63" s="80">
        <f t="shared" si="21"/>
        <v>4.4849999999999994</v>
      </c>
      <c r="AT63" s="80"/>
      <c r="AU63" s="80">
        <f t="shared" si="21"/>
        <v>4.58</v>
      </c>
      <c r="AV63" s="80"/>
      <c r="AW63" s="80">
        <f t="shared" si="21"/>
        <v>4.2750000000000004</v>
      </c>
      <c r="AX63" s="80"/>
      <c r="AY63" s="80">
        <f t="shared" si="21"/>
        <v>4.1349999999999998</v>
      </c>
      <c r="AZ63" s="80"/>
      <c r="BA63" s="80">
        <f t="shared" si="21"/>
        <v>3.9</v>
      </c>
      <c r="BB63" s="81"/>
      <c r="BC63" s="80"/>
      <c r="BD63" s="80"/>
    </row>
    <row r="64" spans="1:56" x14ac:dyDescent="0.25">
      <c r="A64" s="42"/>
      <c r="BB64" s="42"/>
    </row>
  </sheetData>
  <mergeCells count="30">
    <mergeCell ref="AN2:AO2"/>
    <mergeCell ref="AP2:AQ2"/>
    <mergeCell ref="BC2:BD2"/>
    <mergeCell ref="BB2:BB3"/>
    <mergeCell ref="AR2:AS2"/>
    <mergeCell ref="AT2:AU2"/>
    <mergeCell ref="AV2:AW2"/>
    <mergeCell ref="AX2:AY2"/>
    <mergeCell ref="AZ2:BA2"/>
    <mergeCell ref="V2:W2"/>
    <mergeCell ref="X2:Y2"/>
    <mergeCell ref="AH2:AI2"/>
    <mergeCell ref="AJ2:AK2"/>
    <mergeCell ref="AL2:AM2"/>
    <mergeCell ref="J2:K2"/>
    <mergeCell ref="L2:M2"/>
    <mergeCell ref="N2:O2"/>
    <mergeCell ref="B1:BA1"/>
    <mergeCell ref="A2:A3"/>
    <mergeCell ref="B2:C2"/>
    <mergeCell ref="D2:E2"/>
    <mergeCell ref="F2:G2"/>
    <mergeCell ref="H2:I2"/>
    <mergeCell ref="Z2:AA2"/>
    <mergeCell ref="AB2:AC2"/>
    <mergeCell ref="AD2:AE2"/>
    <mergeCell ref="AF2:AG2"/>
    <mergeCell ref="P2:Q2"/>
    <mergeCell ref="R2:S2"/>
    <mergeCell ref="T2:U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E7"/>
  <sheetViews>
    <sheetView topLeftCell="A4" workbookViewId="0">
      <selection activeCell="E5" sqref="E5"/>
    </sheetView>
  </sheetViews>
  <sheetFormatPr defaultRowHeight="15" x14ac:dyDescent="0.25"/>
  <sheetData>
    <row r="5" spans="1:31" x14ac:dyDescent="0.25">
      <c r="A5" t="s">
        <v>129</v>
      </c>
      <c r="B5" s="77">
        <v>0.29166666666666669</v>
      </c>
      <c r="C5" s="77">
        <v>0.30208333333333331</v>
      </c>
      <c r="D5" s="77">
        <v>0.3125</v>
      </c>
      <c r="E5" s="77">
        <v>0.32291666666666669</v>
      </c>
      <c r="F5" s="77">
        <v>0.33333333333333331</v>
      </c>
      <c r="G5" s="77">
        <v>0.34375</v>
      </c>
      <c r="H5" s="77">
        <v>0.35416666666666669</v>
      </c>
      <c r="I5" s="77">
        <v>0.36458333333333331</v>
      </c>
      <c r="J5" s="77">
        <v>0.375</v>
      </c>
      <c r="K5" s="77">
        <v>0.38541666666666669</v>
      </c>
      <c r="L5" s="77">
        <v>0.39583333333333331</v>
      </c>
      <c r="M5" s="77">
        <v>0.40625</v>
      </c>
      <c r="N5" s="77">
        <v>0.41666666666666669</v>
      </c>
      <c r="O5" s="78">
        <v>0.66666666666666663</v>
      </c>
      <c r="P5" s="77">
        <v>0.67708333333333337</v>
      </c>
      <c r="Q5" s="77">
        <v>0.6875</v>
      </c>
      <c r="R5" s="77">
        <v>0.69791666666666663</v>
      </c>
      <c r="S5" s="77">
        <v>0.70833333333333337</v>
      </c>
      <c r="T5" s="77">
        <v>0.71875</v>
      </c>
      <c r="U5" s="77">
        <v>0.72916666666666663</v>
      </c>
      <c r="V5" s="77">
        <v>0.73958333333333337</v>
      </c>
      <c r="W5" s="77">
        <v>0.75</v>
      </c>
      <c r="X5" s="77">
        <v>0.76041666666666663</v>
      </c>
      <c r="Y5" s="77">
        <v>0.77083333333333337</v>
      </c>
      <c r="Z5" s="77">
        <v>0.78125</v>
      </c>
      <c r="AA5" s="77">
        <v>0.79166666666666663</v>
      </c>
      <c r="AB5" s="77"/>
      <c r="AC5" s="75"/>
      <c r="AE5" s="79"/>
    </row>
    <row r="6" spans="1:31" s="37" customFormat="1" x14ac:dyDescent="0.25">
      <c r="A6" s="37" t="s">
        <v>130</v>
      </c>
      <c r="B6" s="37">
        <v>2.8247586206896553</v>
      </c>
      <c r="C6" s="37">
        <v>2.9526551724137939</v>
      </c>
      <c r="D6" s="37">
        <v>3.1025172413793087</v>
      </c>
      <c r="E6" s="37">
        <v>3.250620689655173</v>
      </c>
      <c r="F6" s="37">
        <v>3.5629310344827578</v>
      </c>
      <c r="G6" s="37">
        <v>3.920379310344829</v>
      </c>
      <c r="H6" s="37">
        <v>4.0777241379310345</v>
      </c>
      <c r="I6" s="37">
        <v>3.9314827586206893</v>
      </c>
      <c r="J6" s="37">
        <v>3.7650344827586197</v>
      </c>
      <c r="K6" s="37">
        <v>3.7642068965517241</v>
      </c>
      <c r="L6" s="37">
        <v>3.8230344827586218</v>
      </c>
      <c r="M6" s="37">
        <v>3.7963448275862075</v>
      </c>
      <c r="N6" s="37">
        <v>3.77251724137931</v>
      </c>
      <c r="O6" s="37">
        <v>3.8256551724137924</v>
      </c>
      <c r="P6" s="37">
        <v>3.8755517241379303</v>
      </c>
      <c r="Q6" s="37">
        <v>3.9045517241379315</v>
      </c>
      <c r="R6" s="37">
        <v>3.9687586206896537</v>
      </c>
      <c r="S6" s="37">
        <v>3.9990000000000001</v>
      </c>
      <c r="T6" s="37">
        <v>3.9583793103448279</v>
      </c>
      <c r="U6" s="37">
        <v>3.896586206896552</v>
      </c>
      <c r="V6" s="37">
        <v>4.2111379310344832</v>
      </c>
      <c r="W6" s="37">
        <v>4.7535172413793099</v>
      </c>
      <c r="X6" s="37">
        <v>4.8010000000000002</v>
      </c>
      <c r="Y6" s="37">
        <v>4.5659999999999989</v>
      </c>
      <c r="Z6" s="37">
        <v>4.3037586206896545</v>
      </c>
      <c r="AA6" s="37">
        <v>4.1352413793103437</v>
      </c>
    </row>
    <row r="7" spans="1:31" x14ac:dyDescent="0.25">
      <c r="A7" t="s">
        <v>131</v>
      </c>
      <c r="B7" s="37">
        <v>2.8899999999999997</v>
      </c>
      <c r="C7" s="37">
        <v>3</v>
      </c>
      <c r="D7" s="37">
        <v>3.1349999999999998</v>
      </c>
      <c r="E7" s="37">
        <v>3.2749999999999999</v>
      </c>
      <c r="F7" s="37">
        <v>3.62</v>
      </c>
      <c r="G7" s="37">
        <v>3.84</v>
      </c>
      <c r="H7" s="37">
        <v>4.1500000000000004</v>
      </c>
      <c r="I7" s="37">
        <v>3.87</v>
      </c>
      <c r="J7" s="37">
        <v>3.7850000000000001</v>
      </c>
      <c r="K7" s="37">
        <v>3.79</v>
      </c>
      <c r="L7" s="37">
        <v>3.75</v>
      </c>
      <c r="M7" s="37">
        <v>3.8250000000000002</v>
      </c>
      <c r="N7" s="37">
        <v>3.79</v>
      </c>
      <c r="O7" s="37">
        <v>3.78</v>
      </c>
      <c r="P7" s="37">
        <v>3.8600000000000003</v>
      </c>
      <c r="Q7" s="37">
        <v>3.8449999999999998</v>
      </c>
      <c r="R7" s="37">
        <v>3.96</v>
      </c>
      <c r="S7" s="37">
        <v>3.98</v>
      </c>
      <c r="T7" s="37">
        <v>3.84</v>
      </c>
      <c r="U7" s="37">
        <v>3.7749999999999999</v>
      </c>
      <c r="V7" s="37">
        <v>4.04</v>
      </c>
      <c r="W7" s="37">
        <v>4.4849999999999994</v>
      </c>
      <c r="X7" s="37">
        <v>4.58</v>
      </c>
      <c r="Y7" s="37">
        <v>4.2750000000000004</v>
      </c>
      <c r="Z7" s="37">
        <v>4.1349999999999998</v>
      </c>
      <c r="AA7" s="37">
        <v>3.9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selection activeCell="H20" sqref="H20"/>
    </sheetView>
  </sheetViews>
  <sheetFormatPr defaultRowHeight="15" x14ac:dyDescent="0.25"/>
  <cols>
    <col min="1" max="1" width="9.140625" style="5"/>
    <col min="2" max="2" width="8.7109375" customWidth="1"/>
    <col min="4" max="4" width="12.28515625" style="8" customWidth="1"/>
    <col min="5" max="8" width="9.140625" style="8"/>
    <col min="9" max="9" width="20.140625" customWidth="1"/>
    <col min="10" max="10" width="23.7109375" customWidth="1"/>
    <col min="11" max="11" width="13.7109375" customWidth="1"/>
  </cols>
  <sheetData>
    <row r="1" spans="1:11" s="17" customFormat="1" x14ac:dyDescent="0.25">
      <c r="A1" s="16" t="s">
        <v>75</v>
      </c>
      <c r="B1" s="17" t="s">
        <v>78</v>
      </c>
      <c r="C1" s="17" t="s">
        <v>77</v>
      </c>
      <c r="D1" s="21" t="s">
        <v>79</v>
      </c>
      <c r="E1" s="21" t="s">
        <v>76</v>
      </c>
      <c r="F1" s="21" t="s">
        <v>80</v>
      </c>
      <c r="G1" s="21" t="s">
        <v>81</v>
      </c>
      <c r="H1" s="21" t="s">
        <v>82</v>
      </c>
      <c r="I1" s="17" t="s">
        <v>94</v>
      </c>
      <c r="J1" s="17" t="s">
        <v>83</v>
      </c>
      <c r="K1" s="17" t="s">
        <v>84</v>
      </c>
    </row>
    <row r="2" spans="1:11" x14ac:dyDescent="0.25">
      <c r="A2" s="5">
        <v>0.29166666666666669</v>
      </c>
      <c r="B2" s="8">
        <f>AVERAGEIF(Monday!$A$2:$A$1509, "02/06/2025  07:00:00", Monday!$G$2:$G$1509)</f>
        <v>33.854326302763276</v>
      </c>
      <c r="C2" s="8">
        <f>AVERAGEIF(Tuesday!$A$2:$A$1509, "27/05/2025  07:00:00", Tuesday!$G$2:$G$1509)</f>
        <v>33.402283322454061</v>
      </c>
      <c r="D2" s="8">
        <f>AVERAGEIF(Wednesday!$A$2:$A$1509, "28/05/2025  07:00:00", Wednesday!$G$2:$G$1509)</f>
        <v>34.365886145994544</v>
      </c>
      <c r="E2" s="8">
        <f>AVERAGEIF(Thursday!$A$2:$A$1509, "29/05/2025  07:00:00", Thursday!$G$2:$G$1509)</f>
        <v>33.308964431088825</v>
      </c>
      <c r="F2" s="8">
        <f>AVERAGEIF(Friday!$A$2:$A$1509, "30/05/2025  07:00:00", Friday!$G$2:$G$1509)</f>
        <v>33.712504744524352</v>
      </c>
      <c r="G2" s="8">
        <f>AVERAGEIF(Saturday!$A$2:$A$1509, "31/05/2025  07:00:00", Saturday!$G$2:$G$1509)</f>
        <v>34.349137801813939</v>
      </c>
      <c r="H2" s="8">
        <f>AVERAGEIF(Sunday!$A$2:$A$1509, "01/06/2025  07:00:00", Sunday!$G$2:$G$1509)</f>
        <v>35.634036562558045</v>
      </c>
      <c r="I2" s="8">
        <f>(AVERAGE(TT_TTI_Delay!$B$4:$B$61)*60/(AVERAGE(TT_TTI_Delay!$C$4:$C$61)))</f>
        <v>35.776597889643114</v>
      </c>
      <c r="J2" s="8">
        <f>AVERAGE(B2:F2)</f>
        <v>33.728792989365004</v>
      </c>
      <c r="K2" s="8">
        <f>AVERAGE(G2:H2)</f>
        <v>34.991587182185995</v>
      </c>
    </row>
    <row r="3" spans="1:11" x14ac:dyDescent="0.25">
      <c r="A3" s="5">
        <v>0.30208333333333331</v>
      </c>
      <c r="B3" s="8">
        <f>AVERAGEIF(Monday!$A$2:$A$1509, "02/06/2025  07:15:00", Monday!$G$2:$G$1509)</f>
        <v>32.32121259214874</v>
      </c>
      <c r="C3" s="8">
        <f>AVERAGEIF(Tuesday!$A$2:$A$1509, "27/05/2025  07:15:00", Tuesday!$G$2:$G$1509)</f>
        <v>32.493442547205625</v>
      </c>
      <c r="D3" s="8">
        <f>AVERAGEIF(Wednesday!$A$2:$A$1509, "28/05/2025  07:15:00", Wednesday!$G$2:$G$1509)</f>
        <v>32.8395401468674</v>
      </c>
      <c r="E3" s="8">
        <f>AVERAGEIF(Thursday!$A$2:$A$1509, "29/05/2025  07:15:00", Thursday!$G$2:$G$1509)</f>
        <v>32.126527899006973</v>
      </c>
      <c r="F3" s="8">
        <f>AVERAGEIF(Friday!$A$2:$A$1509, "30/05/2025  07:15:00", Friday!$G$2:$G$1509)</f>
        <v>32.260625490827195</v>
      </c>
      <c r="G3" s="8">
        <f>AVERAGEIF(Saturday!$A$2:$A$1509, "31/05/2025  07:15:00", Saturday!$G$2:$G$1509)</f>
        <v>33.737043351573213</v>
      </c>
      <c r="H3" s="8">
        <f>AVERAGEIF(Sunday!$A$2:$A$1509, "01/06/2025  07:15:00", Sunday!$G$2:$G$1509)</f>
        <v>36.029710012425873</v>
      </c>
      <c r="I3" s="8">
        <f>(AVERAGE(TT_TTI_Delay!$B$4:$B$61)*60/(AVERAGE(TT_TTI_Delay!$C$4:$C$61)))</f>
        <v>35.776597889643114</v>
      </c>
      <c r="J3" s="8">
        <f t="shared" ref="J3:J27" si="0">AVERAGE(B3:F3)</f>
        <v>32.408269735211185</v>
      </c>
      <c r="K3" s="8">
        <f t="shared" ref="K3:K27" si="1">AVERAGE(G3:H3)</f>
        <v>34.883376681999543</v>
      </c>
    </row>
    <row r="4" spans="1:11" x14ac:dyDescent="0.25">
      <c r="A4" s="5">
        <v>0.3125</v>
      </c>
      <c r="B4" s="8">
        <f>AVERAGEIF(Monday!$A$2:$A$1509, "02/06/2025  07:30:00", Monday!$G$2:$G$1509)</f>
        <v>30.82356022212754</v>
      </c>
      <c r="C4" s="8">
        <f>AVERAGEIF(Tuesday!$A$2:$A$1509, "27/05/2025  07:30:00", Tuesday!$G$2:$G$1509)</f>
        <v>31.121736757947726</v>
      </c>
      <c r="D4" s="8">
        <f>AVERAGEIF(Wednesday!$A$2:$A$1509, "28/05/2025  07:30:00", Wednesday!$G$2:$G$1509)</f>
        <v>30.968869292162811</v>
      </c>
      <c r="E4" s="8">
        <f>AVERAGEIF(Thursday!$A$2:$A$1509, "29/05/2025  07:30:00", Thursday!$G$2:$G$1509)</f>
        <v>30.759383974222494</v>
      </c>
      <c r="F4" s="8">
        <f>AVERAGEIF(Friday!$A$2:$A$1509, "30/05/2025  07:30:00", Friday!$G$2:$G$1509)</f>
        <v>31.183700066364711</v>
      </c>
      <c r="G4" s="8">
        <f>AVERAGEIF(Saturday!$A$2:$A$1509, "31/05/2025  07:30:00", Saturday!$G$2:$G$1509)</f>
        <v>33.234656622455525</v>
      </c>
      <c r="H4" s="8">
        <f>AVERAGEIF(Sunday!$A$2:$A$1509, "01/06/2025  07:30:00", Sunday!$G$2:$G$1509)</f>
        <v>35.291978868454883</v>
      </c>
      <c r="I4" s="8">
        <f>(AVERAGE(TT_TTI_Delay!$B$4:$B$61)*60/(AVERAGE(TT_TTI_Delay!$C$4:$C$61)))</f>
        <v>35.776597889643114</v>
      </c>
      <c r="J4" s="8">
        <f t="shared" si="0"/>
        <v>30.971450062565054</v>
      </c>
      <c r="K4" s="8">
        <f t="shared" si="1"/>
        <v>34.263317745455204</v>
      </c>
    </row>
    <row r="5" spans="1:11" x14ac:dyDescent="0.25">
      <c r="A5" s="5">
        <v>0.32291666666666669</v>
      </c>
      <c r="B5" s="8">
        <f>AVERAGEIF(Monday!$A$2:$A$1509, "02/06/2025  07:45:00", Monday!$G$2:$G$1509)</f>
        <v>29.718617975348828</v>
      </c>
      <c r="C5" s="8">
        <f>AVERAGEIF(Tuesday!$A$2:$A$1509, "27/05/2025  07:45:00", Tuesday!$G$2:$G$1509)</f>
        <v>29.713857257863339</v>
      </c>
      <c r="D5" s="8">
        <f>AVERAGEIF(Wednesday!$A$2:$A$1509, "28/05/2025  07:45:00", Wednesday!$G$2:$G$1509)</f>
        <v>30.034160118316592</v>
      </c>
      <c r="E5" s="8">
        <f>AVERAGEIF(Thursday!$A$2:$A$1509, "29/05/2025  07:45:00", Thursday!$G$2:$G$1509)</f>
        <v>29.492621333119928</v>
      </c>
      <c r="F5" s="8">
        <f>AVERAGEIF(Friday!$A$2:$A$1509, "30/05/2025  07:45:00", Friday!$G$2:$G$1509)</f>
        <v>29.726176533041357</v>
      </c>
      <c r="G5" s="8">
        <f>AVERAGEIF(Saturday!$A$2:$A$1509, "31/05/2025  07:45:00", Saturday!$G$2:$G$1509)</f>
        <v>32.867697235680708</v>
      </c>
      <c r="H5" s="8">
        <f>AVERAGEIF(Sunday!$A$2:$A$1509, "01/06/2025  07:45:00", Sunday!$G$2:$G$1509)</f>
        <v>35.037676066584154</v>
      </c>
      <c r="I5" s="8">
        <f>(AVERAGE(TT_TTI_Delay!$B$4:$B$61)*60/(AVERAGE(TT_TTI_Delay!$C$4:$C$61)))</f>
        <v>35.776597889643114</v>
      </c>
      <c r="J5" s="8">
        <f t="shared" si="0"/>
        <v>29.73708664353801</v>
      </c>
      <c r="K5" s="8">
        <f t="shared" si="1"/>
        <v>33.952686651132431</v>
      </c>
    </row>
    <row r="6" spans="1:11" x14ac:dyDescent="0.25">
      <c r="A6" s="5">
        <v>0.33333333333333331</v>
      </c>
      <c r="B6" s="8">
        <f>AVERAGEIF(Monday!$A$2:$A$1509, "02/06/2025  08:00:00", Monday!$G$2:$G$1509)</f>
        <v>27.078882558711605</v>
      </c>
      <c r="C6" s="8">
        <f>AVERAGEIF(Tuesday!$A$2:$A$1509, "27/05/2025  08:00:00", Tuesday!$G$2:$G$1509)</f>
        <v>27.510493539382978</v>
      </c>
      <c r="D6" s="8">
        <f>AVERAGEIF(Wednesday!$A$2:$A$1509, "28/05/2025  08:00:00", Wednesday!$G$2:$G$1509)</f>
        <v>27.639090346795271</v>
      </c>
      <c r="E6" s="8">
        <f>AVERAGEIF(Thursday!$A$2:$A$1509, "29/05/2025  08:00:00", Thursday!$G$2:$G$1509)</f>
        <v>27.684873262448956</v>
      </c>
      <c r="F6" s="8">
        <f>AVERAGEIF(Friday!$A$2:$A$1509, "30/05/2025  08:00:00", Friday!$G$2:$G$1509)</f>
        <v>28.242728298825416</v>
      </c>
      <c r="G6" s="8">
        <f>AVERAGEIF(Saturday!$A$2:$A$1509, "31/05/2025  08:00:00", Saturday!$G$2:$G$1509)</f>
        <v>32.349479719225904</v>
      </c>
      <c r="H6" s="8">
        <f>AVERAGEIF(Sunday!$A$2:$A$1509, "01/06/2025  08:00:00", Sunday!$G$2:$G$1509)</f>
        <v>34.889239758021404</v>
      </c>
      <c r="I6" s="8">
        <f>(AVERAGE(TT_TTI_Delay!$B$4:$B$61)*60/(AVERAGE(TT_TTI_Delay!$C$4:$C$61)))</f>
        <v>35.776597889643114</v>
      </c>
      <c r="J6" s="8">
        <f t="shared" si="0"/>
        <v>27.631213601232844</v>
      </c>
      <c r="K6" s="8">
        <f t="shared" si="1"/>
        <v>33.619359738623658</v>
      </c>
    </row>
    <row r="7" spans="1:11" x14ac:dyDescent="0.25">
      <c r="A7" s="5">
        <v>0.34375</v>
      </c>
      <c r="B7" s="8">
        <f>AVERAGEIF(Monday!$A$2:$A$1509, "02/06/2025  08:15:00", Monday!$G$2:$G$1509)</f>
        <v>24.647017695178754</v>
      </c>
      <c r="C7" s="8">
        <f>AVERAGEIF(Tuesday!$A$2:$A$1509, "27/05/2025  08:15:00", Tuesday!$G$2:$G$1509)</f>
        <v>25.666358710399848</v>
      </c>
      <c r="D7" s="8">
        <f>AVERAGEIF(Wednesday!$A$2:$A$1509, "28/05/2025  08:15:00", Wednesday!$G$2:$G$1509)</f>
        <v>26.112590708216725</v>
      </c>
      <c r="E7" s="8">
        <f>AVERAGEIF(Thursday!$A$2:$A$1509, "29/05/2025  08:15:00", Thursday!$G$2:$G$1509)</f>
        <v>25.745865671202406</v>
      </c>
      <c r="F7" s="8">
        <f>AVERAGEIF(Friday!$A$2:$A$1509, "30/05/2025  08:15:00", Friday!$G$2:$G$1509)</f>
        <v>26.480631240423865</v>
      </c>
      <c r="G7" s="8">
        <f>AVERAGEIF(Saturday!$A$2:$A$1509, "31/05/2025  08:15:00", Saturday!$G$2:$G$1509)</f>
        <v>31.887340995536256</v>
      </c>
      <c r="H7" s="8">
        <f>AVERAGEIF(Sunday!$A$2:$A$1509, "01/06/2025  08:15:00", Sunday!$G$2:$G$1509)</f>
        <v>34.882479086807479</v>
      </c>
      <c r="I7" s="8">
        <f>(AVERAGE(TT_TTI_Delay!$B$4:$B$61)*60/(AVERAGE(TT_TTI_Delay!$C$4:$C$61)))</f>
        <v>35.776597889643114</v>
      </c>
      <c r="J7" s="8">
        <f t="shared" si="0"/>
        <v>25.730492805084321</v>
      </c>
      <c r="K7" s="8">
        <f t="shared" si="1"/>
        <v>33.384910041171864</v>
      </c>
    </row>
    <row r="8" spans="1:11" x14ac:dyDescent="0.25">
      <c r="A8" s="5">
        <v>0.35416666666666669</v>
      </c>
      <c r="B8" s="8">
        <f>AVERAGEIF(Monday!$A$2:$A$1509, "02/06/2025  08:30:00", Monday!$G$2:$G$1509)</f>
        <v>24.328896306932329</v>
      </c>
      <c r="C8" s="8">
        <f>AVERAGEIF(Tuesday!$A$2:$A$1509, "27/05/2025  08:30:00", Tuesday!$G$2:$G$1509)</f>
        <v>24.347485522113629</v>
      </c>
      <c r="D8" s="8">
        <f>AVERAGEIF(Wednesday!$A$2:$A$1509, "28/05/2025  08:30:00", Wednesday!$G$2:$G$1509)</f>
        <v>24.872565979087703</v>
      </c>
      <c r="E8" s="8">
        <f>AVERAGEIF(Thursday!$A$2:$A$1509, "29/05/2025  08:30:00", Thursday!$G$2:$G$1509)</f>
        <v>25.1865330808441</v>
      </c>
      <c r="F8" s="8">
        <f>AVERAGEIF(Friday!$A$2:$A$1509, "30/05/2025  08:30:00", Friday!$G$2:$G$1509)</f>
        <v>25.105814168094103</v>
      </c>
      <c r="G8" s="8">
        <f>AVERAGEIF(Saturday!$A$2:$A$1509, "31/05/2025  08:30:00", Saturday!$G$2:$G$1509)</f>
        <v>31.652603590830463</v>
      </c>
      <c r="H8" s="8">
        <f>AVERAGEIF(Sunday!$A$2:$A$1509, "01/06/2025  08:30:00", Sunday!$G$2:$G$1509)</f>
        <v>34.432911437417367</v>
      </c>
      <c r="I8" s="8">
        <f>(AVERAGE(TT_TTI_Delay!$B$4:$B$61)*60/(AVERAGE(TT_TTI_Delay!$C$4:$C$61)))</f>
        <v>35.776597889643114</v>
      </c>
      <c r="J8" s="8">
        <f t="shared" si="0"/>
        <v>24.768259011414372</v>
      </c>
      <c r="K8" s="8">
        <f t="shared" si="1"/>
        <v>33.042757514123913</v>
      </c>
    </row>
    <row r="9" spans="1:11" x14ac:dyDescent="0.25">
      <c r="A9" s="5">
        <v>0.36458333333333331</v>
      </c>
      <c r="B9" s="8">
        <f>AVERAGEIF(Monday!$A$2:$A$1509, "02/06/2025  08:45:00", Monday!$G$2:$G$1509)</f>
        <v>24.825178793484508</v>
      </c>
      <c r="C9" s="8">
        <f>AVERAGEIF(Tuesday!$A$2:$A$1509, "27/05/2025  08:45:00", Tuesday!$G$2:$G$1509)</f>
        <v>25.236284179921093</v>
      </c>
      <c r="D9" s="8">
        <f>AVERAGEIF(Wednesday!$A$2:$A$1509, "28/05/2025  08:45:00", Wednesday!$G$2:$G$1509)</f>
        <v>25.745207718099241</v>
      </c>
      <c r="E9" s="8">
        <f>AVERAGEIF(Thursday!$A$2:$A$1509, "29/05/2025  08:45:00", Thursday!$G$2:$G$1509)</f>
        <v>26.102461865214561</v>
      </c>
      <c r="F9" s="8">
        <f>AVERAGEIF(Friday!$A$2:$A$1509, "30/05/2025  08:45:00", Friday!$G$2:$G$1509)</f>
        <v>25.695990392856928</v>
      </c>
      <c r="G9" s="8">
        <f>AVERAGEIF(Saturday!$A$2:$A$1509, "31/05/2025  08:45:00", Saturday!$G$2:$G$1509)</f>
        <v>31.284148635542714</v>
      </c>
      <c r="H9" s="8">
        <f>AVERAGEIF(Sunday!$A$2:$A$1509, "01/06/2025  08:45:00", Sunday!$G$2:$G$1509)</f>
        <v>34.041937008882272</v>
      </c>
      <c r="I9" s="8">
        <f>(AVERAGE(TT_TTI_Delay!$B$4:$B$61)*60/(AVERAGE(TT_TTI_Delay!$C$4:$C$61)))</f>
        <v>35.776597889643114</v>
      </c>
      <c r="J9" s="8">
        <f t="shared" si="0"/>
        <v>25.521024589915264</v>
      </c>
      <c r="K9" s="8">
        <f t="shared" si="1"/>
        <v>32.663042822212489</v>
      </c>
    </row>
    <row r="10" spans="1:11" x14ac:dyDescent="0.25">
      <c r="A10" s="5">
        <v>0.375</v>
      </c>
      <c r="B10" s="8">
        <f>AVERAGEIF(Monday!$A$2:$A$1509, "02/06/2025  09:00:00", Monday!$G$2:$G$1509)</f>
        <v>25.713429953686919</v>
      </c>
      <c r="C10" s="8">
        <f>AVERAGEIF(Tuesday!$A$2:$A$1509, "27/05/2025  09:00:00", Tuesday!$G$2:$G$1509)</f>
        <v>25.874907392172595</v>
      </c>
      <c r="D10" s="8">
        <f>AVERAGEIF(Wednesday!$A$2:$A$1509, "28/05/2025  09:00:00", Wednesday!$G$2:$G$1509)</f>
        <v>26.439467586116418</v>
      </c>
      <c r="E10" s="8">
        <f>AVERAGEIF(Thursday!$A$2:$A$1509, "29/05/2025  09:00:00", Thursday!$G$2:$G$1509)</f>
        <v>26.669575801986589</v>
      </c>
      <c r="F10" s="8">
        <f>AVERAGEIF(Friday!$A$2:$A$1509, "30/05/2025  09:00:00", Friday!$G$2:$G$1509)</f>
        <v>26.405459252215191</v>
      </c>
      <c r="G10" s="8">
        <f>AVERAGEIF(Saturday!$A$2:$A$1509, "31/05/2025  09:00:00", Saturday!$G$2:$G$1509)</f>
        <v>31.184554058824034</v>
      </c>
      <c r="H10" s="8">
        <f>AVERAGEIF(Sunday!$A$2:$A$1509, "01/06/2025  09:00:00", Sunday!$G$2:$G$1509)</f>
        <v>33.667308514043206</v>
      </c>
      <c r="I10" s="8">
        <f>(AVERAGE(TT_TTI_Delay!$B$4:$B$61)*60/(AVERAGE(TT_TTI_Delay!$C$4:$C$61)))</f>
        <v>35.776597889643114</v>
      </c>
      <c r="J10" s="8">
        <f t="shared" si="0"/>
        <v>26.220567997235541</v>
      </c>
      <c r="K10" s="8">
        <f t="shared" si="1"/>
        <v>32.425931286433624</v>
      </c>
    </row>
    <row r="11" spans="1:11" x14ac:dyDescent="0.25">
      <c r="A11" s="5">
        <v>0.38541666666666669</v>
      </c>
      <c r="B11" s="8">
        <f>AVERAGEIF(Monday!$A$2:$A$1509, "02/06/2025  09:15:00", Monday!$G$2:$G$1509)</f>
        <v>26.297004054990193</v>
      </c>
      <c r="C11" s="8">
        <f>AVERAGEIF(Tuesday!$A$2:$A$1509, "27/05/2025  09:15:00", Tuesday!$G$2:$G$1509)</f>
        <v>25.699214943503005</v>
      </c>
      <c r="D11" s="8">
        <f>AVERAGEIF(Wednesday!$A$2:$A$1509, "28/05/2025  09:15:00", Wednesday!$G$2:$G$1509)</f>
        <v>26.762858638216617</v>
      </c>
      <c r="E11" s="8">
        <f>AVERAGEIF(Thursday!$A$2:$A$1509, "29/05/2025  09:15:00", Thursday!$G$2:$G$1509)</f>
        <v>26.477574628075182</v>
      </c>
      <c r="F11" s="8">
        <f>AVERAGEIF(Friday!$A$2:$A$1509, "30/05/2025  09:15:00", Friday!$G$2:$G$1509)</f>
        <v>26.21272089808522</v>
      </c>
      <c r="G11" s="8">
        <f>AVERAGEIF(Saturday!$A$2:$A$1509, "31/05/2025  09:15:00", Saturday!$G$2:$G$1509)</f>
        <v>30.573624014831569</v>
      </c>
      <c r="H11" s="8">
        <f>AVERAGEIF(Sunday!$A$2:$A$1509, "01/06/2025  09:15:00", Sunday!$G$2:$G$1509)</f>
        <v>33.50438679196737</v>
      </c>
      <c r="I11" s="8">
        <f>(AVERAGE(TT_TTI_Delay!$B$4:$B$61)*60/(AVERAGE(TT_TTI_Delay!$C$4:$C$61)))</f>
        <v>35.776597889643114</v>
      </c>
      <c r="J11" s="8">
        <f t="shared" si="0"/>
        <v>26.289874632574044</v>
      </c>
      <c r="K11" s="8">
        <f t="shared" si="1"/>
        <v>32.039005403399472</v>
      </c>
    </row>
    <row r="12" spans="1:11" x14ac:dyDescent="0.25">
      <c r="A12" s="5">
        <v>0.39583333333333331</v>
      </c>
      <c r="B12" s="8">
        <f>AVERAGEIF(Monday!$A$2:$A$1509, "02/06/2025  09:30:00", Monday!$G$2:$G$1509)</f>
        <v>25.963180527245804</v>
      </c>
      <c r="C12" s="8">
        <f>AVERAGEIF(Tuesday!$A$2:$A$1509, "27/05/2025  09:30:00", Tuesday!$G$2:$G$1509)</f>
        <v>25.490285697839617</v>
      </c>
      <c r="D12" s="8">
        <f>AVERAGEIF(Wednesday!$A$2:$A$1509, "28/05/2025  09:30:00", Wednesday!$G$2:$G$1509)</f>
        <v>26.263237795360631</v>
      </c>
      <c r="E12" s="8">
        <f>AVERAGEIF(Thursday!$A$2:$A$1509, "29/05/2025  09:30:00", Thursday!$G$2:$G$1509)</f>
        <v>25.655156447248078</v>
      </c>
      <c r="F12" s="8">
        <f>AVERAGEIF(Friday!$A$2:$A$1509, "30/05/2025  09:30:00", Friday!$G$2:$G$1509)</f>
        <v>26.148077892180119</v>
      </c>
      <c r="G12" s="8">
        <f>AVERAGEIF(Saturday!$A$2:$A$1509, "31/05/2025  09:30:00", Saturday!$G$2:$G$1509)</f>
        <v>29.856563309167843</v>
      </c>
      <c r="H12" s="8">
        <f>AVERAGEIF(Sunday!$A$2:$A$1509, "01/06/2025  09:30:00", Sunday!$G$2:$G$1509)</f>
        <v>33.090252799882421</v>
      </c>
      <c r="I12" s="8">
        <f>(AVERAGE(TT_TTI_Delay!$B$4:$B$61)*60/(AVERAGE(TT_TTI_Delay!$C$4:$C$61)))</f>
        <v>35.776597889643114</v>
      </c>
      <c r="J12" s="8">
        <f t="shared" si="0"/>
        <v>25.903987671974853</v>
      </c>
      <c r="K12" s="8">
        <f t="shared" si="1"/>
        <v>31.47340805452513</v>
      </c>
    </row>
    <row r="13" spans="1:11" x14ac:dyDescent="0.25">
      <c r="A13" s="5">
        <v>0.40625</v>
      </c>
      <c r="B13" s="8">
        <f>AVERAGEIF(Monday!$A$2:$A$1509, "02/06/2025  09:45:00", Monday!$G$2:$G$1509)</f>
        <v>25.999428529634667</v>
      </c>
      <c r="C13" s="8">
        <f>AVERAGEIF(Tuesday!$A$2:$A$1509, "27/05/2025  09:45:00", Tuesday!$G$2:$G$1509)</f>
        <v>25.498839989610143</v>
      </c>
      <c r="D13" s="8">
        <f>AVERAGEIF(Wednesday!$A$2:$A$1509, "28/05/2025  09:45:00", Wednesday!$G$2:$G$1509)</f>
        <v>26.254167606064549</v>
      </c>
      <c r="E13" s="8">
        <f>AVERAGEIF(Thursday!$A$2:$A$1509, "29/05/2025  09:45:00", Thursday!$G$2:$G$1509)</f>
        <v>25.736287143939588</v>
      </c>
      <c r="F13" s="8">
        <f>AVERAGEIF(Friday!$A$2:$A$1509, "30/05/2025  09:45:00", Friday!$G$2:$G$1509)</f>
        <v>27.01862507740999</v>
      </c>
      <c r="G13" s="8">
        <f>AVERAGEIF(Saturday!$A$2:$A$1509, "31/05/2025  09:45:00", Saturday!$G$2:$G$1509)</f>
        <v>29.620376038430475</v>
      </c>
      <c r="H13" s="8">
        <f>AVERAGEIF(Sunday!$A$2:$A$1509, "01/06/2025  09:45:00", Sunday!$G$2:$G$1509)</f>
        <v>32.750293137230123</v>
      </c>
      <c r="I13" s="8">
        <f>(AVERAGE(TT_TTI_Delay!$B$4:$B$61)*60/(AVERAGE(TT_TTI_Delay!$C$4:$C$61)))</f>
        <v>35.776597889643114</v>
      </c>
      <c r="J13" s="8">
        <f t="shared" si="0"/>
        <v>26.101469669331788</v>
      </c>
      <c r="K13" s="8">
        <f t="shared" si="1"/>
        <v>31.185334587830297</v>
      </c>
    </row>
    <row r="14" spans="1:11" x14ac:dyDescent="0.25">
      <c r="A14" s="5">
        <v>0.41666666666666669</v>
      </c>
      <c r="B14" s="8">
        <f>AVERAGEIF(Monday!$A$2:$A$1509, "02/06/2025  10:00:00", Monday!$G$2:$G$1509)</f>
        <v>26.091605610026377</v>
      </c>
      <c r="C14" s="8">
        <f>AVERAGEIF(Tuesday!$A$2:$A$1509, "27/05/2025  10:00:00", Tuesday!$G$2:$G$1509)</f>
        <v>25.420632094171491</v>
      </c>
      <c r="D14" s="8">
        <f>AVERAGEIF(Wednesday!$A$2:$A$1509, "28/05/2025  10:00:00", Wednesday!$G$2:$G$1509)</f>
        <v>26.501093000123568</v>
      </c>
      <c r="E14" s="8">
        <f>AVERAGEIF(Thursday!$A$2:$A$1509, "29/05/2025  10:00:00", Thursday!$G$2:$G$1509)</f>
        <v>26.047752285942362</v>
      </c>
      <c r="F14" s="8">
        <f>AVERAGEIF(Friday!$A$2:$A$1509, "30/05/2025  10:00:00", Friday!$G$2:$G$1509)</f>
        <v>27.218218886126966</v>
      </c>
      <c r="G14" s="8">
        <f>AVERAGEIF(Saturday!$A$2:$A$1509, "31/05/2025  10:00:00", Saturday!$G$2:$G$1509)</f>
        <v>29.471927028703334</v>
      </c>
      <c r="H14" s="8">
        <f>AVERAGEIF(Sunday!$A$2:$A$1509, "01/06/2025  10:00:00", Sunday!$G$2:$G$1509)</f>
        <v>32.950955346060866</v>
      </c>
      <c r="I14" s="8">
        <f>(AVERAGE(TT_TTI_Delay!$B$4:$B$61)*60/(AVERAGE(TT_TTI_Delay!$C$4:$C$61)))</f>
        <v>35.776597889643114</v>
      </c>
      <c r="J14" s="8">
        <f t="shared" si="0"/>
        <v>26.255860375278154</v>
      </c>
      <c r="K14" s="8">
        <f t="shared" si="1"/>
        <v>31.2114411873821</v>
      </c>
    </row>
    <row r="15" spans="1:11" s="19" customFormat="1" x14ac:dyDescent="0.25">
      <c r="A15" s="18">
        <v>0.66666666666666663</v>
      </c>
      <c r="B15" s="8">
        <f>AVERAGEIF(Monday!$A$2:$A$1509, "02/06/2025  16:00:00", Monday!$G$2:$G$1509)</f>
        <v>25.531352599586292</v>
      </c>
      <c r="C15" s="8">
        <f>AVERAGEIF(Tuesday!$A$2:$A$1509, "27/05/2025  16:00:00", Tuesday!$G$2:$G$1509)</f>
        <v>26.354057561192796</v>
      </c>
      <c r="D15" s="8">
        <f>AVERAGEIF(Wednesday!$A$2:$A$1509, "28/05/2025  16:00:00", Wednesday!$G$2:$G$1509)</f>
        <v>25.584355331324293</v>
      </c>
      <c r="E15" s="8">
        <f>AVERAGEIF(Thursday!$A$2:$A$1509, "29/05/2025  16:00:00", Thursday!$G$2:$G$1509)</f>
        <v>25.366386744395324</v>
      </c>
      <c r="F15" s="20">
        <f>AVERAGEIF(Friday!$A$2:$A$1509, "30/05/2025  16:00:00", Friday!$G$2:$G$1509)</f>
        <v>24.48316786023085</v>
      </c>
      <c r="G15" s="20">
        <f>AVERAGEIF(Saturday!$A$2:$A$1509, "31/05/2025  16:00:00", Saturday!$G$2:$G$1509)</f>
        <v>28.401479098690938</v>
      </c>
      <c r="H15" s="8">
        <f>AVERAGEIF(Sunday!$A$2:$A$1509, "01/06/2025  16:00:00", Sunday!$G$2:$G$1509)</f>
        <v>31.620087722151538</v>
      </c>
      <c r="I15" s="8">
        <f>(AVERAGE(TT_TTI_Delay!$B$4:$B$61)*60/(AVERAGE(TT_TTI_Delay!$C$4:$C$61)))</f>
        <v>35.776597889643114</v>
      </c>
      <c r="J15" s="20">
        <f t="shared" si="0"/>
        <v>25.463864019345912</v>
      </c>
      <c r="K15" s="8">
        <f t="shared" si="1"/>
        <v>30.01078341042124</v>
      </c>
    </row>
    <row r="16" spans="1:11" x14ac:dyDescent="0.25">
      <c r="A16" s="5">
        <v>0.67708333333333337</v>
      </c>
      <c r="B16" s="8">
        <f>AVERAGEIF(Monday!$A$2:$A$1509, "02/06/2025  16:15:00", Monday!$G$2:$G$1509)</f>
        <v>24.815327693729159</v>
      </c>
      <c r="C16" s="8">
        <f>AVERAGEIF(Tuesday!$A$2:$A$1509, "27/05/2025  16:15:00", Tuesday!$G$2:$G$1509)</f>
        <v>26.082008241967127</v>
      </c>
      <c r="D16" s="8">
        <f>AVERAGEIF(Wednesday!$A$2:$A$1509, "28/05/2025  16:15:00", Wednesday!$G$2:$G$1509)</f>
        <v>25.530577277349391</v>
      </c>
      <c r="E16" s="8">
        <f>AVERAGEIF(Thursday!$A$2:$A$1509, "29/05/2025  16:15:00", Thursday!$G$2:$G$1509)</f>
        <v>25.259552889423645</v>
      </c>
      <c r="F16" s="8">
        <f>AVERAGEIF(Friday!$A$2:$A$1509, "30/05/2025  16:15:00", Friday!$G$2:$G$1509)</f>
        <v>24.70535862855008</v>
      </c>
      <c r="G16" s="8">
        <f>AVERAGEIF(Saturday!$A$2:$A$1509, "31/05/2025  16:15:00", Saturday!$G$2:$G$1509)</f>
        <v>28.124725972010587</v>
      </c>
      <c r="H16" s="8">
        <f>AVERAGEIF(Sunday!$A$2:$A$1509, "01/06/2025  16:15:00", Sunday!$G$2:$G$1509)</f>
        <v>31.338982449808597</v>
      </c>
      <c r="I16" s="8">
        <f>(AVERAGE(TT_TTI_Delay!$B$4:$B$61)*60/(AVERAGE(TT_TTI_Delay!$C$4:$C$61)))</f>
        <v>35.776597889643114</v>
      </c>
      <c r="J16" s="8">
        <f t="shared" si="0"/>
        <v>25.278564946203879</v>
      </c>
      <c r="K16" s="8">
        <f t="shared" si="1"/>
        <v>29.731854210909592</v>
      </c>
    </row>
    <row r="17" spans="1:11" x14ac:dyDescent="0.25">
      <c r="A17" s="5">
        <v>0.6875</v>
      </c>
      <c r="B17" s="8">
        <f>AVERAGEIF(Monday!$A$2:$A$1509, "02/06/2025  16:30:00", Monday!$G$2:$G$1509)</f>
        <v>24.906714213342173</v>
      </c>
      <c r="C17" s="8">
        <f>AVERAGEIF(Tuesday!$A$2:$A$1509, "27/05/2025  16:30:00", Tuesday!$G$2:$G$1509)</f>
        <v>25.746541019762084</v>
      </c>
      <c r="D17" s="8">
        <f>AVERAGEIF(Wednesday!$A$2:$A$1509, "28/05/2025  16:30:00", Wednesday!$G$2:$G$1509)</f>
        <v>25.360135883918662</v>
      </c>
      <c r="E17" s="8">
        <f>AVERAGEIF(Thursday!$A$2:$A$1509, "29/05/2025  16:30:00", Thursday!$G$2:$G$1509)</f>
        <v>24.771325755264169</v>
      </c>
      <c r="F17" s="8">
        <f>AVERAGEIF(Friday!$A$2:$A$1509, "30/05/2025  16:30:00", Friday!$G$2:$G$1509)</f>
        <v>24.69670011855494</v>
      </c>
      <c r="G17" s="8">
        <f>AVERAGEIF(Saturday!$A$2:$A$1509, "31/05/2025  16:30:00", Saturday!$G$2:$G$1509)</f>
        <v>27.993287955896257</v>
      </c>
      <c r="H17" s="8">
        <f>AVERAGEIF(Sunday!$A$2:$A$1509, "01/06/2025  16:30:00", Sunday!$G$2:$G$1509)</f>
        <v>30.88466638690884</v>
      </c>
      <c r="I17" s="8">
        <f>(AVERAGE(TT_TTI_Delay!$B$4:$B$61)*60/(AVERAGE(TT_TTI_Delay!$C$4:$C$61)))</f>
        <v>35.776597889643114</v>
      </c>
      <c r="J17" s="8">
        <f t="shared" si="0"/>
        <v>25.096283398168406</v>
      </c>
      <c r="K17" s="8">
        <f>AVERAGE(G17:H17)</f>
        <v>29.438977171402549</v>
      </c>
    </row>
    <row r="18" spans="1:11" x14ac:dyDescent="0.25">
      <c r="A18" s="5">
        <v>0.69791666666666663</v>
      </c>
      <c r="B18" s="8">
        <f>AVERAGEIF(Monday!$A$2:$A$1509, "02/06/2025  16:45:00", Monday!$G$2:$G$1509)</f>
        <v>24.210654846376841</v>
      </c>
      <c r="C18" s="8">
        <f>AVERAGEIF(Tuesday!$A$2:$A$1509, "27/05/2025  16:45:00", Tuesday!$G$2:$G$1509)</f>
        <v>25.518899352263631</v>
      </c>
      <c r="D18" s="8">
        <f>AVERAGEIF(Wednesday!$A$2:$A$1509, "28/05/2025  16:45:00", Wednesday!$G$2:$G$1509)</f>
        <v>24.931313553368391</v>
      </c>
      <c r="E18" s="8">
        <f>AVERAGEIF(Thursday!$A$2:$A$1509, "29/05/2025  16:45:00", Thursday!$G$2:$G$1509)</f>
        <v>24.163268246886698</v>
      </c>
      <c r="F18" s="8">
        <f>AVERAGEIF(Friday!$A$2:$A$1509, "30/05/2025  16:45:00", Friday!$G$2:$G$1509)</f>
        <v>24.401094709319956</v>
      </c>
      <c r="G18" s="8">
        <f>AVERAGEIF(Saturday!$A$2:$A$1509, "31/05/2025  16:45:00", Saturday!$G$2:$G$1509)</f>
        <v>27.998023388185587</v>
      </c>
      <c r="H18" s="8">
        <f>AVERAGEIF(Sunday!$A$2:$A$1509, "01/06/2025  16:45:00", Sunday!$G$2:$G$1509)</f>
        <v>31.058147104013706</v>
      </c>
      <c r="I18" s="8">
        <f>(AVERAGE(TT_TTI_Delay!$B$4:$B$61)*60/(AVERAGE(TT_TTI_Delay!$C$4:$C$61)))</f>
        <v>35.776597889643114</v>
      </c>
      <c r="J18" s="8">
        <f t="shared" si="0"/>
        <v>24.645046141643103</v>
      </c>
      <c r="K18" s="8">
        <f t="shared" si="1"/>
        <v>29.528085246099646</v>
      </c>
    </row>
    <row r="19" spans="1:11" x14ac:dyDescent="0.25">
      <c r="A19" s="5">
        <v>0.70833333333333337</v>
      </c>
      <c r="B19" s="8">
        <f>AVERAGEIF(Monday!$A$2:$A$1509, "02/06/2025  17:00:00", Monday!$G$2:$G$1509)</f>
        <v>23.886806289709515</v>
      </c>
      <c r="C19" s="8">
        <f>AVERAGEIF(Tuesday!$A$2:$A$1509, "27/05/2025  17:00:00", Tuesday!$G$2:$G$1509)</f>
        <v>25.418611540913123</v>
      </c>
      <c r="D19" s="8">
        <f>AVERAGEIF(Wednesday!$A$2:$A$1509, "28/05/2025  17:00:00", Wednesday!$G$2:$G$1509)</f>
        <v>25.078970566815368</v>
      </c>
      <c r="E19" s="8">
        <f>AVERAGEIF(Thursday!$A$2:$A$1509, "29/05/2025  17:00:00", Thursday!$G$2:$G$1509)</f>
        <v>23.911428375080984</v>
      </c>
      <c r="F19" s="8">
        <f>AVERAGEIF(Friday!$A$2:$A$1509, "30/05/2025  17:00:00", Friday!$G$2:$G$1509)</f>
        <v>23.99722689799162</v>
      </c>
      <c r="G19" s="8">
        <f>AVERAGEIF(Saturday!$A$2:$A$1509, "31/05/2025  17:00:00", Saturday!$G$2:$G$1509)</f>
        <v>28.205849632602913</v>
      </c>
      <c r="H19" s="8">
        <f>AVERAGEIF(Sunday!$A$2:$A$1509, "01/06/2025  17:00:00", Sunday!$G$2:$G$1509)</f>
        <v>31.055758605423293</v>
      </c>
      <c r="I19" s="8">
        <f>(AVERAGE(TT_TTI_Delay!$B$4:$B$61)*60/(AVERAGE(TT_TTI_Delay!$C$4:$C$61)))</f>
        <v>35.776597889643114</v>
      </c>
      <c r="J19" s="8">
        <f t="shared" si="0"/>
        <v>24.458608734102121</v>
      </c>
      <c r="K19" s="8">
        <f t="shared" si="1"/>
        <v>29.630804119013103</v>
      </c>
    </row>
    <row r="20" spans="1:11" x14ac:dyDescent="0.25">
      <c r="A20" s="5">
        <v>0.71875</v>
      </c>
      <c r="B20" s="8">
        <f>AVERAGEIF(Monday!$A$2:$A$1509, "02/06/2025  17:15:00", Monday!$G$2:$G$1509)</f>
        <v>24.528328401707508</v>
      </c>
      <c r="C20" s="8">
        <f>AVERAGEIF(Tuesday!$A$2:$A$1509, "27/05/2025  17:15:00", Tuesday!$G$2:$G$1509)</f>
        <v>24.73566832384142</v>
      </c>
      <c r="D20" s="8">
        <f>AVERAGEIF(Wednesday!$A$2:$A$1509, "28/05/2025  17:15:00", Wednesday!$G$2:$G$1509)</f>
        <v>24.79620284468362</v>
      </c>
      <c r="E20" s="8">
        <f>AVERAGEIF(Thursday!$A$2:$A$1509, "29/05/2025  17:15:00", Thursday!$G$2:$G$1509)</f>
        <v>24.210469440605682</v>
      </c>
      <c r="F20" s="8">
        <f>AVERAGEIF(Friday!$A$2:$A$1509, "30/05/2025  17:15:00", Friday!$G$2:$G$1509)</f>
        <v>24.393474579703554</v>
      </c>
      <c r="G20" s="8">
        <f>AVERAGEIF(Saturday!$A$2:$A$1509, "31/05/2025  17:15:00", Saturday!$G$2:$G$1509)</f>
        <v>28.052794245566439</v>
      </c>
      <c r="H20" s="8">
        <f>AVERAGEIF(Sunday!$A$2:$A$1509, "01/06/2025  17:15:00", Sunday!$G$2:$G$1509)</f>
        <v>30.974217081907153</v>
      </c>
      <c r="I20" s="8">
        <f>(AVERAGE(TT_TTI_Delay!$B$4:$B$61)*60/(AVERAGE(TT_TTI_Delay!$C$4:$C$61)))</f>
        <v>35.776597889643114</v>
      </c>
      <c r="J20" s="8">
        <f t="shared" si="0"/>
        <v>24.532828718108355</v>
      </c>
      <c r="K20" s="8">
        <f t="shared" si="1"/>
        <v>29.513505663736794</v>
      </c>
    </row>
    <row r="21" spans="1:11" x14ac:dyDescent="0.25">
      <c r="A21" s="5">
        <v>0.72916666666666663</v>
      </c>
      <c r="B21" s="8">
        <f>AVERAGEIF(Monday!$A$2:$A$1509, "02/06/2025  17:30:00", Monday!$G$2:$G$1509)</f>
        <v>25.426486705126077</v>
      </c>
      <c r="C21" s="8">
        <f>AVERAGEIF(Tuesday!$A$2:$A$1509, "27/05/2025  17:30:00", Tuesday!$G$2:$G$1509)</f>
        <v>25.378191279227959</v>
      </c>
      <c r="D21" s="8">
        <f>AVERAGEIF(Wednesday!$A$2:$A$1509, "28/05/2025  17:30:00", Wednesday!$G$2:$G$1509)</f>
        <v>24.350298103816925</v>
      </c>
      <c r="E21" s="8">
        <f>AVERAGEIF(Thursday!$A$2:$A$1509, "29/05/2025  17:30:00", Thursday!$G$2:$G$1509)</f>
        <v>25.12800348705089</v>
      </c>
      <c r="F21" s="8">
        <f>AVERAGEIF(Friday!$A$2:$A$1509, "30/05/2025  17:30:00", Friday!$G$2:$G$1509)</f>
        <v>24.535602560913063</v>
      </c>
      <c r="G21" s="8">
        <f>AVERAGEIF(Saturday!$A$2:$A$1509, "31/05/2025  17:30:00", Saturday!$G$2:$G$1509)</f>
        <v>28.186949280373991</v>
      </c>
      <c r="H21" s="8">
        <f>AVERAGEIF(Sunday!$A$2:$A$1509, "01/06/2025  17:30:00", Sunday!$G$2:$G$1509)</f>
        <v>30.711072320517925</v>
      </c>
      <c r="I21" s="8">
        <f>(AVERAGE(TT_TTI_Delay!$B$4:$B$61)*60/(AVERAGE(TT_TTI_Delay!$C$4:$C$61)))</f>
        <v>35.776597889643114</v>
      </c>
      <c r="J21" s="8">
        <f t="shared" si="0"/>
        <v>24.963716427226984</v>
      </c>
      <c r="K21" s="8">
        <f t="shared" si="1"/>
        <v>29.449010800445958</v>
      </c>
    </row>
    <row r="22" spans="1:11" x14ac:dyDescent="0.25">
      <c r="A22" s="5">
        <v>0.73958333333333337</v>
      </c>
      <c r="B22" s="8">
        <f>AVERAGEIF(Monday!$A$2:$A$1509, "02/06/2025  17:45:00", Monday!$G$2:$G$1509)</f>
        <v>23.393729549739994</v>
      </c>
      <c r="C22" s="8">
        <f>AVERAGEIF(Tuesday!$A$2:$A$1509, "27/05/2025  17:45:00", Tuesday!$G$2:$G$1509)</f>
        <v>23.379738778631403</v>
      </c>
      <c r="D22" s="8">
        <f>AVERAGEIF(Wednesday!$A$2:$A$1509, "28/05/2025  17:45:00", Wednesday!$G$2:$G$1509)</f>
        <v>23.606226439830159</v>
      </c>
      <c r="E22" s="8">
        <f>AVERAGEIF(Thursday!$A$2:$A$1509, "29/05/2025  17:45:00", Thursday!$G$2:$G$1509)</f>
        <v>23.504598671014683</v>
      </c>
      <c r="F22" s="8">
        <f>AVERAGEIF(Friday!$A$2:$A$1509, "30/05/2025  17:45:00", Friday!$G$2:$G$1509)</f>
        <v>23.397707997898525</v>
      </c>
      <c r="G22" s="8">
        <f>AVERAGEIF(Saturday!$A$2:$A$1509, "31/05/2025  17:45:00", Saturday!$G$2:$G$1509)</f>
        <v>27.912620747983404</v>
      </c>
      <c r="H22" s="8">
        <f>AVERAGEIF(Sunday!$A$2:$A$1509, "01/06/2025  17:45:00", Sunday!$G$2:$G$1509)</f>
        <v>30.611900834795208</v>
      </c>
      <c r="I22" s="8">
        <f>(AVERAGE(TT_TTI_Delay!$B$4:$B$61)*60/(AVERAGE(TT_TTI_Delay!$C$4:$C$61)))</f>
        <v>35.776597889643114</v>
      </c>
      <c r="J22" s="8">
        <f t="shared" si="0"/>
        <v>23.456400287422952</v>
      </c>
      <c r="K22" s="8">
        <f t="shared" si="1"/>
        <v>29.262260791389306</v>
      </c>
    </row>
    <row r="23" spans="1:11" x14ac:dyDescent="0.25">
      <c r="A23" s="5">
        <v>0.75</v>
      </c>
      <c r="B23" s="8">
        <f>AVERAGEIF(Monday!$A$2:$A$1509, "02/06/2025  18:00:00", Monday!$G$2:$G$1509)</f>
        <v>20.716334149558801</v>
      </c>
      <c r="C23" s="8">
        <f>AVERAGEIF(Tuesday!$A$2:$A$1509, "27/05/2025  18:00:00", Tuesday!$G$2:$G$1509)</f>
        <v>21.305148273392579</v>
      </c>
      <c r="D23" s="8">
        <f>AVERAGEIF(Wednesday!$A$2:$A$1509, "28/05/2025  18:00:00", Wednesday!$G$2:$G$1509)</f>
        <v>21.501346111147736</v>
      </c>
      <c r="E23" s="8">
        <f>AVERAGEIF(Thursday!$A$2:$A$1509, "29/05/2025  18:00:00", Thursday!$G$2:$G$1509)</f>
        <v>21.019063027075134</v>
      </c>
      <c r="F23" s="8">
        <f>AVERAGEIF(Friday!$A$2:$A$1509, "30/05/2025  18:00:00", Friday!$G$2:$G$1509)</f>
        <v>21.675811651764576</v>
      </c>
      <c r="G23" s="8">
        <f>AVERAGEIF(Saturday!$A$2:$A$1509, "31/05/2025  18:00:00", Saturday!$G$2:$G$1509)</f>
        <v>27.521831616176719</v>
      </c>
      <c r="H23" s="8">
        <f>AVERAGEIF(Sunday!$A$2:$A$1509, "01/06/2025  18:00:00", Sunday!$G$2:$G$1509)</f>
        <v>29.788497196092756</v>
      </c>
      <c r="I23" s="8">
        <f>(AVERAGE(TT_TTI_Delay!$B$4:$B$61)*60/(AVERAGE(TT_TTI_Delay!$C$4:$C$61)))</f>
        <v>35.776597889643114</v>
      </c>
      <c r="J23" s="8">
        <f t="shared" si="0"/>
        <v>21.243540642587767</v>
      </c>
      <c r="K23" s="8">
        <f t="shared" si="1"/>
        <v>28.655164406134737</v>
      </c>
    </row>
    <row r="24" spans="1:11" x14ac:dyDescent="0.25">
      <c r="A24" s="5">
        <v>0.76041666666666663</v>
      </c>
      <c r="B24" s="8">
        <f>AVERAGEIF(Monday!$A$2:$A$1509, "02/06/2025  18:15:00", Monday!$G$2:$G$1509)</f>
        <v>20.760907491995951</v>
      </c>
      <c r="C24" s="8">
        <f>AVERAGEIF(Tuesday!$A$2:$A$1509, "27/05/2025  18:15:00", Tuesday!$G$2:$G$1509)</f>
        <v>21.2933640136193</v>
      </c>
      <c r="D24" s="8">
        <f>AVERAGEIF(Wednesday!$A$2:$A$1509, "28/05/2025  18:15:00", Wednesday!$G$2:$G$1509)</f>
        <v>21.306702869941446</v>
      </c>
      <c r="E24" s="8">
        <f>AVERAGEIF(Thursday!$A$2:$A$1509, "29/05/2025  18:15:00", Thursday!$G$2:$G$1509)</f>
        <v>20.989922291357889</v>
      </c>
      <c r="F24" s="8">
        <f>AVERAGEIF(Friday!$A$2:$A$1509, "30/05/2025  18:15:00", Friday!$G$2:$G$1509)</f>
        <v>20.988953415303257</v>
      </c>
      <c r="G24" s="8">
        <f>AVERAGEIF(Saturday!$A$2:$A$1509, "31/05/2025  18:15:00", Saturday!$G$2:$G$1509)</f>
        <v>26.988806271426739</v>
      </c>
      <c r="H24" s="8">
        <f>AVERAGEIF(Sunday!$A$2:$A$1509, "01/06/2025  18:15:00", Sunday!$G$2:$G$1509)</f>
        <v>29.855758771063311</v>
      </c>
      <c r="I24" s="8">
        <f>(AVERAGE(TT_TTI_Delay!$B$4:$B$61)*60/(AVERAGE(TT_TTI_Delay!$C$4:$C$61)))</f>
        <v>35.776597889643114</v>
      </c>
      <c r="J24" s="8">
        <f t="shared" si="0"/>
        <v>21.067970016443567</v>
      </c>
      <c r="K24" s="8">
        <f t="shared" si="1"/>
        <v>28.422282521245023</v>
      </c>
    </row>
    <row r="25" spans="1:11" x14ac:dyDescent="0.25">
      <c r="A25" s="5">
        <v>0.77083333333333337</v>
      </c>
      <c r="B25" s="8">
        <f>AVERAGEIF(Monday!$A$2:$A$1509, "02/06/2025  18:30:00", Monday!$G$2:$G$1509)</f>
        <v>21.949023289563506</v>
      </c>
      <c r="C25" s="8">
        <f>AVERAGEIF(Tuesday!$A$2:$A$1509, "27/05/2025  18:30:00", Tuesday!$G$2:$G$1509)</f>
        <v>22.056837560167573</v>
      </c>
      <c r="D25" s="8">
        <f>AVERAGEIF(Wednesday!$A$2:$A$1509, "28/05/2025  18:30:00", Wednesday!$G$2:$G$1509)</f>
        <v>22.454493110521248</v>
      </c>
      <c r="E25" s="8">
        <f>AVERAGEIF(Thursday!$A$2:$A$1509, "29/05/2025  18:30:00", Thursday!$G$2:$G$1509)</f>
        <v>22.405699958208299</v>
      </c>
      <c r="F25" s="8">
        <f>AVERAGEIF(Friday!$A$2:$A$1509, "30/05/2025  18:30:00", Friday!$G$2:$G$1509)</f>
        <v>21.820876783542339</v>
      </c>
      <c r="G25" s="8">
        <f>AVERAGEIF(Saturday!$A$2:$A$1509, "31/05/2025  18:30:00", Saturday!$G$2:$G$1509)</f>
        <v>27.013210788280716</v>
      </c>
      <c r="H25" s="8">
        <f>AVERAGEIF(Sunday!$A$2:$A$1509, "01/06/2025  18:30:00", Sunday!$G$2:$G$1509)</f>
        <v>30.070983304386282</v>
      </c>
      <c r="I25" s="8">
        <f>(AVERAGE(TT_TTI_Delay!$B$4:$B$61)*60/(AVERAGE(TT_TTI_Delay!$C$4:$C$61)))</f>
        <v>35.776597889643114</v>
      </c>
      <c r="J25" s="8">
        <f t="shared" si="0"/>
        <v>22.137386140400594</v>
      </c>
      <c r="K25" s="8">
        <f t="shared" si="1"/>
        <v>28.542097046333499</v>
      </c>
    </row>
    <row r="26" spans="1:11" x14ac:dyDescent="0.25">
      <c r="A26" s="5">
        <v>0.78125</v>
      </c>
      <c r="B26" s="8">
        <f>AVERAGEIF(Monday!$A$2:$A$1509, "02/06/2025  18:45:00", Monday!$G$2:$G$1509)</f>
        <v>22.977592286435872</v>
      </c>
      <c r="C26" s="8">
        <f>AVERAGEIF(Tuesday!$A$2:$A$1509, "27/05/2025  18:45:00", Tuesday!$G$2:$G$1509)</f>
        <v>23.658346356023987</v>
      </c>
      <c r="D26" s="8">
        <f>AVERAGEIF(Wednesday!$A$2:$A$1509, "28/05/2025  18:45:00", Wednesday!$G$2:$G$1509)</f>
        <v>23.229341203555091</v>
      </c>
      <c r="E26" s="8">
        <f>AVERAGEIF(Thursday!$A$2:$A$1509, "29/05/2025  18:45:00", Thursday!$G$2:$G$1509)</f>
        <v>23.074986517638891</v>
      </c>
      <c r="F26" s="8">
        <f>AVERAGEIF(Friday!$A$2:$A$1509, "30/05/2025  18:45:00", Friday!$G$2:$G$1509)</f>
        <v>23.307873580865397</v>
      </c>
      <c r="G26" s="8">
        <f>AVERAGEIF(Saturday!$A$2:$A$1509, "31/05/2025  18:45:00", Saturday!$G$2:$G$1509)</f>
        <v>27.365287541915936</v>
      </c>
      <c r="H26" s="8">
        <f>AVERAGEIF(Sunday!$A$2:$A$1509, "01/06/2025  18:45:00", Sunday!$G$2:$G$1509)</f>
        <v>30.003870016304266</v>
      </c>
      <c r="I26" s="8">
        <f>(AVERAGE(TT_TTI_Delay!$B$4:$B$61)*60/(AVERAGE(TT_TTI_Delay!$C$4:$C$61)))</f>
        <v>35.776597889643114</v>
      </c>
      <c r="J26" s="8">
        <f t="shared" si="0"/>
        <v>23.249627988903846</v>
      </c>
      <c r="K26" s="8">
        <f t="shared" si="1"/>
        <v>28.684578779110101</v>
      </c>
    </row>
    <row r="27" spans="1:11" x14ac:dyDescent="0.25">
      <c r="A27" s="5">
        <v>0.79166666666666663</v>
      </c>
      <c r="B27" s="8">
        <f>AVERAGEIF(Monday!$A$2:$A$1509, "02/06/2025  19:00:00", Monday!$G$2:$G$1509)</f>
        <v>23.307477512298671</v>
      </c>
      <c r="C27" s="8">
        <f>AVERAGEIF(Tuesday!$A$2:$A$1509, "27/05/2025  19:00:00", Tuesday!$G$2:$G$1509)</f>
        <v>24.740661774282135</v>
      </c>
      <c r="D27" s="8">
        <f>AVERAGEIF(Wednesday!$A$2:$A$1509, "28/05/2025  19:00:00", Wednesday!$G$2:$G$1509)</f>
        <v>24.349836221827875</v>
      </c>
      <c r="E27" s="8">
        <f>AVERAGEIF(Thursday!$A$2:$A$1509, "29/05/2025  19:00:00", Thursday!$G$2:$G$1509)</f>
        <v>24.005478644028134</v>
      </c>
      <c r="F27" s="8">
        <f>AVERAGEIF(Friday!$A$2:$A$1509, "30/05/2025  19:00:00", Friday!$G$2:$G$1509)</f>
        <v>24.166338919468991</v>
      </c>
      <c r="G27" s="8">
        <f>AVERAGEIF(Saturday!$A$2:$A$1509, "31/05/2025  19:00:00", Saturday!$G$2:$G$1509)</f>
        <v>27.298911629422932</v>
      </c>
      <c r="H27" s="8">
        <f>AVERAGEIF(Sunday!$A$2:$A$1509, "01/06/2025  19:00:00", Sunday!$G$2:$G$1509)</f>
        <v>30.011400344859361</v>
      </c>
      <c r="I27" s="8">
        <f>(AVERAGE(TT_TTI_Delay!$B$4:$B$61)*60/(AVERAGE(TT_TTI_Delay!$C$4:$C$61)))</f>
        <v>35.776597889643114</v>
      </c>
      <c r="J27" s="8">
        <f t="shared" si="0"/>
        <v>24.113958614381158</v>
      </c>
      <c r="K27" s="8">
        <f t="shared" si="1"/>
        <v>28.655155987141146</v>
      </c>
    </row>
    <row r="28" spans="1:11" x14ac:dyDescent="0.25">
      <c r="B28" s="8">
        <f t="shared" ref="B28:H28" si="2">AVERAGE(B2:B14,B15:B27)</f>
        <v>25.541272159671141</v>
      </c>
      <c r="C28" s="8">
        <f t="shared" si="2"/>
        <v>25.890149847302698</v>
      </c>
      <c r="D28" s="8">
        <f t="shared" si="2"/>
        <v>26.033789792289323</v>
      </c>
      <c r="E28" s="8">
        <f t="shared" si="2"/>
        <v>25.723221610475782</v>
      </c>
      <c r="F28" s="8">
        <f t="shared" si="2"/>
        <v>25.845440794041636</v>
      </c>
      <c r="G28" s="8">
        <f t="shared" si="2"/>
        <v>29.735881945044202</v>
      </c>
      <c r="H28" s="8">
        <f t="shared" si="2"/>
        <v>32.468788751098757</v>
      </c>
      <c r="I28" s="8"/>
      <c r="J28" s="8">
        <f>AVERAGE(J2:J14,J15:J27)</f>
        <v>25.80677484075612</v>
      </c>
      <c r="K28" s="8">
        <f>AVERAGE(K2:K14,K15:K27)</f>
        <v>31.102335348071481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5"/>
  <sheetViews>
    <sheetView workbookViewId="0">
      <selection activeCell="K3" sqref="K3"/>
    </sheetView>
  </sheetViews>
  <sheetFormatPr defaultRowHeight="15" x14ac:dyDescent="0.25"/>
  <cols>
    <col min="1" max="1" width="8.42578125" style="33" customWidth="1"/>
    <col min="2" max="2" width="12.7109375" style="32" customWidth="1"/>
    <col min="3" max="3" width="7.85546875" style="26" customWidth="1"/>
    <col min="4" max="4" width="7.7109375" style="22" customWidth="1"/>
    <col min="5" max="5" width="7" style="23" customWidth="1"/>
    <col min="6" max="6" width="7.42578125" style="23" customWidth="1"/>
    <col min="7" max="7" width="8" style="23" customWidth="1"/>
    <col min="8" max="8" width="7.5703125" style="23" customWidth="1"/>
    <col min="9" max="9" width="7.85546875" style="23" customWidth="1"/>
    <col min="10" max="10" width="7.7109375" style="23" customWidth="1"/>
    <col min="11" max="11" width="8.140625" style="23" customWidth="1"/>
    <col min="12" max="12" width="7.85546875" style="23" customWidth="1"/>
    <col min="13" max="13" width="8" style="23" customWidth="1"/>
    <col min="14" max="14" width="8" style="24" customWidth="1"/>
    <col min="15" max="15" width="8.140625" style="24" customWidth="1"/>
    <col min="16" max="16" width="7.42578125" style="24" customWidth="1"/>
    <col min="17" max="17" width="10.42578125" style="36" customWidth="1"/>
    <col min="18" max="18" width="10.85546875" customWidth="1"/>
    <col min="19" max="19" width="8.85546875" style="36" customWidth="1"/>
    <col min="20" max="20" width="10.28515625" customWidth="1"/>
    <col min="21" max="21" width="9" style="36" customWidth="1"/>
    <col min="22" max="22" width="10.28515625" customWidth="1"/>
    <col min="23" max="23" width="8.140625" style="36" customWidth="1"/>
    <col min="24" max="26" width="9.85546875" customWidth="1"/>
    <col min="29" max="29" width="10.85546875" customWidth="1"/>
  </cols>
  <sheetData>
    <row r="1" spans="1:29" s="25" customFormat="1" x14ac:dyDescent="0.25">
      <c r="A1" s="105" t="s">
        <v>1</v>
      </c>
      <c r="B1" s="103" t="s">
        <v>4</v>
      </c>
      <c r="C1" s="108" t="s">
        <v>78</v>
      </c>
      <c r="D1" s="108"/>
      <c r="E1" s="109" t="s">
        <v>77</v>
      </c>
      <c r="F1" s="109"/>
      <c r="G1" s="101" t="s">
        <v>79</v>
      </c>
      <c r="H1" s="102"/>
      <c r="I1" s="101" t="s">
        <v>76</v>
      </c>
      <c r="J1" s="102"/>
      <c r="K1" s="101" t="s">
        <v>80</v>
      </c>
      <c r="L1" s="102"/>
      <c r="M1" s="101" t="s">
        <v>81</v>
      </c>
      <c r="N1" s="102"/>
      <c r="O1" s="101" t="s">
        <v>82</v>
      </c>
      <c r="P1" s="102"/>
      <c r="Q1" s="101" t="s">
        <v>85</v>
      </c>
      <c r="R1" s="107"/>
      <c r="S1" s="107"/>
      <c r="T1" s="102"/>
      <c r="U1" s="101" t="s">
        <v>86</v>
      </c>
      <c r="V1" s="107"/>
      <c r="W1" s="107"/>
      <c r="X1" s="102"/>
      <c r="Y1" s="98" t="s">
        <v>93</v>
      </c>
      <c r="Z1" s="99"/>
      <c r="AA1" s="99"/>
      <c r="AB1" s="99"/>
      <c r="AC1" s="100"/>
    </row>
    <row r="2" spans="1:29" s="25" customFormat="1" x14ac:dyDescent="0.25">
      <c r="A2" s="106"/>
      <c r="B2" s="104"/>
      <c r="C2" s="31" t="s">
        <v>87</v>
      </c>
      <c r="D2" s="28" t="s">
        <v>88</v>
      </c>
      <c r="E2" s="27" t="s">
        <v>87</v>
      </c>
      <c r="F2" s="27" t="s">
        <v>88</v>
      </c>
      <c r="G2" s="27" t="s">
        <v>87</v>
      </c>
      <c r="H2" s="27" t="s">
        <v>88</v>
      </c>
      <c r="I2" s="27" t="s">
        <v>87</v>
      </c>
      <c r="J2" s="27" t="s">
        <v>88</v>
      </c>
      <c r="K2" s="27" t="s">
        <v>87</v>
      </c>
      <c r="L2" s="27" t="s">
        <v>88</v>
      </c>
      <c r="M2" s="27" t="s">
        <v>87</v>
      </c>
      <c r="N2" s="27" t="s">
        <v>88</v>
      </c>
      <c r="O2" s="27" t="s">
        <v>87</v>
      </c>
      <c r="P2" s="27" t="s">
        <v>88</v>
      </c>
      <c r="Q2" s="112" t="s">
        <v>87</v>
      </c>
      <c r="R2" s="113"/>
      <c r="S2" s="34" t="s">
        <v>88</v>
      </c>
      <c r="T2" s="27" t="s">
        <v>88</v>
      </c>
      <c r="U2" s="112" t="s">
        <v>87</v>
      </c>
      <c r="V2" s="113"/>
      <c r="W2" s="112" t="s">
        <v>88</v>
      </c>
      <c r="X2" s="113"/>
      <c r="Y2" s="25" t="s">
        <v>100</v>
      </c>
      <c r="AA2" s="25" t="s">
        <v>101</v>
      </c>
      <c r="AB2" s="98" t="s">
        <v>110</v>
      </c>
      <c r="AC2" s="100"/>
    </row>
    <row r="3" spans="1:29" x14ac:dyDescent="0.25">
      <c r="A3" s="33">
        <v>1</v>
      </c>
      <c r="B3">
        <v>1.53</v>
      </c>
      <c r="C3" s="30">
        <f>AVERAGEIF(Monday!$B$2:$B$755, Monday!B2, Monday!$G$2:$G$755)</f>
        <v>30.651396091136334</v>
      </c>
      <c r="D3" s="30">
        <f>AVERAGEIF(Monday!$B$756:$B$1509, Monday!B2, Monday!$G$756:$G$1509)</f>
        <v>26.306036467453744</v>
      </c>
      <c r="E3" s="30">
        <f>AVERAGEIF(Tuesday!$B$2:$B$755, Tuesday!B2, Tuesday!$G$2:$G$755)</f>
        <v>30.199565689279193</v>
      </c>
      <c r="F3" s="30">
        <f>AVERAGEIF(Tuesday!$B$756:$B$1509, Tuesday!B2, Tuesday!$G$756:$G$1509)</f>
        <v>26.545610804486557</v>
      </c>
      <c r="G3" s="30">
        <f>AVERAGEIF(Wednesday!$B$2:$B$755, Wednesday!B2, Wednesday!$G$2:$G$755)</f>
        <v>30.642896049330538</v>
      </c>
      <c r="H3" s="30">
        <f>AVERAGEIF(Wednesday!$B$756:$B$1509, Wednesday!B2, Wednesday!$G$756:$G$1509)</f>
        <v>27.455504012552442</v>
      </c>
      <c r="I3" s="30">
        <f>AVERAGEIF(Thursday!$B$2:$B$755, Thursday!B2, Thursday!$G$2:$G$755)</f>
        <v>29.812406214108965</v>
      </c>
      <c r="J3" s="30">
        <f>AVERAGEIF(Thursday!$B$756:$B$1509, Thursday!B2, Thursday!$G$756:$G$1509)</f>
        <v>26.847635219597763</v>
      </c>
      <c r="K3" s="30">
        <f>AVERAGEIF(Friday!$B$2:$B$755, Friday!B2, Friday!$G$2:$G$755)</f>
        <v>29.73457629744015</v>
      </c>
      <c r="L3" s="30">
        <f>AVERAGEIF(Friday!$B$756:$B$1509, Friday!B2, Friday!$G$756:$G$1509)</f>
        <v>26.4856012170345</v>
      </c>
      <c r="M3" s="30">
        <f>AVERAGEIF(Saturday!$B$2:$B$755, Saturday!B2, Saturday!$G$2:$G$755)</f>
        <v>31.660214004264635</v>
      </c>
      <c r="N3" s="30">
        <f>AVERAGEIF(Saturday!$B$756:$B$1509, Saturday!B2, Saturday!$G$756:$G$1509)</f>
        <v>29.82413953429619</v>
      </c>
      <c r="O3" s="30">
        <f>AVERAGEIF(Sunday!$B$2:$B$755, Sunday!B2, Sunday!$G$2:$G$755)</f>
        <v>33.206230186098388</v>
      </c>
      <c r="P3" s="30">
        <f>AVERAGEIF(Sunday!$B$756:$B$1509, Sunday!B2, Sunday!$G$756:$G$1509)</f>
        <v>31.164644945557377</v>
      </c>
      <c r="Q3" s="35">
        <f>AVERAGE(C3,E3,G3,I3,K3)</f>
        <v>30.208168068259038</v>
      </c>
      <c r="R3" s="30" t="str">
        <f>IF(Q3&gt;36,"Free Flow",IF(Q3&gt;=20,"Moderate","Heavy"))</f>
        <v>Moderate</v>
      </c>
      <c r="S3" s="35">
        <f>AVERAGE(D3,F3,H3,J3,L3)</f>
        <v>26.728077544225005</v>
      </c>
      <c r="T3" s="30" t="str">
        <f t="shared" ref="T3:T34" si="0">IF(S3&gt;36,"Free Flow",IF(S3&gt;=20,"Moderate","Heavy"))</f>
        <v>Moderate</v>
      </c>
      <c r="U3" s="35">
        <f>AVERAGE(M3,O3)</f>
        <v>32.433222095181513</v>
      </c>
      <c r="V3" s="29" t="str">
        <f>IF(U3&gt;36,"Free Flow",IF(U3&gt;=20,"Moderate","Heavy"))</f>
        <v>Moderate</v>
      </c>
      <c r="W3" s="35">
        <f t="shared" ref="W3:W34" si="1">AVERAGE(N3,P3)</f>
        <v>30.494392239926782</v>
      </c>
      <c r="X3" s="29" t="str">
        <f>IF(W3&gt;36,"Free Flow",IF(W3&gt;=20,"Moderate","Heavy"))</f>
        <v>Moderate</v>
      </c>
      <c r="Y3" s="30">
        <f t="shared" ref="Y3:Y34" si="2">AVERAGE(Q3,U3)</f>
        <v>31.320695081720274</v>
      </c>
      <c r="Z3" s="30"/>
      <c r="AA3" s="30">
        <f t="shared" ref="AA3:AA34" si="3">AVERAGE(S3,W3)</f>
        <v>28.611234892075892</v>
      </c>
      <c r="AB3" s="8">
        <f>AVERAGE(Q3,S3,U3,W3)</f>
        <v>29.965964986898086</v>
      </c>
      <c r="AC3" t="str">
        <f>IF(AB3&gt;40,"Free Flow",IF(AB3&gt;=20,"Moderate","Heavy"))</f>
        <v>Moderate</v>
      </c>
    </row>
    <row r="4" spans="1:29" s="23" customFormat="1" x14ac:dyDescent="0.25">
      <c r="A4" s="41">
        <v>2</v>
      </c>
      <c r="B4" s="23">
        <v>1.57</v>
      </c>
      <c r="C4" s="22">
        <f>AVERAGEIF(Monday!$B$2:$B$755, Monday!B3, Monday!$G$2:$G$755)</f>
        <v>19.835245566198793</v>
      </c>
      <c r="D4" s="22">
        <f>AVERAGEIF(Monday!$B$756:$B$1509, Monday!B3, Monday!$G$756:$G$1509)</f>
        <v>14.693277272720499</v>
      </c>
      <c r="E4" s="22">
        <f>AVERAGEIF(Tuesday!$B$2:$B$755, Tuesday!B3, Tuesday!$G$2:$G$755)</f>
        <v>20.368139695594632</v>
      </c>
      <c r="F4" s="22">
        <f>AVERAGEIF(Tuesday!$B$756:$B$1509, Tuesday!B3, Tuesday!$G$756:$G$1509)</f>
        <v>14.974080220825945</v>
      </c>
      <c r="G4" s="22">
        <f>AVERAGEIF(Wednesday!$B$2:$B$755, Wednesday!B3, Wednesday!$G$2:$G$755)</f>
        <v>19.963238635083883</v>
      </c>
      <c r="H4" s="22">
        <f>AVERAGEIF(Wednesday!$B$756:$B$1509, Wednesday!B3, Wednesday!$G$756:$G$1509)</f>
        <v>15.713638085474726</v>
      </c>
      <c r="I4" s="22">
        <f>AVERAGEIF(Thursday!$B$2:$B$755, Thursday!B3, Thursday!$G$2:$G$755)</f>
        <v>20.071377929688079</v>
      </c>
      <c r="J4" s="22">
        <f>AVERAGEIF(Thursday!$B$756:$B$1509, Thursday!B3, Thursday!$G$756:$G$1509)</f>
        <v>15.9622830656979</v>
      </c>
      <c r="K4" s="22">
        <f>AVERAGEIF(Friday!$B$2:$B$755, Friday!B3, Friday!$G$2:$G$755)</f>
        <v>19.559577084268938</v>
      </c>
      <c r="L4" s="22">
        <f>AVERAGEIF(Friday!$B$756:$B$1509, Friday!B3, Friday!$G$756:$G$1509)</f>
        <v>15.014761724009528</v>
      </c>
      <c r="M4" s="22">
        <f>AVERAGEIF(Saturday!$B$2:$B$755, Saturday!B3, Saturday!$G$2:$G$755)</f>
        <v>22.339376123639276</v>
      </c>
      <c r="N4" s="22">
        <f>AVERAGEIF(Saturday!$B$756:$B$1509, Saturday!B3, Saturday!$G$756:$G$1509)</f>
        <v>19.471772786827209</v>
      </c>
      <c r="O4" s="22">
        <f>AVERAGEIF(Sunday!$B$2:$B$755, Sunday!B3, Sunday!$G$2:$G$755)</f>
        <v>24.62538324038659</v>
      </c>
      <c r="P4" s="22">
        <f>AVERAGEIF(Sunday!$B$756:$B$1509, Sunday!B3, Sunday!$G$756:$G$1509)</f>
        <v>22.346496000204812</v>
      </c>
      <c r="Q4" s="22">
        <f>AVERAGE(C4,E4,G4,I4,K4)</f>
        <v>19.959515782166868</v>
      </c>
      <c r="R4" s="30" t="str">
        <f t="shared" ref="R4:R61" si="4">IF(Q4&gt;36,"Free Flow",IF(Q4&gt;=20,"Moderate","Heavy"))</f>
        <v>Heavy</v>
      </c>
      <c r="S4" s="22">
        <f>AVERAGE(D4,F4,H4,J4,L4)</f>
        <v>15.271608073745719</v>
      </c>
      <c r="T4" s="30" t="str">
        <f t="shared" si="0"/>
        <v>Heavy</v>
      </c>
      <c r="U4" s="22">
        <f t="shared" ref="U4:U34" si="5">AVERAGE(M4,O4)</f>
        <v>23.482379682012933</v>
      </c>
      <c r="V4" s="29" t="str">
        <f>IF(U4&gt;36,"Free Flow",IF(U4&gt;=20,"Moderate","Heavy"))</f>
        <v>Moderate</v>
      </c>
      <c r="W4" s="22">
        <f t="shared" si="1"/>
        <v>20.909134393516013</v>
      </c>
      <c r="X4" s="29" t="str">
        <f t="shared" ref="X4:X61" si="6">IF(W4&gt;36,"Free Flow",IF(W4&gt;=20,"Moderate","Heavy"))</f>
        <v>Moderate</v>
      </c>
      <c r="Y4" s="30">
        <f t="shared" si="2"/>
        <v>21.7209477320899</v>
      </c>
      <c r="Z4" s="30"/>
      <c r="AA4" s="30">
        <f t="shared" si="3"/>
        <v>18.090371233630865</v>
      </c>
      <c r="AB4" s="8">
        <f t="shared" ref="AB4:AB61" si="7">AVERAGE(Q4,S4,U4,W4)</f>
        <v>19.905659482860383</v>
      </c>
      <c r="AC4" s="23" t="str">
        <f>IF(AB4&gt;40,"Free Flow",IF(AB4&gt;=20,"Moderate","Heavy"))</f>
        <v>Heavy</v>
      </c>
    </row>
    <row r="5" spans="1:29" x14ac:dyDescent="0.25">
      <c r="A5" s="33">
        <v>3</v>
      </c>
      <c r="B5">
        <v>1.5</v>
      </c>
      <c r="C5" s="30">
        <f>AVERAGEIF(Monday!$B$2:$B$755, Monday!B4, Monday!$G$2:$G$755)</f>
        <v>30.867703465011004</v>
      </c>
      <c r="D5" s="30">
        <f>AVERAGEIF(Monday!$B$756:$B$1509, Monday!B4, Monday!$G$756:$G$1509)</f>
        <v>25.020003329068722</v>
      </c>
      <c r="E5" s="30">
        <f>AVERAGEIF(Tuesday!$B$2:$B$755, Tuesday!B4, Tuesday!$G$2:$G$755)</f>
        <v>30.332523541320214</v>
      </c>
      <c r="F5" s="30">
        <f>AVERAGEIF(Tuesday!$B$756:$B$1509, Tuesday!B4, Tuesday!$G$756:$G$1509)</f>
        <v>25.628965655824757</v>
      </c>
      <c r="G5" s="30">
        <f>AVERAGEIF(Wednesday!$B$2:$B$755, Wednesday!B4, Wednesday!$G$2:$G$755)</f>
        <v>30.713029721602002</v>
      </c>
      <c r="H5" s="30">
        <f>AVERAGEIF(Wednesday!$B$756:$B$1509, Wednesday!B4, Wednesday!$G$756:$G$1509)</f>
        <v>25.567932879600122</v>
      </c>
      <c r="I5" s="30">
        <f>AVERAGEIF(Thursday!$B$2:$B$755, Thursday!B4, Thursday!$G$2:$G$755)</f>
        <v>30.495256964375791</v>
      </c>
      <c r="J5" s="30">
        <f>AVERAGEIF(Thursday!$B$756:$B$1509, Thursday!B4, Thursday!$G$756:$G$1509)</f>
        <v>24.830409396193453</v>
      </c>
      <c r="K5" s="30">
        <f>AVERAGEIF(Friday!$B$2:$B$755, Friday!B4, Friday!$G$2:$G$755)</f>
        <v>30.251455822901196</v>
      </c>
      <c r="L5" s="30">
        <f>AVERAGEIF(Friday!$B$756:$B$1509, Friday!B4, Friday!$G$756:$G$1509)</f>
        <v>24.960123033165534</v>
      </c>
      <c r="M5" s="30">
        <f>AVERAGEIF(Saturday!$B$2:$B$755, Saturday!B4, Saturday!$G$2:$G$755)</f>
        <v>32.436437037549716</v>
      </c>
      <c r="N5" s="30">
        <f>AVERAGEIF(Saturday!$B$756:$B$1509, Saturday!B4, Saturday!$G$756:$G$1509)</f>
        <v>29.197528363825253</v>
      </c>
      <c r="O5" s="30">
        <f>AVERAGEIF(Sunday!$B$2:$B$755, Sunday!B4, Sunday!$G$2:$G$755)</f>
        <v>33.864397938388883</v>
      </c>
      <c r="P5" s="30">
        <f>AVERAGEIF(Sunday!$B$756:$B$1509, Sunday!B4, Sunday!$G$756:$G$1509)</f>
        <v>30.886817076513733</v>
      </c>
      <c r="Q5" s="35">
        <f t="shared" ref="Q5:Q60" si="8">AVERAGE(C5,E5,G5,I5,K5)</f>
        <v>30.531993903042043</v>
      </c>
      <c r="R5" s="30" t="str">
        <f t="shared" si="4"/>
        <v>Moderate</v>
      </c>
      <c r="S5" s="35">
        <f t="shared" ref="S5:S60" si="9">AVERAGE(D5,F5,H5,J5,L5)</f>
        <v>25.201486858770515</v>
      </c>
      <c r="T5" s="30" t="str">
        <f t="shared" si="0"/>
        <v>Moderate</v>
      </c>
      <c r="U5" s="35">
        <f t="shared" si="5"/>
        <v>33.1504174879693</v>
      </c>
      <c r="V5" s="29" t="str">
        <f t="shared" ref="V5" si="10">IF(U5&gt;36,"Free Flow",IF(U5&gt;=20,"Moderate","Heavy"))</f>
        <v>Moderate</v>
      </c>
      <c r="W5" s="35">
        <f t="shared" si="1"/>
        <v>30.042172720169493</v>
      </c>
      <c r="X5" s="29" t="str">
        <f t="shared" si="6"/>
        <v>Moderate</v>
      </c>
      <c r="Y5" s="30">
        <f t="shared" si="2"/>
        <v>31.841205695505671</v>
      </c>
      <c r="Z5" s="30"/>
      <c r="AA5" s="30">
        <f t="shared" si="3"/>
        <v>27.621829789470006</v>
      </c>
      <c r="AB5" s="8">
        <f t="shared" si="7"/>
        <v>29.731517742487835</v>
      </c>
      <c r="AC5" t="str">
        <f t="shared" ref="AC5:AC11" si="11">IF(AB5&gt;40,"Free Flow",IF(AB5&gt;=20,"Moderate","Heavy"))</f>
        <v>Moderate</v>
      </c>
    </row>
    <row r="6" spans="1:29" x14ac:dyDescent="0.25">
      <c r="A6" s="33">
        <v>4</v>
      </c>
      <c r="B6">
        <v>1.5</v>
      </c>
      <c r="C6" s="30">
        <f>AVERAGEIF(Monday!$B$2:$B$755, Monday!B5, Monday!$G$2:$G$755)</f>
        <v>33.473633691294907</v>
      </c>
      <c r="D6" s="30">
        <f>AVERAGEIF(Monday!$B$756:$B$1509, Monday!B5, Monday!$G$756:$G$1509)</f>
        <v>26.42016749963318</v>
      </c>
      <c r="E6" s="30">
        <f>AVERAGEIF(Tuesday!$B$2:$B$755, Tuesday!B5, Tuesday!$G$2:$G$755)</f>
        <v>33.95127995793495</v>
      </c>
      <c r="F6" s="30">
        <f>AVERAGEIF(Tuesday!$B$756:$B$1509, Tuesday!B5, Tuesday!$G$756:$G$1509)</f>
        <v>28.615188856335575</v>
      </c>
      <c r="G6" s="30">
        <f>AVERAGEIF(Wednesday!$B$2:$B$755, Wednesday!B5, Wednesday!$G$2:$G$755)</f>
        <v>34.085452963611495</v>
      </c>
      <c r="H6" s="30">
        <f>AVERAGEIF(Wednesday!$B$756:$B$1509, Wednesday!B5, Wednesday!$G$756:$G$1509)</f>
        <v>28.900019456606969</v>
      </c>
      <c r="I6" s="30">
        <f>AVERAGEIF(Thursday!$B$2:$B$755, Thursday!B5, Thursday!$G$2:$G$755)</f>
        <v>33.121951780016907</v>
      </c>
      <c r="J6" s="30">
        <f>AVERAGEIF(Thursday!$B$756:$B$1509, Thursday!B5, Thursday!$G$756:$G$1509)</f>
        <v>28.587839769841917</v>
      </c>
      <c r="K6" s="30">
        <f>AVERAGEIF(Friday!$B$2:$B$755, Friday!B5, Friday!$G$2:$G$755)</f>
        <v>33.564461561374664</v>
      </c>
      <c r="L6" s="30">
        <f>AVERAGEIF(Friday!$B$756:$B$1509, Friday!B5, Friday!$G$756:$G$1509)</f>
        <v>28.493628252029762</v>
      </c>
      <c r="M6" s="30">
        <f>AVERAGEIF(Saturday!$B$2:$B$755, Saturday!B5, Saturday!$G$2:$G$755)</f>
        <v>34.777811061625627</v>
      </c>
      <c r="N6" s="30">
        <f>AVERAGEIF(Saturday!$B$756:$B$1509, Saturday!B5, Saturday!$G$756:$G$1509)</f>
        <v>29.917672764178938</v>
      </c>
      <c r="O6" s="30">
        <f>AVERAGEIF(Sunday!$B$2:$B$755, Sunday!B5, Sunday!$G$2:$G$755)</f>
        <v>37.26670650821174</v>
      </c>
      <c r="P6" s="30">
        <f>AVERAGEIF(Sunday!$B$756:$B$1509, Sunday!B5, Sunday!$G$756:$G$1509)</f>
        <v>31.962573199043952</v>
      </c>
      <c r="Q6" s="35">
        <f t="shared" si="8"/>
        <v>33.639355990846582</v>
      </c>
      <c r="R6" s="30" t="str">
        <f t="shared" si="4"/>
        <v>Moderate</v>
      </c>
      <c r="S6" s="35">
        <f t="shared" si="9"/>
        <v>28.203368766889479</v>
      </c>
      <c r="T6" s="30" t="str">
        <f t="shared" si="0"/>
        <v>Moderate</v>
      </c>
      <c r="U6" s="35">
        <f t="shared" si="5"/>
        <v>36.022258784918684</v>
      </c>
      <c r="V6" s="29" t="str">
        <f>IF(U6&gt;36,"Free Flow",IF(U6&gt;=20,"Moderate","Heavy"))</f>
        <v>Free Flow</v>
      </c>
      <c r="W6" s="35">
        <f t="shared" si="1"/>
        <v>30.940122981611445</v>
      </c>
      <c r="X6" s="29" t="str">
        <f>IF(W6&gt;36,"Free Flow",IF(W6&gt;=20,"Moderate","Heavy"))</f>
        <v>Moderate</v>
      </c>
      <c r="Y6" s="30">
        <f t="shared" si="2"/>
        <v>34.830807387882629</v>
      </c>
      <c r="Z6" s="30"/>
      <c r="AA6" s="30">
        <f t="shared" si="3"/>
        <v>29.57174587425046</v>
      </c>
      <c r="AB6" s="8">
        <f>AVERAGE(Q6,S6,U6,W6)</f>
        <v>32.201276631066548</v>
      </c>
      <c r="AC6" t="str">
        <f t="shared" si="11"/>
        <v>Moderate</v>
      </c>
    </row>
    <row r="7" spans="1:29" x14ac:dyDescent="0.25">
      <c r="A7" s="33">
        <v>5</v>
      </c>
      <c r="B7">
        <v>1.52</v>
      </c>
      <c r="C7" s="30">
        <f>AVERAGEIF(Monday!$B$2:$B$755, Monday!B6, Monday!$G$2:$G$755)</f>
        <v>29.648682688686922</v>
      </c>
      <c r="D7" s="30">
        <f>AVERAGEIF(Monday!$B$756:$B$1509, Monday!B6, Monday!$G$756:$G$1509)</f>
        <v>21.094186335411791</v>
      </c>
      <c r="E7" s="30">
        <f>AVERAGEIF(Tuesday!$B$2:$B$755, Tuesday!B6, Tuesday!$G$2:$G$755)</f>
        <v>29.559801810203592</v>
      </c>
      <c r="F7" s="30">
        <f>AVERAGEIF(Tuesday!$B$756:$B$1509, Tuesday!B6, Tuesday!$G$756:$G$1509)</f>
        <v>23.958601349549635</v>
      </c>
      <c r="G7" s="30">
        <f>AVERAGEIF(Wednesday!$B$2:$B$755, Wednesday!B6, Wednesday!$G$2:$G$755)</f>
        <v>30.56831701430125</v>
      </c>
      <c r="H7" s="30">
        <f>AVERAGEIF(Wednesday!$B$756:$B$1509, Wednesday!B6, Wednesday!$G$756:$G$1509)</f>
        <v>22.066455428353215</v>
      </c>
      <c r="I7" s="30">
        <f>AVERAGEIF(Thursday!$B$2:$B$755, Thursday!B6, Thursday!$G$2:$G$755)</f>
        <v>29.024963261688036</v>
      </c>
      <c r="J7" s="30">
        <f>AVERAGEIF(Thursday!$B$756:$B$1509, Thursday!B6, Thursday!$G$756:$G$1509)</f>
        <v>21.312391235846381</v>
      </c>
      <c r="K7" s="30">
        <f>AVERAGEIF(Friday!$B$2:$B$755, Friday!B6, Friday!$G$2:$G$755)</f>
        <v>29.919330403783306</v>
      </c>
      <c r="L7" s="30">
        <f>AVERAGEIF(Friday!$B$756:$B$1509, Friday!B6, Friday!$G$756:$G$1509)</f>
        <v>22.007665611992067</v>
      </c>
      <c r="M7" s="30">
        <f>AVERAGEIF(Saturday!$B$2:$B$755, Saturday!B6, Saturday!$G$2:$G$755)</f>
        <v>31.600670818376162</v>
      </c>
      <c r="N7" s="30">
        <f>AVERAGEIF(Saturday!$B$756:$B$1509, Saturday!B6, Saturday!$G$756:$G$1509)</f>
        <v>25.370261123506836</v>
      </c>
      <c r="O7" s="30">
        <f>AVERAGEIF(Sunday!$B$2:$B$755, Sunday!B6, Sunday!$G$2:$G$755)</f>
        <v>34.307250146469229</v>
      </c>
      <c r="P7" s="30">
        <f>AVERAGEIF(Sunday!$B$756:$B$1509, Sunday!B6, Sunday!$G$756:$G$1509)</f>
        <v>28.016227157491137</v>
      </c>
      <c r="Q7" s="35">
        <f t="shared" si="8"/>
        <v>29.744219035732623</v>
      </c>
      <c r="R7" s="30" t="str">
        <f t="shared" si="4"/>
        <v>Moderate</v>
      </c>
      <c r="S7" s="35">
        <f t="shared" si="9"/>
        <v>22.087859992230616</v>
      </c>
      <c r="T7" s="30" t="str">
        <f t="shared" si="0"/>
        <v>Moderate</v>
      </c>
      <c r="U7" s="35">
        <f t="shared" si="5"/>
        <v>32.953960482422694</v>
      </c>
      <c r="V7" s="29" t="str">
        <f t="shared" ref="V7:V60" si="12">IF(U7&gt;36,"Free Flow",IF(U7&gt;=20,"Moderate","Heavy"))</f>
        <v>Moderate</v>
      </c>
      <c r="W7" s="35">
        <f t="shared" si="1"/>
        <v>26.693244140498987</v>
      </c>
      <c r="X7" s="29" t="str">
        <f t="shared" si="6"/>
        <v>Moderate</v>
      </c>
      <c r="Y7" s="30">
        <f t="shared" si="2"/>
        <v>31.349089759077657</v>
      </c>
      <c r="Z7" s="30"/>
      <c r="AA7" s="30">
        <f t="shared" si="3"/>
        <v>24.390552066364801</v>
      </c>
      <c r="AB7" s="8">
        <f t="shared" si="7"/>
        <v>27.869820912721231</v>
      </c>
      <c r="AC7" t="str">
        <f t="shared" si="11"/>
        <v>Moderate</v>
      </c>
    </row>
    <row r="8" spans="1:29" x14ac:dyDescent="0.25">
      <c r="A8" s="33">
        <v>6</v>
      </c>
      <c r="B8">
        <v>1.5</v>
      </c>
      <c r="C8" s="30">
        <f>AVERAGEIF(Monday!$B$2:$B$755, Monday!B7, Monday!$G$2:$G$755)</f>
        <v>34.414862868651184</v>
      </c>
      <c r="D8" s="30">
        <f>AVERAGEIF(Monday!$B$756:$B$1509, Monday!B7, Monday!$G$756:$G$1509)</f>
        <v>32.636540993237702</v>
      </c>
      <c r="E8" s="30">
        <f>AVERAGEIF(Tuesday!$B$2:$B$755, Tuesday!B7, Tuesday!$G$2:$G$755)</f>
        <v>34.219690242660157</v>
      </c>
      <c r="F8" s="30">
        <f>AVERAGEIF(Tuesday!$B$756:$B$1509, Tuesday!B7, Tuesday!$G$756:$G$1509)</f>
        <v>32.552910659777069</v>
      </c>
      <c r="G8" s="30">
        <f>AVERAGEIF(Wednesday!$B$2:$B$755, Wednesday!B7, Wednesday!$G$2:$G$755)</f>
        <v>34.635386028440323</v>
      </c>
      <c r="H8" s="30">
        <f>AVERAGEIF(Wednesday!$B$756:$B$1509, Wednesday!B7, Wednesday!$G$756:$G$1509)</f>
        <v>31.307700865569643</v>
      </c>
      <c r="I8" s="30">
        <f>AVERAGEIF(Thursday!$B$2:$B$755, Thursday!B7, Thursday!$G$2:$G$755)</f>
        <v>33.836224825988282</v>
      </c>
      <c r="J8" s="30">
        <f>AVERAGEIF(Thursday!$B$756:$B$1509, Thursday!B7, Thursday!$G$756:$G$1509)</f>
        <v>32.053472289013108</v>
      </c>
      <c r="K8" s="30">
        <f>AVERAGEIF(Friday!$B$2:$B$755, Friday!B7, Friday!$G$2:$G$755)</f>
        <v>34.365779529589396</v>
      </c>
      <c r="L8" s="30">
        <f>AVERAGEIF(Friday!$B$756:$B$1509, Friday!B7, Friday!$G$756:$G$1509)</f>
        <v>32.311350448214917</v>
      </c>
      <c r="M8" s="30">
        <f>AVERAGEIF(Saturday!$B$2:$B$755, Saturday!B7, Saturday!$G$2:$G$755)</f>
        <v>36.20826606466516</v>
      </c>
      <c r="N8" s="30">
        <f>AVERAGEIF(Saturday!$B$756:$B$1509, Saturday!B7, Saturday!$G$756:$G$1509)</f>
        <v>33.686499260365721</v>
      </c>
      <c r="O8" s="30">
        <f>AVERAGEIF(Sunday!$B$2:$B$755, Sunday!B7, Sunday!$G$2:$G$755)</f>
        <v>39.084574402903748</v>
      </c>
      <c r="P8" s="30">
        <f>AVERAGEIF(Sunday!$B$756:$B$1509, Sunday!B7, Sunday!$G$756:$G$1509)</f>
        <v>35.822761177383967</v>
      </c>
      <c r="Q8" s="35">
        <f t="shared" si="8"/>
        <v>34.294388699065863</v>
      </c>
      <c r="R8" s="30" t="str">
        <f t="shared" si="4"/>
        <v>Moderate</v>
      </c>
      <c r="S8" s="35">
        <f t="shared" si="9"/>
        <v>32.172395051162489</v>
      </c>
      <c r="T8" s="30" t="str">
        <f t="shared" si="0"/>
        <v>Moderate</v>
      </c>
      <c r="U8" s="35">
        <f t="shared" si="5"/>
        <v>37.646420233784454</v>
      </c>
      <c r="V8" s="29" t="str">
        <f t="shared" si="12"/>
        <v>Free Flow</v>
      </c>
      <c r="W8" s="35">
        <f t="shared" si="1"/>
        <v>34.754630218874844</v>
      </c>
      <c r="X8" s="29" t="str">
        <f t="shared" si="6"/>
        <v>Moderate</v>
      </c>
      <c r="Y8" s="30">
        <f t="shared" si="2"/>
        <v>35.970404466425158</v>
      </c>
      <c r="Z8" s="30"/>
      <c r="AA8" s="30">
        <f t="shared" si="3"/>
        <v>33.463512635018667</v>
      </c>
      <c r="AB8" s="8">
        <f t="shared" si="7"/>
        <v>34.716958550721913</v>
      </c>
      <c r="AC8" t="str">
        <f t="shared" si="11"/>
        <v>Moderate</v>
      </c>
    </row>
    <row r="9" spans="1:29" x14ac:dyDescent="0.25">
      <c r="A9" s="33">
        <v>7</v>
      </c>
      <c r="B9">
        <v>1.54</v>
      </c>
      <c r="C9" s="30">
        <f>AVERAGEIF(Monday!$B$2:$B$755, Monday!B8, Monday!$G$2:$G$755)</f>
        <v>35.19859531082416</v>
      </c>
      <c r="D9" s="30">
        <f>AVERAGEIF(Monday!$B$756:$B$1509, Monday!B8, Monday!$G$756:$G$1509)</f>
        <v>33.743656364935397</v>
      </c>
      <c r="E9" s="30">
        <f>AVERAGEIF(Tuesday!$B$2:$B$755, Tuesday!B8, Tuesday!$G$2:$G$755)</f>
        <v>35.114297912596371</v>
      </c>
      <c r="F9" s="30">
        <f>AVERAGEIF(Tuesday!$B$756:$B$1509, Tuesday!B8, Tuesday!$G$756:$G$1509)</f>
        <v>34.000484011603767</v>
      </c>
      <c r="G9" s="30">
        <f>AVERAGEIF(Wednesday!$B$2:$B$755, Wednesday!B8, Wednesday!$G$2:$G$755)</f>
        <v>35.73116707899856</v>
      </c>
      <c r="H9" s="30">
        <f>AVERAGEIF(Wednesday!$B$756:$B$1509, Wednesday!B8, Wednesday!$G$756:$G$1509)</f>
        <v>34.411216058922143</v>
      </c>
      <c r="I9" s="30">
        <f>AVERAGEIF(Thursday!$B$2:$B$755, Thursday!B8, Thursday!$G$2:$G$755)</f>
        <v>34.683586989896035</v>
      </c>
      <c r="J9" s="30">
        <f>AVERAGEIF(Thursday!$B$756:$B$1509, Thursday!B8, Thursday!$G$756:$G$1509)</f>
        <v>33.28790475432433</v>
      </c>
      <c r="K9" s="30">
        <f>AVERAGEIF(Friday!$B$2:$B$755, Friday!B8, Friday!$G$2:$G$755)</f>
        <v>35.306570832021762</v>
      </c>
      <c r="L9" s="30">
        <f>AVERAGEIF(Friday!$B$756:$B$1509, Friday!B8, Friday!$G$756:$G$1509)</f>
        <v>33.845698231416279</v>
      </c>
      <c r="M9" s="30">
        <f>AVERAGEIF(Saturday!$B$2:$B$755, Saturday!B8, Saturday!$G$2:$G$755)</f>
        <v>35.837337774316481</v>
      </c>
      <c r="N9" s="30">
        <f>AVERAGEIF(Saturday!$B$756:$B$1509, Saturday!B8, Saturday!$G$756:$G$1509)</f>
        <v>33.839389456329769</v>
      </c>
      <c r="O9" s="30">
        <f>AVERAGEIF(Sunday!$B$2:$B$755, Sunday!B8, Sunday!$G$2:$G$755)</f>
        <v>37.558550985467527</v>
      </c>
      <c r="P9" s="30">
        <f>AVERAGEIF(Sunday!$B$756:$B$1509, Sunday!B8, Sunday!$G$756:$G$1509)</f>
        <v>34.293236162677672</v>
      </c>
      <c r="Q9" s="35">
        <f t="shared" si="8"/>
        <v>35.206843624867382</v>
      </c>
      <c r="R9" s="30" t="str">
        <f t="shared" si="4"/>
        <v>Moderate</v>
      </c>
      <c r="S9" s="35">
        <f t="shared" si="9"/>
        <v>33.857791884240385</v>
      </c>
      <c r="T9" s="30" t="str">
        <f t="shared" si="0"/>
        <v>Moderate</v>
      </c>
      <c r="U9" s="35">
        <f t="shared" si="5"/>
        <v>36.697944379892007</v>
      </c>
      <c r="V9" s="29" t="str">
        <f t="shared" si="12"/>
        <v>Free Flow</v>
      </c>
      <c r="W9" s="35">
        <f t="shared" si="1"/>
        <v>34.066312809503721</v>
      </c>
      <c r="X9" s="29" t="str">
        <f t="shared" si="6"/>
        <v>Moderate</v>
      </c>
      <c r="Y9" s="30">
        <f t="shared" si="2"/>
        <v>35.952394002379691</v>
      </c>
      <c r="Z9" s="30"/>
      <c r="AA9" s="30">
        <f t="shared" si="3"/>
        <v>33.962052346872056</v>
      </c>
      <c r="AB9" s="8">
        <f t="shared" si="7"/>
        <v>34.957223174625874</v>
      </c>
      <c r="AC9" t="str">
        <f t="shared" si="11"/>
        <v>Moderate</v>
      </c>
    </row>
    <row r="10" spans="1:29" x14ac:dyDescent="0.25">
      <c r="A10" s="33">
        <v>8</v>
      </c>
      <c r="B10">
        <v>1.54</v>
      </c>
      <c r="C10" s="30">
        <f>AVERAGEIF(Monday!$B$2:$B$755, Monday!B9, Monday!$G$2:$G$755)</f>
        <v>28.917650807844211</v>
      </c>
      <c r="D10" s="30">
        <f>AVERAGEIF(Monday!$B$756:$B$1509, Monday!B9, Monday!$G$756:$G$1509)</f>
        <v>27.559692104474344</v>
      </c>
      <c r="E10" s="30">
        <f>AVERAGEIF(Tuesday!$B$2:$B$755, Tuesday!B9, Tuesday!$G$2:$G$755)</f>
        <v>28.191256598056718</v>
      </c>
      <c r="F10" s="30">
        <f>AVERAGEIF(Tuesday!$B$756:$B$1509, Tuesday!B9, Tuesday!$G$756:$G$1509)</f>
        <v>28.319713842750609</v>
      </c>
      <c r="G10" s="30">
        <f>AVERAGEIF(Wednesday!$B$2:$B$755, Wednesday!B9, Wednesday!$G$2:$G$755)</f>
        <v>29.040993591845179</v>
      </c>
      <c r="H10" s="30">
        <f>AVERAGEIF(Wednesday!$B$756:$B$1509, Wednesday!B9, Wednesday!$G$756:$G$1509)</f>
        <v>28.183921622341281</v>
      </c>
      <c r="I10" s="30">
        <f>AVERAGEIF(Thursday!$B$2:$B$755, Thursday!B9, Thursday!$G$2:$G$755)</f>
        <v>28.316117264962163</v>
      </c>
      <c r="J10" s="30">
        <f>AVERAGEIF(Thursday!$B$756:$B$1509, Thursday!B9, Thursday!$G$756:$G$1509)</f>
        <v>27.25682960323692</v>
      </c>
      <c r="K10" s="30">
        <f>AVERAGEIF(Friday!$B$2:$B$755, Friday!B9, Friday!$G$2:$G$755)</f>
        <v>29.085547802894869</v>
      </c>
      <c r="L10" s="30">
        <f>AVERAGEIF(Friday!$B$756:$B$1509, Friday!B9, Friday!$G$756:$G$1509)</f>
        <v>27.800009165488827</v>
      </c>
      <c r="M10" s="30">
        <f>AVERAGEIF(Saturday!$B$2:$B$755, Saturday!B9, Saturday!$G$2:$G$755)</f>
        <v>30.997465149359389</v>
      </c>
      <c r="N10" s="30">
        <f>AVERAGEIF(Saturday!$B$756:$B$1509, Saturday!B9, Saturday!$G$756:$G$1509)</f>
        <v>29.132777843784886</v>
      </c>
      <c r="O10" s="30">
        <f>AVERAGEIF(Sunday!$B$2:$B$755, Sunday!B9, Sunday!$G$2:$G$755)</f>
        <v>33.309622694097591</v>
      </c>
      <c r="P10" s="30">
        <f>AVERAGEIF(Sunday!$B$756:$B$1509, Sunday!B9, Sunday!$G$756:$G$1509)</f>
        <v>30.615741479766402</v>
      </c>
      <c r="Q10" s="35">
        <f t="shared" si="8"/>
        <v>28.710313213120628</v>
      </c>
      <c r="R10" s="30" t="str">
        <f t="shared" si="4"/>
        <v>Moderate</v>
      </c>
      <c r="S10" s="35">
        <f t="shared" si="9"/>
        <v>27.8240332676584</v>
      </c>
      <c r="T10" s="30" t="str">
        <f t="shared" si="0"/>
        <v>Moderate</v>
      </c>
      <c r="U10" s="35">
        <f t="shared" si="5"/>
        <v>32.153543921728492</v>
      </c>
      <c r="V10" s="29" t="str">
        <f t="shared" si="12"/>
        <v>Moderate</v>
      </c>
      <c r="W10" s="35">
        <f t="shared" si="1"/>
        <v>29.874259661775646</v>
      </c>
      <c r="X10" s="29" t="str">
        <f t="shared" si="6"/>
        <v>Moderate</v>
      </c>
      <c r="Y10" s="30">
        <f t="shared" si="2"/>
        <v>30.43192856742456</v>
      </c>
      <c r="Z10" s="30"/>
      <c r="AA10" s="30">
        <f t="shared" si="3"/>
        <v>28.849146464717023</v>
      </c>
      <c r="AB10" s="8">
        <f t="shared" si="7"/>
        <v>29.640537516070793</v>
      </c>
      <c r="AC10" t="str">
        <f t="shared" si="11"/>
        <v>Moderate</v>
      </c>
    </row>
    <row r="11" spans="1:29" x14ac:dyDescent="0.25">
      <c r="A11" s="33">
        <v>9</v>
      </c>
      <c r="B11">
        <v>1.52</v>
      </c>
      <c r="C11" s="30">
        <f>AVERAGEIF(Monday!$B$2:$B$755, Monday!B10, Monday!$G$2:$G$755)</f>
        <v>21.06747663184067</v>
      </c>
      <c r="D11" s="30">
        <f>AVERAGEIF(Monday!$B$756:$B$1509, Monday!B10, Monday!$G$756:$G$1509)</f>
        <v>18.020331838672266</v>
      </c>
      <c r="E11" s="30">
        <f>AVERAGEIF(Tuesday!$B$2:$B$755, Tuesday!B10, Tuesday!$G$2:$G$755)</f>
        <v>21.574538006695452</v>
      </c>
      <c r="F11" s="30">
        <f>AVERAGEIF(Tuesday!$B$756:$B$1509, Tuesday!B10, Tuesday!$G$756:$G$1509)</f>
        <v>22.886471969405438</v>
      </c>
      <c r="G11" s="30">
        <f>AVERAGEIF(Wednesday!$B$2:$B$755, Wednesday!B10, Wednesday!$G$2:$G$755)</f>
        <v>25.359699365856564</v>
      </c>
      <c r="H11" s="30">
        <f>AVERAGEIF(Wednesday!$B$756:$B$1509, Wednesday!B10, Wednesday!$G$756:$G$1509)</f>
        <v>22.670690137611412</v>
      </c>
      <c r="I11" s="30">
        <f>AVERAGEIF(Thursday!$B$2:$B$755, Thursday!B10, Thursday!$G$2:$G$755)</f>
        <v>25.20091645012635</v>
      </c>
      <c r="J11" s="30">
        <f>AVERAGEIF(Thursday!$B$756:$B$1509, Thursday!B10, Thursday!$G$756:$G$1509)</f>
        <v>23.637272804865979</v>
      </c>
      <c r="K11" s="30">
        <f>AVERAGEIF(Friday!$B$2:$B$755, Friday!B10, Friday!$G$2:$G$755)</f>
        <v>25.761869267486698</v>
      </c>
      <c r="L11" s="30">
        <f>AVERAGEIF(Friday!$B$756:$B$1509, Friday!B10, Friday!$G$756:$G$1509)</f>
        <v>25.335382676729878</v>
      </c>
      <c r="M11" s="30">
        <f>AVERAGEIF(Saturday!$B$2:$B$755, Saturday!B10, Saturday!$G$2:$G$755)</f>
        <v>30.937157687802049</v>
      </c>
      <c r="N11" s="30">
        <f>AVERAGEIF(Saturday!$B$756:$B$1509, Saturday!B10, Saturday!$G$756:$G$1509)</f>
        <v>23.537133957130941</v>
      </c>
      <c r="O11" s="30">
        <f>AVERAGEIF(Sunday!$B$2:$B$755, Sunday!B10, Sunday!$G$2:$G$755)</f>
        <v>34.132929674514564</v>
      </c>
      <c r="P11" s="30">
        <f>AVERAGEIF(Sunday!$B$756:$B$1509, Sunday!B10, Sunday!$G$756:$G$1509)</f>
        <v>27.985341674837908</v>
      </c>
      <c r="Q11" s="35">
        <f t="shared" si="8"/>
        <v>23.79289994440115</v>
      </c>
      <c r="R11" s="30" t="str">
        <f t="shared" si="4"/>
        <v>Moderate</v>
      </c>
      <c r="S11" s="35">
        <f t="shared" si="9"/>
        <v>22.510029885456994</v>
      </c>
      <c r="T11" s="30" t="str">
        <f t="shared" si="0"/>
        <v>Moderate</v>
      </c>
      <c r="U11" s="35">
        <f t="shared" si="5"/>
        <v>32.535043681158307</v>
      </c>
      <c r="V11" s="29" t="str">
        <f t="shared" si="12"/>
        <v>Moderate</v>
      </c>
      <c r="W11" s="35">
        <f t="shared" si="1"/>
        <v>25.761237815984423</v>
      </c>
      <c r="X11" s="29" t="str">
        <f t="shared" si="6"/>
        <v>Moderate</v>
      </c>
      <c r="Y11" s="30">
        <f t="shared" si="2"/>
        <v>28.163971812779728</v>
      </c>
      <c r="Z11" s="30"/>
      <c r="AA11" s="30">
        <f t="shared" si="3"/>
        <v>24.135633850720708</v>
      </c>
      <c r="AB11" s="8">
        <f t="shared" si="7"/>
        <v>26.149802831750222</v>
      </c>
      <c r="AC11" t="str">
        <f t="shared" si="11"/>
        <v>Moderate</v>
      </c>
    </row>
    <row r="12" spans="1:29" x14ac:dyDescent="0.25">
      <c r="A12" s="33">
        <v>10</v>
      </c>
      <c r="B12">
        <v>1.5</v>
      </c>
      <c r="C12" s="30">
        <f>AVERAGEIF(Monday!$B$2:$B$755, Monday!B11, Monday!$G$2:$G$755)</f>
        <v>21.908956556626322</v>
      </c>
      <c r="D12" s="30">
        <f>AVERAGEIF(Monday!$B$756:$B$1509, Monday!B11, Monday!$G$756:$G$1509)</f>
        <v>19.111224219612382</v>
      </c>
      <c r="E12" s="30">
        <f>AVERAGEIF(Tuesday!$B$2:$B$755, Tuesday!B11, Tuesday!$G$2:$G$755)</f>
        <v>22.269838581858714</v>
      </c>
      <c r="F12" s="30">
        <f>AVERAGEIF(Tuesday!$B$756:$B$1509, Tuesday!B11, Tuesday!$G$756:$G$1509)</f>
        <v>19.288931077654958</v>
      </c>
      <c r="G12" s="30">
        <f>AVERAGEIF(Wednesday!$B$2:$B$755, Wednesday!B11, Wednesday!$G$2:$G$755)</f>
        <v>24.251542942833701</v>
      </c>
      <c r="H12" s="30">
        <f>AVERAGEIF(Wednesday!$B$756:$B$1509, Wednesday!B11, Wednesday!$G$756:$G$1509)</f>
        <v>21.536694068107355</v>
      </c>
      <c r="I12" s="30">
        <f>AVERAGEIF(Thursday!$B$2:$B$755, Thursday!B11, Thursday!$G$2:$G$755)</f>
        <v>24.484998745082642</v>
      </c>
      <c r="J12" s="30">
        <f>AVERAGEIF(Thursday!$B$756:$B$1509, Thursday!B11, Thursday!$G$756:$G$1509)</f>
        <v>21.107987100112016</v>
      </c>
      <c r="K12" s="30">
        <f>AVERAGEIF(Friday!$B$2:$B$755, Friday!B11, Friday!$G$2:$G$755)</f>
        <v>24.316634020408898</v>
      </c>
      <c r="L12" s="30">
        <f>AVERAGEIF(Friday!$B$756:$B$1509, Friday!B11, Friday!$G$756:$G$1509)</f>
        <v>20.68156525210923</v>
      </c>
      <c r="M12" s="30">
        <f>AVERAGEIF(Saturday!$B$2:$B$755, Saturday!B11, Saturday!$G$2:$G$755)</f>
        <v>28.830870665603204</v>
      </c>
      <c r="N12" s="30">
        <f>AVERAGEIF(Saturday!$B$756:$B$1509, Saturday!B11, Saturday!$G$756:$G$1509)</f>
        <v>22.332952478760607</v>
      </c>
      <c r="O12" s="30">
        <f>AVERAGEIF(Sunday!$B$2:$B$755, Sunday!B11, Sunday!$G$2:$G$755)</f>
        <v>32.587913686519762</v>
      </c>
      <c r="P12" s="30">
        <f>AVERAGEIF(Sunday!$B$756:$B$1509, Sunday!B11, Sunday!$G$756:$G$1509)</f>
        <v>26.191044741813126</v>
      </c>
      <c r="Q12" s="35">
        <f t="shared" si="8"/>
        <v>23.446394169362058</v>
      </c>
      <c r="R12" s="30" t="str">
        <f t="shared" si="4"/>
        <v>Moderate</v>
      </c>
      <c r="S12" s="35">
        <f t="shared" si="9"/>
        <v>20.345280343519185</v>
      </c>
      <c r="T12" s="30" t="str">
        <f t="shared" si="0"/>
        <v>Moderate</v>
      </c>
      <c r="U12" s="35">
        <f t="shared" si="5"/>
        <v>30.709392176061485</v>
      </c>
      <c r="V12" s="29" t="str">
        <f t="shared" si="12"/>
        <v>Moderate</v>
      </c>
      <c r="W12" s="35">
        <f t="shared" si="1"/>
        <v>24.261998610286867</v>
      </c>
      <c r="X12" s="29" t="str">
        <f t="shared" si="6"/>
        <v>Moderate</v>
      </c>
      <c r="Y12" s="30">
        <f t="shared" si="2"/>
        <v>27.077893172711772</v>
      </c>
      <c r="Z12" s="30"/>
      <c r="AA12" s="30">
        <f t="shared" si="3"/>
        <v>22.303639476903026</v>
      </c>
      <c r="AB12" s="8">
        <f t="shared" si="7"/>
        <v>24.690766324807399</v>
      </c>
      <c r="AC12" t="str">
        <f t="shared" ref="AC12:AC17" si="13">IF(AB12&gt;40,"Free Flow",IF(AB12&gt;=20,"Moderate","Heavy"))</f>
        <v>Moderate</v>
      </c>
    </row>
    <row r="13" spans="1:29" x14ac:dyDescent="0.25">
      <c r="A13" s="33">
        <v>11</v>
      </c>
      <c r="B13">
        <v>1.48</v>
      </c>
      <c r="C13" s="30">
        <f>AVERAGEIF(Monday!$B$2:$B$755, Monday!B12, Monday!$G$2:$G$755)</f>
        <v>27.996872775843038</v>
      </c>
      <c r="D13" s="30">
        <f>AVERAGEIF(Monday!$B$756:$B$1509, Monday!B12, Monday!$G$756:$G$1509)</f>
        <v>25.664320740744536</v>
      </c>
      <c r="E13" s="30">
        <f>AVERAGEIF(Tuesday!$B$2:$B$755, Tuesday!B12, Tuesday!$G$2:$G$755)</f>
        <v>28.690586861454296</v>
      </c>
      <c r="F13" s="30">
        <f>AVERAGEIF(Tuesday!$B$756:$B$1509, Tuesday!B12, Tuesday!$G$756:$G$1509)</f>
        <v>26.849306120741858</v>
      </c>
      <c r="G13" s="30">
        <f>AVERAGEIF(Wednesday!$B$2:$B$755, Wednesday!B12, Wednesday!$G$2:$G$755)</f>
        <v>27.325155230806288</v>
      </c>
      <c r="H13" s="30">
        <f>AVERAGEIF(Wednesday!$B$756:$B$1509, Wednesday!B12, Wednesday!$G$756:$G$1509)</f>
        <v>24.168247708059088</v>
      </c>
      <c r="I13" s="30">
        <f>AVERAGEIF(Thursday!$B$2:$B$755, Thursday!B12, Thursday!$G$2:$G$755)</f>
        <v>29.61707611141015</v>
      </c>
      <c r="J13" s="30">
        <f>AVERAGEIF(Thursday!$B$756:$B$1509, Thursday!B12, Thursday!$G$756:$G$1509)</f>
        <v>24.231381247173154</v>
      </c>
      <c r="K13" s="30">
        <f>AVERAGEIF(Friday!$B$2:$B$755, Friday!B12, Friday!$G$2:$G$755)</f>
        <v>30.050418066984477</v>
      </c>
      <c r="L13" s="30">
        <f>AVERAGEIF(Friday!$B$756:$B$1509, Friday!B12, Friday!$G$756:$G$1509)</f>
        <v>23.402930162080793</v>
      </c>
      <c r="M13" s="30">
        <f>AVERAGEIF(Saturday!$B$2:$B$755, Saturday!B12, Saturday!$G$2:$G$755)</f>
        <v>39.015796856635447</v>
      </c>
      <c r="N13" s="30">
        <f>AVERAGEIF(Saturday!$B$756:$B$1509, Saturday!B12, Saturday!$G$756:$G$1509)</f>
        <v>35.847706813612419</v>
      </c>
      <c r="O13" s="30">
        <f>AVERAGEIF(Sunday!$B$2:$B$755, Sunday!B12, Sunday!$G$2:$G$755)</f>
        <v>42.063174904406438</v>
      </c>
      <c r="P13" s="30">
        <f>AVERAGEIF(Sunday!$B$756:$B$1509, Sunday!B12, Sunday!$G$756:$G$1509)</f>
        <v>37.944104950294644</v>
      </c>
      <c r="Q13" s="35">
        <f t="shared" si="8"/>
        <v>28.736021809299654</v>
      </c>
      <c r="R13" s="30" t="str">
        <f t="shared" si="4"/>
        <v>Moderate</v>
      </c>
      <c r="S13" s="35">
        <f t="shared" si="9"/>
        <v>24.863237195759886</v>
      </c>
      <c r="T13" s="30" t="str">
        <f t="shared" si="0"/>
        <v>Moderate</v>
      </c>
      <c r="U13" s="35">
        <f t="shared" si="5"/>
        <v>40.539485880520942</v>
      </c>
      <c r="V13" s="29" t="str">
        <f t="shared" si="12"/>
        <v>Free Flow</v>
      </c>
      <c r="W13" s="35">
        <f t="shared" si="1"/>
        <v>36.895905881953531</v>
      </c>
      <c r="X13" s="29" t="str">
        <f t="shared" si="6"/>
        <v>Free Flow</v>
      </c>
      <c r="Y13" s="30">
        <f t="shared" si="2"/>
        <v>34.6377538449103</v>
      </c>
      <c r="Z13" s="30"/>
      <c r="AA13" s="30">
        <f t="shared" si="3"/>
        <v>30.879571538856709</v>
      </c>
      <c r="AB13" s="8">
        <f t="shared" si="7"/>
        <v>32.758662691883501</v>
      </c>
      <c r="AC13" t="str">
        <f t="shared" si="13"/>
        <v>Moderate</v>
      </c>
    </row>
    <row r="14" spans="1:29" x14ac:dyDescent="0.25">
      <c r="A14" s="33">
        <v>12</v>
      </c>
      <c r="B14">
        <v>1.46</v>
      </c>
      <c r="C14" s="30">
        <f>AVERAGEIF(Monday!$B$2:$B$755, Monday!B13, Monday!$G$2:$G$755)</f>
        <v>19.496659966895606</v>
      </c>
      <c r="D14" s="30">
        <f>AVERAGEIF(Monday!$B$756:$B$1509, Monday!B13, Monday!$G$756:$G$1509)</f>
        <v>16.496683569524137</v>
      </c>
      <c r="E14" s="30">
        <f>AVERAGEIF(Tuesday!$B$2:$B$755, Tuesday!B13, Tuesday!$G$2:$G$755)</f>
        <v>20.459920800061468</v>
      </c>
      <c r="F14" s="30">
        <f>AVERAGEIF(Tuesday!$B$756:$B$1509, Tuesday!B13, Tuesday!$G$756:$G$1509)</f>
        <v>19.663171752033964</v>
      </c>
      <c r="G14" s="30">
        <f>AVERAGEIF(Wednesday!$B$2:$B$755, Wednesday!B13, Wednesday!$G$2:$G$755)</f>
        <v>22.239265554758923</v>
      </c>
      <c r="H14" s="30">
        <f>AVERAGEIF(Wednesday!$B$756:$B$1509, Wednesday!B13, Wednesday!$G$756:$G$1509)</f>
        <v>19.695383693771035</v>
      </c>
      <c r="I14" s="30">
        <f>AVERAGEIF(Thursday!$B$2:$B$755, Thursday!B13, Thursday!$G$2:$G$755)</f>
        <v>22.79356585801607</v>
      </c>
      <c r="J14" s="30">
        <f>AVERAGEIF(Thursday!$B$756:$B$1509, Thursday!B13, Thursday!$G$756:$G$1509)</f>
        <v>18.735255092518226</v>
      </c>
      <c r="K14" s="30">
        <f>AVERAGEIF(Friday!$B$2:$B$755, Friday!B13, Friday!$G$2:$G$755)</f>
        <v>23.188042841828789</v>
      </c>
      <c r="L14" s="30">
        <f>AVERAGEIF(Friday!$B$756:$B$1509, Friday!B13, Friday!$G$756:$G$1509)</f>
        <v>18.60263609241715</v>
      </c>
      <c r="M14" s="30">
        <f>AVERAGEIF(Saturday!$B$2:$B$755, Saturday!B13, Saturday!$G$2:$G$755)</f>
        <v>29.056235715625014</v>
      </c>
      <c r="N14" s="30">
        <f>AVERAGEIF(Saturday!$B$756:$B$1509, Saturday!B13, Saturday!$G$756:$G$1509)</f>
        <v>24.346318221723394</v>
      </c>
      <c r="O14" s="30">
        <f>AVERAGEIF(Sunday!$B$2:$B$755, Sunday!B13, Sunday!$G$2:$G$755)</f>
        <v>33.110489731706544</v>
      </c>
      <c r="P14" s="30">
        <f>AVERAGEIF(Sunday!$B$756:$B$1509, Sunday!B13, Sunday!$G$756:$G$1509)</f>
        <v>26.739812820911538</v>
      </c>
      <c r="Q14" s="35">
        <f t="shared" si="8"/>
        <v>21.635491004312172</v>
      </c>
      <c r="R14" s="30" t="str">
        <f t="shared" si="4"/>
        <v>Moderate</v>
      </c>
      <c r="S14" s="35">
        <f t="shared" si="9"/>
        <v>18.638626040052902</v>
      </c>
      <c r="T14" s="30" t="str">
        <f t="shared" si="0"/>
        <v>Heavy</v>
      </c>
      <c r="U14" s="35">
        <f t="shared" si="5"/>
        <v>31.083362723665779</v>
      </c>
      <c r="V14" s="29" t="str">
        <f t="shared" si="12"/>
        <v>Moderate</v>
      </c>
      <c r="W14" s="35">
        <f t="shared" si="1"/>
        <v>25.543065521317466</v>
      </c>
      <c r="X14" s="29" t="str">
        <f t="shared" si="6"/>
        <v>Moderate</v>
      </c>
      <c r="Y14" s="30">
        <f t="shared" si="2"/>
        <v>26.359426863988975</v>
      </c>
      <c r="Z14" s="30"/>
      <c r="AA14" s="30">
        <f t="shared" si="3"/>
        <v>22.090845780685186</v>
      </c>
      <c r="AB14" s="8">
        <f t="shared" si="7"/>
        <v>24.225136322337079</v>
      </c>
      <c r="AC14" t="str">
        <f t="shared" si="13"/>
        <v>Moderate</v>
      </c>
    </row>
    <row r="15" spans="1:29" x14ac:dyDescent="0.25">
      <c r="A15" s="33">
        <v>13</v>
      </c>
      <c r="B15">
        <v>1.52</v>
      </c>
      <c r="C15" s="30">
        <f>AVERAGEIF(Monday!$B$2:$B$755, Monday!B14, Monday!$G$2:$G$755)</f>
        <v>18.584473539109418</v>
      </c>
      <c r="D15" s="30">
        <f>AVERAGEIF(Monday!$B$756:$B$1509, Monday!B14, Monday!$G$756:$G$1509)</f>
        <v>17.426093253368315</v>
      </c>
      <c r="E15" s="30">
        <f>AVERAGEIF(Tuesday!$B$2:$B$755, Tuesday!B14, Tuesday!$G$2:$G$755)</f>
        <v>20.752987413231633</v>
      </c>
      <c r="F15" s="30">
        <f>AVERAGEIF(Tuesday!$B$756:$B$1509, Tuesday!B14, Tuesday!$G$756:$G$1509)</f>
        <v>18.775573168667602</v>
      </c>
      <c r="G15" s="30">
        <f>AVERAGEIF(Wednesday!$B$2:$B$755, Wednesday!B14, Wednesday!$G$2:$G$755)</f>
        <v>21.871105549153068</v>
      </c>
      <c r="H15" s="30">
        <f>AVERAGEIF(Wednesday!$B$756:$B$1509, Wednesday!B14, Wednesday!$G$756:$G$1509)</f>
        <v>19.250670728465753</v>
      </c>
      <c r="I15" s="30">
        <f>AVERAGEIF(Thursday!$B$2:$B$755, Thursday!B14, Thursday!$G$2:$G$755)</f>
        <v>22.4412325132764</v>
      </c>
      <c r="J15" s="30">
        <f>AVERAGEIF(Thursday!$B$756:$B$1509, Thursday!B14, Thursday!$G$756:$G$1509)</f>
        <v>18.43995671238104</v>
      </c>
      <c r="K15" s="30">
        <f>AVERAGEIF(Friday!$B$2:$B$755, Friday!B14, Friday!$G$2:$G$755)</f>
        <v>22.622567838546029</v>
      </c>
      <c r="L15" s="30">
        <f>AVERAGEIF(Friday!$B$756:$B$1509, Friday!B14, Friday!$G$756:$G$1509)</f>
        <v>17.454299736656942</v>
      </c>
      <c r="M15" s="30">
        <f>AVERAGEIF(Saturday!$B$2:$B$755, Saturday!B14, Saturday!$G$2:$G$755)</f>
        <v>30.453277429464706</v>
      </c>
      <c r="N15" s="30">
        <f>AVERAGEIF(Saturday!$B$756:$B$1509, Saturday!B14, Saturday!$G$756:$G$1509)</f>
        <v>25.112647502824661</v>
      </c>
      <c r="O15" s="30">
        <f>AVERAGEIF(Sunday!$B$2:$B$755, Sunday!B14, Sunday!$G$2:$G$755)</f>
        <v>32.935056372626711</v>
      </c>
      <c r="P15" s="30">
        <f>AVERAGEIF(Sunday!$B$756:$B$1509, Sunday!B14, Sunday!$G$756:$G$1509)</f>
        <v>27.789040616935008</v>
      </c>
      <c r="Q15" s="35">
        <f t="shared" si="8"/>
        <v>21.254473370663312</v>
      </c>
      <c r="R15" s="30" t="str">
        <f t="shared" si="4"/>
        <v>Moderate</v>
      </c>
      <c r="S15" s="35">
        <f t="shared" si="9"/>
        <v>18.269318719907925</v>
      </c>
      <c r="T15" s="30" t="str">
        <f t="shared" si="0"/>
        <v>Heavy</v>
      </c>
      <c r="U15" s="35">
        <f t="shared" si="5"/>
        <v>31.694166901045708</v>
      </c>
      <c r="V15" s="29" t="str">
        <f t="shared" si="12"/>
        <v>Moderate</v>
      </c>
      <c r="W15" s="35">
        <f t="shared" si="1"/>
        <v>26.450844059879834</v>
      </c>
      <c r="X15" s="29" t="str">
        <f t="shared" si="6"/>
        <v>Moderate</v>
      </c>
      <c r="Y15" s="30">
        <f t="shared" si="2"/>
        <v>26.474320135854512</v>
      </c>
      <c r="Z15" s="30"/>
      <c r="AA15" s="30">
        <f t="shared" si="3"/>
        <v>22.360081389893878</v>
      </c>
      <c r="AB15" s="8">
        <f t="shared" si="7"/>
        <v>24.417200762874195</v>
      </c>
      <c r="AC15" t="str">
        <f t="shared" si="13"/>
        <v>Moderate</v>
      </c>
    </row>
    <row r="16" spans="1:29" x14ac:dyDescent="0.25">
      <c r="A16" s="33">
        <v>14</v>
      </c>
      <c r="B16">
        <v>1.51</v>
      </c>
      <c r="C16" s="30">
        <f>AVERAGEIF(Monday!$B$2:$B$755, Monday!B15, Monday!$G$2:$G$755)</f>
        <v>24.56171261468533</v>
      </c>
      <c r="D16" s="30">
        <f>AVERAGEIF(Monday!$B$756:$B$1509, Monday!B15, Monday!$G$756:$G$1509)</f>
        <v>19.644945746621293</v>
      </c>
      <c r="E16" s="30">
        <f>AVERAGEIF(Tuesday!$B$2:$B$755, Tuesday!B15, Tuesday!$G$2:$G$755)</f>
        <v>24.971244847794612</v>
      </c>
      <c r="F16" s="30">
        <f>AVERAGEIF(Tuesday!$B$756:$B$1509, Tuesday!B15, Tuesday!$G$756:$G$1509)</f>
        <v>21.859661235791446</v>
      </c>
      <c r="G16" s="30">
        <f>AVERAGEIF(Wednesday!$B$2:$B$755, Wednesday!B15, Wednesday!$G$2:$G$755)</f>
        <v>24.791771280391028</v>
      </c>
      <c r="H16" s="30">
        <f>AVERAGEIF(Wednesday!$B$756:$B$1509, Wednesday!B15, Wednesday!$G$756:$G$1509)</f>
        <v>20.675184303839281</v>
      </c>
      <c r="I16" s="30">
        <f>AVERAGEIF(Thursday!$B$2:$B$755, Thursday!B15, Thursday!$G$2:$G$755)</f>
        <v>25.663197659936102</v>
      </c>
      <c r="J16" s="30">
        <f>AVERAGEIF(Thursday!$B$756:$B$1509, Thursday!B15, Thursday!$G$756:$G$1509)</f>
        <v>20.727693553284148</v>
      </c>
      <c r="K16" s="30">
        <f>AVERAGEIF(Friday!$B$2:$B$755, Friday!B15, Friday!$G$2:$G$755)</f>
        <v>25.691348020700502</v>
      </c>
      <c r="L16" s="30">
        <f>AVERAGEIF(Friday!$B$756:$B$1509, Friday!B15, Friday!$G$756:$G$1509)</f>
        <v>19.696921339684046</v>
      </c>
      <c r="M16" s="30">
        <f>AVERAGEIF(Saturday!$B$2:$B$755, Saturday!B15, Saturday!$G$2:$G$755)</f>
        <v>30.830248664897194</v>
      </c>
      <c r="N16" s="30">
        <f>AVERAGEIF(Saturday!$B$756:$B$1509, Saturday!B15, Saturday!$G$756:$G$1509)</f>
        <v>25.612886435528367</v>
      </c>
      <c r="O16" s="30">
        <f>AVERAGEIF(Sunday!$B$2:$B$755, Sunday!B15, Sunday!$G$2:$G$755)</f>
        <v>32.916950079183863</v>
      </c>
      <c r="P16" s="30">
        <f>AVERAGEIF(Sunday!$B$756:$B$1509, Sunday!B15, Sunday!$G$756:$G$1509)</f>
        <v>29.46278012437925</v>
      </c>
      <c r="Q16" s="35">
        <f t="shared" si="8"/>
        <v>25.135854884701516</v>
      </c>
      <c r="R16" s="30" t="str">
        <f t="shared" si="4"/>
        <v>Moderate</v>
      </c>
      <c r="S16" s="35">
        <f t="shared" si="9"/>
        <v>20.52088123584404</v>
      </c>
      <c r="T16" s="30" t="str">
        <f t="shared" si="0"/>
        <v>Moderate</v>
      </c>
      <c r="U16" s="35">
        <f t="shared" si="5"/>
        <v>31.87359937204053</v>
      </c>
      <c r="V16" s="29" t="str">
        <f t="shared" si="12"/>
        <v>Moderate</v>
      </c>
      <c r="W16" s="35">
        <f t="shared" si="1"/>
        <v>27.537833279953809</v>
      </c>
      <c r="X16" s="29" t="str">
        <f t="shared" si="6"/>
        <v>Moderate</v>
      </c>
      <c r="Y16" s="30">
        <f t="shared" si="2"/>
        <v>28.504727128371023</v>
      </c>
      <c r="Z16" s="30"/>
      <c r="AA16" s="30">
        <f t="shared" si="3"/>
        <v>24.029357257898923</v>
      </c>
      <c r="AB16" s="8">
        <f t="shared" si="7"/>
        <v>26.267042193134976</v>
      </c>
      <c r="AC16" t="str">
        <f t="shared" si="13"/>
        <v>Moderate</v>
      </c>
    </row>
    <row r="17" spans="1:29" x14ac:dyDescent="0.25">
      <c r="A17" s="33">
        <v>15</v>
      </c>
      <c r="B17">
        <v>1.47</v>
      </c>
      <c r="C17" s="30">
        <f>AVERAGEIF(Monday!$B$2:$B$755, Monday!B16, Monday!$G$2:$G$755)</f>
        <v>34.1283187776435</v>
      </c>
      <c r="D17" s="30">
        <f>AVERAGEIF(Monday!$B$756:$B$1509, Monday!B16, Monday!$G$756:$G$1509)</f>
        <v>29.316066101956388</v>
      </c>
      <c r="E17" s="30">
        <f>AVERAGEIF(Tuesday!$B$2:$B$755, Tuesday!B16, Tuesday!$G$2:$G$755)</f>
        <v>33.101297817486369</v>
      </c>
      <c r="F17" s="30">
        <f>AVERAGEIF(Tuesday!$B$756:$B$1509, Tuesday!B16, Tuesday!$G$756:$G$1509)</f>
        <v>30.892934023263471</v>
      </c>
      <c r="G17" s="30">
        <f>AVERAGEIF(Wednesday!$B$2:$B$755, Wednesday!B16, Wednesday!$G$2:$G$755)</f>
        <v>34.51022691705797</v>
      </c>
      <c r="H17" s="30">
        <f>AVERAGEIF(Wednesday!$B$756:$B$1509, Wednesday!B16, Wednesday!$G$756:$G$1509)</f>
        <v>30.148547309093207</v>
      </c>
      <c r="I17" s="30">
        <f>AVERAGEIF(Thursday!$B$2:$B$755, Thursday!B16, Thursday!$G$2:$G$755)</f>
        <v>36.138658424400589</v>
      </c>
      <c r="J17" s="30">
        <f>AVERAGEIF(Thursday!$B$756:$B$1509, Thursday!B16, Thursday!$G$756:$G$1509)</f>
        <v>28.839144842936005</v>
      </c>
      <c r="K17" s="30">
        <f>AVERAGEIF(Friday!$B$2:$B$755, Friday!B16, Friday!$G$2:$G$755)</f>
        <v>34.248716889973778</v>
      </c>
      <c r="L17" s="30">
        <f>AVERAGEIF(Friday!$B$756:$B$1509, Friday!B16, Friday!$G$756:$G$1509)</f>
        <v>29.365583952304032</v>
      </c>
      <c r="M17" s="30">
        <f>AVERAGEIF(Saturday!$B$2:$B$755, Saturday!B16, Saturday!$G$2:$G$755)</f>
        <v>41.609200878593498</v>
      </c>
      <c r="N17" s="30">
        <f>AVERAGEIF(Saturday!$B$756:$B$1509, Saturday!B16, Saturday!$G$756:$G$1509)</f>
        <v>36.182620832874491</v>
      </c>
      <c r="O17" s="30">
        <f>AVERAGEIF(Sunday!$B$2:$B$755, Sunday!B16, Sunday!$G$2:$G$755)</f>
        <v>45.78368114756789</v>
      </c>
      <c r="P17" s="30">
        <f>AVERAGEIF(Sunday!$B$756:$B$1509, Sunday!B16, Sunday!$G$756:$G$1509)</f>
        <v>39.433063324129066</v>
      </c>
      <c r="Q17" s="35">
        <f t="shared" si="8"/>
        <v>34.425443765312437</v>
      </c>
      <c r="R17" s="30" t="str">
        <f t="shared" si="4"/>
        <v>Moderate</v>
      </c>
      <c r="S17" s="35">
        <f t="shared" si="9"/>
        <v>29.712455245910622</v>
      </c>
      <c r="T17" s="30" t="str">
        <f t="shared" si="0"/>
        <v>Moderate</v>
      </c>
      <c r="U17" s="35">
        <f t="shared" si="5"/>
        <v>43.696441013080694</v>
      </c>
      <c r="V17" s="29" t="str">
        <f t="shared" si="12"/>
        <v>Free Flow</v>
      </c>
      <c r="W17" s="35">
        <f t="shared" si="1"/>
        <v>37.807842078501778</v>
      </c>
      <c r="X17" s="29" t="str">
        <f t="shared" si="6"/>
        <v>Free Flow</v>
      </c>
      <c r="Y17" s="30">
        <f t="shared" si="2"/>
        <v>39.060942389196569</v>
      </c>
      <c r="Z17" s="30"/>
      <c r="AA17" s="30">
        <f t="shared" si="3"/>
        <v>33.760148662206198</v>
      </c>
      <c r="AB17" s="8">
        <f t="shared" si="7"/>
        <v>36.41054552570138</v>
      </c>
      <c r="AC17" t="str">
        <f t="shared" si="13"/>
        <v>Moderate</v>
      </c>
    </row>
    <row r="18" spans="1:29" x14ac:dyDescent="0.25">
      <c r="A18" s="33">
        <v>16</v>
      </c>
      <c r="B18">
        <v>1.5</v>
      </c>
      <c r="C18" s="30">
        <f>AVERAGEIF(Monday!$B$2:$B$755, Monday!B17, Monday!$G$2:$G$755)</f>
        <v>49.070726554962661</v>
      </c>
      <c r="D18" s="30">
        <f>AVERAGEIF(Monday!$B$756:$B$1509, Monday!B17, Monday!$G$756:$G$1509)</f>
        <v>38.319677251197206</v>
      </c>
      <c r="E18" s="30">
        <f>AVERAGEIF(Tuesday!$B$2:$B$755, Tuesday!B17, Tuesday!$G$2:$G$755)</f>
        <v>47.903132092466144</v>
      </c>
      <c r="F18" s="30">
        <f>AVERAGEIF(Tuesday!$B$756:$B$1509, Tuesday!B17, Tuesday!$G$756:$G$1509)</f>
        <v>41.060782852993036</v>
      </c>
      <c r="G18" s="30">
        <f>AVERAGEIF(Wednesday!$B$2:$B$755, Wednesday!B17, Wednesday!$G$2:$G$755)</f>
        <v>47.943795933857899</v>
      </c>
      <c r="H18" s="30">
        <f>AVERAGEIF(Wednesday!$B$756:$B$1509, Wednesday!B17, Wednesday!$G$756:$G$1509)</f>
        <v>34.221586218991298</v>
      </c>
      <c r="I18" s="30">
        <f>AVERAGEIF(Thursday!$B$2:$B$755, Thursday!B17, Thursday!$G$2:$G$755)</f>
        <v>49.791838143246693</v>
      </c>
      <c r="J18" s="30">
        <f>AVERAGEIF(Thursday!$B$756:$B$1509, Thursday!B17, Thursday!$G$756:$G$1509)</f>
        <v>40.493738553909196</v>
      </c>
      <c r="K18" s="30">
        <f>AVERAGEIF(Friday!$B$2:$B$755, Friday!B17, Friday!$G$2:$G$755)</f>
        <v>47.41179012925609</v>
      </c>
      <c r="L18" s="30">
        <f>AVERAGEIF(Friday!$B$756:$B$1509, Friday!B17, Friday!$G$756:$G$1509)</f>
        <v>35.283060967547954</v>
      </c>
      <c r="M18" s="30">
        <f>AVERAGEIF(Saturday!$B$2:$B$755, Saturday!B17, Saturday!$G$2:$G$755)</f>
        <v>52.272049017592295</v>
      </c>
      <c r="N18" s="30">
        <f>AVERAGEIF(Saturday!$B$756:$B$1509, Saturday!B17, Saturday!$G$756:$G$1509)</f>
        <v>48.820069600492459</v>
      </c>
      <c r="O18" s="30">
        <f>AVERAGEIF(Sunday!$B$2:$B$755, Sunday!B17, Sunday!$G$2:$G$755)</f>
        <v>52.610106055448142</v>
      </c>
      <c r="P18" s="30">
        <f>AVERAGEIF(Sunday!$B$756:$B$1509, Sunday!B17, Sunday!$G$756:$G$1509)</f>
        <v>51.600696210155959</v>
      </c>
      <c r="Q18" s="35">
        <f t="shared" si="8"/>
        <v>48.42425657075789</v>
      </c>
      <c r="R18" s="30" t="str">
        <f t="shared" si="4"/>
        <v>Free Flow</v>
      </c>
      <c r="S18" s="35">
        <f t="shared" si="9"/>
        <v>37.875769168927732</v>
      </c>
      <c r="T18" s="30" t="str">
        <f t="shared" si="0"/>
        <v>Free Flow</v>
      </c>
      <c r="U18" s="35">
        <f t="shared" si="5"/>
        <v>52.441077536520218</v>
      </c>
      <c r="V18" s="29" t="str">
        <f t="shared" si="12"/>
        <v>Free Flow</v>
      </c>
      <c r="W18" s="35">
        <f t="shared" si="1"/>
        <v>50.210382905324209</v>
      </c>
      <c r="X18" s="29" t="str">
        <f t="shared" si="6"/>
        <v>Free Flow</v>
      </c>
      <c r="Y18" s="30">
        <f t="shared" si="2"/>
        <v>50.432667053639051</v>
      </c>
      <c r="Z18" s="30"/>
      <c r="AA18" s="30">
        <f t="shared" si="3"/>
        <v>44.043076037125971</v>
      </c>
      <c r="AB18" s="8">
        <f t="shared" si="7"/>
        <v>47.237871545382518</v>
      </c>
      <c r="AC18" s="49" t="str">
        <f t="shared" ref="AC18:AC61" si="14">IF(AB18&gt;40,"Free Flow",IF(AB18&gt;=20,"Moderate","Heavy"))</f>
        <v>Free Flow</v>
      </c>
    </row>
    <row r="19" spans="1:29" x14ac:dyDescent="0.25">
      <c r="A19" s="33">
        <v>17</v>
      </c>
      <c r="B19">
        <v>1.51</v>
      </c>
      <c r="C19" s="30">
        <f>AVERAGEIF(Monday!$B$2:$B$755, Monday!B18, Monday!$G$2:$G$755)</f>
        <v>30.972547362454382</v>
      </c>
      <c r="D19" s="30">
        <f>AVERAGEIF(Monday!$B$756:$B$1509, Monday!B18, Monday!$G$756:$G$1509)</f>
        <v>22.907123230210779</v>
      </c>
      <c r="E19" s="30">
        <f>AVERAGEIF(Tuesday!$B$2:$B$755, Tuesday!B18, Tuesday!$G$2:$G$755)</f>
        <v>30.199224914584082</v>
      </c>
      <c r="F19" s="30">
        <f>AVERAGEIF(Tuesday!$B$756:$B$1509, Tuesday!B18, Tuesday!$G$756:$G$1509)</f>
        <v>24.405629837261294</v>
      </c>
      <c r="G19" s="30">
        <f>AVERAGEIF(Wednesday!$B$2:$B$755, Wednesday!B18, Wednesday!$G$2:$G$755)</f>
        <v>30.541713326706908</v>
      </c>
      <c r="H19" s="30">
        <f>AVERAGEIF(Wednesday!$B$756:$B$1509, Wednesday!B18, Wednesday!$G$756:$G$1509)</f>
        <v>23.952980574940128</v>
      </c>
      <c r="I19" s="30">
        <f>AVERAGEIF(Thursday!$B$2:$B$755, Thursday!B18, Thursday!$G$2:$G$755)</f>
        <v>30.926084926358822</v>
      </c>
      <c r="J19" s="30">
        <f>AVERAGEIF(Thursday!$B$756:$B$1509, Thursday!B18, Thursday!$G$756:$G$1509)</f>
        <v>24.077626775683346</v>
      </c>
      <c r="K19" s="30">
        <f>AVERAGEIF(Friday!$B$2:$B$755, Friday!B18, Friday!$G$2:$G$755)</f>
        <v>30.762774653743051</v>
      </c>
      <c r="L19" s="30">
        <f>AVERAGEIF(Friday!$B$756:$B$1509, Friday!B18, Friday!$G$756:$G$1509)</f>
        <v>24.013837776996013</v>
      </c>
      <c r="M19" s="30">
        <f>AVERAGEIF(Saturday!$B$2:$B$755, Saturday!B18, Saturday!$G$2:$G$755)</f>
        <v>36.432038335747315</v>
      </c>
      <c r="N19" s="30">
        <f>AVERAGEIF(Saturday!$B$756:$B$1509, Saturday!B18, Saturday!$G$756:$G$1509)</f>
        <v>29.986584796499148</v>
      </c>
      <c r="O19" s="30">
        <f>AVERAGEIF(Sunday!$B$2:$B$755, Sunday!B18, Sunday!$G$2:$G$755)</f>
        <v>40.011533556654811</v>
      </c>
      <c r="P19" s="30">
        <f>AVERAGEIF(Sunday!$B$756:$B$1509, Sunday!B18, Sunday!$G$756:$G$1509)</f>
        <v>35.378125838926387</v>
      </c>
      <c r="Q19" s="35">
        <f t="shared" si="8"/>
        <v>30.680469036769448</v>
      </c>
      <c r="R19" s="30" t="str">
        <f t="shared" si="4"/>
        <v>Moderate</v>
      </c>
      <c r="S19" s="35">
        <f t="shared" si="9"/>
        <v>23.871439639018313</v>
      </c>
      <c r="T19" s="30" t="str">
        <f t="shared" si="0"/>
        <v>Moderate</v>
      </c>
      <c r="U19" s="35">
        <f t="shared" si="5"/>
        <v>38.221785946201067</v>
      </c>
      <c r="V19" s="29" t="str">
        <f t="shared" si="12"/>
        <v>Free Flow</v>
      </c>
      <c r="W19" s="35">
        <f t="shared" si="1"/>
        <v>32.682355317712769</v>
      </c>
      <c r="X19" s="29" t="str">
        <f t="shared" si="6"/>
        <v>Moderate</v>
      </c>
      <c r="Y19" s="30">
        <f t="shared" si="2"/>
        <v>34.451127491485259</v>
      </c>
      <c r="Z19" s="30"/>
      <c r="AA19" s="30">
        <f t="shared" si="3"/>
        <v>28.276897478365541</v>
      </c>
      <c r="AB19" s="8">
        <f t="shared" si="7"/>
        <v>31.364012484925397</v>
      </c>
      <c r="AC19" t="str">
        <f t="shared" si="14"/>
        <v>Moderate</v>
      </c>
    </row>
    <row r="20" spans="1:29" x14ac:dyDescent="0.25">
      <c r="A20" s="33">
        <v>18</v>
      </c>
      <c r="B20">
        <v>1.51</v>
      </c>
      <c r="C20" s="30">
        <f>AVERAGEIF(Monday!$B$2:$B$755, Monday!B19, Monday!$G$2:$G$755)</f>
        <v>29.747653580458287</v>
      </c>
      <c r="D20" s="30">
        <f>AVERAGEIF(Monday!$B$756:$B$1509, Monday!B19, Monday!$G$756:$G$1509)</f>
        <v>22.33744396180494</v>
      </c>
      <c r="E20" s="30">
        <f>AVERAGEIF(Tuesday!$B$2:$B$755, Tuesday!B19, Tuesday!$G$2:$G$755)</f>
        <v>29.421577827985661</v>
      </c>
      <c r="F20" s="30">
        <f>AVERAGEIF(Tuesday!$B$756:$B$1509, Tuesday!B19, Tuesday!$G$756:$G$1509)</f>
        <v>23.532881791349268</v>
      </c>
      <c r="G20" s="30">
        <f>AVERAGEIF(Wednesday!$B$2:$B$755, Wednesday!B19, Wednesday!$G$2:$G$755)</f>
        <v>30.993295703379111</v>
      </c>
      <c r="H20" s="30">
        <f>AVERAGEIF(Wednesday!$B$756:$B$1509, Wednesday!B19, Wednesday!$G$756:$G$1509)</f>
        <v>22.978918082943679</v>
      </c>
      <c r="I20" s="30">
        <f>AVERAGEIF(Thursday!$B$2:$B$755, Thursday!B19, Thursday!$G$2:$G$755)</f>
        <v>30.331368572645644</v>
      </c>
      <c r="J20" s="30">
        <f>AVERAGEIF(Thursday!$B$756:$B$1509, Thursday!B19, Thursday!$G$756:$G$1509)</f>
        <v>23.175049898385932</v>
      </c>
      <c r="K20" s="30">
        <f>AVERAGEIF(Friday!$B$2:$B$755, Friday!B19, Friday!$G$2:$G$755)</f>
        <v>30.502972695599929</v>
      </c>
      <c r="L20" s="30">
        <f>AVERAGEIF(Friday!$B$756:$B$1509, Friday!B19, Friday!$G$756:$G$1509)</f>
        <v>22.645471040857128</v>
      </c>
      <c r="M20" s="30">
        <f>AVERAGEIF(Saturday!$B$2:$B$755, Saturday!B19, Saturday!$G$2:$G$755)</f>
        <v>33.836886821263136</v>
      </c>
      <c r="N20" s="30">
        <f>AVERAGEIF(Saturday!$B$756:$B$1509, Saturday!B19, Saturday!$G$756:$G$1509)</f>
        <v>28.449011053734999</v>
      </c>
      <c r="O20" s="30">
        <f>AVERAGEIF(Sunday!$B$2:$B$755, Sunday!B19, Sunday!$G$2:$G$755)</f>
        <v>36.557426150775548</v>
      </c>
      <c r="P20" s="30">
        <f>AVERAGEIF(Sunday!$B$756:$B$1509, Sunday!B19, Sunday!$G$756:$G$1509)</f>
        <v>32.735832957525574</v>
      </c>
      <c r="Q20" s="35">
        <f t="shared" si="8"/>
        <v>30.199373676013728</v>
      </c>
      <c r="R20" s="30" t="str">
        <f t="shared" si="4"/>
        <v>Moderate</v>
      </c>
      <c r="S20" s="35">
        <f t="shared" si="9"/>
        <v>22.93395295506819</v>
      </c>
      <c r="T20" s="30" t="str">
        <f t="shared" si="0"/>
        <v>Moderate</v>
      </c>
      <c r="U20" s="35">
        <f t="shared" si="5"/>
        <v>35.197156486019338</v>
      </c>
      <c r="V20" s="29" t="str">
        <f t="shared" si="12"/>
        <v>Moderate</v>
      </c>
      <c r="W20" s="35">
        <f t="shared" si="1"/>
        <v>30.592422005630286</v>
      </c>
      <c r="X20" s="29" t="str">
        <f t="shared" si="6"/>
        <v>Moderate</v>
      </c>
      <c r="Y20" s="30">
        <f t="shared" si="2"/>
        <v>32.69826508101653</v>
      </c>
      <c r="Z20" s="30"/>
      <c r="AA20" s="30">
        <f t="shared" si="3"/>
        <v>26.763187480349238</v>
      </c>
      <c r="AB20" s="8">
        <f t="shared" si="7"/>
        <v>29.730726280682884</v>
      </c>
      <c r="AC20" t="str">
        <f t="shared" si="14"/>
        <v>Moderate</v>
      </c>
    </row>
    <row r="21" spans="1:29" x14ac:dyDescent="0.25">
      <c r="A21" s="33">
        <v>19</v>
      </c>
      <c r="B21">
        <v>1.5</v>
      </c>
      <c r="C21" s="30">
        <f>AVERAGEIF(Monday!$B$2:$B$755, Monday!B20, Monday!$G$2:$G$755)</f>
        <v>22.845189236917101</v>
      </c>
      <c r="D21" s="30">
        <f>AVERAGEIF(Monday!$B$756:$B$1509, Monday!B20, Monday!$G$756:$G$1509)</f>
        <v>23.037127995669827</v>
      </c>
      <c r="E21" s="30">
        <f>AVERAGEIF(Tuesday!$B$2:$B$755, Tuesday!B20, Tuesday!$G$2:$G$755)</f>
        <v>22.625997384222899</v>
      </c>
      <c r="F21" s="30">
        <f>AVERAGEIF(Tuesday!$B$756:$B$1509, Tuesday!B20, Tuesday!$G$756:$G$1509)</f>
        <v>23.935237877901791</v>
      </c>
      <c r="G21" s="30">
        <f>AVERAGEIF(Wednesday!$B$2:$B$755, Wednesday!B20, Wednesday!$G$2:$G$755)</f>
        <v>22.786968475710811</v>
      </c>
      <c r="H21" s="30">
        <f>AVERAGEIF(Wednesday!$B$756:$B$1509, Wednesday!B20, Wednesday!$G$756:$G$1509)</f>
        <v>23.593365930583129</v>
      </c>
      <c r="I21" s="30">
        <f>AVERAGEIF(Thursday!$B$2:$B$755, Thursday!B20, Thursday!$G$2:$G$755)</f>
        <v>22.838898911155898</v>
      </c>
      <c r="J21" s="30">
        <f>AVERAGEIF(Thursday!$B$756:$B$1509, Thursday!B20, Thursday!$G$756:$G$1509)</f>
        <v>23.484299900738815</v>
      </c>
      <c r="K21" s="30">
        <f>AVERAGEIF(Friday!$B$2:$B$755, Friday!B20, Friday!$G$2:$G$755)</f>
        <v>23.023023024258695</v>
      </c>
      <c r="L21" s="30">
        <f>AVERAGEIF(Friday!$B$756:$B$1509, Friday!B20, Friday!$G$756:$G$1509)</f>
        <v>23.480057078866288</v>
      </c>
      <c r="M21" s="30">
        <f>AVERAGEIF(Saturday!$B$2:$B$755, Saturday!B20, Saturday!$G$2:$G$755)</f>
        <v>26.959456805674165</v>
      </c>
      <c r="N21" s="30">
        <f>AVERAGEIF(Saturday!$B$756:$B$1509, Saturday!B20, Saturday!$G$756:$G$1509)</f>
        <v>25.030600873468355</v>
      </c>
      <c r="O21" s="30">
        <f>AVERAGEIF(Sunday!$B$2:$B$755, Sunday!B20, Sunday!$G$2:$G$755)</f>
        <v>29.988901459409142</v>
      </c>
      <c r="P21" s="30">
        <f>AVERAGEIF(Sunday!$B$756:$B$1509, Sunday!B20, Sunday!$G$756:$G$1509)</f>
        <v>27.246641831848187</v>
      </c>
      <c r="Q21" s="35">
        <f t="shared" si="8"/>
        <v>22.824015406453078</v>
      </c>
      <c r="R21" s="30" t="str">
        <f t="shared" si="4"/>
        <v>Moderate</v>
      </c>
      <c r="S21" s="35">
        <f t="shared" si="9"/>
        <v>23.506017756751969</v>
      </c>
      <c r="T21" s="30" t="str">
        <f t="shared" si="0"/>
        <v>Moderate</v>
      </c>
      <c r="U21" s="35">
        <f t="shared" si="5"/>
        <v>28.474179132541654</v>
      </c>
      <c r="V21" s="29" t="str">
        <f t="shared" si="12"/>
        <v>Moderate</v>
      </c>
      <c r="W21" s="35">
        <f t="shared" si="1"/>
        <v>26.138621352658269</v>
      </c>
      <c r="X21" s="29" t="str">
        <f t="shared" si="6"/>
        <v>Moderate</v>
      </c>
      <c r="Y21" s="30">
        <f t="shared" si="2"/>
        <v>25.649097269497368</v>
      </c>
      <c r="Z21" s="30"/>
      <c r="AA21" s="30">
        <f t="shared" si="3"/>
        <v>24.822319554705118</v>
      </c>
      <c r="AB21" s="8">
        <f t="shared" si="7"/>
        <v>25.235708412101239</v>
      </c>
      <c r="AC21" t="str">
        <f>IF(AB21&gt;40,"Free Flow",IF(AB21&gt;=20,"Moderate","Heavy"))</f>
        <v>Moderate</v>
      </c>
    </row>
    <row r="22" spans="1:29" x14ac:dyDescent="0.25">
      <c r="A22" s="33">
        <v>20</v>
      </c>
      <c r="B22">
        <v>1.48</v>
      </c>
      <c r="C22" s="30">
        <f>AVERAGEIF(Monday!$B$2:$B$755, Monday!B21, Monday!$G$2:$G$755)</f>
        <v>23.136879768174687</v>
      </c>
      <c r="D22" s="30">
        <f>AVERAGEIF(Monday!$B$756:$B$1509, Monday!B21, Monday!$G$756:$G$1509)</f>
        <v>24.838267503678317</v>
      </c>
      <c r="E22" s="30">
        <f>AVERAGEIF(Tuesday!$B$2:$B$755, Tuesday!B21, Tuesday!$G$2:$G$755)</f>
        <v>22.039735178370769</v>
      </c>
      <c r="F22" s="30">
        <f>AVERAGEIF(Tuesday!$B$756:$B$1509, Tuesday!B21, Tuesday!$G$756:$G$1509)</f>
        <v>24.968446810423838</v>
      </c>
      <c r="G22" s="30">
        <f>AVERAGEIF(Wednesday!$B$2:$B$755, Wednesday!B21, Wednesday!$G$2:$G$755)</f>
        <v>23.0071005824637</v>
      </c>
      <c r="H22" s="30">
        <f>AVERAGEIF(Wednesday!$B$756:$B$1509, Wednesday!B21, Wednesday!$G$756:$G$1509)</f>
        <v>25.139678889665227</v>
      </c>
      <c r="I22" s="30">
        <f>AVERAGEIF(Thursday!$B$2:$B$755, Thursday!B21, Thursday!$G$2:$G$755)</f>
        <v>22.677844088618141</v>
      </c>
      <c r="J22" s="30">
        <f>AVERAGEIF(Thursday!$B$756:$B$1509, Thursday!B21, Thursday!$G$756:$G$1509)</f>
        <v>24.286854915434407</v>
      </c>
      <c r="K22" s="30">
        <f>AVERAGEIF(Friday!$B$2:$B$755, Friday!B21, Friday!$G$2:$G$755)</f>
        <v>23.712080718612171</v>
      </c>
      <c r="L22" s="30">
        <f>AVERAGEIF(Friday!$B$756:$B$1509, Friday!B21, Friday!$G$756:$G$1509)</f>
        <v>23.567889402454909</v>
      </c>
      <c r="M22" s="30">
        <f>AVERAGEIF(Saturday!$B$2:$B$755, Saturday!B21, Saturday!$G$2:$G$755)</f>
        <v>26.620114434953912</v>
      </c>
      <c r="N22" s="30">
        <f>AVERAGEIF(Saturday!$B$756:$B$1509, Saturday!B21, Saturday!$G$756:$G$1509)</f>
        <v>25.703428375253921</v>
      </c>
      <c r="O22" s="30">
        <f>AVERAGEIF(Sunday!$B$2:$B$755, Sunday!B21, Sunday!$G$2:$G$755)</f>
        <v>29.470755227180625</v>
      </c>
      <c r="P22" s="30">
        <f>AVERAGEIF(Sunday!$B$756:$B$1509, Sunday!B21, Sunday!$G$756:$G$1509)</f>
        <v>27.871469345286894</v>
      </c>
      <c r="Q22" s="35">
        <f t="shared" si="8"/>
        <v>22.914728067247896</v>
      </c>
      <c r="R22" s="30" t="str">
        <f t="shared" si="4"/>
        <v>Moderate</v>
      </c>
      <c r="S22" s="35">
        <f t="shared" si="9"/>
        <v>24.560227504331337</v>
      </c>
      <c r="T22" s="30" t="str">
        <f t="shared" si="0"/>
        <v>Moderate</v>
      </c>
      <c r="U22" s="35">
        <f t="shared" si="5"/>
        <v>28.045434831067269</v>
      </c>
      <c r="V22" s="29" t="str">
        <f t="shared" si="12"/>
        <v>Moderate</v>
      </c>
      <c r="W22" s="35">
        <f t="shared" si="1"/>
        <v>26.787448860270409</v>
      </c>
      <c r="X22" s="29" t="str">
        <f t="shared" si="6"/>
        <v>Moderate</v>
      </c>
      <c r="Y22" s="30">
        <f t="shared" si="2"/>
        <v>25.480081449157581</v>
      </c>
      <c r="Z22" s="30"/>
      <c r="AA22" s="30">
        <f t="shared" si="3"/>
        <v>25.673838182300873</v>
      </c>
      <c r="AB22" s="8">
        <f t="shared" si="7"/>
        <v>25.576959815729225</v>
      </c>
      <c r="AC22" t="str">
        <f t="shared" si="14"/>
        <v>Moderate</v>
      </c>
    </row>
    <row r="23" spans="1:29" x14ac:dyDescent="0.25">
      <c r="A23" s="33">
        <v>21</v>
      </c>
      <c r="B23">
        <v>1.51</v>
      </c>
      <c r="C23" s="30">
        <f>AVERAGEIF(Monday!$B$2:$B$755, Monday!B22, Monday!$G$2:$G$755)</f>
        <v>24.306029606674478</v>
      </c>
      <c r="D23" s="30">
        <f>AVERAGEIF(Monday!$B$756:$B$1509, Monday!B22, Monday!$G$756:$G$1509)</f>
        <v>25.424863902456487</v>
      </c>
      <c r="E23" s="30">
        <f>AVERAGEIF(Tuesday!$B$2:$B$755, Tuesday!B22, Tuesday!$G$2:$G$755)</f>
        <v>24.093637412468958</v>
      </c>
      <c r="F23" s="30">
        <f>AVERAGEIF(Tuesday!$B$756:$B$1509, Tuesday!B22, Tuesday!$G$756:$G$1509)</f>
        <v>24.848748892566196</v>
      </c>
      <c r="G23" s="30">
        <f>AVERAGEIF(Wednesday!$B$2:$B$755, Wednesday!B22, Wednesday!$G$2:$G$755)</f>
        <v>24.853707317514321</v>
      </c>
      <c r="H23" s="30">
        <f>AVERAGEIF(Wednesday!$B$756:$B$1509, Wednesday!B22, Wednesday!$G$756:$G$1509)</f>
        <v>24.679078029560451</v>
      </c>
      <c r="I23" s="30">
        <f>AVERAGEIF(Thursday!$B$2:$B$755, Thursday!B22, Thursday!$G$2:$G$755)</f>
        <v>24.49411238765655</v>
      </c>
      <c r="J23" s="30">
        <f>AVERAGEIF(Thursday!$B$756:$B$1509, Thursday!B22, Thursday!$G$756:$G$1509)</f>
        <v>23.992089629825355</v>
      </c>
      <c r="K23" s="30">
        <f>AVERAGEIF(Friday!$B$2:$B$755, Friday!B22, Friday!$G$2:$G$755)</f>
        <v>25.302299505083305</v>
      </c>
      <c r="L23" s="30">
        <f>AVERAGEIF(Friday!$B$756:$B$1509, Friday!B22, Friday!$G$756:$G$1509)</f>
        <v>23.068108085674474</v>
      </c>
      <c r="M23" s="30">
        <f>AVERAGEIF(Saturday!$B$2:$B$755, Saturday!B22, Saturday!$G$2:$G$755)</f>
        <v>31.538307423711764</v>
      </c>
      <c r="N23" s="30">
        <f>AVERAGEIF(Saturday!$B$756:$B$1509, Saturday!B22, Saturday!$G$756:$G$1509)</f>
        <v>28.286631913836963</v>
      </c>
      <c r="O23" s="30">
        <f>AVERAGEIF(Sunday!$B$2:$B$755, Sunday!B22, Sunday!$G$2:$G$755)</f>
        <v>34.637886494810516</v>
      </c>
      <c r="P23" s="30">
        <f>AVERAGEIF(Sunday!$B$756:$B$1509, Sunday!B22, Sunday!$G$756:$G$1509)</f>
        <v>31.07031075200716</v>
      </c>
      <c r="Q23" s="35">
        <f t="shared" si="8"/>
        <v>24.609957245879524</v>
      </c>
      <c r="R23" s="30" t="str">
        <f t="shared" si="4"/>
        <v>Moderate</v>
      </c>
      <c r="S23" s="35">
        <f t="shared" si="9"/>
        <v>24.402577708016594</v>
      </c>
      <c r="T23" s="30" t="str">
        <f t="shared" si="0"/>
        <v>Moderate</v>
      </c>
      <c r="U23" s="35">
        <f t="shared" si="5"/>
        <v>33.088096959261136</v>
      </c>
      <c r="V23" s="29" t="str">
        <f t="shared" si="12"/>
        <v>Moderate</v>
      </c>
      <c r="W23" s="35">
        <f t="shared" si="1"/>
        <v>29.678471332922062</v>
      </c>
      <c r="X23" s="29" t="str">
        <f t="shared" si="6"/>
        <v>Moderate</v>
      </c>
      <c r="Y23" s="30">
        <f t="shared" si="2"/>
        <v>28.849027102570332</v>
      </c>
      <c r="Z23" s="30"/>
      <c r="AA23" s="30">
        <f t="shared" si="3"/>
        <v>27.040524520469326</v>
      </c>
      <c r="AB23" s="8">
        <f t="shared" si="7"/>
        <v>27.944775811519829</v>
      </c>
      <c r="AC23" t="str">
        <f t="shared" si="14"/>
        <v>Moderate</v>
      </c>
    </row>
    <row r="24" spans="1:29" x14ac:dyDescent="0.25">
      <c r="A24" s="33">
        <v>22</v>
      </c>
      <c r="B24">
        <v>1.57</v>
      </c>
      <c r="C24" s="30">
        <f>AVERAGEIF(Monday!$B$2:$B$755, Monday!B23, Monday!$G$2:$G$755)</f>
        <v>25.059263899462298</v>
      </c>
      <c r="D24" s="30">
        <f>AVERAGEIF(Monday!$B$756:$B$1509, Monday!B23, Monday!$G$756:$G$1509)</f>
        <v>23.73620855702562</v>
      </c>
      <c r="E24" s="30">
        <f>AVERAGEIF(Tuesday!$B$2:$B$755, Tuesday!B23, Tuesday!$G$2:$G$755)</f>
        <v>24.898261894725788</v>
      </c>
      <c r="F24" s="30">
        <f>AVERAGEIF(Tuesday!$B$756:$B$1509, Tuesday!B23, Tuesday!$G$756:$G$1509)</f>
        <v>22.605489986267571</v>
      </c>
      <c r="G24" s="30">
        <f>AVERAGEIF(Wednesday!$B$2:$B$755, Wednesday!B23, Wednesday!$G$2:$G$755)</f>
        <v>26.119349650819991</v>
      </c>
      <c r="H24" s="30">
        <f>AVERAGEIF(Wednesday!$B$756:$B$1509, Wednesday!B23, Wednesday!$G$756:$G$1509)</f>
        <v>21.746468053876335</v>
      </c>
      <c r="I24" s="30">
        <f>AVERAGEIF(Thursday!$B$2:$B$755, Thursday!B23, Thursday!$G$2:$G$755)</f>
        <v>25.477665566357533</v>
      </c>
      <c r="J24" s="30">
        <f>AVERAGEIF(Thursday!$B$756:$B$1509, Thursday!B23, Thursday!$G$756:$G$1509)</f>
        <v>21.927315026299141</v>
      </c>
      <c r="K24" s="30">
        <f>AVERAGEIF(Friday!$B$2:$B$755, Friday!B23, Friday!$G$2:$G$755)</f>
        <v>25.193765685437345</v>
      </c>
      <c r="L24" s="30">
        <f>AVERAGEIF(Friday!$B$756:$B$1509, Friday!B23, Friday!$G$756:$G$1509)</f>
        <v>20.436724209910214</v>
      </c>
      <c r="M24" s="30">
        <f>AVERAGEIF(Saturday!$B$2:$B$755, Saturday!B23, Saturday!$G$2:$G$755)</f>
        <v>30.438560515490124</v>
      </c>
      <c r="N24" s="30">
        <f>AVERAGEIF(Saturday!$B$756:$B$1509, Saturday!B23, Saturday!$G$756:$G$1509)</f>
        <v>27.994504116363576</v>
      </c>
      <c r="O24" s="30">
        <f>AVERAGEIF(Sunday!$B$2:$B$755, Sunday!B23, Sunday!$G$2:$G$755)</f>
        <v>33.656210100956663</v>
      </c>
      <c r="P24" s="30">
        <f>AVERAGEIF(Sunday!$B$756:$B$1509, Sunday!B23, Sunday!$G$756:$G$1509)</f>
        <v>30.308666936155014</v>
      </c>
      <c r="Q24" s="35">
        <f t="shared" si="8"/>
        <v>25.349661339360591</v>
      </c>
      <c r="R24" s="30" t="str">
        <f t="shared" si="4"/>
        <v>Moderate</v>
      </c>
      <c r="S24" s="35">
        <f t="shared" si="9"/>
        <v>22.090441166675777</v>
      </c>
      <c r="T24" s="30" t="str">
        <f t="shared" si="0"/>
        <v>Moderate</v>
      </c>
      <c r="U24" s="35">
        <f t="shared" si="5"/>
        <v>32.047385308223397</v>
      </c>
      <c r="V24" s="29" t="str">
        <f t="shared" si="12"/>
        <v>Moderate</v>
      </c>
      <c r="W24" s="35">
        <f t="shared" si="1"/>
        <v>29.151585526259296</v>
      </c>
      <c r="X24" s="29" t="str">
        <f t="shared" si="6"/>
        <v>Moderate</v>
      </c>
      <c r="Y24" s="30">
        <f t="shared" si="2"/>
        <v>28.698523323791996</v>
      </c>
      <c r="Z24" s="30"/>
      <c r="AA24" s="30">
        <f t="shared" si="3"/>
        <v>25.621013346467535</v>
      </c>
      <c r="AB24" s="8">
        <f t="shared" si="7"/>
        <v>27.159768335129765</v>
      </c>
      <c r="AC24" t="str">
        <f>IF(AB24&gt;40,"Free Flow",IF(AB24&gt;=20,"Moderate","Heavy"))</f>
        <v>Moderate</v>
      </c>
    </row>
    <row r="25" spans="1:29" x14ac:dyDescent="0.25">
      <c r="A25" s="33">
        <v>23</v>
      </c>
      <c r="B25">
        <v>1.43</v>
      </c>
      <c r="C25" s="30">
        <f>AVERAGEIF(Monday!$B$2:$B$755, Monday!B24, Monday!$G$2:$G$755)</f>
        <v>22.06938651187928</v>
      </c>
      <c r="D25" s="30">
        <f>AVERAGEIF(Monday!$B$756:$B$1509, Monday!B24, Monday!$G$756:$G$1509)</f>
        <v>16.989242675363009</v>
      </c>
      <c r="E25" s="30">
        <f>AVERAGEIF(Tuesday!$B$2:$B$755, Tuesday!B24, Tuesday!$G$2:$G$755)</f>
        <v>22.267162910453173</v>
      </c>
      <c r="F25" s="30">
        <f>AVERAGEIF(Tuesday!$B$756:$B$1509, Tuesday!B24, Tuesday!$G$756:$G$1509)</f>
        <v>16.812024531142772</v>
      </c>
      <c r="G25" s="30">
        <f>AVERAGEIF(Wednesday!$B$2:$B$755, Wednesday!B24, Wednesday!$G$2:$G$755)</f>
        <v>22.3517498015296</v>
      </c>
      <c r="H25" s="30">
        <f>AVERAGEIF(Wednesday!$B$756:$B$1509, Wednesday!B24, Wednesday!$G$756:$G$1509)</f>
        <v>16.743075166619043</v>
      </c>
      <c r="I25" s="30">
        <f>AVERAGEIF(Thursday!$B$2:$B$755, Thursday!B24, Thursday!$G$2:$G$755)</f>
        <v>21.672298247226916</v>
      </c>
      <c r="J25" s="30">
        <f>AVERAGEIF(Thursday!$B$756:$B$1509, Thursday!B24, Thursday!$G$756:$G$1509)</f>
        <v>17.450045125558191</v>
      </c>
      <c r="K25" s="30">
        <f>AVERAGEIF(Friday!$B$2:$B$755, Friday!B24, Friday!$G$2:$G$755)</f>
        <v>22.494098517998772</v>
      </c>
      <c r="L25" s="30">
        <f>AVERAGEIF(Friday!$B$756:$B$1509, Friday!B24, Friday!$G$756:$G$1509)</f>
        <v>16.310821142928432</v>
      </c>
      <c r="M25" s="30">
        <f>AVERAGEIF(Saturday!$B$2:$B$755, Saturday!B24, Saturday!$G$2:$G$755)</f>
        <v>27.960742208931496</v>
      </c>
      <c r="N25" s="30">
        <f>AVERAGEIF(Saturday!$B$756:$B$1509, Saturday!B24, Saturday!$G$756:$G$1509)</f>
        <v>21.568163704137721</v>
      </c>
      <c r="O25" s="30">
        <f>AVERAGEIF(Sunday!$B$2:$B$755, Sunday!B24, Sunday!$G$2:$G$755)</f>
        <v>31.058819972102246</v>
      </c>
      <c r="P25" s="30">
        <f>AVERAGEIF(Sunday!$B$756:$B$1509, Sunday!B24, Sunday!$G$756:$G$1509)</f>
        <v>26.871228451806697</v>
      </c>
      <c r="Q25" s="35">
        <f t="shared" si="8"/>
        <v>22.170939197817553</v>
      </c>
      <c r="R25" s="30" t="str">
        <f t="shared" si="4"/>
        <v>Moderate</v>
      </c>
      <c r="S25" s="35">
        <f t="shared" si="9"/>
        <v>16.861041728322288</v>
      </c>
      <c r="T25" s="30" t="str">
        <f t="shared" si="0"/>
        <v>Heavy</v>
      </c>
      <c r="U25" s="35">
        <f t="shared" si="5"/>
        <v>29.509781090516871</v>
      </c>
      <c r="V25" s="29" t="str">
        <f t="shared" si="12"/>
        <v>Moderate</v>
      </c>
      <c r="W25" s="35">
        <f t="shared" si="1"/>
        <v>24.219696077972209</v>
      </c>
      <c r="X25" s="29" t="str">
        <f t="shared" si="6"/>
        <v>Moderate</v>
      </c>
      <c r="Y25" s="30">
        <f t="shared" si="2"/>
        <v>25.840360144167214</v>
      </c>
      <c r="Z25" s="30"/>
      <c r="AA25" s="30">
        <f t="shared" si="3"/>
        <v>20.540368903147247</v>
      </c>
      <c r="AB25" s="8">
        <f t="shared" si="7"/>
        <v>23.19036452365723</v>
      </c>
      <c r="AC25" t="str">
        <f t="shared" si="14"/>
        <v>Moderate</v>
      </c>
    </row>
    <row r="26" spans="1:29" x14ac:dyDescent="0.25">
      <c r="A26" s="33">
        <v>24</v>
      </c>
      <c r="B26">
        <v>1.52</v>
      </c>
      <c r="C26" s="30">
        <f>AVERAGEIF(Monday!$B$2:$B$755, Monday!B25, Monday!$G$2:$G$755)</f>
        <v>24.712636942465672</v>
      </c>
      <c r="D26" s="30">
        <f>AVERAGEIF(Monday!$B$756:$B$1509, Monday!B25, Monday!$G$756:$G$1509)</f>
        <v>22.214896125730256</v>
      </c>
      <c r="E26" s="30">
        <f>AVERAGEIF(Tuesday!$B$2:$B$755, Tuesday!B25, Tuesday!$G$2:$G$755)</f>
        <v>24.847048229353625</v>
      </c>
      <c r="F26" s="30">
        <f>AVERAGEIF(Tuesday!$B$756:$B$1509, Tuesday!B25, Tuesday!$G$756:$G$1509)</f>
        <v>22.133319099134624</v>
      </c>
      <c r="G26" s="30">
        <f>AVERAGEIF(Wednesday!$B$2:$B$755, Wednesday!B25, Wednesday!$G$2:$G$755)</f>
        <v>25.390012358021899</v>
      </c>
      <c r="H26" s="30">
        <f>AVERAGEIF(Wednesday!$B$756:$B$1509, Wednesday!B25, Wednesday!$G$756:$G$1509)</f>
        <v>22.109698962635061</v>
      </c>
      <c r="I26" s="30">
        <f>AVERAGEIF(Thursday!$B$2:$B$755, Thursday!B25, Thursday!$G$2:$G$755)</f>
        <v>24.553024493597515</v>
      </c>
      <c r="J26" s="30">
        <f>AVERAGEIF(Thursday!$B$756:$B$1509, Thursday!B25, Thursday!$G$756:$G$1509)</f>
        <v>21.735432363828412</v>
      </c>
      <c r="K26" s="30">
        <f>AVERAGEIF(Friday!$B$2:$B$755, Friday!B25, Friday!$G$2:$G$755)</f>
        <v>24.971927760472248</v>
      </c>
      <c r="L26" s="30">
        <f>AVERAGEIF(Friday!$B$756:$B$1509, Friday!B25, Friday!$G$756:$G$1509)</f>
        <v>21.237120034892943</v>
      </c>
      <c r="M26" s="30">
        <f>AVERAGEIF(Saturday!$B$2:$B$755, Saturday!B25, Saturday!$G$2:$G$755)</f>
        <v>31.043524759082235</v>
      </c>
      <c r="N26" s="30">
        <f>AVERAGEIF(Saturday!$B$756:$B$1509, Saturday!B25, Saturday!$G$756:$G$1509)</f>
        <v>27.867314324912986</v>
      </c>
      <c r="O26" s="30">
        <f>AVERAGEIF(Sunday!$B$2:$B$755, Sunday!B25, Sunday!$G$2:$G$755)</f>
        <v>33.112002715143383</v>
      </c>
      <c r="P26" s="30">
        <f>AVERAGEIF(Sunday!$B$756:$B$1509, Sunday!B25, Sunday!$G$756:$G$1509)</f>
        <v>30.127912508804975</v>
      </c>
      <c r="Q26" s="35">
        <f t="shared" si="8"/>
        <v>24.894929956782192</v>
      </c>
      <c r="R26" s="30" t="str">
        <f t="shared" si="4"/>
        <v>Moderate</v>
      </c>
      <c r="S26" s="35">
        <f t="shared" si="9"/>
        <v>21.886093317244256</v>
      </c>
      <c r="T26" s="30" t="str">
        <f t="shared" si="0"/>
        <v>Moderate</v>
      </c>
      <c r="U26" s="35">
        <f t="shared" si="5"/>
        <v>32.077763737112811</v>
      </c>
      <c r="V26" s="29" t="str">
        <f t="shared" si="12"/>
        <v>Moderate</v>
      </c>
      <c r="W26" s="35">
        <f t="shared" si="1"/>
        <v>28.997613416858982</v>
      </c>
      <c r="X26" s="29" t="str">
        <f t="shared" si="6"/>
        <v>Moderate</v>
      </c>
      <c r="Y26" s="30">
        <f t="shared" si="2"/>
        <v>28.486346846947502</v>
      </c>
      <c r="Z26" s="30"/>
      <c r="AA26" s="30">
        <f t="shared" si="3"/>
        <v>25.441853367051621</v>
      </c>
      <c r="AB26" s="8">
        <f t="shared" si="7"/>
        <v>26.964100106999563</v>
      </c>
      <c r="AC26" t="str">
        <f t="shared" si="14"/>
        <v>Moderate</v>
      </c>
    </row>
    <row r="27" spans="1:29" x14ac:dyDescent="0.25">
      <c r="A27" s="33">
        <v>25</v>
      </c>
      <c r="B27">
        <v>1.52</v>
      </c>
      <c r="C27" s="30">
        <f>AVERAGEIF(Monday!$B$2:$B$755, Monday!B26, Monday!$G$2:$G$755)</f>
        <v>28.356467732174394</v>
      </c>
      <c r="D27" s="30">
        <f>AVERAGEIF(Monday!$B$756:$B$1509, Monday!B26, Monday!$G$756:$G$1509)</f>
        <v>24.894691904352285</v>
      </c>
      <c r="E27" s="30">
        <f>AVERAGEIF(Tuesday!$B$2:$B$755, Tuesday!B26, Tuesday!$G$2:$G$755)</f>
        <v>27.679824815948184</v>
      </c>
      <c r="F27" s="30">
        <f>AVERAGEIF(Tuesday!$B$756:$B$1509, Tuesday!B26, Tuesday!$G$756:$G$1509)</f>
        <v>24.520057497519211</v>
      </c>
      <c r="G27" s="30">
        <f>AVERAGEIF(Wednesday!$B$2:$B$755, Wednesday!B26, Wednesday!$G$2:$G$755)</f>
        <v>28.375879679366435</v>
      </c>
      <c r="H27" s="30">
        <f>AVERAGEIF(Wednesday!$B$756:$B$1509, Wednesday!B26, Wednesday!$G$756:$G$1509)</f>
        <v>24.258935181857968</v>
      </c>
      <c r="I27" s="30">
        <f>AVERAGEIF(Thursday!$B$2:$B$755, Thursday!B26, Thursday!$G$2:$G$755)</f>
        <v>28.187419276524036</v>
      </c>
      <c r="J27" s="30">
        <f>AVERAGEIF(Thursday!$B$756:$B$1509, Thursday!B26, Thursday!$G$756:$G$1509)</f>
        <v>23.924861163885506</v>
      </c>
      <c r="K27" s="30">
        <f>AVERAGEIF(Friday!$B$2:$B$755, Friday!B26, Friday!$G$2:$G$755)</f>
        <v>27.511480213529801</v>
      </c>
      <c r="L27" s="30">
        <f>AVERAGEIF(Friday!$B$756:$B$1509, Friday!B26, Friday!$G$756:$G$1509)</f>
        <v>21.097652007695523</v>
      </c>
      <c r="M27" s="30">
        <f>AVERAGEIF(Saturday!$B$2:$B$755, Saturday!B26, Saturday!$G$2:$G$755)</f>
        <v>29.834759962022375</v>
      </c>
      <c r="N27" s="30">
        <f>AVERAGEIF(Saturday!$B$756:$B$1509, Saturday!B26, Saturday!$G$756:$G$1509)</f>
        <v>27.7198415343695</v>
      </c>
      <c r="O27" s="30">
        <f>AVERAGEIF(Sunday!$B$2:$B$755, Sunday!B26, Sunday!$G$2:$G$755)</f>
        <v>31.260301491211088</v>
      </c>
      <c r="P27" s="30">
        <f>AVERAGEIF(Sunday!$B$756:$B$1509, Sunday!B26, Sunday!$G$756:$G$1509)</f>
        <v>29.345619920882658</v>
      </c>
      <c r="Q27" s="35">
        <f t="shared" si="8"/>
        <v>28.022214343508569</v>
      </c>
      <c r="R27" s="30" t="str">
        <f t="shared" si="4"/>
        <v>Moderate</v>
      </c>
      <c r="S27" s="35">
        <f t="shared" si="9"/>
        <v>23.739239551062099</v>
      </c>
      <c r="T27" s="30" t="str">
        <f t="shared" si="0"/>
        <v>Moderate</v>
      </c>
      <c r="U27" s="35">
        <f t="shared" si="5"/>
        <v>30.547530726616731</v>
      </c>
      <c r="V27" s="29" t="str">
        <f t="shared" si="12"/>
        <v>Moderate</v>
      </c>
      <c r="W27" s="35">
        <f t="shared" si="1"/>
        <v>28.532730727626081</v>
      </c>
      <c r="X27" s="29" t="str">
        <f t="shared" si="6"/>
        <v>Moderate</v>
      </c>
      <c r="Y27" s="30">
        <f t="shared" si="2"/>
        <v>29.28487253506265</v>
      </c>
      <c r="Z27" s="30"/>
      <c r="AA27" s="30">
        <f t="shared" si="3"/>
        <v>26.13598513934409</v>
      </c>
      <c r="AB27" s="8">
        <f t="shared" si="7"/>
        <v>27.710428837203366</v>
      </c>
      <c r="AC27" t="str">
        <f>IF(AB27&gt;40,"Free Flow",IF(AB27&gt;=20,"Moderate","Heavy"))</f>
        <v>Moderate</v>
      </c>
    </row>
    <row r="28" spans="1:29" x14ac:dyDescent="0.25">
      <c r="A28" s="33">
        <v>26</v>
      </c>
      <c r="B28">
        <v>1.49</v>
      </c>
      <c r="C28" s="30">
        <f>AVERAGEIF(Monday!$B$2:$B$755, Monday!B27, Monday!$G$2:$G$755)</f>
        <v>23.895988840734574</v>
      </c>
      <c r="D28" s="30">
        <f>AVERAGEIF(Monday!$B$756:$B$1509, Monday!B27, Monday!$G$756:$G$1509)</f>
        <v>17.261116489152371</v>
      </c>
      <c r="E28" s="30">
        <f>AVERAGEIF(Tuesday!$B$2:$B$755, Tuesday!B27, Tuesday!$G$2:$G$755)</f>
        <v>24.750311466232532</v>
      </c>
      <c r="F28" s="30">
        <f>AVERAGEIF(Tuesday!$B$756:$B$1509, Tuesday!B27, Tuesday!$G$756:$G$1509)</f>
        <v>14.555399606995033</v>
      </c>
      <c r="G28" s="30">
        <f>AVERAGEIF(Wednesday!$B$2:$B$755, Wednesday!B27, Wednesday!$G$2:$G$755)</f>
        <v>24.244211228094574</v>
      </c>
      <c r="H28" s="30">
        <f>AVERAGEIF(Wednesday!$B$756:$B$1509, Wednesday!B27, Wednesday!$G$756:$G$1509)</f>
        <v>14.316273962119627</v>
      </c>
      <c r="I28" s="30">
        <f>AVERAGEIF(Thursday!$B$2:$B$755, Thursday!B27, Thursday!$G$2:$G$755)</f>
        <v>25.401511975073017</v>
      </c>
      <c r="J28" s="30">
        <f>AVERAGEIF(Thursday!$B$756:$B$1509, Thursday!B27, Thursday!$G$756:$G$1509)</f>
        <v>13.255732182223777</v>
      </c>
      <c r="K28" s="30">
        <f>AVERAGEIF(Friday!$B$2:$B$755, Friday!B27, Friday!$G$2:$G$755)</f>
        <v>23.656259321370968</v>
      </c>
      <c r="L28" s="30">
        <f>AVERAGEIF(Friday!$B$756:$B$1509, Friday!B27, Friday!$G$756:$G$1509)</f>
        <v>13.64686589185494</v>
      </c>
      <c r="M28" s="30">
        <f>AVERAGEIF(Saturday!$B$2:$B$755, Saturday!B27, Saturday!$G$2:$G$755)</f>
        <v>28.58199694849209</v>
      </c>
      <c r="N28" s="30">
        <f>AVERAGEIF(Saturday!$B$756:$B$1509, Saturday!B27, Saturday!$G$756:$G$1509)</f>
        <v>22.380543468158457</v>
      </c>
      <c r="O28" s="30">
        <f>AVERAGEIF(Sunday!$B$2:$B$755, Sunday!B27, Sunday!$G$2:$G$755)</f>
        <v>31.188809928399071</v>
      </c>
      <c r="P28" s="30">
        <f>AVERAGEIF(Sunday!$B$756:$B$1509, Sunday!B27, Sunday!$G$756:$G$1509)</f>
        <v>26.496029987555538</v>
      </c>
      <c r="Q28" s="35">
        <f t="shared" si="8"/>
        <v>24.389656566301134</v>
      </c>
      <c r="R28" s="30" t="str">
        <f t="shared" si="4"/>
        <v>Moderate</v>
      </c>
      <c r="S28" s="35">
        <f t="shared" si="9"/>
        <v>14.607077626469152</v>
      </c>
      <c r="T28" s="30" t="str">
        <f t="shared" si="0"/>
        <v>Heavy</v>
      </c>
      <c r="U28" s="35">
        <f t="shared" si="5"/>
        <v>29.885403438445579</v>
      </c>
      <c r="V28" s="29" t="str">
        <f t="shared" si="12"/>
        <v>Moderate</v>
      </c>
      <c r="W28" s="35">
        <f t="shared" si="1"/>
        <v>24.438286727856998</v>
      </c>
      <c r="X28" s="29" t="str">
        <f t="shared" si="6"/>
        <v>Moderate</v>
      </c>
      <c r="Y28" s="30">
        <f t="shared" si="2"/>
        <v>27.137530002373357</v>
      </c>
      <c r="Z28" s="30"/>
      <c r="AA28" s="30">
        <f t="shared" si="3"/>
        <v>19.522682177163077</v>
      </c>
      <c r="AB28" s="8">
        <f t="shared" si="7"/>
        <v>23.330106089768215</v>
      </c>
      <c r="AC28" t="str">
        <f t="shared" si="14"/>
        <v>Moderate</v>
      </c>
    </row>
    <row r="29" spans="1:29" x14ac:dyDescent="0.25">
      <c r="A29" s="33">
        <v>27</v>
      </c>
      <c r="B29">
        <v>1.53</v>
      </c>
      <c r="C29" s="30">
        <f>AVERAGEIF(Monday!$B$2:$B$755, Monday!B28, Monday!$G$2:$G$755)</f>
        <v>24.281553014600043</v>
      </c>
      <c r="D29" s="30">
        <f>AVERAGEIF(Monday!$B$756:$B$1509, Monday!B28, Monday!$G$756:$G$1509)</f>
        <v>13.643895732351742</v>
      </c>
      <c r="E29" s="30">
        <f>AVERAGEIF(Tuesday!$B$2:$B$755, Tuesday!B28, Tuesday!$G$2:$G$755)</f>
        <v>25.014135642155303</v>
      </c>
      <c r="F29" s="30">
        <f>AVERAGEIF(Tuesday!$B$756:$B$1509, Tuesday!B28, Tuesday!$G$756:$G$1509)</f>
        <v>20.961159547000101</v>
      </c>
      <c r="G29" s="30">
        <f>AVERAGEIF(Wednesday!$B$2:$B$755, Wednesday!B28, Wednesday!$G$2:$G$755)</f>
        <v>27.778278546773734</v>
      </c>
      <c r="H29" s="30">
        <f>AVERAGEIF(Wednesday!$B$756:$B$1509, Wednesday!B28, Wednesday!$G$756:$G$1509)</f>
        <v>20.581754653724222</v>
      </c>
      <c r="I29" s="30">
        <f>AVERAGEIF(Thursday!$B$2:$B$755, Thursday!B28, Thursday!$G$2:$G$755)</f>
        <v>28.048139509389099</v>
      </c>
      <c r="J29" s="30">
        <f>AVERAGEIF(Thursday!$B$756:$B$1509, Thursday!B28, Thursday!$G$756:$G$1509)</f>
        <v>19.828126078429314</v>
      </c>
      <c r="K29" s="30">
        <f>AVERAGEIF(Friday!$B$2:$B$755, Friday!B28, Friday!$G$2:$G$755)</f>
        <v>27.194888205781044</v>
      </c>
      <c r="L29" s="30">
        <f>AVERAGEIF(Friday!$B$756:$B$1509, Friday!B28, Friday!$G$756:$G$1509)</f>
        <v>19.999616554611393</v>
      </c>
      <c r="M29" s="30">
        <f>AVERAGEIF(Saturday!$B$2:$B$755, Saturday!B28, Saturday!$G$2:$G$755)</f>
        <v>29.849846319050393</v>
      </c>
      <c r="N29" s="30">
        <f>AVERAGEIF(Saturday!$B$756:$B$1509, Saturday!B28, Saturday!$G$756:$G$1509)</f>
        <v>16.557436671821879</v>
      </c>
      <c r="O29" s="30">
        <f>AVERAGEIF(Sunday!$B$2:$B$755, Sunday!B28, Sunday!$G$2:$G$755)</f>
        <v>32.703453946735152</v>
      </c>
      <c r="P29" s="30">
        <f>AVERAGEIF(Sunday!$B$756:$B$1509, Sunday!B28, Sunday!$G$756:$G$1509)</f>
        <v>24.277738926739158</v>
      </c>
      <c r="Q29" s="35">
        <f t="shared" si="8"/>
        <v>26.463398983739847</v>
      </c>
      <c r="R29" s="30" t="str">
        <f t="shared" si="4"/>
        <v>Moderate</v>
      </c>
      <c r="S29" s="35">
        <f t="shared" si="9"/>
        <v>19.002910513223352</v>
      </c>
      <c r="T29" s="30" t="str">
        <f t="shared" si="0"/>
        <v>Heavy</v>
      </c>
      <c r="U29" s="35">
        <f t="shared" si="5"/>
        <v>31.276650132892772</v>
      </c>
      <c r="V29" s="29" t="str">
        <f t="shared" si="12"/>
        <v>Moderate</v>
      </c>
      <c r="W29" s="35">
        <f t="shared" si="1"/>
        <v>20.417587799280518</v>
      </c>
      <c r="X29" s="29" t="str">
        <f t="shared" si="6"/>
        <v>Moderate</v>
      </c>
      <c r="Y29" s="30">
        <f t="shared" si="2"/>
        <v>28.87002455831631</v>
      </c>
      <c r="Z29" s="30"/>
      <c r="AA29" s="30">
        <f t="shared" si="3"/>
        <v>19.710249156251933</v>
      </c>
      <c r="AB29" s="8">
        <f t="shared" si="7"/>
        <v>24.290136857284125</v>
      </c>
      <c r="AC29" t="str">
        <f t="shared" si="14"/>
        <v>Moderate</v>
      </c>
    </row>
    <row r="30" spans="1:29" x14ac:dyDescent="0.25">
      <c r="A30" s="33">
        <v>28</v>
      </c>
      <c r="B30">
        <v>1.51</v>
      </c>
      <c r="C30" s="30">
        <f>AVERAGEIF(Monday!$B$2:$B$755, Monday!B29, Monday!$G$2:$G$755)</f>
        <v>22.883266926591073</v>
      </c>
      <c r="D30" s="30">
        <f>AVERAGEIF(Monday!$B$756:$B$1509, Monday!B29, Monday!$G$756:$G$1509)</f>
        <v>18.932714610686737</v>
      </c>
      <c r="E30" s="30">
        <f>AVERAGEIF(Tuesday!$B$2:$B$755, Tuesday!B29, Tuesday!$G$2:$G$755)</f>
        <v>22.824908519636416</v>
      </c>
      <c r="F30" s="30">
        <f>AVERAGEIF(Tuesday!$B$756:$B$1509, Tuesday!B29, Tuesday!$G$756:$G$1509)</f>
        <v>19.493253970137197</v>
      </c>
      <c r="G30" s="30">
        <f>AVERAGEIF(Wednesday!$B$2:$B$755, Wednesday!B29, Wednesday!$G$2:$G$755)</f>
        <v>23.029412343722296</v>
      </c>
      <c r="H30" s="30">
        <f>AVERAGEIF(Wednesday!$B$756:$B$1509, Wednesday!B29, Wednesday!$G$756:$G$1509)</f>
        <v>18.598702738431523</v>
      </c>
      <c r="I30" s="30">
        <f>AVERAGEIF(Thursday!$B$2:$B$755, Thursday!B29, Thursday!$G$2:$G$755)</f>
        <v>22.595431778001252</v>
      </c>
      <c r="J30" s="30">
        <f>AVERAGEIF(Thursday!$B$756:$B$1509, Thursday!B29, Thursday!$G$756:$G$1509)</f>
        <v>19.042955904245567</v>
      </c>
      <c r="K30" s="30">
        <f>AVERAGEIF(Friday!$B$2:$B$755, Friday!B29, Friday!$G$2:$G$755)</f>
        <v>22.921655218733829</v>
      </c>
      <c r="L30" s="30">
        <f>AVERAGEIF(Friday!$B$756:$B$1509, Friday!B29, Friday!$G$756:$G$1509)</f>
        <v>19.584563292528767</v>
      </c>
      <c r="M30" s="30">
        <f>AVERAGEIF(Saturday!$B$2:$B$755, Saturday!B29, Saturday!$G$2:$G$755)</f>
        <v>24.603293724072159</v>
      </c>
      <c r="N30" s="30">
        <f>AVERAGEIF(Saturday!$B$756:$B$1509, Saturday!B29, Saturday!$G$756:$G$1509)</f>
        <v>21.696688398455692</v>
      </c>
      <c r="O30" s="30">
        <f>AVERAGEIF(Sunday!$B$2:$B$755, Sunday!B29, Sunday!$G$2:$G$755)</f>
        <v>27.471602873023905</v>
      </c>
      <c r="P30" s="30">
        <f>AVERAGEIF(Sunday!$B$756:$B$1509, Sunday!B29, Sunday!$G$756:$G$1509)</f>
        <v>24.653472625026801</v>
      </c>
      <c r="Q30" s="35">
        <f t="shared" si="8"/>
        <v>22.850934957336975</v>
      </c>
      <c r="R30" s="30" t="str">
        <f t="shared" si="4"/>
        <v>Moderate</v>
      </c>
      <c r="S30" s="35">
        <f t="shared" si="9"/>
        <v>19.130438103205961</v>
      </c>
      <c r="T30" s="30" t="str">
        <f t="shared" si="0"/>
        <v>Heavy</v>
      </c>
      <c r="U30" s="35">
        <f t="shared" si="5"/>
        <v>26.037448298548032</v>
      </c>
      <c r="V30" s="29" t="str">
        <f t="shared" si="12"/>
        <v>Moderate</v>
      </c>
      <c r="W30" s="35">
        <f t="shared" si="1"/>
        <v>23.175080511741246</v>
      </c>
      <c r="X30" s="29" t="str">
        <f t="shared" si="6"/>
        <v>Moderate</v>
      </c>
      <c r="Y30" s="30">
        <f t="shared" si="2"/>
        <v>24.444191627942502</v>
      </c>
      <c r="Z30" s="30"/>
      <c r="AA30" s="30">
        <f t="shared" si="3"/>
        <v>21.152759307473602</v>
      </c>
      <c r="AB30" s="8">
        <f t="shared" si="7"/>
        <v>22.798475467708052</v>
      </c>
      <c r="AC30" t="str">
        <f t="shared" si="14"/>
        <v>Moderate</v>
      </c>
    </row>
    <row r="31" spans="1:29" x14ac:dyDescent="0.25">
      <c r="A31" s="33">
        <v>29</v>
      </c>
      <c r="B31">
        <v>1.57</v>
      </c>
      <c r="C31" s="30">
        <f>AVERAGEIF(Monday!$B$2:$B$755, Monday!B30, Monday!$G$2:$G$755)</f>
        <v>22.507806036000822</v>
      </c>
      <c r="D31" s="30">
        <f>AVERAGEIF(Monday!$B$756:$B$1509, Monday!B30, Monday!$G$756:$G$1509)</f>
        <v>22.025575516197804</v>
      </c>
      <c r="E31" s="30">
        <f>AVERAGEIF(Tuesday!$B$2:$B$755, Tuesday!B30, Tuesday!$G$2:$G$755)</f>
        <v>19.616260151472115</v>
      </c>
      <c r="F31" s="30">
        <f>AVERAGEIF(Tuesday!$B$756:$B$1509, Tuesday!B30, Tuesday!$G$756:$G$1509)</f>
        <v>23.290603538102062</v>
      </c>
      <c r="G31" s="30">
        <f>AVERAGEIF(Wednesday!$B$2:$B$755, Wednesday!B30, Wednesday!$G$2:$G$755)</f>
        <v>21.564508739871624</v>
      </c>
      <c r="H31" s="30">
        <f>AVERAGEIF(Wednesday!$B$756:$B$1509, Wednesday!B30, Wednesday!$G$756:$G$1509)</f>
        <v>22.438210353150339</v>
      </c>
      <c r="I31" s="30">
        <f>AVERAGEIF(Thursday!$B$2:$B$755, Thursday!B30, Thursday!$G$2:$G$755)</f>
        <v>21.396444413996782</v>
      </c>
      <c r="J31" s="30">
        <f>AVERAGEIF(Thursday!$B$756:$B$1509, Thursday!B30, Thursday!$G$756:$G$1509)</f>
        <v>22.157750550928743</v>
      </c>
      <c r="K31" s="30">
        <f>AVERAGEIF(Friday!$B$2:$B$755, Friday!B30, Friday!$G$2:$G$755)</f>
        <v>22.381362084978132</v>
      </c>
      <c r="L31" s="30">
        <f>AVERAGEIF(Friday!$B$756:$B$1509, Friday!B30, Friday!$G$756:$G$1509)</f>
        <v>22.228993727468886</v>
      </c>
      <c r="M31" s="30">
        <f>AVERAGEIF(Saturday!$B$2:$B$755, Saturday!B30, Saturday!$G$2:$G$755)</f>
        <v>27.400211026504284</v>
      </c>
      <c r="N31" s="30">
        <f>AVERAGEIF(Saturday!$B$756:$B$1509, Saturday!B30, Saturday!$G$756:$G$1509)</f>
        <v>25.421459677191919</v>
      </c>
      <c r="O31" s="30">
        <f>AVERAGEIF(Sunday!$B$2:$B$755, Sunday!B30, Sunday!$G$2:$G$755)</f>
        <v>33.081715190715862</v>
      </c>
      <c r="P31" s="30">
        <f>AVERAGEIF(Sunday!$B$756:$B$1509, Sunday!B30, Sunday!$G$756:$G$1509)</f>
        <v>28.927167967684589</v>
      </c>
      <c r="Q31" s="35">
        <f t="shared" si="8"/>
        <v>21.493276285263896</v>
      </c>
      <c r="R31" s="30" t="str">
        <f t="shared" si="4"/>
        <v>Moderate</v>
      </c>
      <c r="S31" s="35">
        <f t="shared" si="9"/>
        <v>22.428226737169567</v>
      </c>
      <c r="T31" s="30" t="str">
        <f t="shared" si="0"/>
        <v>Moderate</v>
      </c>
      <c r="U31" s="35">
        <f t="shared" si="5"/>
        <v>30.240963108610075</v>
      </c>
      <c r="V31" s="29" t="str">
        <f t="shared" si="12"/>
        <v>Moderate</v>
      </c>
      <c r="W31" s="35">
        <f t="shared" si="1"/>
        <v>27.174313822438254</v>
      </c>
      <c r="X31" s="29" t="str">
        <f t="shared" si="6"/>
        <v>Moderate</v>
      </c>
      <c r="Y31" s="30">
        <f t="shared" si="2"/>
        <v>25.867119696936985</v>
      </c>
      <c r="Z31" s="30"/>
      <c r="AA31" s="30">
        <f t="shared" si="3"/>
        <v>24.801270279803909</v>
      </c>
      <c r="AB31" s="8">
        <f t="shared" si="7"/>
        <v>25.334194988370449</v>
      </c>
      <c r="AC31" t="str">
        <f t="shared" si="14"/>
        <v>Moderate</v>
      </c>
    </row>
    <row r="32" spans="1:29" x14ac:dyDescent="0.25">
      <c r="A32" s="33">
        <v>30</v>
      </c>
      <c r="B32">
        <v>1.57</v>
      </c>
      <c r="C32" s="30">
        <f>AVERAGEIF(Monday!$B$2:$B$755, Monday!B31, Monday!$G$2:$G$755)</f>
        <v>16.816897248626244</v>
      </c>
      <c r="D32" s="30">
        <f>AVERAGEIF(Monday!$B$756:$B$1509, Monday!B31, Monday!$G$756:$G$1509)</f>
        <v>22.719446806729273</v>
      </c>
      <c r="E32" s="30">
        <f>AVERAGEIF(Tuesday!$B$2:$B$755, Tuesday!B31, Tuesday!$G$2:$G$755)</f>
        <v>16.742747814016457</v>
      </c>
      <c r="F32" s="30">
        <f>AVERAGEIF(Tuesday!$B$756:$B$1509, Tuesday!B31, Tuesday!$G$756:$G$1509)</f>
        <v>22.281190486578357</v>
      </c>
      <c r="G32" s="30">
        <f>AVERAGEIF(Wednesday!$B$2:$B$755, Wednesday!B31, Wednesday!$G$2:$G$755)</f>
        <v>17.19245440647936</v>
      </c>
      <c r="H32" s="30">
        <f>AVERAGEIF(Wednesday!$B$756:$B$1509, Wednesday!B31, Wednesday!$G$756:$G$1509)</f>
        <v>22.106501607800286</v>
      </c>
      <c r="I32" s="30">
        <f>AVERAGEIF(Thursday!$B$2:$B$755, Thursday!B31, Thursday!$G$2:$G$755)</f>
        <v>17.073408548057539</v>
      </c>
      <c r="J32" s="30">
        <f>AVERAGEIF(Thursday!$B$756:$B$1509, Thursday!B31, Thursday!$G$756:$G$1509)</f>
        <v>22.0256516787497</v>
      </c>
      <c r="K32" s="30">
        <f>AVERAGEIF(Friday!$B$2:$B$755, Friday!B31, Friday!$G$2:$G$755)</f>
        <v>17.983828851847978</v>
      </c>
      <c r="L32" s="30">
        <f>AVERAGEIF(Friday!$B$756:$B$1509, Friday!B31, Friday!$G$756:$G$1509)</f>
        <v>22.402752786937661</v>
      </c>
      <c r="M32" s="30">
        <f>AVERAGEIF(Saturday!$B$2:$B$755, Saturday!B31, Saturday!$G$2:$G$755)</f>
        <v>21.305353373820079</v>
      </c>
      <c r="N32" s="30">
        <f>AVERAGEIF(Saturday!$B$756:$B$1509, Saturday!B31, Saturday!$G$756:$G$1509)</f>
        <v>22.919175773129869</v>
      </c>
      <c r="O32" s="30">
        <f>AVERAGEIF(Sunday!$B$2:$B$755, Sunday!B31, Sunday!$G$2:$G$755)</f>
        <v>28.834867173001278</v>
      </c>
      <c r="P32" s="30">
        <f>AVERAGEIF(Sunday!$B$756:$B$1509, Sunday!B31, Sunday!$G$756:$G$1509)</f>
        <v>25.826810559707944</v>
      </c>
      <c r="Q32" s="35">
        <f t="shared" si="8"/>
        <v>17.161867373805514</v>
      </c>
      <c r="R32" s="30" t="str">
        <f t="shared" si="4"/>
        <v>Heavy</v>
      </c>
      <c r="S32" s="35">
        <f t="shared" si="9"/>
        <v>22.307108673359057</v>
      </c>
      <c r="T32" s="30" t="str">
        <f t="shared" si="0"/>
        <v>Moderate</v>
      </c>
      <c r="U32" s="35">
        <f t="shared" si="5"/>
        <v>25.070110273410677</v>
      </c>
      <c r="V32" s="29" t="str">
        <f t="shared" si="12"/>
        <v>Moderate</v>
      </c>
      <c r="W32" s="35">
        <f t="shared" si="1"/>
        <v>24.372993166418908</v>
      </c>
      <c r="X32" s="29" t="str">
        <f t="shared" si="6"/>
        <v>Moderate</v>
      </c>
      <c r="Y32" s="30">
        <f t="shared" si="2"/>
        <v>21.115988823608095</v>
      </c>
      <c r="Z32" s="30"/>
      <c r="AA32" s="30">
        <f t="shared" si="3"/>
        <v>23.340050919888981</v>
      </c>
      <c r="AB32" s="8">
        <f t="shared" si="7"/>
        <v>22.22801987174854</v>
      </c>
      <c r="AC32" t="str">
        <f t="shared" si="14"/>
        <v>Moderate</v>
      </c>
    </row>
    <row r="33" spans="1:29" x14ac:dyDescent="0.25">
      <c r="A33" s="33">
        <v>31</v>
      </c>
      <c r="B33">
        <v>1.52</v>
      </c>
      <c r="C33" s="30">
        <f>AVERAGEIF(Monday!$B$2:$B$755, Monday!B32, Monday!$G$2:$G$755)</f>
        <v>31.659283309973333</v>
      </c>
      <c r="D33" s="30">
        <f>AVERAGEIF(Monday!$B$756:$B$1509, Monday!B32, Monday!$G$756:$G$1509)</f>
        <v>25.886218325702483</v>
      </c>
      <c r="E33" s="30">
        <f>AVERAGEIF(Tuesday!$B$2:$B$755, Tuesday!B32, Tuesday!$G$2:$G$755)</f>
        <v>31.27115493201147</v>
      </c>
      <c r="F33" s="30">
        <f>AVERAGEIF(Tuesday!$B$756:$B$1509, Tuesday!B32, Tuesday!$G$756:$G$1509)</f>
        <v>28.984177206815101</v>
      </c>
      <c r="G33" s="30">
        <f>AVERAGEIF(Wednesday!$B$2:$B$755, Wednesday!B32, Wednesday!$G$2:$G$755)</f>
        <v>32.160257967403872</v>
      </c>
      <c r="H33" s="30">
        <f>AVERAGEIF(Wednesday!$B$756:$B$1509, Wednesday!B32, Wednesday!$G$756:$G$1509)</f>
        <v>27.407433524999671</v>
      </c>
      <c r="I33" s="30">
        <f>AVERAGEIF(Thursday!$B$2:$B$755, Thursday!B32, Thursday!$G$2:$G$755)</f>
        <v>31.652407632022634</v>
      </c>
      <c r="J33" s="30">
        <f>AVERAGEIF(Thursday!$B$756:$B$1509, Thursday!B32, Thursday!$G$756:$G$1509)</f>
        <v>26.71212055130324</v>
      </c>
      <c r="K33" s="30">
        <f>AVERAGEIF(Friday!$B$2:$B$755, Friday!B32, Friday!$G$2:$G$755)</f>
        <v>32.619280798093165</v>
      </c>
      <c r="L33" s="30">
        <f>AVERAGEIF(Friday!$B$756:$B$1509, Friday!B32, Friday!$G$756:$G$1509)</f>
        <v>27.605855503077159</v>
      </c>
      <c r="M33" s="30">
        <f>AVERAGEIF(Saturday!$B$2:$B$755, Saturday!B32, Saturday!$G$2:$G$755)</f>
        <v>36.13660262539716</v>
      </c>
      <c r="N33" s="30">
        <f>AVERAGEIF(Saturday!$B$756:$B$1509, Saturday!B32, Saturday!$G$756:$G$1509)</f>
        <v>33.028492467297689</v>
      </c>
      <c r="O33" s="30">
        <f>AVERAGEIF(Sunday!$B$2:$B$755, Sunday!B32, Sunday!$G$2:$G$755)</f>
        <v>38.692392439545884</v>
      </c>
      <c r="P33" s="30">
        <f>AVERAGEIF(Sunday!$B$756:$B$1509, Sunday!B32, Sunday!$G$756:$G$1509)</f>
        <v>34.830877031910077</v>
      </c>
      <c r="Q33" s="35">
        <f t="shared" si="8"/>
        <v>31.872476927900898</v>
      </c>
      <c r="R33" s="30" t="str">
        <f t="shared" si="4"/>
        <v>Moderate</v>
      </c>
      <c r="S33" s="35">
        <f t="shared" si="9"/>
        <v>27.319161022379529</v>
      </c>
      <c r="T33" s="30" t="str">
        <f t="shared" si="0"/>
        <v>Moderate</v>
      </c>
      <c r="U33" s="35">
        <f t="shared" si="5"/>
        <v>37.414497532471522</v>
      </c>
      <c r="V33" s="29" t="str">
        <f t="shared" si="12"/>
        <v>Free Flow</v>
      </c>
      <c r="W33" s="35">
        <f t="shared" si="1"/>
        <v>33.929684749603879</v>
      </c>
      <c r="X33" s="29" t="str">
        <f t="shared" si="6"/>
        <v>Moderate</v>
      </c>
      <c r="Y33" s="30">
        <f t="shared" si="2"/>
        <v>34.64348723018621</v>
      </c>
      <c r="Z33" s="30"/>
      <c r="AA33" s="30">
        <f t="shared" si="3"/>
        <v>30.624422885991706</v>
      </c>
      <c r="AB33" s="8">
        <f t="shared" si="7"/>
        <v>32.633955058088958</v>
      </c>
      <c r="AC33" t="str">
        <f t="shared" si="14"/>
        <v>Moderate</v>
      </c>
    </row>
    <row r="34" spans="1:29" x14ac:dyDescent="0.25">
      <c r="A34" s="33">
        <v>32</v>
      </c>
      <c r="B34">
        <v>1.5</v>
      </c>
      <c r="C34" s="30">
        <f>AVERAGEIF(Monday!$B$2:$B$755, Monday!B33, Monday!$G$2:$G$755)</f>
        <v>52.36693092841319</v>
      </c>
      <c r="D34" s="30">
        <f>AVERAGEIF(Monday!$B$756:$B$1509, Monday!B33, Monday!$G$756:$G$1509)</f>
        <v>41.642389891587328</v>
      </c>
      <c r="E34" s="30">
        <f>AVERAGEIF(Tuesday!$B$2:$B$755, Tuesday!B33, Tuesday!$G$2:$G$755)</f>
        <v>52.153526519775106</v>
      </c>
      <c r="F34" s="30">
        <f>AVERAGEIF(Tuesday!$B$756:$B$1509, Tuesday!B33, Tuesday!$G$756:$G$1509)</f>
        <v>41.650143622319966</v>
      </c>
      <c r="G34" s="30">
        <f>AVERAGEIF(Wednesday!$B$2:$B$755, Wednesday!B33, Wednesday!$G$2:$G$755)</f>
        <v>51.904579655488426</v>
      </c>
      <c r="H34" s="30">
        <f>AVERAGEIF(Wednesday!$B$756:$B$1509, Wednesday!B33, Wednesday!$G$756:$G$1509)</f>
        <v>39.794084871593682</v>
      </c>
      <c r="I34" s="30">
        <f>AVERAGEIF(Thursday!$B$2:$B$755, Thursday!B33, Thursday!$G$2:$G$755)</f>
        <v>51.356389680271235</v>
      </c>
      <c r="J34" s="30">
        <f>AVERAGEIF(Thursday!$B$756:$B$1509, Thursday!B33, Thursday!$G$756:$G$1509)</f>
        <v>38.369981176634894</v>
      </c>
      <c r="K34" s="30">
        <f>AVERAGEIF(Friday!$B$2:$B$755, Friday!B33, Friday!$G$2:$G$755)</f>
        <v>52.453924158259881</v>
      </c>
      <c r="L34" s="30">
        <f>AVERAGEIF(Friday!$B$756:$B$1509, Friday!B33, Friday!$G$756:$G$1509)</f>
        <v>42.936429914012017</v>
      </c>
      <c r="M34" s="30">
        <f>AVERAGEIF(Saturday!$B$2:$B$755, Saturday!B33, Saturday!$G$2:$G$755)</f>
        <v>53.774207242728465</v>
      </c>
      <c r="N34" s="30">
        <f>AVERAGEIF(Saturday!$B$756:$B$1509, Saturday!B33, Saturday!$G$756:$G$1509)</f>
        <v>48.453138186922871</v>
      </c>
      <c r="O34" s="30">
        <f>AVERAGEIF(Sunday!$B$2:$B$755, Sunday!B33, Sunday!$G$2:$G$755)</f>
        <v>54.204927343421204</v>
      </c>
      <c r="P34" s="30">
        <f>AVERAGEIF(Sunday!$B$756:$B$1509, Sunday!B33, Sunday!$G$756:$G$1509)</f>
        <v>51.213317183669425</v>
      </c>
      <c r="Q34" s="35">
        <f t="shared" si="8"/>
        <v>52.047070188441566</v>
      </c>
      <c r="R34" s="30" t="str">
        <f t="shared" si="4"/>
        <v>Free Flow</v>
      </c>
      <c r="S34" s="35">
        <f t="shared" si="9"/>
        <v>40.878605895229576</v>
      </c>
      <c r="T34" s="30" t="str">
        <f t="shared" si="0"/>
        <v>Free Flow</v>
      </c>
      <c r="U34" s="35">
        <f t="shared" si="5"/>
        <v>53.989567293074835</v>
      </c>
      <c r="V34" s="29" t="str">
        <f t="shared" si="12"/>
        <v>Free Flow</v>
      </c>
      <c r="W34" s="35">
        <f t="shared" si="1"/>
        <v>49.833227685296151</v>
      </c>
      <c r="X34" s="29" t="str">
        <f t="shared" si="6"/>
        <v>Free Flow</v>
      </c>
      <c r="Y34" s="30">
        <f t="shared" si="2"/>
        <v>53.018318740758204</v>
      </c>
      <c r="Z34" s="30"/>
      <c r="AA34" s="30">
        <f t="shared" si="3"/>
        <v>45.355916790262867</v>
      </c>
      <c r="AB34" s="8">
        <f t="shared" si="7"/>
        <v>49.187117765510528</v>
      </c>
      <c r="AC34" s="49" t="str">
        <f t="shared" si="14"/>
        <v>Free Flow</v>
      </c>
    </row>
    <row r="35" spans="1:29" x14ac:dyDescent="0.25">
      <c r="A35" s="33">
        <v>33</v>
      </c>
      <c r="B35">
        <v>1.51</v>
      </c>
      <c r="C35" s="30">
        <f>AVERAGEIF(Monday!$B$2:$B$755, Monday!B34, Monday!$G$2:$G$755)</f>
        <v>52.351957316778581</v>
      </c>
      <c r="D35" s="30">
        <f>AVERAGEIF(Monday!$B$756:$B$1509, Monday!B34, Monday!$G$756:$G$1509)</f>
        <v>41.337795003538794</v>
      </c>
      <c r="E35" s="30">
        <f>AVERAGEIF(Tuesday!$B$2:$B$755, Tuesday!B34, Tuesday!$G$2:$G$755)</f>
        <v>50.992100748299968</v>
      </c>
      <c r="F35" s="30">
        <f>AVERAGEIF(Tuesday!$B$756:$B$1509, Tuesday!B34, Tuesday!$G$756:$G$1509)</f>
        <v>39.032920088705652</v>
      </c>
      <c r="G35" s="30">
        <f>AVERAGEIF(Wednesday!$B$2:$B$755, Wednesday!B34, Wednesday!$G$2:$G$755)</f>
        <v>51.04748554773581</v>
      </c>
      <c r="H35" s="30">
        <f>AVERAGEIF(Wednesday!$B$756:$B$1509, Wednesday!B34, Wednesday!$G$756:$G$1509)</f>
        <v>39.091801346495302</v>
      </c>
      <c r="I35" s="30">
        <f>AVERAGEIF(Thursday!$B$2:$B$755, Thursday!B34, Thursday!$G$2:$G$755)</f>
        <v>49.468139291769297</v>
      </c>
      <c r="J35" s="30">
        <f>AVERAGEIF(Thursday!$B$756:$B$1509, Thursday!B34, Thursday!$G$756:$G$1509)</f>
        <v>39.236360712366583</v>
      </c>
      <c r="K35" s="30">
        <f>AVERAGEIF(Friday!$B$2:$B$755, Friday!B34, Friday!$G$2:$G$755)</f>
        <v>52.107408020849668</v>
      </c>
      <c r="L35" s="30">
        <f>AVERAGEIF(Friday!$B$756:$B$1509, Friday!B34, Friday!$G$756:$G$1509)</f>
        <v>39.452345790542829</v>
      </c>
      <c r="M35" s="30">
        <f>AVERAGEIF(Saturday!$B$2:$B$755, Saturday!B34, Saturday!$G$2:$G$755)</f>
        <v>53.440265320326532</v>
      </c>
      <c r="N35" s="30">
        <f>AVERAGEIF(Saturday!$B$756:$B$1509, Saturday!B34, Saturday!$G$756:$G$1509)</f>
        <v>48.590505084663505</v>
      </c>
      <c r="O35" s="30">
        <f>AVERAGEIF(Sunday!$B$2:$B$755, Sunday!B34, Sunday!$G$2:$G$755)</f>
        <v>54.557707865390967</v>
      </c>
      <c r="P35" s="30">
        <f>AVERAGEIF(Sunday!$B$756:$B$1509, Sunday!B34, Sunday!$G$756:$G$1509)</f>
        <v>51.92450682278389</v>
      </c>
      <c r="Q35" s="35">
        <f t="shared" si="8"/>
        <v>51.193418185086664</v>
      </c>
      <c r="R35" s="30" t="str">
        <f t="shared" si="4"/>
        <v>Free Flow</v>
      </c>
      <c r="S35" s="35">
        <f t="shared" si="9"/>
        <v>39.63024458832983</v>
      </c>
      <c r="T35" s="30" t="str">
        <f t="shared" ref="T35:T61" si="15">IF(S35&gt;36,"Free Flow",IF(S35&gt;=20,"Moderate","Heavy"))</f>
        <v>Free Flow</v>
      </c>
      <c r="U35" s="35">
        <f t="shared" ref="U35:U60" si="16">AVERAGE(M35,O35)</f>
        <v>53.998986592858749</v>
      </c>
      <c r="V35" s="29" t="str">
        <f t="shared" si="12"/>
        <v>Free Flow</v>
      </c>
      <c r="W35" s="35">
        <f t="shared" ref="W35:W60" si="17">AVERAGE(N35,P35)</f>
        <v>50.257505953723694</v>
      </c>
      <c r="X35" s="29" t="str">
        <f t="shared" si="6"/>
        <v>Free Flow</v>
      </c>
      <c r="Y35" s="30">
        <f t="shared" ref="Y35:Y60" si="18">AVERAGE(Q35,U35)</f>
        <v>52.596202388972706</v>
      </c>
      <c r="Z35" s="30"/>
      <c r="AA35" s="30">
        <f t="shared" ref="AA35:AA60" si="19">AVERAGE(S35,W35)</f>
        <v>44.943875271026762</v>
      </c>
      <c r="AB35" s="8">
        <f t="shared" si="7"/>
        <v>48.770038829999734</v>
      </c>
      <c r="AC35" s="49" t="str">
        <f t="shared" si="14"/>
        <v>Free Flow</v>
      </c>
    </row>
    <row r="36" spans="1:29" x14ac:dyDescent="0.25">
      <c r="A36" s="33">
        <v>34</v>
      </c>
      <c r="B36">
        <v>1.5</v>
      </c>
      <c r="C36" s="30">
        <f>AVERAGEIF(Monday!$B$2:$B$755, Monday!B35, Monday!$G$2:$G$755)</f>
        <v>50.347336125126716</v>
      </c>
      <c r="D36" s="30">
        <f>AVERAGEIF(Monday!$B$756:$B$1509, Monday!B35, Monday!$G$756:$G$1509)</f>
        <v>39.067288578508098</v>
      </c>
      <c r="E36" s="30">
        <f>AVERAGEIF(Tuesday!$B$2:$B$755, Tuesday!B35, Tuesday!$G$2:$G$755)</f>
        <v>48.162625739209226</v>
      </c>
      <c r="F36" s="30">
        <f>AVERAGEIF(Tuesday!$B$756:$B$1509, Tuesday!B35, Tuesday!$G$756:$G$1509)</f>
        <v>36.366970548726528</v>
      </c>
      <c r="G36" s="30">
        <f>AVERAGEIF(Wednesday!$B$2:$B$755, Wednesday!B35, Wednesday!$G$2:$G$755)</f>
        <v>48.711169693749369</v>
      </c>
      <c r="H36" s="30">
        <f>AVERAGEIF(Wednesday!$B$756:$B$1509, Wednesday!B35, Wednesday!$G$756:$G$1509)</f>
        <v>39.567318557128587</v>
      </c>
      <c r="I36" s="30">
        <f>AVERAGEIF(Thursday!$B$2:$B$755, Thursday!B35, Thursday!$G$2:$G$755)</f>
        <v>49.574379173566712</v>
      </c>
      <c r="J36" s="30">
        <f>AVERAGEIF(Thursday!$B$756:$B$1509, Thursday!B35, Thursday!$G$756:$G$1509)</f>
        <v>41.482393877630479</v>
      </c>
      <c r="K36" s="30">
        <f>AVERAGEIF(Friday!$B$2:$B$755, Friday!B35, Friday!$G$2:$G$755)</f>
        <v>49.665521061991484</v>
      </c>
      <c r="L36" s="30">
        <f>AVERAGEIF(Friday!$B$756:$B$1509, Friday!B35, Friday!$G$756:$G$1509)</f>
        <v>40.487616406612602</v>
      </c>
      <c r="M36" s="30">
        <f>AVERAGEIF(Saturday!$B$2:$B$755, Saturday!B35, Saturday!$G$2:$G$755)</f>
        <v>51.709634657629778</v>
      </c>
      <c r="N36" s="30">
        <f>AVERAGEIF(Saturday!$B$756:$B$1509, Saturday!B35, Saturday!$G$756:$G$1509)</f>
        <v>46.324119381461465</v>
      </c>
      <c r="O36" s="30">
        <f>AVERAGEIF(Sunday!$B$2:$B$755, Sunday!B35, Sunday!$G$2:$G$755)</f>
        <v>53.859589091231712</v>
      </c>
      <c r="P36" s="30">
        <f>AVERAGEIF(Sunday!$B$756:$B$1509, Sunday!B35, Sunday!$G$756:$G$1509)</f>
        <v>49.487489851001513</v>
      </c>
      <c r="Q36" s="35">
        <f t="shared" si="8"/>
        <v>49.292206358728698</v>
      </c>
      <c r="R36" s="30" t="str">
        <f t="shared" si="4"/>
        <v>Free Flow</v>
      </c>
      <c r="S36" s="35">
        <f t="shared" si="9"/>
        <v>39.394317593721254</v>
      </c>
      <c r="T36" s="30" t="str">
        <f t="shared" si="15"/>
        <v>Free Flow</v>
      </c>
      <c r="U36" s="35">
        <f t="shared" si="16"/>
        <v>52.784611874430745</v>
      </c>
      <c r="V36" s="29" t="str">
        <f t="shared" si="12"/>
        <v>Free Flow</v>
      </c>
      <c r="W36" s="35">
        <f t="shared" si="17"/>
        <v>47.905804616231492</v>
      </c>
      <c r="X36" s="29" t="str">
        <f t="shared" si="6"/>
        <v>Free Flow</v>
      </c>
      <c r="Y36" s="30">
        <f t="shared" si="18"/>
        <v>51.038409116579722</v>
      </c>
      <c r="Z36" s="30"/>
      <c r="AA36" s="30">
        <f t="shared" si="19"/>
        <v>43.650061104976373</v>
      </c>
      <c r="AB36" s="8">
        <f t="shared" si="7"/>
        <v>47.344235110778044</v>
      </c>
      <c r="AC36" s="49" t="str">
        <f t="shared" si="14"/>
        <v>Free Flow</v>
      </c>
    </row>
    <row r="37" spans="1:29" x14ac:dyDescent="0.25">
      <c r="A37" s="33">
        <v>35</v>
      </c>
      <c r="B37">
        <v>1.55</v>
      </c>
      <c r="C37" s="30">
        <f>AVERAGEIF(Monday!$B$2:$B$755, Monday!B36, Monday!$G$2:$G$755)</f>
        <v>22.292486292922483</v>
      </c>
      <c r="D37" s="30">
        <f>AVERAGEIF(Monday!$B$756:$B$1509, Monday!B36, Monday!$G$756:$G$1509)</f>
        <v>22.412334849157308</v>
      </c>
      <c r="E37" s="30">
        <f>AVERAGEIF(Tuesday!$B$2:$B$755, Tuesday!B36, Tuesday!$G$2:$G$755)</f>
        <v>23.307093349388712</v>
      </c>
      <c r="F37" s="30">
        <f>AVERAGEIF(Tuesday!$B$756:$B$1509, Tuesday!B36, Tuesday!$G$756:$G$1509)</f>
        <v>22.151670860993217</v>
      </c>
      <c r="G37" s="30">
        <f>AVERAGEIF(Wednesday!$B$2:$B$755, Wednesday!B36, Wednesday!$G$2:$G$755)</f>
        <v>24.928838955508688</v>
      </c>
      <c r="H37" s="30">
        <f>AVERAGEIF(Wednesday!$B$756:$B$1509, Wednesday!B36, Wednesday!$G$756:$G$1509)</f>
        <v>23.340543945214918</v>
      </c>
      <c r="I37" s="30">
        <f>AVERAGEIF(Thursday!$B$2:$B$755, Thursday!B36, Thursday!$G$2:$G$755)</f>
        <v>24.528589286429849</v>
      </c>
      <c r="J37" s="30">
        <f>AVERAGEIF(Thursday!$B$756:$B$1509, Thursday!B36, Thursday!$G$756:$G$1509)</f>
        <v>22.313517481883363</v>
      </c>
      <c r="K37" s="30">
        <f>AVERAGEIF(Friday!$B$2:$B$755, Friday!B36, Friday!$G$2:$G$755)</f>
        <v>25.047206553209946</v>
      </c>
      <c r="L37" s="30">
        <f>AVERAGEIF(Friday!$B$756:$B$1509, Friday!B36, Friday!$G$756:$G$1509)</f>
        <v>20.707147479197872</v>
      </c>
      <c r="M37" s="30">
        <f>AVERAGEIF(Saturday!$B$2:$B$755, Saturday!B36, Saturday!$G$2:$G$755)</f>
        <v>29.428614413548697</v>
      </c>
      <c r="N37" s="30">
        <f>AVERAGEIF(Saturday!$B$756:$B$1509, Saturday!B36, Saturday!$G$756:$G$1509)</f>
        <v>27.047702494586609</v>
      </c>
      <c r="O37" s="30">
        <f>AVERAGEIF(Sunday!$B$2:$B$755, Sunday!B36, Sunday!$G$2:$G$755)</f>
        <v>30.648229624717889</v>
      </c>
      <c r="P37" s="30">
        <f>AVERAGEIF(Sunday!$B$756:$B$1509, Sunday!B36, Sunday!$G$756:$G$1509)</f>
        <v>29.13950006380098</v>
      </c>
      <c r="Q37" s="35">
        <f t="shared" si="8"/>
        <v>24.020842887491938</v>
      </c>
      <c r="R37" s="30" t="str">
        <f t="shared" si="4"/>
        <v>Moderate</v>
      </c>
      <c r="S37" s="35">
        <f t="shared" si="9"/>
        <v>22.185042923289338</v>
      </c>
      <c r="T37" s="30" t="str">
        <f t="shared" si="15"/>
        <v>Moderate</v>
      </c>
      <c r="U37" s="35">
        <f t="shared" si="16"/>
        <v>30.038422019133293</v>
      </c>
      <c r="V37" s="29" t="str">
        <f t="shared" si="12"/>
        <v>Moderate</v>
      </c>
      <c r="W37" s="35">
        <f t="shared" si="17"/>
        <v>28.093601279193795</v>
      </c>
      <c r="X37" s="29" t="str">
        <f t="shared" si="6"/>
        <v>Moderate</v>
      </c>
      <c r="Y37" s="30">
        <f t="shared" si="18"/>
        <v>27.029632453312615</v>
      </c>
      <c r="Z37" s="30"/>
      <c r="AA37" s="30">
        <f t="shared" si="19"/>
        <v>25.139322101241568</v>
      </c>
      <c r="AB37" s="8">
        <f t="shared" si="7"/>
        <v>26.084477277277088</v>
      </c>
      <c r="AC37" t="str">
        <f t="shared" si="14"/>
        <v>Moderate</v>
      </c>
    </row>
    <row r="38" spans="1:29" x14ac:dyDescent="0.25">
      <c r="A38" s="33">
        <v>36</v>
      </c>
      <c r="B38">
        <v>1.5</v>
      </c>
      <c r="C38" s="30">
        <f>AVERAGEIF(Monday!$B$2:$B$755, Monday!B37, Monday!$G$2:$G$755)</f>
        <v>29.945053917562277</v>
      </c>
      <c r="D38" s="30">
        <f>AVERAGEIF(Monday!$B$756:$B$1509, Monday!B37, Monday!$G$756:$G$1509)</f>
        <v>24.278163864658982</v>
      </c>
      <c r="E38" s="30">
        <f>AVERAGEIF(Tuesday!$B$2:$B$755, Tuesday!B37, Tuesday!$G$2:$G$755)</f>
        <v>30.420700001294104</v>
      </c>
      <c r="F38" s="30">
        <f>AVERAGEIF(Tuesday!$B$756:$B$1509, Tuesday!B37, Tuesday!$G$756:$G$1509)</f>
        <v>24.24489181676504</v>
      </c>
      <c r="G38" s="30">
        <f>AVERAGEIF(Wednesday!$B$2:$B$755, Wednesday!B37, Wednesday!$G$2:$G$755)</f>
        <v>30.077110634543502</v>
      </c>
      <c r="H38" s="30">
        <f>AVERAGEIF(Wednesday!$B$756:$B$1509, Wednesday!B37, Wednesday!$G$756:$G$1509)</f>
        <v>24.428242692966613</v>
      </c>
      <c r="I38" s="30">
        <f>AVERAGEIF(Thursday!$B$2:$B$755, Thursday!B37, Thursday!$G$2:$G$755)</f>
        <v>30.214135461326443</v>
      </c>
      <c r="J38" s="30">
        <f>AVERAGEIF(Thursday!$B$756:$B$1509, Thursday!B37, Thursday!$G$756:$G$1509)</f>
        <v>24.798270637466512</v>
      </c>
      <c r="K38" s="30">
        <f>AVERAGEIF(Friday!$B$2:$B$755, Friday!B37, Friday!$G$2:$G$755)</f>
        <v>30.373298208333633</v>
      </c>
      <c r="L38" s="30">
        <f>AVERAGEIF(Friday!$B$756:$B$1509, Friday!B37, Friday!$G$756:$G$1509)</f>
        <v>24.436181027116895</v>
      </c>
      <c r="M38" s="30">
        <f>AVERAGEIF(Saturday!$B$2:$B$755, Saturday!B37, Saturday!$G$2:$G$755)</f>
        <v>33.323084676482068</v>
      </c>
      <c r="N38" s="30">
        <f>AVERAGEIF(Saturday!$B$756:$B$1509, Saturday!B37, Saturday!$G$756:$G$1509)</f>
        <v>28.952373147912411</v>
      </c>
      <c r="O38" s="30">
        <f>AVERAGEIF(Sunday!$B$2:$B$755, Sunday!B37, Sunday!$G$2:$G$755)</f>
        <v>36.497330162700933</v>
      </c>
      <c r="P38" s="30">
        <f>AVERAGEIF(Sunday!$B$756:$B$1509, Sunday!B37, Sunday!$G$756:$G$1509)</f>
        <v>31.606304729770248</v>
      </c>
      <c r="Q38" s="35">
        <f t="shared" si="8"/>
        <v>30.20605964461199</v>
      </c>
      <c r="R38" s="30" t="str">
        <f t="shared" si="4"/>
        <v>Moderate</v>
      </c>
      <c r="S38" s="35">
        <f t="shared" si="9"/>
        <v>24.437150007794809</v>
      </c>
      <c r="T38" s="30" t="str">
        <f t="shared" si="15"/>
        <v>Moderate</v>
      </c>
      <c r="U38" s="35">
        <f t="shared" si="16"/>
        <v>34.910207419591501</v>
      </c>
      <c r="V38" s="29" t="str">
        <f t="shared" si="12"/>
        <v>Moderate</v>
      </c>
      <c r="W38" s="35">
        <f t="shared" si="17"/>
        <v>30.279338938841327</v>
      </c>
      <c r="X38" s="29" t="str">
        <f t="shared" si="6"/>
        <v>Moderate</v>
      </c>
      <c r="Y38" s="30">
        <f t="shared" si="18"/>
        <v>32.558133532101749</v>
      </c>
      <c r="Z38" s="30"/>
      <c r="AA38" s="30">
        <f t="shared" si="19"/>
        <v>27.358244473318067</v>
      </c>
      <c r="AB38" s="8">
        <f t="shared" si="7"/>
        <v>29.958189002709908</v>
      </c>
      <c r="AC38" t="str">
        <f t="shared" si="14"/>
        <v>Moderate</v>
      </c>
    </row>
    <row r="39" spans="1:29" x14ac:dyDescent="0.25">
      <c r="A39" s="33">
        <v>37</v>
      </c>
      <c r="B39">
        <v>1.38</v>
      </c>
      <c r="C39" s="30">
        <f>AVERAGEIF(Monday!$B$2:$B$755, Monday!B38, Monday!$G$2:$G$755)</f>
        <v>21.914738753434726</v>
      </c>
      <c r="D39" s="30">
        <f>AVERAGEIF(Monday!$B$756:$B$1509, Monday!B38, Monday!$G$756:$G$1509)</f>
        <v>15.966135072591861</v>
      </c>
      <c r="E39" s="30">
        <f>AVERAGEIF(Tuesday!$B$2:$B$755, Tuesday!B38, Tuesday!$G$2:$G$755)</f>
        <v>21.70158341314572</v>
      </c>
      <c r="F39" s="30">
        <f>AVERAGEIF(Tuesday!$B$756:$B$1509, Tuesday!B38, Tuesday!$G$756:$G$1509)</f>
        <v>16.24475558815994</v>
      </c>
      <c r="G39" s="30">
        <f>AVERAGEIF(Wednesday!$B$2:$B$755, Wednesday!B38, Wednesday!$G$2:$G$755)</f>
        <v>22.217456975633318</v>
      </c>
      <c r="H39" s="30">
        <f>AVERAGEIF(Wednesday!$B$756:$B$1509, Wednesday!B38, Wednesday!$G$756:$G$1509)</f>
        <v>15.326059424569936</v>
      </c>
      <c r="I39" s="30">
        <f>AVERAGEIF(Thursday!$B$2:$B$755, Thursday!B38, Thursday!$G$2:$G$755)</f>
        <v>21.61444917284377</v>
      </c>
      <c r="J39" s="30">
        <f>AVERAGEIF(Thursday!$B$756:$B$1509, Thursday!B38, Thursday!$G$756:$G$1509)</f>
        <v>15.762461536474166</v>
      </c>
      <c r="K39" s="30">
        <f>AVERAGEIF(Friday!$B$2:$B$755, Friday!B38, Friday!$G$2:$G$755)</f>
        <v>22.125031775599666</v>
      </c>
      <c r="L39" s="30">
        <f>AVERAGEIF(Friday!$B$756:$B$1509, Friday!B38, Friday!$G$756:$G$1509)</f>
        <v>15.362141869523823</v>
      </c>
      <c r="M39" s="30">
        <f>AVERAGEIF(Saturday!$B$2:$B$755, Saturday!B38, Saturday!$G$2:$G$755)</f>
        <v>24.871522349305849</v>
      </c>
      <c r="N39" s="30">
        <f>AVERAGEIF(Saturday!$B$756:$B$1509, Saturday!B38, Saturday!$G$756:$G$1509)</f>
        <v>19.901304317441678</v>
      </c>
      <c r="O39" s="30">
        <f>AVERAGEIF(Sunday!$B$2:$B$755, Sunday!B38, Sunday!$G$2:$G$755)</f>
        <v>26.698473410420153</v>
      </c>
      <c r="P39" s="30">
        <f>AVERAGEIF(Sunday!$B$756:$B$1509, Sunday!B38, Sunday!$G$756:$G$1509)</f>
        <v>22.747383811908449</v>
      </c>
      <c r="Q39" s="35">
        <f t="shared" si="8"/>
        <v>21.914652018131438</v>
      </c>
      <c r="R39" s="30" t="str">
        <f t="shared" si="4"/>
        <v>Moderate</v>
      </c>
      <c r="S39" s="35">
        <f t="shared" si="9"/>
        <v>15.732310698263944</v>
      </c>
      <c r="T39" s="30" t="str">
        <f t="shared" si="15"/>
        <v>Heavy</v>
      </c>
      <c r="U39" s="35">
        <f t="shared" si="16"/>
        <v>25.784997879862999</v>
      </c>
      <c r="V39" s="29" t="str">
        <f t="shared" si="12"/>
        <v>Moderate</v>
      </c>
      <c r="W39" s="35">
        <f t="shared" si="17"/>
        <v>21.324344064675063</v>
      </c>
      <c r="X39" s="29" t="str">
        <f t="shared" si="6"/>
        <v>Moderate</v>
      </c>
      <c r="Y39" s="30">
        <f t="shared" si="18"/>
        <v>23.849824948997217</v>
      </c>
      <c r="Z39" s="30"/>
      <c r="AA39" s="30">
        <f t="shared" si="19"/>
        <v>18.528327381469502</v>
      </c>
      <c r="AB39" s="8">
        <f t="shared" si="7"/>
        <v>21.189076165233359</v>
      </c>
      <c r="AC39" t="str">
        <f t="shared" si="14"/>
        <v>Moderate</v>
      </c>
    </row>
    <row r="40" spans="1:29" x14ac:dyDescent="0.25">
      <c r="A40" s="33">
        <v>38</v>
      </c>
      <c r="B40">
        <v>1.61</v>
      </c>
      <c r="C40" s="30">
        <f>AVERAGEIF(Monday!$B$2:$B$755, Monday!B39, Monday!$G$2:$G$755)</f>
        <v>26.514629942334167</v>
      </c>
      <c r="D40" s="30">
        <f>AVERAGEIF(Monday!$B$756:$B$1509, Monday!B39, Monday!$G$756:$G$1509)</f>
        <v>20.475149609681765</v>
      </c>
      <c r="E40" s="30">
        <f>AVERAGEIF(Tuesday!$B$2:$B$755, Tuesday!B39, Tuesday!$G$2:$G$755)</f>
        <v>26.407096394765329</v>
      </c>
      <c r="F40" s="30">
        <f>AVERAGEIF(Tuesday!$B$756:$B$1509, Tuesday!B39, Tuesday!$G$756:$G$1509)</f>
        <v>20.075442309578079</v>
      </c>
      <c r="G40" s="30">
        <f>AVERAGEIF(Wednesday!$B$2:$B$755, Wednesday!B39, Wednesday!$G$2:$G$755)</f>
        <v>26.949225481684586</v>
      </c>
      <c r="H40" s="30">
        <f>AVERAGEIF(Wednesday!$B$756:$B$1509, Wednesday!B39, Wednesday!$G$756:$G$1509)</f>
        <v>20.586168551343782</v>
      </c>
      <c r="I40" s="30">
        <f>AVERAGEIF(Thursday!$B$2:$B$755, Thursday!B39, Thursday!$G$2:$G$755)</f>
        <v>26.427233515973931</v>
      </c>
      <c r="J40" s="30">
        <f>AVERAGEIF(Thursday!$B$756:$B$1509, Thursday!B39, Thursday!$G$756:$G$1509)</f>
        <v>19.889499337148159</v>
      </c>
      <c r="K40" s="30">
        <f>AVERAGEIF(Friday!$B$2:$B$755, Friday!B39, Friday!$G$2:$G$755)</f>
        <v>26.400595782342375</v>
      </c>
      <c r="L40" s="30">
        <f>AVERAGEIF(Friday!$B$756:$B$1509, Friday!B39, Friday!$G$756:$G$1509)</f>
        <v>20.06075715745671</v>
      </c>
      <c r="M40" s="30">
        <f>AVERAGEIF(Saturday!$B$2:$B$755, Saturday!B39, Saturday!$G$2:$G$755)</f>
        <v>27.218618254435821</v>
      </c>
      <c r="N40" s="30">
        <f>AVERAGEIF(Saturday!$B$756:$B$1509, Saturday!B39, Saturday!$G$756:$G$1509)</f>
        <v>22.66284748913921</v>
      </c>
      <c r="O40" s="30">
        <f>AVERAGEIF(Sunday!$B$2:$B$755, Sunday!B39, Sunday!$G$2:$G$755)</f>
        <v>28.917078034399204</v>
      </c>
      <c r="P40" s="30">
        <f>AVERAGEIF(Sunday!$B$756:$B$1509, Sunday!B39, Sunday!$G$756:$G$1509)</f>
        <v>25.09242243554581</v>
      </c>
      <c r="Q40" s="35">
        <f t="shared" si="8"/>
        <v>26.539756223420078</v>
      </c>
      <c r="R40" s="30" t="str">
        <f t="shared" si="4"/>
        <v>Moderate</v>
      </c>
      <c r="S40" s="35">
        <f t="shared" si="9"/>
        <v>20.2174033930417</v>
      </c>
      <c r="T40" s="30" t="str">
        <f t="shared" si="15"/>
        <v>Moderate</v>
      </c>
      <c r="U40" s="35">
        <f t="shared" si="16"/>
        <v>28.067848144417511</v>
      </c>
      <c r="V40" s="29" t="str">
        <f t="shared" si="12"/>
        <v>Moderate</v>
      </c>
      <c r="W40" s="35">
        <f t="shared" si="17"/>
        <v>23.877634962342512</v>
      </c>
      <c r="X40" s="29" t="str">
        <f t="shared" si="6"/>
        <v>Moderate</v>
      </c>
      <c r="Y40" s="30">
        <f t="shared" si="18"/>
        <v>27.303802183918794</v>
      </c>
      <c r="Z40" s="30"/>
      <c r="AA40" s="30">
        <f t="shared" si="19"/>
        <v>22.047519177692106</v>
      </c>
      <c r="AB40" s="8">
        <f t="shared" si="7"/>
        <v>24.67566068080545</v>
      </c>
      <c r="AC40" t="str">
        <f t="shared" si="14"/>
        <v>Moderate</v>
      </c>
    </row>
    <row r="41" spans="1:29" x14ac:dyDescent="0.25">
      <c r="A41" s="33">
        <v>39</v>
      </c>
      <c r="B41">
        <v>1.55</v>
      </c>
      <c r="C41" s="30">
        <f>AVERAGEIF(Monday!$B$2:$B$755, Monday!B40, Monday!$G$2:$G$755)</f>
        <v>28.552102069392234</v>
      </c>
      <c r="D41" s="30">
        <f>AVERAGEIF(Monday!$B$756:$B$1509, Monday!B40, Monday!$G$756:$G$1509)</f>
        <v>24.65497731749457</v>
      </c>
      <c r="E41" s="30">
        <f>AVERAGEIF(Tuesday!$B$2:$B$755, Tuesday!B40, Tuesday!$G$2:$G$755)</f>
        <v>28.326223478828066</v>
      </c>
      <c r="F41" s="30">
        <f>AVERAGEIF(Tuesday!$B$756:$B$1509, Tuesday!B40, Tuesday!$G$756:$G$1509)</f>
        <v>24.843068739971589</v>
      </c>
      <c r="G41" s="30">
        <f>AVERAGEIF(Wednesday!$B$2:$B$755, Wednesday!B40, Wednesday!$G$2:$G$755)</f>
        <v>29.372964565468166</v>
      </c>
      <c r="H41" s="30">
        <f>AVERAGEIF(Wednesday!$B$756:$B$1509, Wednesday!B40, Wednesday!$G$756:$G$1509)</f>
        <v>24.885149795494449</v>
      </c>
      <c r="I41" s="30">
        <f>AVERAGEIF(Thursday!$B$2:$B$755, Thursday!B40, Thursday!$G$2:$G$755)</f>
        <v>27.856520328668264</v>
      </c>
      <c r="J41" s="30">
        <f>AVERAGEIF(Thursday!$B$756:$B$1509, Thursday!B40, Thursday!$G$756:$G$1509)</f>
        <v>23.665219239945145</v>
      </c>
      <c r="K41" s="30">
        <f>AVERAGEIF(Friday!$B$2:$B$755, Friday!B40, Friday!$G$2:$G$755)</f>
        <v>28.568340921864969</v>
      </c>
      <c r="L41" s="30">
        <f>AVERAGEIF(Friday!$B$756:$B$1509, Friday!B40, Friday!$G$756:$G$1509)</f>
        <v>24.944420783305187</v>
      </c>
      <c r="M41" s="30">
        <f>AVERAGEIF(Saturday!$B$2:$B$755, Saturday!B40, Saturday!$G$2:$G$755)</f>
        <v>28.935545914438119</v>
      </c>
      <c r="N41" s="30">
        <f>AVERAGEIF(Saturday!$B$756:$B$1509, Saturday!B40, Saturday!$G$756:$G$1509)</f>
        <v>25.394636009449076</v>
      </c>
      <c r="O41" s="30">
        <f>AVERAGEIF(Sunday!$B$2:$B$755, Sunday!B40, Sunday!$G$2:$G$755)</f>
        <v>31.423651694561766</v>
      </c>
      <c r="P41" s="30">
        <f>AVERAGEIF(Sunday!$B$756:$B$1509, Sunday!B40, Sunday!$G$756:$G$1509)</f>
        <v>28.185412283211619</v>
      </c>
      <c r="Q41" s="35">
        <f t="shared" si="8"/>
        <v>28.535230272844341</v>
      </c>
      <c r="R41" s="30" t="str">
        <f t="shared" si="4"/>
        <v>Moderate</v>
      </c>
      <c r="S41" s="35">
        <f t="shared" si="9"/>
        <v>24.598567175242188</v>
      </c>
      <c r="T41" s="30" t="str">
        <f t="shared" si="15"/>
        <v>Moderate</v>
      </c>
      <c r="U41" s="35">
        <f t="shared" si="16"/>
        <v>30.179598804499943</v>
      </c>
      <c r="V41" s="29" t="str">
        <f t="shared" si="12"/>
        <v>Moderate</v>
      </c>
      <c r="W41" s="35">
        <f t="shared" si="17"/>
        <v>26.790024146330346</v>
      </c>
      <c r="X41" s="29" t="str">
        <f t="shared" si="6"/>
        <v>Moderate</v>
      </c>
      <c r="Y41" s="30">
        <f t="shared" si="18"/>
        <v>29.357414538672142</v>
      </c>
      <c r="Z41" s="30"/>
      <c r="AA41" s="30">
        <f t="shared" si="19"/>
        <v>25.694295660786267</v>
      </c>
      <c r="AB41" s="8">
        <f t="shared" si="7"/>
        <v>27.525855099729206</v>
      </c>
      <c r="AC41" t="str">
        <f t="shared" si="14"/>
        <v>Moderate</v>
      </c>
    </row>
    <row r="42" spans="1:29" x14ac:dyDescent="0.25">
      <c r="A42" s="33">
        <v>40</v>
      </c>
      <c r="B42">
        <v>1.39</v>
      </c>
      <c r="C42" s="30">
        <f>AVERAGEIF(Monday!$B$2:$B$755, Monday!B41, Monday!$G$2:$G$755)</f>
        <v>30.707430726699336</v>
      </c>
      <c r="D42" s="30">
        <f>AVERAGEIF(Monday!$B$756:$B$1509, Monday!B41, Monday!$G$756:$G$1509)</f>
        <v>25.70928624197164</v>
      </c>
      <c r="E42" s="30">
        <f>AVERAGEIF(Tuesday!$B$2:$B$755, Tuesday!B41, Tuesday!$G$2:$G$755)</f>
        <v>30.040861043240039</v>
      </c>
      <c r="F42" s="30">
        <f>AVERAGEIF(Tuesday!$B$756:$B$1509, Tuesday!B41, Tuesday!$G$756:$G$1509)</f>
        <v>25.532059173054229</v>
      </c>
      <c r="G42" s="30">
        <f>AVERAGEIF(Wednesday!$B$2:$B$755, Wednesday!B41, Wednesday!$G$2:$G$755)</f>
        <v>30.312516084852518</v>
      </c>
      <c r="H42" s="30">
        <f>AVERAGEIF(Wednesday!$B$756:$B$1509, Wednesday!B41, Wednesday!$G$756:$G$1509)</f>
        <v>25.737354968037266</v>
      </c>
      <c r="I42" s="30">
        <f>AVERAGEIF(Thursday!$B$2:$B$755, Thursday!B41, Thursday!$G$2:$G$755)</f>
        <v>30.111820653200539</v>
      </c>
      <c r="J42" s="30">
        <f>AVERAGEIF(Thursday!$B$756:$B$1509, Thursday!B41, Thursday!$G$756:$G$1509)</f>
        <v>24.707031462984219</v>
      </c>
      <c r="K42" s="30">
        <f>AVERAGEIF(Friday!$B$2:$B$755, Friday!B41, Friday!$G$2:$G$755)</f>
        <v>30.104776708168327</v>
      </c>
      <c r="L42" s="30">
        <f>AVERAGEIF(Friday!$B$756:$B$1509, Friday!B41, Friday!$G$756:$G$1509)</f>
        <v>25.7917903131559</v>
      </c>
      <c r="M42" s="30">
        <f>AVERAGEIF(Saturday!$B$2:$B$755, Saturday!B41, Saturday!$G$2:$G$755)</f>
        <v>30.54813324564822</v>
      </c>
      <c r="N42" s="30">
        <f>AVERAGEIF(Saturday!$B$756:$B$1509, Saturday!B41, Saturday!$G$756:$G$1509)</f>
        <v>27.328573947699212</v>
      </c>
      <c r="O42" s="30">
        <f>AVERAGEIF(Sunday!$B$2:$B$755, Sunday!B41, Sunday!$G$2:$G$755)</f>
        <v>32.082636354439529</v>
      </c>
      <c r="P42" s="30">
        <f>AVERAGEIF(Sunday!$B$756:$B$1509, Sunday!B41, Sunday!$G$756:$G$1509)</f>
        <v>29.341749953685955</v>
      </c>
      <c r="Q42" s="35">
        <f t="shared" si="8"/>
        <v>30.255481043232152</v>
      </c>
      <c r="R42" s="30" t="str">
        <f t="shared" si="4"/>
        <v>Moderate</v>
      </c>
      <c r="S42" s="35">
        <f t="shared" si="9"/>
        <v>25.495504431840651</v>
      </c>
      <c r="T42" s="30" t="str">
        <f t="shared" si="15"/>
        <v>Moderate</v>
      </c>
      <c r="U42" s="35">
        <f t="shared" si="16"/>
        <v>31.315384800043873</v>
      </c>
      <c r="V42" s="29" t="str">
        <f t="shared" si="12"/>
        <v>Moderate</v>
      </c>
      <c r="W42" s="35">
        <f t="shared" si="17"/>
        <v>28.335161950692584</v>
      </c>
      <c r="X42" s="29" t="str">
        <f t="shared" si="6"/>
        <v>Moderate</v>
      </c>
      <c r="Y42" s="30">
        <f t="shared" si="18"/>
        <v>30.785432921638012</v>
      </c>
      <c r="Z42" s="30"/>
      <c r="AA42" s="30">
        <f t="shared" si="19"/>
        <v>26.915333191266619</v>
      </c>
      <c r="AB42" s="8">
        <f t="shared" si="7"/>
        <v>28.850383056452312</v>
      </c>
      <c r="AC42" t="str">
        <f t="shared" si="14"/>
        <v>Moderate</v>
      </c>
    </row>
    <row r="43" spans="1:29" x14ac:dyDescent="0.25">
      <c r="A43" s="33">
        <v>41</v>
      </c>
      <c r="B43">
        <v>1.56</v>
      </c>
      <c r="C43" s="30">
        <f>AVERAGEIF(Monday!$B$2:$B$755, Monday!B42, Monday!$G$2:$G$755)</f>
        <v>21.951131143825407</v>
      </c>
      <c r="D43" s="30">
        <f>AVERAGEIF(Monday!$B$756:$B$1509, Monday!B42, Monday!$G$756:$G$1509)</f>
        <v>18.773634304798694</v>
      </c>
      <c r="E43" s="30">
        <f>AVERAGEIF(Tuesday!$B$2:$B$755, Tuesday!B42, Tuesday!$G$2:$G$755)</f>
        <v>22.04131717964907</v>
      </c>
      <c r="F43" s="30">
        <f>AVERAGEIF(Tuesday!$B$756:$B$1509, Tuesday!B42, Tuesday!$G$756:$G$1509)</f>
        <v>19.227941693763544</v>
      </c>
      <c r="G43" s="30">
        <f>AVERAGEIF(Wednesday!$B$2:$B$755, Wednesday!B42, Wednesday!$G$2:$G$755)</f>
        <v>23.442683558423674</v>
      </c>
      <c r="H43" s="30">
        <f>AVERAGEIF(Wednesday!$B$756:$B$1509, Wednesday!B42, Wednesday!$G$756:$G$1509)</f>
        <v>18.573245641820488</v>
      </c>
      <c r="I43" s="30">
        <f>AVERAGEIF(Thursday!$B$2:$B$755, Thursday!B42, Thursday!$G$2:$G$755)</f>
        <v>22.742276275270285</v>
      </c>
      <c r="J43" s="30">
        <f>AVERAGEIF(Thursday!$B$756:$B$1509, Thursday!B42, Thursday!$G$756:$G$1509)</f>
        <v>18.063991042243384</v>
      </c>
      <c r="K43" s="30">
        <f>AVERAGEIF(Friday!$B$2:$B$755, Friday!B42, Friday!$G$2:$G$755)</f>
        <v>23.08578353390682</v>
      </c>
      <c r="L43" s="30">
        <f>AVERAGEIF(Friday!$B$756:$B$1509, Friday!B42, Friday!$G$756:$G$1509)</f>
        <v>16.723469250433432</v>
      </c>
      <c r="M43" s="30">
        <f>AVERAGEIF(Saturday!$B$2:$B$755, Saturday!B42, Saturday!$G$2:$G$755)</f>
        <v>28.483428557386635</v>
      </c>
      <c r="N43" s="30">
        <f>AVERAGEIF(Saturday!$B$756:$B$1509, Saturday!B42, Saturday!$G$756:$G$1509)</f>
        <v>23.330333496577836</v>
      </c>
      <c r="O43" s="30">
        <f>AVERAGEIF(Sunday!$B$2:$B$755, Sunday!B42, Sunday!$G$2:$G$755)</f>
        <v>31.2657597998206</v>
      </c>
      <c r="P43" s="30">
        <f>AVERAGEIF(Sunday!$B$756:$B$1509, Sunday!B42, Sunday!$G$756:$G$1509)</f>
        <v>26.600079826876367</v>
      </c>
      <c r="Q43" s="35">
        <f t="shared" si="8"/>
        <v>22.652638338215048</v>
      </c>
      <c r="R43" s="30" t="str">
        <f t="shared" si="4"/>
        <v>Moderate</v>
      </c>
      <c r="S43" s="35">
        <f t="shared" si="9"/>
        <v>18.272456386611907</v>
      </c>
      <c r="T43" s="30" t="str">
        <f t="shared" si="15"/>
        <v>Heavy</v>
      </c>
      <c r="U43" s="35">
        <f t="shared" si="16"/>
        <v>29.874594178603616</v>
      </c>
      <c r="V43" s="29" t="str">
        <f t="shared" si="12"/>
        <v>Moderate</v>
      </c>
      <c r="W43" s="35">
        <f t="shared" si="17"/>
        <v>24.965206661727102</v>
      </c>
      <c r="X43" s="29" t="str">
        <f t="shared" si="6"/>
        <v>Moderate</v>
      </c>
      <c r="Y43" s="30">
        <f t="shared" si="18"/>
        <v>26.263616258409332</v>
      </c>
      <c r="Z43" s="30"/>
      <c r="AA43" s="30">
        <f t="shared" si="19"/>
        <v>21.618831524169504</v>
      </c>
      <c r="AB43" s="8">
        <f t="shared" si="7"/>
        <v>23.941223891289418</v>
      </c>
      <c r="AC43" t="str">
        <f t="shared" si="14"/>
        <v>Moderate</v>
      </c>
    </row>
    <row r="44" spans="1:29" x14ac:dyDescent="0.25">
      <c r="A44" s="33">
        <v>42</v>
      </c>
      <c r="B44">
        <v>1.56</v>
      </c>
      <c r="C44" s="30">
        <f>AVERAGEIF(Monday!$B$2:$B$755, Monday!B43, Monday!$G$2:$G$755)</f>
        <v>23.006964413015289</v>
      </c>
      <c r="D44" s="30">
        <f>AVERAGEIF(Monday!$B$756:$B$1509, Monday!B43, Monday!$G$756:$G$1509)</f>
        <v>18.978618783939019</v>
      </c>
      <c r="E44" s="30">
        <f>AVERAGEIF(Tuesday!$B$2:$B$755, Tuesday!B43, Tuesday!$G$2:$G$755)</f>
        <v>22.97850157894803</v>
      </c>
      <c r="F44" s="30">
        <f>AVERAGEIF(Tuesday!$B$756:$B$1509, Tuesday!B43, Tuesday!$G$756:$G$1509)</f>
        <v>20.10569798573858</v>
      </c>
      <c r="G44" s="30">
        <f>AVERAGEIF(Wednesday!$B$2:$B$755, Wednesday!B43, Wednesday!$G$2:$G$755)</f>
        <v>23.65176487024501</v>
      </c>
      <c r="H44" s="30">
        <f>AVERAGEIF(Wednesday!$B$756:$B$1509, Wednesday!B43, Wednesday!$G$756:$G$1509)</f>
        <v>19.590510266797274</v>
      </c>
      <c r="I44" s="30">
        <f>AVERAGEIF(Thursday!$B$2:$B$755, Thursday!B43, Thursday!$G$2:$G$755)</f>
        <v>23.490851479146723</v>
      </c>
      <c r="J44" s="30">
        <f>AVERAGEIF(Thursday!$B$756:$B$1509, Thursday!B43, Thursday!$G$756:$G$1509)</f>
        <v>19.347441695431904</v>
      </c>
      <c r="K44" s="30">
        <f>AVERAGEIF(Friday!$B$2:$B$755, Friday!B43, Friday!$G$2:$G$755)</f>
        <v>23.766989185465892</v>
      </c>
      <c r="L44" s="30">
        <f>AVERAGEIF(Friday!$B$756:$B$1509, Friday!B43, Friday!$G$756:$G$1509)</f>
        <v>19.542303761414004</v>
      </c>
      <c r="M44" s="30">
        <f>AVERAGEIF(Saturday!$B$2:$B$755, Saturday!B43, Saturday!$G$2:$G$755)</f>
        <v>27.211016602886481</v>
      </c>
      <c r="N44" s="30">
        <f>AVERAGEIF(Saturday!$B$756:$B$1509, Saturday!B43, Saturday!$G$756:$G$1509)</f>
        <v>21.399630724543904</v>
      </c>
      <c r="O44" s="30">
        <f>AVERAGEIF(Sunday!$B$2:$B$755, Sunday!B43, Sunday!$G$2:$G$755)</f>
        <v>30.048250161435078</v>
      </c>
      <c r="P44" s="30">
        <f>AVERAGEIF(Sunday!$B$756:$B$1509, Sunday!B43, Sunday!$G$756:$G$1509)</f>
        <v>26.627656829969627</v>
      </c>
      <c r="Q44" s="35">
        <f t="shared" si="8"/>
        <v>23.379014305364187</v>
      </c>
      <c r="R44" s="30" t="str">
        <f t="shared" si="4"/>
        <v>Moderate</v>
      </c>
      <c r="S44" s="35">
        <f t="shared" si="9"/>
        <v>19.512914498664156</v>
      </c>
      <c r="T44" s="30" t="str">
        <f t="shared" si="15"/>
        <v>Heavy</v>
      </c>
      <c r="U44" s="35">
        <f t="shared" si="16"/>
        <v>28.62963338216078</v>
      </c>
      <c r="V44" s="29" t="str">
        <f t="shared" si="12"/>
        <v>Moderate</v>
      </c>
      <c r="W44" s="35">
        <f t="shared" si="17"/>
        <v>24.013643777256767</v>
      </c>
      <c r="X44" s="29" t="str">
        <f t="shared" si="6"/>
        <v>Moderate</v>
      </c>
      <c r="Y44" s="30">
        <f t="shared" si="18"/>
        <v>26.004323843762485</v>
      </c>
      <c r="Z44" s="30"/>
      <c r="AA44" s="30">
        <f t="shared" si="19"/>
        <v>21.76327913796046</v>
      </c>
      <c r="AB44" s="8">
        <f t="shared" si="7"/>
        <v>23.883801490861472</v>
      </c>
      <c r="AC44" t="str">
        <f t="shared" si="14"/>
        <v>Moderate</v>
      </c>
    </row>
    <row r="45" spans="1:29" x14ac:dyDescent="0.25">
      <c r="A45" s="33">
        <v>43</v>
      </c>
      <c r="B45">
        <v>1.51</v>
      </c>
      <c r="C45" s="30">
        <f>AVERAGEIF(Monday!$B$2:$B$755, Monday!B44, Monday!$G$2:$G$755)</f>
        <v>26.776302294535395</v>
      </c>
      <c r="D45" s="30">
        <f>AVERAGEIF(Monday!$B$756:$B$1509, Monday!B44, Monday!$G$756:$G$1509)</f>
        <v>23.365063431704836</v>
      </c>
      <c r="E45" s="30">
        <f>AVERAGEIF(Tuesday!$B$2:$B$755, Tuesday!B44, Tuesday!$G$2:$G$755)</f>
        <v>26.693788884397783</v>
      </c>
      <c r="F45" s="30">
        <f>AVERAGEIF(Tuesday!$B$756:$B$1509, Tuesday!B44, Tuesday!$G$756:$G$1509)</f>
        <v>22.124712236551982</v>
      </c>
      <c r="G45" s="30">
        <f>AVERAGEIF(Wednesday!$B$2:$B$755, Wednesday!B44, Wednesday!$G$2:$G$755)</f>
        <v>27.132113176187765</v>
      </c>
      <c r="H45" s="30">
        <f>AVERAGEIF(Wednesday!$B$756:$B$1509, Wednesday!B44, Wednesday!$G$756:$G$1509)</f>
        <v>22.798503661427524</v>
      </c>
      <c r="I45" s="30">
        <f>AVERAGEIF(Thursday!$B$2:$B$755, Thursday!B44, Thursday!$G$2:$G$755)</f>
        <v>26.889195533737759</v>
      </c>
      <c r="J45" s="30">
        <f>AVERAGEIF(Thursday!$B$756:$B$1509, Thursday!B44, Thursday!$G$756:$G$1509)</f>
        <v>22.435379704277143</v>
      </c>
      <c r="K45" s="30">
        <f>AVERAGEIF(Friday!$B$2:$B$755, Friday!B44, Friday!$G$2:$G$755)</f>
        <v>26.896184892084854</v>
      </c>
      <c r="L45" s="30">
        <f>AVERAGEIF(Friday!$B$756:$B$1509, Friday!B44, Friday!$G$756:$G$1509)</f>
        <v>20.916865674648768</v>
      </c>
      <c r="M45" s="30">
        <f>AVERAGEIF(Saturday!$B$2:$B$755, Saturday!B44, Saturday!$G$2:$G$755)</f>
        <v>28.906164615504377</v>
      </c>
      <c r="N45" s="30">
        <f>AVERAGEIF(Saturday!$B$756:$B$1509, Saturday!B44, Saturday!$G$756:$G$1509)</f>
        <v>26.176146489254908</v>
      </c>
      <c r="O45" s="30">
        <f>AVERAGEIF(Sunday!$B$2:$B$755, Sunday!B44, Sunday!$G$2:$G$755)</f>
        <v>31.264897425904255</v>
      </c>
      <c r="P45" s="30">
        <f>AVERAGEIF(Sunday!$B$756:$B$1509, Sunday!B44, Sunday!$G$756:$G$1509)</f>
        <v>28.275432001202017</v>
      </c>
      <c r="Q45" s="35">
        <f t="shared" si="8"/>
        <v>26.877516956188707</v>
      </c>
      <c r="R45" s="30" t="str">
        <f t="shared" si="4"/>
        <v>Moderate</v>
      </c>
      <c r="S45" s="35">
        <f t="shared" si="9"/>
        <v>22.328104941722053</v>
      </c>
      <c r="T45" s="30" t="str">
        <f t="shared" si="15"/>
        <v>Moderate</v>
      </c>
      <c r="U45" s="35">
        <f t="shared" si="16"/>
        <v>30.085531020704316</v>
      </c>
      <c r="V45" s="29" t="str">
        <f t="shared" si="12"/>
        <v>Moderate</v>
      </c>
      <c r="W45" s="35">
        <f t="shared" si="17"/>
        <v>27.225789245228462</v>
      </c>
      <c r="X45" s="29" t="str">
        <f t="shared" si="6"/>
        <v>Moderate</v>
      </c>
      <c r="Y45" s="30">
        <f t="shared" si="18"/>
        <v>28.481523988446511</v>
      </c>
      <c r="Z45" s="30"/>
      <c r="AA45" s="30">
        <f t="shared" si="19"/>
        <v>24.776947093475258</v>
      </c>
      <c r="AB45" s="8">
        <f t="shared" si="7"/>
        <v>26.629235540960885</v>
      </c>
      <c r="AC45" t="str">
        <f t="shared" si="14"/>
        <v>Moderate</v>
      </c>
    </row>
    <row r="46" spans="1:29" x14ac:dyDescent="0.25">
      <c r="A46" s="33">
        <v>44</v>
      </c>
      <c r="B46">
        <v>1.51</v>
      </c>
      <c r="C46" s="30">
        <f>AVERAGEIF(Monday!$B$2:$B$755, Monday!B45, Monday!$G$2:$G$755)</f>
        <v>20.265950557759254</v>
      </c>
      <c r="D46" s="30">
        <f>AVERAGEIF(Monday!$B$756:$B$1509, Monday!B45, Monday!$G$756:$G$1509)</f>
        <v>19.768171485627754</v>
      </c>
      <c r="E46" s="30">
        <f>AVERAGEIF(Tuesday!$B$2:$B$755, Tuesday!B45, Tuesday!$G$2:$G$755)</f>
        <v>19.791254262872705</v>
      </c>
      <c r="F46" s="30">
        <f>AVERAGEIF(Tuesday!$B$756:$B$1509, Tuesday!B45, Tuesday!$G$756:$G$1509)</f>
        <v>19.301482321827059</v>
      </c>
      <c r="G46" s="30">
        <f>AVERAGEIF(Wednesday!$B$2:$B$755, Wednesday!B45, Wednesday!$G$2:$G$755)</f>
        <v>20.434363961391036</v>
      </c>
      <c r="H46" s="30">
        <f>AVERAGEIF(Wednesday!$B$756:$B$1509, Wednesday!B45, Wednesday!$G$756:$G$1509)</f>
        <v>19.528124425074353</v>
      </c>
      <c r="I46" s="30">
        <f>AVERAGEIF(Thursday!$B$2:$B$755, Thursday!B45, Thursday!$G$2:$G$755)</f>
        <v>19.983313720948839</v>
      </c>
      <c r="J46" s="30">
        <f>AVERAGEIF(Thursday!$B$756:$B$1509, Thursday!B45, Thursday!$G$756:$G$1509)</f>
        <v>19.404477629193277</v>
      </c>
      <c r="K46" s="30">
        <f>AVERAGEIF(Friday!$B$2:$B$755, Friday!B45, Friday!$G$2:$G$755)</f>
        <v>20.335924515830069</v>
      </c>
      <c r="L46" s="30">
        <f>AVERAGEIF(Friday!$B$756:$B$1509, Friday!B45, Friday!$G$756:$G$1509)</f>
        <v>18.603990255381458</v>
      </c>
      <c r="M46" s="30">
        <f>AVERAGEIF(Saturday!$B$2:$B$755, Saturday!B45, Saturday!$G$2:$G$755)</f>
        <v>23.790297590462906</v>
      </c>
      <c r="N46" s="30">
        <f>AVERAGEIF(Saturday!$B$756:$B$1509, Saturday!B45, Saturday!$G$756:$G$1509)</f>
        <v>22.142966551372641</v>
      </c>
      <c r="O46" s="30">
        <f>AVERAGEIF(Sunday!$B$2:$B$755, Sunday!B45, Sunday!$G$2:$G$755)</f>
        <v>25.208458854963734</v>
      </c>
      <c r="P46" s="30">
        <f>AVERAGEIF(Sunday!$B$756:$B$1509, Sunday!B45, Sunday!$G$756:$G$1509)</f>
        <v>23.618856038379786</v>
      </c>
      <c r="Q46" s="35">
        <f t="shared" si="8"/>
        <v>20.162161403760383</v>
      </c>
      <c r="R46" s="30" t="str">
        <f t="shared" si="4"/>
        <v>Moderate</v>
      </c>
      <c r="S46" s="35">
        <f t="shared" si="9"/>
        <v>19.321249223420782</v>
      </c>
      <c r="T46" s="30" t="str">
        <f t="shared" si="15"/>
        <v>Heavy</v>
      </c>
      <c r="U46" s="35">
        <f t="shared" si="16"/>
        <v>24.499378222713318</v>
      </c>
      <c r="V46" s="29" t="str">
        <f t="shared" si="12"/>
        <v>Moderate</v>
      </c>
      <c r="W46" s="35">
        <f t="shared" si="17"/>
        <v>22.880911294876213</v>
      </c>
      <c r="X46" s="29" t="str">
        <f t="shared" si="6"/>
        <v>Moderate</v>
      </c>
      <c r="Y46" s="30">
        <f t="shared" si="18"/>
        <v>22.330769813236849</v>
      </c>
      <c r="Z46" s="30"/>
      <c r="AA46" s="30">
        <f t="shared" si="19"/>
        <v>21.101080259148496</v>
      </c>
      <c r="AB46" s="8">
        <f t="shared" si="7"/>
        <v>21.715925036192672</v>
      </c>
      <c r="AC46" t="str">
        <f t="shared" si="14"/>
        <v>Moderate</v>
      </c>
    </row>
    <row r="47" spans="1:29" x14ac:dyDescent="0.25">
      <c r="A47" s="33">
        <v>45</v>
      </c>
      <c r="B47">
        <v>1.49</v>
      </c>
      <c r="C47" s="30">
        <f>AVERAGEIF(Monday!$B$2:$B$755, Monday!B46, Monday!$G$2:$G$755)</f>
        <v>25.811877617627843</v>
      </c>
      <c r="D47" s="30">
        <f>AVERAGEIF(Monday!$B$756:$B$1509, Monday!B46, Monday!$G$756:$G$1509)</f>
        <v>20.472954871370778</v>
      </c>
      <c r="E47" s="30">
        <f>AVERAGEIF(Tuesday!$B$2:$B$755, Tuesday!B46, Tuesday!$G$2:$G$755)</f>
        <v>26.104462906542704</v>
      </c>
      <c r="F47" s="30">
        <f>AVERAGEIF(Tuesday!$B$756:$B$1509, Tuesday!B46, Tuesday!$G$756:$G$1509)</f>
        <v>20.887582504396669</v>
      </c>
      <c r="G47" s="30">
        <f>AVERAGEIF(Wednesday!$B$2:$B$755, Wednesday!B46, Wednesday!$G$2:$G$755)</f>
        <v>26.235942234882582</v>
      </c>
      <c r="H47" s="30">
        <f>AVERAGEIF(Wednesday!$B$756:$B$1509, Wednesday!B46, Wednesday!$G$756:$G$1509)</f>
        <v>20.496692078317054</v>
      </c>
      <c r="I47" s="30">
        <f>AVERAGEIF(Thursday!$B$2:$B$755, Thursday!B46, Thursday!$G$2:$G$755)</f>
        <v>25.85288573348652</v>
      </c>
      <c r="J47" s="30">
        <f>AVERAGEIF(Thursday!$B$756:$B$1509, Thursday!B46, Thursday!$G$756:$G$1509)</f>
        <v>19.913420094062186</v>
      </c>
      <c r="K47" s="30">
        <f>AVERAGEIF(Friday!$B$2:$B$755, Friday!B46, Friday!$G$2:$G$755)</f>
        <v>25.964510448716563</v>
      </c>
      <c r="L47" s="30">
        <f>AVERAGEIF(Friday!$B$756:$B$1509, Friday!B46, Friday!$G$756:$G$1509)</f>
        <v>20.352212661692949</v>
      </c>
      <c r="M47" s="30">
        <f>AVERAGEIF(Saturday!$B$2:$B$755, Saturday!B46, Saturday!$G$2:$G$755)</f>
        <v>29.369750073090522</v>
      </c>
      <c r="N47" s="30">
        <f>AVERAGEIF(Saturday!$B$756:$B$1509, Saturday!B46, Saturday!$G$756:$G$1509)</f>
        <v>25.326173571295961</v>
      </c>
      <c r="O47" s="30">
        <f>AVERAGEIF(Sunday!$B$2:$B$755, Sunday!B46, Sunday!$G$2:$G$755)</f>
        <v>31.863707181728937</v>
      </c>
      <c r="P47" s="30">
        <f>AVERAGEIF(Sunday!$B$756:$B$1509, Sunday!B46, Sunday!$G$756:$G$1509)</f>
        <v>28.406251507895551</v>
      </c>
      <c r="Q47" s="35">
        <f t="shared" si="8"/>
        <v>25.993935788251243</v>
      </c>
      <c r="R47" s="30" t="str">
        <f t="shared" si="4"/>
        <v>Moderate</v>
      </c>
      <c r="S47" s="35">
        <f t="shared" si="9"/>
        <v>20.424572441967928</v>
      </c>
      <c r="T47" s="30" t="str">
        <f t="shared" si="15"/>
        <v>Moderate</v>
      </c>
      <c r="U47" s="35">
        <f t="shared" si="16"/>
        <v>30.616728627409728</v>
      </c>
      <c r="V47" s="29" t="str">
        <f t="shared" si="12"/>
        <v>Moderate</v>
      </c>
      <c r="W47" s="35">
        <f t="shared" si="17"/>
        <v>26.866212539595757</v>
      </c>
      <c r="X47" s="29" t="str">
        <f t="shared" si="6"/>
        <v>Moderate</v>
      </c>
      <c r="Y47" s="30">
        <f t="shared" si="18"/>
        <v>28.305332207830485</v>
      </c>
      <c r="Z47" s="30"/>
      <c r="AA47" s="30">
        <f t="shared" si="19"/>
        <v>23.645392490781845</v>
      </c>
      <c r="AB47" s="8">
        <f t="shared" si="7"/>
        <v>25.975362349306167</v>
      </c>
      <c r="AC47" t="str">
        <f t="shared" si="14"/>
        <v>Moderate</v>
      </c>
    </row>
    <row r="48" spans="1:29" x14ac:dyDescent="0.25">
      <c r="A48" s="33">
        <v>46</v>
      </c>
      <c r="B48">
        <v>1.52</v>
      </c>
      <c r="C48" s="30">
        <f>AVERAGEIF(Monday!$B$2:$B$755, Monday!B47, Monday!$G$2:$G$755)</f>
        <v>24.091228572117679</v>
      </c>
      <c r="D48" s="30">
        <f>AVERAGEIF(Monday!$B$756:$B$1509, Monday!B47, Monday!$G$756:$G$1509)</f>
        <v>20.786661924869577</v>
      </c>
      <c r="E48" s="30">
        <f>AVERAGEIF(Tuesday!$B$2:$B$755, Tuesday!B47, Tuesday!$G$2:$G$755)</f>
        <v>24.040978000007417</v>
      </c>
      <c r="F48" s="30">
        <f>AVERAGEIF(Tuesday!$B$756:$B$1509, Tuesday!B47, Tuesday!$G$756:$G$1509)</f>
        <v>20.201417431030716</v>
      </c>
      <c r="G48" s="30">
        <f>AVERAGEIF(Wednesday!$B$2:$B$755, Wednesday!B47, Wednesday!$G$2:$G$755)</f>
        <v>24.397292108161082</v>
      </c>
      <c r="H48" s="30">
        <f>AVERAGEIF(Wednesday!$B$756:$B$1509, Wednesday!B47, Wednesday!$G$756:$G$1509)</f>
        <v>19.999178400501503</v>
      </c>
      <c r="I48" s="30">
        <f>AVERAGEIF(Thursday!$B$2:$B$755, Thursday!B47, Thursday!$G$2:$G$755)</f>
        <v>23.889955152981738</v>
      </c>
      <c r="J48" s="30">
        <f>AVERAGEIF(Thursday!$B$756:$B$1509, Thursday!B47, Thursday!$G$756:$G$1509)</f>
        <v>20.172695250932183</v>
      </c>
      <c r="K48" s="30">
        <f>AVERAGEIF(Friday!$B$2:$B$755, Friday!B47, Friday!$G$2:$G$755)</f>
        <v>24.257894439492151</v>
      </c>
      <c r="L48" s="30">
        <f>AVERAGEIF(Friday!$B$756:$B$1509, Friday!B47, Friday!$G$756:$G$1509)</f>
        <v>20.282045143247704</v>
      </c>
      <c r="M48" s="30">
        <f>AVERAGEIF(Saturday!$B$2:$B$755, Saturday!B47, Saturday!$G$2:$G$755)</f>
        <v>26.448536531805189</v>
      </c>
      <c r="N48" s="30">
        <f>AVERAGEIF(Saturday!$B$756:$B$1509, Saturday!B47, Saturday!$G$756:$G$1509)</f>
        <v>24.831261427602904</v>
      </c>
      <c r="O48" s="30">
        <f>AVERAGEIF(Sunday!$B$2:$B$755, Sunday!B47, Sunday!$G$2:$G$755)</f>
        <v>28.164866975282912</v>
      </c>
      <c r="P48" s="30">
        <f>AVERAGEIF(Sunday!$B$756:$B$1509, Sunday!B47, Sunday!$G$756:$G$1509)</f>
        <v>25.944688716256785</v>
      </c>
      <c r="Q48" s="35">
        <f t="shared" si="8"/>
        <v>24.135469654552015</v>
      </c>
      <c r="R48" s="30" t="str">
        <f t="shared" si="4"/>
        <v>Moderate</v>
      </c>
      <c r="S48" s="35">
        <f t="shared" si="9"/>
        <v>20.288399630116338</v>
      </c>
      <c r="T48" s="30" t="str">
        <f t="shared" si="15"/>
        <v>Moderate</v>
      </c>
      <c r="U48" s="35">
        <f t="shared" si="16"/>
        <v>27.306701753544051</v>
      </c>
      <c r="V48" s="29" t="str">
        <f t="shared" si="12"/>
        <v>Moderate</v>
      </c>
      <c r="W48" s="35">
        <f t="shared" si="17"/>
        <v>25.387975071929844</v>
      </c>
      <c r="X48" s="29" t="str">
        <f t="shared" si="6"/>
        <v>Moderate</v>
      </c>
      <c r="Y48" s="30">
        <f t="shared" si="18"/>
        <v>25.721085704048033</v>
      </c>
      <c r="Z48" s="30"/>
      <c r="AA48" s="30">
        <f t="shared" si="19"/>
        <v>22.838187351023091</v>
      </c>
      <c r="AB48" s="8">
        <f t="shared" si="7"/>
        <v>24.279636527535562</v>
      </c>
      <c r="AC48" t="str">
        <f t="shared" si="14"/>
        <v>Moderate</v>
      </c>
    </row>
    <row r="49" spans="1:29" s="23" customFormat="1" x14ac:dyDescent="0.25">
      <c r="A49" s="41">
        <v>47</v>
      </c>
      <c r="B49" s="23">
        <v>1.52</v>
      </c>
      <c r="C49" s="22">
        <f>AVERAGEIF(Monday!$B$2:$B$755, Monday!B48, Monday!$G$2:$G$755)</f>
        <v>18.53495563234976</v>
      </c>
      <c r="D49" s="22">
        <f>AVERAGEIF(Monday!$B$756:$B$1509, Monday!B48, Monday!$G$756:$G$1509)</f>
        <v>16.369373471053951</v>
      </c>
      <c r="E49" s="22">
        <f>AVERAGEIF(Tuesday!$B$2:$B$755, Tuesday!B48, Tuesday!$G$2:$G$755)</f>
        <v>19.490356970206328</v>
      </c>
      <c r="F49" s="22">
        <f>AVERAGEIF(Tuesday!$B$756:$B$1509, Tuesday!B48, Tuesday!$G$756:$G$1509)</f>
        <v>17.714321918240909</v>
      </c>
      <c r="G49" s="22">
        <f>AVERAGEIF(Wednesday!$B$2:$B$755, Wednesday!B48, Wednesday!$G$2:$G$755)</f>
        <v>18.32860183648874</v>
      </c>
      <c r="H49" s="22">
        <f>AVERAGEIF(Wednesday!$B$756:$B$1509, Wednesday!B48, Wednesday!$G$756:$G$1509)</f>
        <v>17.384780339636198</v>
      </c>
      <c r="I49" s="22">
        <f>AVERAGEIF(Thursday!$B$2:$B$755, Thursday!B48, Thursday!$G$2:$G$755)</f>
        <v>20.60665854639619</v>
      </c>
      <c r="J49" s="22">
        <f>AVERAGEIF(Thursday!$B$756:$B$1509, Thursday!B48, Thursday!$G$756:$G$1509)</f>
        <v>15.444970384461687</v>
      </c>
      <c r="K49" s="22">
        <f>AVERAGEIF(Friday!$B$2:$B$755, Friday!B48, Friday!$G$2:$G$755)</f>
        <v>19.545416457082613</v>
      </c>
      <c r="L49" s="22">
        <f>AVERAGEIF(Friday!$B$756:$B$1509, Friday!B48, Friday!$G$756:$G$1509)</f>
        <v>15.086930851463714</v>
      </c>
      <c r="M49" s="22">
        <f>AVERAGEIF(Saturday!$B$2:$B$755, Saturday!B48, Saturday!$G$2:$G$755)</f>
        <v>26.757832998342813</v>
      </c>
      <c r="N49" s="22">
        <f>AVERAGEIF(Saturday!$B$756:$B$1509, Saturday!B48, Saturday!$G$756:$G$1509)</f>
        <v>23.3118559312264</v>
      </c>
      <c r="O49" s="22">
        <f>AVERAGEIF(Sunday!$B$2:$B$755, Sunday!B48, Sunday!$G$2:$G$755)</f>
        <v>29.976318185387541</v>
      </c>
      <c r="P49" s="22">
        <f>AVERAGEIF(Sunday!$B$756:$B$1509, Sunday!B48, Sunday!$G$756:$G$1509)</f>
        <v>25.786122968295828</v>
      </c>
      <c r="Q49" s="22">
        <f t="shared" si="8"/>
        <v>19.301197888504724</v>
      </c>
      <c r="R49" s="30" t="str">
        <f t="shared" si="4"/>
        <v>Heavy</v>
      </c>
      <c r="S49" s="22">
        <f t="shared" si="9"/>
        <v>16.400075392971292</v>
      </c>
      <c r="T49" s="30" t="str">
        <f t="shared" si="15"/>
        <v>Heavy</v>
      </c>
      <c r="U49" s="22">
        <f t="shared" si="16"/>
        <v>28.367075591865177</v>
      </c>
      <c r="V49" s="29" t="str">
        <f t="shared" si="12"/>
        <v>Moderate</v>
      </c>
      <c r="W49" s="22">
        <f t="shared" si="17"/>
        <v>24.548989449761116</v>
      </c>
      <c r="X49" s="29" t="str">
        <f t="shared" si="6"/>
        <v>Moderate</v>
      </c>
      <c r="Y49" s="30">
        <f t="shared" si="18"/>
        <v>23.834136740184952</v>
      </c>
      <c r="Z49" s="30"/>
      <c r="AA49" s="30">
        <f t="shared" si="19"/>
        <v>20.474532421366206</v>
      </c>
      <c r="AB49" s="8">
        <f t="shared" si="7"/>
        <v>22.154334580775576</v>
      </c>
      <c r="AC49" s="23" t="str">
        <f t="shared" si="14"/>
        <v>Moderate</v>
      </c>
    </row>
    <row r="50" spans="1:29" x14ac:dyDescent="0.25">
      <c r="A50" s="33">
        <v>48</v>
      </c>
      <c r="B50">
        <v>1.5</v>
      </c>
      <c r="C50" s="30">
        <f>AVERAGEIF(Monday!$B$2:$B$755, Monday!B49, Monday!$G$2:$G$755)</f>
        <v>24.366528530595858</v>
      </c>
      <c r="D50" s="30">
        <f>AVERAGEIF(Monday!$B$756:$B$1509, Monday!B49, Monday!$G$756:$G$1509)</f>
        <v>19.702908868184974</v>
      </c>
      <c r="E50" s="30">
        <f>AVERAGEIF(Tuesday!$B$2:$B$755, Tuesday!B49, Tuesday!$G$2:$G$755)</f>
        <v>23.495076771312476</v>
      </c>
      <c r="F50" s="30">
        <f>AVERAGEIF(Tuesday!$B$756:$B$1509, Tuesday!B49, Tuesday!$G$756:$G$1509)</f>
        <v>20.583790825800733</v>
      </c>
      <c r="G50" s="30">
        <f>AVERAGEIF(Wednesday!$B$2:$B$755, Wednesday!B49, Wednesday!$G$2:$G$755)</f>
        <v>24.991709104454227</v>
      </c>
      <c r="H50" s="30">
        <f>AVERAGEIF(Wednesday!$B$756:$B$1509, Wednesday!B49, Wednesday!$G$756:$G$1509)</f>
        <v>21.21664051393606</v>
      </c>
      <c r="I50" s="30">
        <f>AVERAGEIF(Thursday!$B$2:$B$755, Thursday!B49, Thursday!$G$2:$G$755)</f>
        <v>24.450139700468519</v>
      </c>
      <c r="J50" s="30">
        <f>AVERAGEIF(Thursday!$B$756:$B$1509, Thursday!B49, Thursday!$G$756:$G$1509)</f>
        <v>20.444141975657789</v>
      </c>
      <c r="K50" s="30">
        <f>AVERAGEIF(Friday!$B$2:$B$755, Friday!B49, Friday!$G$2:$G$755)</f>
        <v>24.763925978697024</v>
      </c>
      <c r="L50" s="30">
        <f>AVERAGEIF(Friday!$B$756:$B$1509, Friday!B49, Friday!$G$756:$G$1509)</f>
        <v>20.633659598608407</v>
      </c>
      <c r="M50" s="30">
        <f>AVERAGEIF(Saturday!$B$2:$B$755, Saturday!B49, Saturday!$G$2:$G$755)</f>
        <v>27.957599173284578</v>
      </c>
      <c r="N50" s="30">
        <f>AVERAGEIF(Saturday!$B$756:$B$1509, Saturday!B49, Saturday!$G$756:$G$1509)</f>
        <v>24.579865261979368</v>
      </c>
      <c r="O50" s="30">
        <f>AVERAGEIF(Sunday!$B$2:$B$755, Sunday!B49, Sunday!$G$2:$G$755)</f>
        <v>29.805148781054623</v>
      </c>
      <c r="P50" s="30">
        <f>AVERAGEIF(Sunday!$B$756:$B$1509, Sunday!B49, Sunday!$G$756:$G$1509)</f>
        <v>26.73190875749685</v>
      </c>
      <c r="Q50" s="35">
        <f t="shared" si="8"/>
        <v>24.413476017105619</v>
      </c>
      <c r="R50" s="30" t="str">
        <f t="shared" si="4"/>
        <v>Moderate</v>
      </c>
      <c r="S50" s="35">
        <f t="shared" si="9"/>
        <v>20.51622835643759</v>
      </c>
      <c r="T50" s="30" t="str">
        <f t="shared" si="15"/>
        <v>Moderate</v>
      </c>
      <c r="U50" s="35">
        <f t="shared" si="16"/>
        <v>28.881373977169602</v>
      </c>
      <c r="V50" s="29" t="str">
        <f t="shared" si="12"/>
        <v>Moderate</v>
      </c>
      <c r="W50" s="35">
        <f t="shared" si="17"/>
        <v>25.655887009738109</v>
      </c>
      <c r="X50" s="29" t="str">
        <f t="shared" si="6"/>
        <v>Moderate</v>
      </c>
      <c r="Y50" s="30">
        <f t="shared" si="18"/>
        <v>26.647424997137612</v>
      </c>
      <c r="Z50" s="30"/>
      <c r="AA50" s="30">
        <f t="shared" si="19"/>
        <v>23.086057683087851</v>
      </c>
      <c r="AB50" s="8">
        <f t="shared" si="7"/>
        <v>24.866741340112732</v>
      </c>
      <c r="AC50" t="str">
        <f t="shared" si="14"/>
        <v>Moderate</v>
      </c>
    </row>
    <row r="51" spans="1:29" x14ac:dyDescent="0.25">
      <c r="A51" s="33">
        <v>49</v>
      </c>
      <c r="B51">
        <v>1.54</v>
      </c>
      <c r="C51" s="30">
        <f>AVERAGEIF(Monday!$B$2:$B$755, Monday!B50, Monday!$G$2:$G$755)</f>
        <v>22.277799874241939</v>
      </c>
      <c r="D51" s="30">
        <f>AVERAGEIF(Monday!$B$756:$B$1509, Monday!B50, Monday!$G$756:$G$1509)</f>
        <v>16.509232639089529</v>
      </c>
      <c r="E51" s="30">
        <f>AVERAGEIF(Tuesday!$B$2:$B$755, Tuesday!B50, Tuesday!$G$2:$G$755)</f>
        <v>22.617804499318211</v>
      </c>
      <c r="F51" s="30">
        <f>AVERAGEIF(Tuesday!$B$756:$B$1509, Tuesday!B50, Tuesday!$G$756:$G$1509)</f>
        <v>18.934622106172462</v>
      </c>
      <c r="G51" s="30">
        <f>AVERAGEIF(Wednesday!$B$2:$B$755, Wednesday!B50, Wednesday!$G$2:$G$755)</f>
        <v>24.342619963413508</v>
      </c>
      <c r="H51" s="30">
        <f>AVERAGEIF(Wednesday!$B$756:$B$1509, Wednesday!B50, Wednesday!$G$756:$G$1509)</f>
        <v>19.861169993166133</v>
      </c>
      <c r="I51" s="30">
        <f>AVERAGEIF(Thursday!$B$2:$B$755, Thursday!B50, Thursday!$G$2:$G$755)</f>
        <v>23.511843761846855</v>
      </c>
      <c r="J51" s="30">
        <f>AVERAGEIF(Thursday!$B$756:$B$1509, Thursday!B50, Thursday!$G$756:$G$1509)</f>
        <v>18.374907172527834</v>
      </c>
      <c r="K51" s="30">
        <f>AVERAGEIF(Friday!$B$2:$B$755, Friday!B50, Friday!$G$2:$G$755)</f>
        <v>23.255553724452959</v>
      </c>
      <c r="L51" s="30">
        <f>AVERAGEIF(Friday!$B$756:$B$1509, Friday!B50, Friday!$G$756:$G$1509)</f>
        <v>18.107693089166855</v>
      </c>
      <c r="M51" s="30">
        <f>AVERAGEIF(Saturday!$B$2:$B$755, Saturday!B50, Saturday!$G$2:$G$755)</f>
        <v>25.270000979367204</v>
      </c>
      <c r="N51" s="30">
        <f>AVERAGEIF(Saturday!$B$756:$B$1509, Saturday!B50, Saturday!$G$756:$G$1509)</f>
        <v>21.181441491632793</v>
      </c>
      <c r="O51" s="30">
        <f>AVERAGEIF(Sunday!$B$2:$B$755, Sunday!B50, Sunday!$G$2:$G$755)</f>
        <v>28.804286857372194</v>
      </c>
      <c r="P51" s="30">
        <f>AVERAGEIF(Sunday!$B$756:$B$1509, Sunday!B50, Sunday!$G$756:$G$1509)</f>
        <v>23.676756087635759</v>
      </c>
      <c r="Q51" s="35">
        <f t="shared" si="8"/>
        <v>23.201124364654696</v>
      </c>
      <c r="R51" s="30" t="str">
        <f t="shared" si="4"/>
        <v>Moderate</v>
      </c>
      <c r="S51" s="35">
        <f t="shared" si="9"/>
        <v>18.357525000024562</v>
      </c>
      <c r="T51" s="30" t="str">
        <f t="shared" si="15"/>
        <v>Heavy</v>
      </c>
      <c r="U51" s="35">
        <f t="shared" si="16"/>
        <v>27.037143918369701</v>
      </c>
      <c r="V51" s="29" t="str">
        <f t="shared" si="12"/>
        <v>Moderate</v>
      </c>
      <c r="W51" s="35">
        <f t="shared" si="17"/>
        <v>22.429098789634274</v>
      </c>
      <c r="X51" s="29" t="str">
        <f t="shared" si="6"/>
        <v>Moderate</v>
      </c>
      <c r="Y51" s="30">
        <f t="shared" si="18"/>
        <v>25.119134141512198</v>
      </c>
      <c r="Z51" s="30"/>
      <c r="AA51" s="30">
        <f t="shared" si="19"/>
        <v>20.393311894829417</v>
      </c>
      <c r="AB51" s="8">
        <f t="shared" si="7"/>
        <v>22.756223018170807</v>
      </c>
      <c r="AC51" t="str">
        <f t="shared" si="14"/>
        <v>Moderate</v>
      </c>
    </row>
    <row r="52" spans="1:29" x14ac:dyDescent="0.25">
      <c r="A52" s="33">
        <v>50</v>
      </c>
      <c r="B52">
        <v>1.38</v>
      </c>
      <c r="C52" s="30">
        <f>AVERAGEIF(Monday!$B$2:$B$755, Monday!B51, Monday!$G$2:$G$755)</f>
        <v>27.096823335869583</v>
      </c>
      <c r="D52" s="30">
        <f>AVERAGEIF(Monday!$B$756:$B$1509, Monday!B51, Monday!$G$756:$G$1509)</f>
        <v>24.463337739286331</v>
      </c>
      <c r="E52" s="30">
        <f>AVERAGEIF(Tuesday!$B$2:$B$755, Tuesday!B51, Tuesday!$G$2:$G$755)</f>
        <v>26.876462367841174</v>
      </c>
      <c r="F52" s="30">
        <f>AVERAGEIF(Tuesday!$B$756:$B$1509, Tuesday!B51, Tuesday!$G$756:$G$1509)</f>
        <v>24.6894047349227</v>
      </c>
      <c r="G52" s="30">
        <f>AVERAGEIF(Wednesday!$B$2:$B$755, Wednesday!B51, Wednesday!$G$2:$G$755)</f>
        <v>27.36905342426379</v>
      </c>
      <c r="H52" s="30">
        <f>AVERAGEIF(Wednesday!$B$756:$B$1509, Wednesday!B51, Wednesday!$G$756:$G$1509)</f>
        <v>24.572776778272857</v>
      </c>
      <c r="I52" s="30">
        <f>AVERAGEIF(Thursday!$B$2:$B$755, Thursday!B51, Thursday!$G$2:$G$755)</f>
        <v>26.321851230198739</v>
      </c>
      <c r="J52" s="30">
        <f>AVERAGEIF(Thursday!$B$756:$B$1509, Thursday!B51, Thursday!$G$756:$G$1509)</f>
        <v>24.321529963062702</v>
      </c>
      <c r="K52" s="30">
        <f>AVERAGEIF(Friday!$B$2:$B$755, Friday!B51, Friday!$G$2:$G$755)</f>
        <v>26.902150793622493</v>
      </c>
      <c r="L52" s="30">
        <f>AVERAGEIF(Friday!$B$756:$B$1509, Friday!B51, Friday!$G$756:$G$1509)</f>
        <v>24.060818668452463</v>
      </c>
      <c r="M52" s="30">
        <f>AVERAGEIF(Saturday!$B$2:$B$755, Saturday!B51, Saturday!$G$2:$G$755)</f>
        <v>27.881953908276898</v>
      </c>
      <c r="N52" s="30">
        <f>AVERAGEIF(Saturday!$B$756:$B$1509, Saturday!B51, Saturday!$G$756:$G$1509)</f>
        <v>26.151349481823242</v>
      </c>
      <c r="O52" s="30">
        <f>AVERAGEIF(Sunday!$B$2:$B$755, Sunday!B51, Sunday!$G$2:$G$755)</f>
        <v>29.908635544844451</v>
      </c>
      <c r="P52" s="30">
        <f>AVERAGEIF(Sunday!$B$756:$B$1509, Sunday!B51, Sunday!$G$756:$G$1509)</f>
        <v>27.305732491630376</v>
      </c>
      <c r="Q52" s="35">
        <f t="shared" si="8"/>
        <v>26.913268230359158</v>
      </c>
      <c r="R52" s="30" t="str">
        <f t="shared" si="4"/>
        <v>Moderate</v>
      </c>
      <c r="S52" s="35">
        <f t="shared" si="9"/>
        <v>24.42157357679941</v>
      </c>
      <c r="T52" s="30" t="str">
        <f t="shared" si="15"/>
        <v>Moderate</v>
      </c>
      <c r="U52" s="35">
        <f t="shared" si="16"/>
        <v>28.895294726560675</v>
      </c>
      <c r="V52" s="29" t="str">
        <f t="shared" si="12"/>
        <v>Moderate</v>
      </c>
      <c r="W52" s="35">
        <f t="shared" si="17"/>
        <v>26.728540986726809</v>
      </c>
      <c r="X52" s="29" t="str">
        <f t="shared" si="6"/>
        <v>Moderate</v>
      </c>
      <c r="Y52" s="30">
        <f t="shared" si="18"/>
        <v>27.904281478459914</v>
      </c>
      <c r="Z52" s="30"/>
      <c r="AA52" s="30">
        <f t="shared" si="19"/>
        <v>25.575057281763108</v>
      </c>
      <c r="AB52" s="8">
        <f t="shared" si="7"/>
        <v>26.739669380111515</v>
      </c>
      <c r="AC52" t="str">
        <f t="shared" si="14"/>
        <v>Moderate</v>
      </c>
    </row>
    <row r="53" spans="1:29" x14ac:dyDescent="0.25">
      <c r="A53" s="33">
        <v>51</v>
      </c>
      <c r="B53">
        <v>2.79</v>
      </c>
      <c r="C53" s="30">
        <f>AVERAGEIF(Monday!$B$2:$B$755, Monday!B52, Monday!$G$2:$G$755)</f>
        <v>29.813940864902555</v>
      </c>
      <c r="D53" s="30">
        <f>AVERAGEIF(Monday!$B$756:$B$1509, Monday!B52, Monday!$G$756:$G$1509)</f>
        <v>26.863286918323791</v>
      </c>
      <c r="E53" s="30">
        <f>AVERAGEIF(Tuesday!$B$2:$B$755, Tuesday!B52, Tuesday!$G$2:$G$755)</f>
        <v>29.104811494816225</v>
      </c>
      <c r="F53" s="30">
        <f>AVERAGEIF(Tuesday!$B$756:$B$1509, Tuesday!B52, Tuesday!$G$756:$G$1509)</f>
        <v>27.408979294127473</v>
      </c>
      <c r="G53" s="30">
        <f>AVERAGEIF(Wednesday!$B$2:$B$755, Wednesday!B52, Wednesday!$G$2:$G$755)</f>
        <v>30.007435137115973</v>
      </c>
      <c r="H53" s="30">
        <f>AVERAGEIF(Wednesday!$B$756:$B$1509, Wednesday!B52, Wednesday!$G$756:$G$1509)</f>
        <v>28.421930803837089</v>
      </c>
      <c r="I53" s="30">
        <f>AVERAGEIF(Thursday!$B$2:$B$755, Thursday!B52, Thursday!$G$2:$G$755)</f>
        <v>29.551963773346067</v>
      </c>
      <c r="J53" s="30">
        <f>AVERAGEIF(Thursday!$B$756:$B$1509, Thursday!B52, Thursday!$G$756:$G$1509)</f>
        <v>27.172446876705031</v>
      </c>
      <c r="K53" s="30">
        <f>AVERAGEIF(Friday!$B$2:$B$755, Friday!B52, Friday!$G$2:$G$755)</f>
        <v>29.844171070846091</v>
      </c>
      <c r="L53" s="30">
        <f>AVERAGEIF(Friday!$B$756:$B$1509, Friday!B52, Friday!$G$756:$G$1509)</f>
        <v>28.448979011170927</v>
      </c>
      <c r="M53" s="30">
        <f>AVERAGEIF(Saturday!$B$2:$B$755, Saturday!B52, Saturday!$G$2:$G$755)</f>
        <v>32.154830219248595</v>
      </c>
      <c r="N53" s="30">
        <f>AVERAGEIF(Saturday!$B$756:$B$1509, Saturday!B52, Saturday!$G$756:$G$1509)</f>
        <v>29.217015416381798</v>
      </c>
      <c r="O53" s="30">
        <f>AVERAGEIF(Sunday!$B$2:$B$755, Sunday!B52, Sunday!$G$2:$G$755)</f>
        <v>34.588660050520247</v>
      </c>
      <c r="P53" s="30">
        <f>AVERAGEIF(Sunday!$B$756:$B$1509, Sunday!B52, Sunday!$G$756:$G$1509)</f>
        <v>31.329652135207255</v>
      </c>
      <c r="Q53" s="35">
        <f t="shared" si="8"/>
        <v>29.664464468205388</v>
      </c>
      <c r="R53" s="30" t="str">
        <f t="shared" si="4"/>
        <v>Moderate</v>
      </c>
      <c r="S53" s="35">
        <f t="shared" si="9"/>
        <v>27.663124580832864</v>
      </c>
      <c r="T53" s="30" t="str">
        <f t="shared" si="15"/>
        <v>Moderate</v>
      </c>
      <c r="U53" s="35">
        <f t="shared" si="16"/>
        <v>33.371745134884421</v>
      </c>
      <c r="V53" s="29" t="str">
        <f t="shared" si="12"/>
        <v>Moderate</v>
      </c>
      <c r="W53" s="35">
        <f t="shared" si="17"/>
        <v>30.273333775794526</v>
      </c>
      <c r="X53" s="29" t="str">
        <f t="shared" si="6"/>
        <v>Moderate</v>
      </c>
      <c r="Y53" s="30">
        <f t="shared" si="18"/>
        <v>31.518104801544904</v>
      </c>
      <c r="Z53" s="30"/>
      <c r="AA53" s="30">
        <f t="shared" si="19"/>
        <v>28.968229178313695</v>
      </c>
      <c r="AB53" s="8">
        <f t="shared" si="7"/>
        <v>30.2431669899293</v>
      </c>
      <c r="AC53" t="str">
        <f t="shared" si="14"/>
        <v>Moderate</v>
      </c>
    </row>
    <row r="54" spans="1:29" x14ac:dyDescent="0.25">
      <c r="A54" s="33">
        <v>52</v>
      </c>
      <c r="B54">
        <v>1.5</v>
      </c>
      <c r="C54" s="30">
        <f>AVERAGEIF(Monday!$B$2:$B$755, Monday!B53, Monday!$G$2:$G$755)</f>
        <v>32.37237098078463</v>
      </c>
      <c r="D54" s="30">
        <f>AVERAGEIF(Monday!$B$756:$B$1509, Monday!B53, Monday!$G$756:$G$1509)</f>
        <v>30.949961200991886</v>
      </c>
      <c r="E54" s="30">
        <f>AVERAGEIF(Tuesday!$B$2:$B$755, Tuesday!B53, Tuesday!$G$2:$G$755)</f>
        <v>31.846491110111533</v>
      </c>
      <c r="F54" s="30">
        <f>AVERAGEIF(Tuesday!$B$756:$B$1509, Tuesday!B53, Tuesday!$G$756:$G$1509)</f>
        <v>30.490244346451711</v>
      </c>
      <c r="G54" s="30">
        <f>AVERAGEIF(Wednesday!$B$2:$B$755, Wednesday!B53, Wednesday!$G$2:$G$755)</f>
        <v>30.495178404439518</v>
      </c>
      <c r="H54" s="30">
        <f>AVERAGEIF(Wednesday!$B$756:$B$1509, Wednesday!B53, Wednesday!$G$756:$G$1509)</f>
        <v>30.932585232793642</v>
      </c>
      <c r="I54" s="30">
        <f>AVERAGEIF(Thursday!$B$2:$B$755, Thursday!B53, Thursday!$G$2:$G$755)</f>
        <v>31.475628581272705</v>
      </c>
      <c r="J54" s="30">
        <f>AVERAGEIF(Thursday!$B$756:$B$1509, Thursday!B53, Thursday!$G$756:$G$1509)</f>
        <v>30.59833050658353</v>
      </c>
      <c r="K54" s="30">
        <f>AVERAGEIF(Friday!$B$2:$B$755, Friday!B53, Friday!$G$2:$G$755)</f>
        <v>32.01046827921796</v>
      </c>
      <c r="L54" s="30">
        <f>AVERAGEIF(Friday!$B$756:$B$1509, Friday!B53, Friday!$G$756:$G$1509)</f>
        <v>30.955772434979167</v>
      </c>
      <c r="M54" s="30">
        <f>AVERAGEIF(Saturday!$B$2:$B$755, Saturday!B53, Saturday!$G$2:$G$755)</f>
        <v>32.762347326512867</v>
      </c>
      <c r="N54" s="30">
        <f>AVERAGEIF(Saturday!$B$756:$B$1509, Saturday!B53, Saturday!$G$756:$G$1509)</f>
        <v>32.479289824228019</v>
      </c>
      <c r="O54" s="30">
        <f>AVERAGEIF(Sunday!$B$2:$B$755, Sunday!B53, Sunday!$G$2:$G$755)</f>
        <v>34.590931497604416</v>
      </c>
      <c r="P54" s="30">
        <f>AVERAGEIF(Sunday!$B$756:$B$1509, Sunday!B53, Sunday!$G$756:$G$1509)</f>
        <v>33.328920491525857</v>
      </c>
      <c r="Q54" s="35">
        <f t="shared" si="8"/>
        <v>31.640027471165268</v>
      </c>
      <c r="R54" s="30" t="str">
        <f t="shared" si="4"/>
        <v>Moderate</v>
      </c>
      <c r="S54" s="35">
        <f t="shared" si="9"/>
        <v>30.785378744359985</v>
      </c>
      <c r="T54" s="30" t="str">
        <f t="shared" si="15"/>
        <v>Moderate</v>
      </c>
      <c r="U54" s="35">
        <f t="shared" si="16"/>
        <v>33.676639412058641</v>
      </c>
      <c r="V54" s="29" t="str">
        <f t="shared" si="12"/>
        <v>Moderate</v>
      </c>
      <c r="W54" s="35">
        <f t="shared" si="17"/>
        <v>32.904105157876941</v>
      </c>
      <c r="X54" s="29" t="str">
        <f t="shared" si="6"/>
        <v>Moderate</v>
      </c>
      <c r="Y54" s="30">
        <f t="shared" si="18"/>
        <v>32.658333441611958</v>
      </c>
      <c r="Z54" s="30"/>
      <c r="AA54" s="30">
        <f t="shared" si="19"/>
        <v>31.844741951118465</v>
      </c>
      <c r="AB54" s="8">
        <f t="shared" si="7"/>
        <v>32.251537696365205</v>
      </c>
      <c r="AC54" t="str">
        <f t="shared" si="14"/>
        <v>Moderate</v>
      </c>
    </row>
    <row r="55" spans="1:29" x14ac:dyDescent="0.25">
      <c r="A55" s="33">
        <v>53</v>
      </c>
      <c r="B55">
        <v>1.46</v>
      </c>
      <c r="C55" s="30">
        <f>AVERAGEIF(Monday!$B$2:$B$755, Monday!B54, Monday!$G$2:$G$755)</f>
        <v>23.822374977645072</v>
      </c>
      <c r="D55" s="30">
        <f>AVERAGEIF(Monday!$B$756:$B$1509, Monday!B54, Monday!$G$756:$G$1509)</f>
        <v>22.229960225870915</v>
      </c>
      <c r="E55" s="30">
        <f>AVERAGEIF(Tuesday!$B$2:$B$755, Tuesday!B54, Tuesday!$G$2:$G$755)</f>
        <v>23.677414892370091</v>
      </c>
      <c r="F55" s="30">
        <f>AVERAGEIF(Tuesday!$B$756:$B$1509, Tuesday!B54, Tuesday!$G$756:$G$1509)</f>
        <v>21.85906877446758</v>
      </c>
      <c r="G55" s="30">
        <f>AVERAGEIF(Wednesday!$B$2:$B$755, Wednesday!B54, Wednesday!$G$2:$G$755)</f>
        <v>23.973632567643406</v>
      </c>
      <c r="H55" s="30">
        <f>AVERAGEIF(Wednesday!$B$756:$B$1509, Wednesday!B54, Wednesday!$G$756:$G$1509)</f>
        <v>22.693716289295999</v>
      </c>
      <c r="I55" s="30">
        <f>AVERAGEIF(Thursday!$B$2:$B$755, Thursday!B54, Thursday!$G$2:$G$755)</f>
        <v>23.914899739754933</v>
      </c>
      <c r="J55" s="30">
        <f>AVERAGEIF(Thursday!$B$756:$B$1509, Thursday!B54, Thursday!$G$756:$G$1509)</f>
        <v>21.558507383104672</v>
      </c>
      <c r="K55" s="30">
        <f>AVERAGEIF(Friday!$B$2:$B$755, Friday!B54, Friday!$G$2:$G$755)</f>
        <v>24.016851108175103</v>
      </c>
      <c r="L55" s="30">
        <f>AVERAGEIF(Friday!$B$756:$B$1509, Friday!B54, Friday!$G$756:$G$1509)</f>
        <v>22.588596216964273</v>
      </c>
      <c r="M55" s="30">
        <f>AVERAGEIF(Saturday!$B$2:$B$755, Saturday!B54, Saturday!$G$2:$G$755)</f>
        <v>25.527108071410698</v>
      </c>
      <c r="N55" s="30">
        <f>AVERAGEIF(Saturday!$B$756:$B$1509, Saturday!B54, Saturday!$G$756:$G$1509)</f>
        <v>23.651784492266284</v>
      </c>
      <c r="O55" s="30">
        <f>AVERAGEIF(Sunday!$B$2:$B$755, Sunday!B54, Sunday!$G$2:$G$755)</f>
        <v>27.246321244573476</v>
      </c>
      <c r="P55" s="30">
        <f>AVERAGEIF(Sunday!$B$756:$B$1509, Sunday!B54, Sunday!$G$756:$G$1509)</f>
        <v>24.872992252894978</v>
      </c>
      <c r="Q55" s="35">
        <f t="shared" si="8"/>
        <v>23.88103465711772</v>
      </c>
      <c r="R55" s="30" t="str">
        <f t="shared" si="4"/>
        <v>Moderate</v>
      </c>
      <c r="S55" s="35">
        <f t="shared" si="9"/>
        <v>22.185969777940691</v>
      </c>
      <c r="T55" s="30" t="str">
        <f t="shared" si="15"/>
        <v>Moderate</v>
      </c>
      <c r="U55" s="35">
        <f t="shared" si="16"/>
        <v>26.386714657992087</v>
      </c>
      <c r="V55" s="29" t="str">
        <f t="shared" si="12"/>
        <v>Moderate</v>
      </c>
      <c r="W55" s="35">
        <f t="shared" si="17"/>
        <v>24.262388372580631</v>
      </c>
      <c r="X55" s="29" t="str">
        <f t="shared" si="6"/>
        <v>Moderate</v>
      </c>
      <c r="Y55" s="30">
        <f t="shared" si="18"/>
        <v>25.133874657554905</v>
      </c>
      <c r="Z55" s="30"/>
      <c r="AA55" s="30">
        <f t="shared" si="19"/>
        <v>23.224179075260661</v>
      </c>
      <c r="AB55" s="8">
        <f t="shared" si="7"/>
        <v>24.179026866407781</v>
      </c>
      <c r="AC55" t="str">
        <f t="shared" si="14"/>
        <v>Moderate</v>
      </c>
    </row>
    <row r="56" spans="1:29" x14ac:dyDescent="0.25">
      <c r="A56" s="33">
        <v>54</v>
      </c>
      <c r="B56">
        <v>1.46</v>
      </c>
      <c r="C56" s="30">
        <f>AVERAGEIF(Monday!$B$2:$B$755, Monday!B55, Monday!$G$2:$G$755)</f>
        <v>23.275843297681988</v>
      </c>
      <c r="D56" s="30">
        <f>AVERAGEIF(Monday!$B$756:$B$1509, Monday!B55, Monday!$G$756:$G$1509)</f>
        <v>21.764834696579037</v>
      </c>
      <c r="E56" s="30">
        <f>AVERAGEIF(Tuesday!$B$2:$B$755, Tuesday!B55, Tuesday!$G$2:$G$755)</f>
        <v>23.061762142244973</v>
      </c>
      <c r="F56" s="30">
        <f>AVERAGEIF(Tuesday!$B$756:$B$1509, Tuesday!B55, Tuesday!$G$756:$G$1509)</f>
        <v>26.619881767367744</v>
      </c>
      <c r="G56" s="30">
        <f>AVERAGEIF(Wednesday!$B$2:$B$755, Wednesday!B55, Wednesday!$G$2:$G$755)</f>
        <v>22.369525323064611</v>
      </c>
      <c r="H56" s="30">
        <f>AVERAGEIF(Wednesday!$B$756:$B$1509, Wednesday!B55, Wednesday!$G$756:$G$1509)</f>
        <v>28.499190821237395</v>
      </c>
      <c r="I56" s="30">
        <f>AVERAGEIF(Thursday!$B$2:$B$755, Thursday!B55, Thursday!$G$2:$G$755)</f>
        <v>22.303168144217089</v>
      </c>
      <c r="J56" s="30">
        <f>AVERAGEIF(Thursday!$B$756:$B$1509, Thursday!B55, Thursday!$G$756:$G$1509)</f>
        <v>26.482405378723993</v>
      </c>
      <c r="K56" s="30">
        <f>AVERAGEIF(Friday!$B$2:$B$755, Friday!B55, Friday!$G$2:$G$755)</f>
        <v>23.61355012848907</v>
      </c>
      <c r="L56" s="30">
        <f>AVERAGEIF(Friday!$B$756:$B$1509, Friday!B55, Friday!$G$756:$G$1509)</f>
        <v>24.718327632419783</v>
      </c>
      <c r="M56" s="30">
        <f>AVERAGEIF(Saturday!$B$2:$B$755, Saturday!B55, Saturday!$G$2:$G$755)</f>
        <v>35.359335412581359</v>
      </c>
      <c r="N56" s="30">
        <f>AVERAGEIF(Saturday!$B$756:$B$1509, Saturday!B55, Saturday!$G$756:$G$1509)</f>
        <v>29.339256394646547</v>
      </c>
      <c r="O56" s="30">
        <f>AVERAGEIF(Sunday!$B$2:$B$755, Sunday!B55, Sunday!$G$2:$G$755)</f>
        <v>40.242285639533534</v>
      </c>
      <c r="P56" s="30">
        <f>AVERAGEIF(Sunday!$B$756:$B$1509, Sunday!B55, Sunday!$G$756:$G$1509)</f>
        <v>35.535846653619998</v>
      </c>
      <c r="Q56" s="35">
        <f t="shared" si="8"/>
        <v>22.924769807139548</v>
      </c>
      <c r="R56" s="30" t="str">
        <f t="shared" si="4"/>
        <v>Moderate</v>
      </c>
      <c r="S56" s="35">
        <f t="shared" si="9"/>
        <v>25.616928059265593</v>
      </c>
      <c r="T56" s="30" t="str">
        <f t="shared" si="15"/>
        <v>Moderate</v>
      </c>
      <c r="U56" s="35">
        <f t="shared" si="16"/>
        <v>37.800810526057447</v>
      </c>
      <c r="V56" s="29" t="str">
        <f t="shared" si="12"/>
        <v>Free Flow</v>
      </c>
      <c r="W56" s="35">
        <f t="shared" si="17"/>
        <v>32.437551524133269</v>
      </c>
      <c r="X56" s="29" t="str">
        <f t="shared" si="6"/>
        <v>Moderate</v>
      </c>
      <c r="Y56" s="30">
        <f t="shared" si="18"/>
        <v>30.362790166598497</v>
      </c>
      <c r="Z56" s="30"/>
      <c r="AA56" s="30">
        <f t="shared" si="19"/>
        <v>29.027239791699429</v>
      </c>
      <c r="AB56" s="8">
        <f t="shared" si="7"/>
        <v>29.695014979148965</v>
      </c>
      <c r="AC56" t="str">
        <f t="shared" si="14"/>
        <v>Moderate</v>
      </c>
    </row>
    <row r="57" spans="1:29" x14ac:dyDescent="0.25">
      <c r="A57" s="33">
        <v>55</v>
      </c>
      <c r="B57">
        <v>1.5</v>
      </c>
      <c r="C57" s="30">
        <f>AVERAGEIF(Monday!$B$2:$B$755, Monday!B56, Monday!$G$2:$G$755)</f>
        <v>37.182807031387952</v>
      </c>
      <c r="D57" s="30">
        <f>AVERAGEIF(Monday!$B$756:$B$1509, Monday!B56, Monday!$G$756:$G$1509)</f>
        <v>38.361276028239651</v>
      </c>
      <c r="E57" s="30">
        <f>AVERAGEIF(Tuesday!$B$2:$B$755, Tuesday!B56, Tuesday!$G$2:$G$755)</f>
        <v>42.074425344269578</v>
      </c>
      <c r="F57" s="30">
        <f>AVERAGEIF(Tuesday!$B$756:$B$1509, Tuesday!B56, Tuesday!$G$756:$G$1509)</f>
        <v>39.52685683670687</v>
      </c>
      <c r="G57" s="30">
        <f>AVERAGEIF(Wednesday!$B$2:$B$755, Wednesday!B56, Wednesday!$G$2:$G$755)</f>
        <v>42.414519126811406</v>
      </c>
      <c r="H57" s="30">
        <f>AVERAGEIF(Wednesday!$B$756:$B$1509, Wednesday!B56, Wednesday!$G$756:$G$1509)</f>
        <v>32.982906469456722</v>
      </c>
      <c r="I57" s="30">
        <f>AVERAGEIF(Thursday!$B$2:$B$755, Thursday!B56, Thursday!$G$2:$G$755)</f>
        <v>33.575564409628448</v>
      </c>
      <c r="J57" s="30">
        <f>AVERAGEIF(Thursday!$B$756:$B$1509, Thursday!B56, Thursday!$G$756:$G$1509)</f>
        <v>33.558376661783591</v>
      </c>
      <c r="K57" s="30">
        <f>AVERAGEIF(Friday!$B$2:$B$755, Friday!B56, Friday!$G$2:$G$755)</f>
        <v>42.608568353467824</v>
      </c>
      <c r="L57" s="30">
        <f>AVERAGEIF(Friday!$B$756:$B$1509, Friday!B56, Friday!$G$756:$G$1509)</f>
        <v>37.351066328712655</v>
      </c>
      <c r="M57" s="30">
        <f>AVERAGEIF(Saturday!$B$2:$B$755, Saturday!B56, Saturday!$G$2:$G$755)</f>
        <v>46.942109207550367</v>
      </c>
      <c r="N57" s="30">
        <f>AVERAGEIF(Saturday!$B$756:$B$1509, Saturday!B56, Saturday!$G$756:$G$1509)</f>
        <v>40.034072428735158</v>
      </c>
      <c r="O57" s="30">
        <f>AVERAGEIF(Sunday!$B$2:$B$755, Sunday!B56, Sunday!$G$2:$G$755)</f>
        <v>50.067360431277578</v>
      </c>
      <c r="P57" s="30">
        <f>AVERAGEIF(Sunday!$B$756:$B$1509, Sunday!B56, Sunday!$G$756:$G$1509)</f>
        <v>45.533131638037005</v>
      </c>
      <c r="Q57" s="35">
        <f t="shared" si="8"/>
        <v>39.571176853113045</v>
      </c>
      <c r="R57" s="30" t="str">
        <f t="shared" si="4"/>
        <v>Free Flow</v>
      </c>
      <c r="S57" s="35">
        <f t="shared" si="9"/>
        <v>36.356096464979899</v>
      </c>
      <c r="T57" s="30" t="str">
        <f t="shared" si="15"/>
        <v>Free Flow</v>
      </c>
      <c r="U57" s="35">
        <f t="shared" si="16"/>
        <v>48.504734819413969</v>
      </c>
      <c r="V57" s="29" t="str">
        <f t="shared" si="12"/>
        <v>Free Flow</v>
      </c>
      <c r="W57" s="35">
        <f t="shared" si="17"/>
        <v>42.783602033386082</v>
      </c>
      <c r="X57" s="29" t="str">
        <f t="shared" si="6"/>
        <v>Free Flow</v>
      </c>
      <c r="Y57" s="30">
        <f t="shared" si="18"/>
        <v>44.037955836263507</v>
      </c>
      <c r="Z57" s="30"/>
      <c r="AA57" s="30">
        <f t="shared" si="19"/>
        <v>39.569849249182994</v>
      </c>
      <c r="AB57" s="8">
        <f t="shared" si="7"/>
        <v>41.80390254272325</v>
      </c>
      <c r="AC57" s="49" t="str">
        <f t="shared" si="14"/>
        <v>Free Flow</v>
      </c>
    </row>
    <row r="58" spans="1:29" s="23" customFormat="1" x14ac:dyDescent="0.25">
      <c r="A58" s="41">
        <v>56</v>
      </c>
      <c r="B58" s="23">
        <v>1.51</v>
      </c>
      <c r="C58" s="22">
        <f>AVERAGEIF(Monday!$B$2:$B$755, Monday!B57, Monday!$G$2:$G$755)</f>
        <v>19.324749990948291</v>
      </c>
      <c r="D58" s="22">
        <f>AVERAGEIF(Monday!$B$756:$B$1509, Monday!B57, Monday!$G$756:$G$1509)</f>
        <v>15.397685837744547</v>
      </c>
      <c r="E58" s="22">
        <f>AVERAGEIF(Tuesday!$B$2:$B$755, Tuesday!B57, Tuesday!$G$2:$G$755)</f>
        <v>19.337110940450529</v>
      </c>
      <c r="F58" s="22">
        <f>AVERAGEIF(Tuesday!$B$756:$B$1509, Tuesday!B57, Tuesday!$G$756:$G$1509)</f>
        <v>17.080745558936037</v>
      </c>
      <c r="G58" s="22">
        <f>AVERAGEIF(Wednesday!$B$2:$B$755, Wednesday!B57, Wednesday!$G$2:$G$755)</f>
        <v>20.103624822568708</v>
      </c>
      <c r="H58" s="22">
        <f>AVERAGEIF(Wednesday!$B$756:$B$1509, Wednesday!B57, Wednesday!$G$756:$G$1509)</f>
        <v>16.970304220602486</v>
      </c>
      <c r="I58" s="22">
        <f>AVERAGEIF(Thursday!$B$2:$B$755, Thursday!B57, Thursday!$G$2:$G$755)</f>
        <v>20.548813930555244</v>
      </c>
      <c r="J58" s="22">
        <f>AVERAGEIF(Thursday!$B$756:$B$1509, Thursday!B57, Thursday!$G$756:$G$1509)</f>
        <v>16.282369573825154</v>
      </c>
      <c r="K58" s="22">
        <f>AVERAGEIF(Friday!$B$2:$B$755, Friday!B57, Friday!$G$2:$G$755)</f>
        <v>19.371169104914131</v>
      </c>
      <c r="L58" s="22">
        <f>AVERAGEIF(Friday!$B$756:$B$1509, Friday!B57, Friday!$G$756:$G$1509)</f>
        <v>15.885065304687414</v>
      </c>
      <c r="M58" s="22">
        <f>AVERAGEIF(Saturday!$B$2:$B$755, Saturday!B57, Saturday!$G$2:$G$755)</f>
        <v>25.128460481772819</v>
      </c>
      <c r="N58" s="22">
        <f>AVERAGEIF(Saturday!$B$756:$B$1509, Saturday!B57, Saturday!$G$756:$G$1509)</f>
        <v>20.183409934786706</v>
      </c>
      <c r="O58" s="22">
        <f>AVERAGEIF(Sunday!$B$2:$B$755, Sunday!B57, Sunday!$G$2:$G$755)</f>
        <v>29.522923176965868</v>
      </c>
      <c r="P58" s="22">
        <f>AVERAGEIF(Sunday!$B$756:$B$1509, Sunday!B57, Sunday!$G$756:$G$1509)</f>
        <v>22.452702301627276</v>
      </c>
      <c r="Q58" s="22">
        <f t="shared" si="8"/>
        <v>19.737093757887379</v>
      </c>
      <c r="R58" s="30" t="str">
        <f t="shared" si="4"/>
        <v>Heavy</v>
      </c>
      <c r="S58" s="22">
        <f t="shared" si="9"/>
        <v>16.32323409915913</v>
      </c>
      <c r="T58" s="30" t="str">
        <f t="shared" si="15"/>
        <v>Heavy</v>
      </c>
      <c r="U58" s="22">
        <f t="shared" si="16"/>
        <v>27.325691829369344</v>
      </c>
      <c r="V58" s="29" t="str">
        <f t="shared" si="12"/>
        <v>Moderate</v>
      </c>
      <c r="W58" s="22">
        <f t="shared" si="17"/>
        <v>21.318056118206989</v>
      </c>
      <c r="X58" s="29" t="str">
        <f t="shared" si="6"/>
        <v>Moderate</v>
      </c>
      <c r="Y58" s="30">
        <f t="shared" si="18"/>
        <v>23.531392793628363</v>
      </c>
      <c r="Z58" s="30"/>
      <c r="AA58" s="30">
        <f t="shared" si="19"/>
        <v>18.82064510868306</v>
      </c>
      <c r="AB58" s="8">
        <f t="shared" si="7"/>
        <v>21.176018951155712</v>
      </c>
      <c r="AC58" s="23" t="str">
        <f t="shared" si="14"/>
        <v>Moderate</v>
      </c>
    </row>
    <row r="59" spans="1:29" x14ac:dyDescent="0.25">
      <c r="A59" s="33">
        <v>57</v>
      </c>
      <c r="B59">
        <v>1.52</v>
      </c>
      <c r="C59" s="30">
        <f>AVERAGEIF(Monday!$B$2:$B$755, Monday!B58, Monday!$G$2:$G$755)</f>
        <v>22.718876118409828</v>
      </c>
      <c r="D59" s="30">
        <f>AVERAGEIF(Monday!$B$756:$B$1509, Monday!B58, Monday!$G$756:$G$1509)</f>
        <v>19.006946310198661</v>
      </c>
      <c r="E59" s="30">
        <f>AVERAGEIF(Tuesday!$B$2:$B$755, Tuesday!B58, Tuesday!$G$2:$G$755)</f>
        <v>24.25747822084929</v>
      </c>
      <c r="F59" s="30">
        <f>AVERAGEIF(Tuesday!$B$756:$B$1509, Tuesday!B58, Tuesday!$G$756:$G$1509)</f>
        <v>18.878483251236684</v>
      </c>
      <c r="G59" s="30">
        <f>AVERAGEIF(Wednesday!$B$2:$B$755, Wednesday!B58, Wednesday!$G$2:$G$755)</f>
        <v>23.216493401557287</v>
      </c>
      <c r="H59" s="30">
        <f>AVERAGEIF(Wednesday!$B$756:$B$1509, Wednesday!B58, Wednesday!$G$756:$G$1509)</f>
        <v>19.418283437444266</v>
      </c>
      <c r="I59" s="30">
        <f>AVERAGEIF(Thursday!$B$2:$B$755, Thursday!B58, Thursday!$G$2:$G$755)</f>
        <v>22.721873479701483</v>
      </c>
      <c r="J59" s="30">
        <f>AVERAGEIF(Thursday!$B$756:$B$1509, Thursday!B58, Thursday!$G$756:$G$1509)</f>
        <v>17.586900901667352</v>
      </c>
      <c r="K59" s="30">
        <f>AVERAGEIF(Friday!$B$2:$B$755, Friday!B58, Friday!$G$2:$G$755)</f>
        <v>23.26068509808098</v>
      </c>
      <c r="L59" s="30">
        <f>AVERAGEIF(Friday!$B$756:$B$1509, Friday!B58, Friday!$G$756:$G$1509)</f>
        <v>18.228627854923023</v>
      </c>
      <c r="M59" s="30">
        <f>AVERAGEIF(Saturday!$B$2:$B$755, Saturday!B58, Saturday!$G$2:$G$755)</f>
        <v>26.975352296349488</v>
      </c>
      <c r="N59" s="30">
        <f>AVERAGEIF(Saturday!$B$756:$B$1509, Saturday!B58, Saturday!$G$756:$G$1509)</f>
        <v>23.176244858418311</v>
      </c>
      <c r="O59" s="30">
        <f>AVERAGEIF(Sunday!$B$2:$B$755, Sunday!B58, Sunday!$G$2:$G$755)</f>
        <v>28.35497303373791</v>
      </c>
      <c r="P59" s="30">
        <f>AVERAGEIF(Sunday!$B$756:$B$1509, Sunday!B58, Sunday!$G$756:$G$1509)</f>
        <v>25.845633301786602</v>
      </c>
      <c r="Q59" s="35">
        <f t="shared" si="8"/>
        <v>23.235081263719774</v>
      </c>
      <c r="R59" s="30" t="str">
        <f t="shared" si="4"/>
        <v>Moderate</v>
      </c>
      <c r="S59" s="35">
        <f t="shared" si="9"/>
        <v>18.623848351093997</v>
      </c>
      <c r="T59" s="30" t="str">
        <f t="shared" si="15"/>
        <v>Heavy</v>
      </c>
      <c r="U59" s="35">
        <f t="shared" si="16"/>
        <v>27.665162665043699</v>
      </c>
      <c r="V59" s="29" t="str">
        <f t="shared" si="12"/>
        <v>Moderate</v>
      </c>
      <c r="W59" s="35">
        <f t="shared" si="17"/>
        <v>24.510939080102457</v>
      </c>
      <c r="X59" s="29" t="str">
        <f t="shared" si="6"/>
        <v>Moderate</v>
      </c>
      <c r="Y59" s="30">
        <f t="shared" si="18"/>
        <v>25.450121964381736</v>
      </c>
      <c r="Z59" s="30"/>
      <c r="AA59" s="30">
        <f t="shared" si="19"/>
        <v>21.567393715598229</v>
      </c>
      <c r="AB59" s="8">
        <f t="shared" si="7"/>
        <v>23.508757839989983</v>
      </c>
      <c r="AC59" t="str">
        <f t="shared" si="14"/>
        <v>Moderate</v>
      </c>
    </row>
    <row r="60" spans="1:29" x14ac:dyDescent="0.25">
      <c r="A60" s="33">
        <v>58</v>
      </c>
      <c r="B60">
        <v>1.5</v>
      </c>
      <c r="C60" s="30">
        <f>AVERAGEIF(Monday!$B$2:$B$755, Monday!B59, Monday!$G$2:$G$755)</f>
        <v>24.96728193013686</v>
      </c>
      <c r="D60" s="30">
        <f>AVERAGEIF(Monday!$B$756:$B$1509, Monday!B59, Monday!$G$756:$G$1509)</f>
        <v>19.434113768105966</v>
      </c>
      <c r="E60" s="30">
        <f>AVERAGEIF(Tuesday!$B$2:$B$755, Tuesday!B59, Tuesday!$G$2:$G$755)</f>
        <v>25.938729503970595</v>
      </c>
      <c r="F60" s="30">
        <f>AVERAGEIF(Tuesday!$B$756:$B$1509, Tuesday!B59, Tuesday!$G$756:$G$1509)</f>
        <v>19.388088949742862</v>
      </c>
      <c r="G60" s="30">
        <f>AVERAGEIF(Wednesday!$B$2:$B$755, Wednesday!B59, Wednesday!$G$2:$G$755)</f>
        <v>25.073742684780971</v>
      </c>
      <c r="H60" s="30">
        <f>AVERAGEIF(Wednesday!$B$756:$B$1509, Wednesday!B59, Wednesday!$G$756:$G$1509)</f>
        <v>19.034296802489081</v>
      </c>
      <c r="I60" s="30">
        <f>AVERAGEIF(Thursday!$B$2:$B$755, Thursday!B59, Thursday!$G$2:$G$755)</f>
        <v>24.784762611762048</v>
      </c>
      <c r="J60" s="30">
        <f>AVERAGEIF(Thursday!$B$756:$B$1509, Thursday!B59, Thursday!$G$756:$G$1509)</f>
        <v>18.492840340292542</v>
      </c>
      <c r="K60" s="30">
        <f>AVERAGEIF(Friday!$B$2:$B$755, Friday!B59, Friday!$G$2:$G$755)</f>
        <v>24.640164537727934</v>
      </c>
      <c r="L60" s="30">
        <f>AVERAGEIF(Friday!$B$756:$B$1509, Friday!B59, Friday!$G$756:$G$1509)</f>
        <v>19.041882724012751</v>
      </c>
      <c r="M60" s="30">
        <f>AVERAGEIF(Saturday!$B$2:$B$755, Saturday!B59, Saturday!$G$2:$G$755)</f>
        <v>26.882511903225293</v>
      </c>
      <c r="N60" s="30">
        <f>AVERAGEIF(Saturday!$B$756:$B$1509, Saturday!B59, Saturday!$G$756:$G$1509)</f>
        <v>22.89038140655807</v>
      </c>
      <c r="O60" s="30">
        <f>AVERAGEIF(Sunday!$B$2:$B$755, Sunday!B59, Sunday!$G$2:$G$755)</f>
        <v>29.849479152235542</v>
      </c>
      <c r="P60" s="30">
        <f>AVERAGEIF(Sunday!$B$756:$B$1509, Sunday!B59, Sunday!$G$756:$G$1509)</f>
        <v>26.794172638587835</v>
      </c>
      <c r="Q60" s="35">
        <f t="shared" si="8"/>
        <v>25.080936253675681</v>
      </c>
      <c r="R60" s="30" t="str">
        <f t="shared" si="4"/>
        <v>Moderate</v>
      </c>
      <c r="S60" s="35">
        <f t="shared" si="9"/>
        <v>19.078244516928642</v>
      </c>
      <c r="T60" s="30" t="str">
        <f t="shared" si="15"/>
        <v>Heavy</v>
      </c>
      <c r="U60" s="35">
        <f t="shared" si="16"/>
        <v>28.365995527730419</v>
      </c>
      <c r="V60" s="29" t="str">
        <f t="shared" si="12"/>
        <v>Moderate</v>
      </c>
      <c r="W60" s="35">
        <f t="shared" si="17"/>
        <v>24.842277022572951</v>
      </c>
      <c r="X60" s="29" t="str">
        <f t="shared" si="6"/>
        <v>Moderate</v>
      </c>
      <c r="Y60" s="30">
        <f t="shared" si="18"/>
        <v>26.72346589070305</v>
      </c>
      <c r="Z60" s="30"/>
      <c r="AA60" s="30">
        <f t="shared" si="19"/>
        <v>21.960260769750796</v>
      </c>
      <c r="AB60" s="8">
        <f t="shared" si="7"/>
        <v>24.341863330226921</v>
      </c>
      <c r="AC60" t="str">
        <f t="shared" si="14"/>
        <v>Moderate</v>
      </c>
    </row>
    <row r="61" spans="1:29" x14ac:dyDescent="0.25">
      <c r="A61" s="110" t="s">
        <v>109</v>
      </c>
      <c r="B61" s="111"/>
      <c r="C61" s="26">
        <f>AVERAGE(C3:C60)</f>
        <v>27.512487778636888</v>
      </c>
      <c r="D61" s="26">
        <f t="shared" ref="D61:H61" si="20">AVERAGE(D3:D60)</f>
        <v>23.570056540705419</v>
      </c>
      <c r="E61" s="26">
        <f t="shared" si="20"/>
        <v>27.4981401503527</v>
      </c>
      <c r="F61" s="26">
        <f t="shared" si="20"/>
        <v>24.282159544252703</v>
      </c>
      <c r="G61" s="26">
        <f t="shared" si="20"/>
        <v>28.061441160109375</v>
      </c>
      <c r="H61" s="26">
        <f t="shared" si="20"/>
        <v>24.006138424469238</v>
      </c>
      <c r="I61" s="26">
        <f t="shared" ref="I61" si="21">AVERAGE(I3:I60)</f>
        <v>27.768736755718461</v>
      </c>
      <c r="J61" s="26">
        <f t="shared" ref="J61" si="22">AVERAGE(J3:J60)</f>
        <v>23.677706465233108</v>
      </c>
      <c r="K61" s="26">
        <f t="shared" ref="K61" si="23">AVERAGE(K3:K60)</f>
        <v>28.108559456998115</v>
      </c>
      <c r="L61" s="26">
        <f t="shared" ref="L61:M61" si="24">AVERAGE(L3:L60)</f>
        <v>23.582322131085157</v>
      </c>
      <c r="M61" s="26">
        <f t="shared" si="24"/>
        <v>31.697627107893535</v>
      </c>
      <c r="N61" s="26">
        <f t="shared" ref="N61" si="25">AVERAGE(N3:N60)</f>
        <v>27.774136782194851</v>
      </c>
      <c r="O61" s="26">
        <f>AVERAGE(O3:O60)</f>
        <v>34.323320414641195</v>
      </c>
      <c r="P61" s="26">
        <f t="shared" ref="P61" si="26">AVERAGE(P3:P60)</f>
        <v>30.614257087556329</v>
      </c>
      <c r="Q61" s="35">
        <f>AVERAGE(Q3:Q60)</f>
        <v>27.789873060363103</v>
      </c>
      <c r="R61" s="30" t="str">
        <f t="shared" si="4"/>
        <v>Moderate</v>
      </c>
      <c r="S61" s="35">
        <f>AVERAGE(S3:S60)</f>
        <v>23.823676621149126</v>
      </c>
      <c r="T61" s="30" t="str">
        <f t="shared" si="15"/>
        <v>Moderate</v>
      </c>
      <c r="U61" s="35">
        <f>AVERAGE(U3:U60)</f>
        <v>33.010473761267356</v>
      </c>
      <c r="V61" s="29" t="str">
        <f>IF(U61&gt;36,"Free Flow",IF(U61&gt;=20,"Moderate","Heavy"))</f>
        <v>Moderate</v>
      </c>
      <c r="W61" s="35">
        <f>AVERAGE(W3:W60)</f>
        <v>29.194196934875592</v>
      </c>
      <c r="X61" s="29" t="str">
        <f t="shared" si="6"/>
        <v>Moderate</v>
      </c>
      <c r="Y61" s="30">
        <f>AVERAGE(Y3:Y60)</f>
        <v>30.400173410815238</v>
      </c>
      <c r="Z61" s="8">
        <f>(SUM(Z3:Z60))</f>
        <v>0</v>
      </c>
      <c r="AA61" s="30">
        <f>AVERAGE(AA3:AA60)</f>
        <v>26.508936778012366</v>
      </c>
      <c r="AB61" s="8">
        <f t="shared" si="7"/>
        <v>28.454555094413795</v>
      </c>
      <c r="AC61" t="str">
        <f t="shared" si="14"/>
        <v>Moderate</v>
      </c>
    </row>
    <row r="62" spans="1:29" x14ac:dyDescent="0.25">
      <c r="Z62" s="8"/>
    </row>
    <row r="64" spans="1:29" x14ac:dyDescent="0.25">
      <c r="Z64">
        <v>7</v>
      </c>
    </row>
    <row r="65" spans="26:26" x14ac:dyDescent="0.25">
      <c r="Z65" s="73">
        <f>7/58</f>
        <v>0.1206896551724138</v>
      </c>
    </row>
  </sheetData>
  <mergeCells count="17">
    <mergeCell ref="A61:B61"/>
    <mergeCell ref="AB2:AC2"/>
    <mergeCell ref="U2:V2"/>
    <mergeCell ref="W2:X2"/>
    <mergeCell ref="Q2:R2"/>
    <mergeCell ref="Y1:AC1"/>
    <mergeCell ref="M1:N1"/>
    <mergeCell ref="B1:B2"/>
    <mergeCell ref="A1:A2"/>
    <mergeCell ref="Q1:T1"/>
    <mergeCell ref="U1:X1"/>
    <mergeCell ref="C1:D1"/>
    <mergeCell ref="E1:F1"/>
    <mergeCell ref="G1:H1"/>
    <mergeCell ref="I1:J1"/>
    <mergeCell ref="K1:L1"/>
    <mergeCell ref="O1:P1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4"/>
  <sheetViews>
    <sheetView zoomScale="90" zoomScaleNormal="90" workbookViewId="0">
      <selection activeCell="A9" sqref="A9"/>
    </sheetView>
  </sheetViews>
  <sheetFormatPr defaultRowHeight="15" x14ac:dyDescent="0.25"/>
  <cols>
    <col min="1" max="1" width="8.42578125" style="33" customWidth="1"/>
    <col min="2" max="3" width="12.7109375" style="32" customWidth="1"/>
    <col min="4" max="5" width="14.42578125" style="38" customWidth="1"/>
    <col min="6" max="6" width="14.42578125" style="64" customWidth="1"/>
    <col min="7" max="7" width="17.28515625" style="38" customWidth="1"/>
    <col min="8" max="8" width="16.85546875" style="38" customWidth="1"/>
    <col min="9" max="9" width="16.85546875" style="64" customWidth="1"/>
    <col min="10" max="11" width="16.85546875" style="69" customWidth="1"/>
    <col min="12" max="12" width="16.85546875" style="64" customWidth="1"/>
    <col min="13" max="13" width="12.42578125" style="37" customWidth="1"/>
    <col min="14" max="14" width="12.7109375" style="37" customWidth="1"/>
    <col min="15" max="16" width="12.7109375" style="70" customWidth="1"/>
    <col min="17" max="17" width="13.7109375" style="37" customWidth="1"/>
    <col min="18" max="18" width="13" style="37" customWidth="1"/>
    <col min="19" max="20" width="13" style="70" customWidth="1"/>
    <col min="21" max="24" width="13" style="37" customWidth="1"/>
    <col min="25" max="25" width="9.140625" style="65"/>
    <col min="26" max="26" width="11" style="23" customWidth="1"/>
    <col min="27" max="27" width="13" style="37" customWidth="1"/>
    <col min="28" max="28" width="12.42578125" customWidth="1"/>
    <col min="29" max="29" width="13.42578125" customWidth="1"/>
    <col min="30" max="30" width="13.140625" customWidth="1"/>
    <col min="32" max="32" width="14.28515625" customWidth="1"/>
    <col min="34" max="34" width="25.28515625" customWidth="1"/>
  </cols>
  <sheetData>
    <row r="1" spans="1:32" x14ac:dyDescent="0.25">
      <c r="A1" s="118" t="s">
        <v>1</v>
      </c>
      <c r="B1" s="119" t="s">
        <v>4</v>
      </c>
      <c r="C1" s="120" t="s">
        <v>96</v>
      </c>
      <c r="D1" s="121" t="s">
        <v>97</v>
      </c>
      <c r="E1" s="121"/>
      <c r="F1" s="121"/>
      <c r="G1" s="121"/>
      <c r="H1" s="121"/>
      <c r="I1" s="121"/>
      <c r="J1" s="121"/>
      <c r="K1" s="121"/>
      <c r="L1" s="121"/>
      <c r="M1" s="114" t="s">
        <v>117</v>
      </c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 t="s">
        <v>95</v>
      </c>
      <c r="AB1" s="114"/>
      <c r="AC1" s="114"/>
      <c r="AD1" s="114"/>
      <c r="AE1" s="114"/>
      <c r="AF1" s="114"/>
    </row>
    <row r="2" spans="1:32" x14ac:dyDescent="0.25">
      <c r="A2" s="118"/>
      <c r="B2" s="119"/>
      <c r="C2" s="120"/>
      <c r="D2" s="121" t="s">
        <v>111</v>
      </c>
      <c r="E2" s="121"/>
      <c r="F2" s="121"/>
      <c r="G2" s="121" t="s">
        <v>112</v>
      </c>
      <c r="H2" s="121"/>
      <c r="I2" s="121"/>
      <c r="J2" s="115" t="s">
        <v>113</v>
      </c>
      <c r="K2" s="116"/>
      <c r="L2" s="117"/>
      <c r="M2" s="123" t="s">
        <v>111</v>
      </c>
      <c r="N2" s="134"/>
      <c r="O2" s="134"/>
      <c r="P2" s="124"/>
      <c r="Q2" s="123" t="s">
        <v>112</v>
      </c>
      <c r="R2" s="134"/>
      <c r="S2" s="134"/>
      <c r="T2" s="124"/>
      <c r="U2" s="129" t="s">
        <v>108</v>
      </c>
      <c r="V2" s="129"/>
      <c r="W2" s="129"/>
      <c r="X2" s="129"/>
      <c r="Y2" s="129"/>
      <c r="Z2" s="129"/>
      <c r="AA2" s="123" t="s">
        <v>111</v>
      </c>
      <c r="AB2" s="124"/>
      <c r="AC2" s="123" t="s">
        <v>112</v>
      </c>
      <c r="AD2" s="124"/>
      <c r="AE2" s="125" t="s">
        <v>107</v>
      </c>
      <c r="AF2" s="126"/>
    </row>
    <row r="3" spans="1:32" x14ac:dyDescent="0.25">
      <c r="A3" s="118"/>
      <c r="B3" s="119"/>
      <c r="C3" s="120"/>
      <c r="D3" s="39" t="s">
        <v>87</v>
      </c>
      <c r="E3" s="39" t="s">
        <v>88</v>
      </c>
      <c r="F3" s="67" t="s">
        <v>125</v>
      </c>
      <c r="G3" s="39" t="s">
        <v>87</v>
      </c>
      <c r="H3" s="39" t="s">
        <v>88</v>
      </c>
      <c r="I3" s="67" t="s">
        <v>125</v>
      </c>
      <c r="J3" s="68" t="s">
        <v>114</v>
      </c>
      <c r="K3" s="68" t="s">
        <v>115</v>
      </c>
      <c r="L3" s="67" t="s">
        <v>116</v>
      </c>
      <c r="M3" s="40" t="s">
        <v>87</v>
      </c>
      <c r="N3" s="40" t="s">
        <v>88</v>
      </c>
      <c r="O3" s="132" t="s">
        <v>99</v>
      </c>
      <c r="P3" s="133"/>
      <c r="Q3" s="40" t="s">
        <v>87</v>
      </c>
      <c r="R3" s="40" t="s">
        <v>88</v>
      </c>
      <c r="S3" s="132" t="s">
        <v>98</v>
      </c>
      <c r="T3" s="133"/>
      <c r="U3" s="40" t="s">
        <v>114</v>
      </c>
      <c r="V3" s="40"/>
      <c r="W3" s="40" t="s">
        <v>115</v>
      </c>
      <c r="X3" s="40"/>
      <c r="Y3" s="122" t="s">
        <v>108</v>
      </c>
      <c r="Z3" s="122"/>
      <c r="AA3" s="40" t="s">
        <v>89</v>
      </c>
      <c r="AB3" s="40" t="s">
        <v>90</v>
      </c>
      <c r="AC3" s="40" t="s">
        <v>91</v>
      </c>
      <c r="AD3" s="40" t="s">
        <v>92</v>
      </c>
      <c r="AE3" s="127"/>
      <c r="AF3" s="128"/>
    </row>
    <row r="4" spans="1:32" x14ac:dyDescent="0.25">
      <c r="A4" s="33">
        <v>1</v>
      </c>
      <c r="B4" s="44">
        <v>1.53</v>
      </c>
      <c r="C4" s="45">
        <v>2.6</v>
      </c>
      <c r="D4" s="46">
        <f>B4*60/average_speed_per_route!Q3</f>
        <v>3.0389131771435696</v>
      </c>
      <c r="E4" s="46">
        <f>B4*60/average_speed_per_route!S3</f>
        <v>3.4345904544801331</v>
      </c>
      <c r="F4" s="47">
        <f>AVERAGE(D4:E4)</f>
        <v>3.2367518158118513</v>
      </c>
      <c r="G4" s="46">
        <f>B4*60/average_speed_per_route!U3</f>
        <v>2.8304310848485938</v>
      </c>
      <c r="H4" s="46">
        <f>B4*60/average_speed_per_route!W3</f>
        <v>3.010389558766311</v>
      </c>
      <c r="I4" s="47">
        <f>AVERAGE(G4:H4)</f>
        <v>2.9204103218074522</v>
      </c>
      <c r="J4" s="66">
        <f>AVERAGE(D4,G4)</f>
        <v>2.9346721309960815</v>
      </c>
      <c r="K4" s="66">
        <f>AVERAGE(E4,H4)</f>
        <v>3.222490006623222</v>
      </c>
      <c r="L4" s="47">
        <f>AVERAGE(D4:E4,G4:H4)</f>
        <v>3.078581068809652</v>
      </c>
      <c r="M4" s="46">
        <f>(D4-C4)/B4</f>
        <v>0.28687135761017613</v>
      </c>
      <c r="N4" s="46">
        <f>(E4-C4)/B4</f>
        <v>0.54548395717655751</v>
      </c>
      <c r="O4" s="66">
        <f>AVERAGE(M4:N4)</f>
        <v>0.41617765739336682</v>
      </c>
      <c r="P4" s="66" t="str">
        <f>IF(O4&lt;=0.5,"Free flow",
 IF(O4&lt;=1,"Stable flow",
 IF(O4&lt;=2,"Nearing capacity",Unstable flow)))</f>
        <v>Free flow</v>
      </c>
      <c r="Q4" s="46">
        <f>(G4-C4)/B4</f>
        <v>0.15060855218862337</v>
      </c>
      <c r="R4" s="46">
        <f t="shared" ref="R4:R35" si="0">(H4-C4)/B4</f>
        <v>0.26822846978190251</v>
      </c>
      <c r="S4" s="66">
        <f t="shared" ref="S4:S35" si="1">AVERAGE(Q4:R4)</f>
        <v>0.20941851098526293</v>
      </c>
      <c r="T4" s="66" t="str">
        <f>IF(S4&lt;=0.5,"Free flow",
 IF(S4&lt;=1,"Stable flow",
 IF(S4&lt;=2,"Nearing capacity",Unstable flow)))</f>
        <v>Free flow</v>
      </c>
      <c r="U4" s="46">
        <f t="shared" ref="U4:U35" si="2">AVERAGE(M4,Q4)</f>
        <v>0.21873995489939974</v>
      </c>
      <c r="V4" s="46" t="str">
        <f>IF(U4&lt;=0.5,"Free flow",
 IF(U4&lt;=1,"Stable flow",
 IF(U4&lt;=2,"Nearing capacity",Unstable flow)))</f>
        <v>Free flow</v>
      </c>
      <c r="W4" s="46">
        <f>AVERAGE(N4,R4)</f>
        <v>0.40685621347923001</v>
      </c>
      <c r="X4" s="46" t="str">
        <f>IF(W4&lt;=0.5,"Free flow",
 IF(W4&lt;=1,"Stable flow",
 IF(W4&lt;=2,"Nearing capacity",Unstable flow)))</f>
        <v>Free flow</v>
      </c>
      <c r="Y4" s="47">
        <f>AVERAGE(M4:N4,Q4:R4)</f>
        <v>0.31279808418931487</v>
      </c>
      <c r="Z4" s="43" t="str">
        <f>IF(Y4&lt;=0.5,"Free flow",
 IF(Y4&lt;=1,"Stable flow",
 IF(Y4&lt;=2,"Nearing capacity",Unstable flow)))</f>
        <v>Free flow</v>
      </c>
      <c r="AA4" s="46">
        <f>D4/C4</f>
        <v>1.1688127604398344</v>
      </c>
      <c r="AB4" s="46">
        <f t="shared" ref="AB4:AB35" si="3">E4/C4</f>
        <v>1.320996328646205</v>
      </c>
      <c r="AC4" s="46">
        <f t="shared" ref="AC4:AC35" si="4">G4/C4</f>
        <v>1.0886273403263822</v>
      </c>
      <c r="AD4" s="46">
        <f t="shared" ref="AD4:AD35" si="5">H4/C4</f>
        <v>1.1578421379870427</v>
      </c>
      <c r="AE4" s="46">
        <f t="shared" ref="AE4:AE35" si="6">AVERAGE(AA4:AD4)</f>
        <v>1.184069641849866</v>
      </c>
      <c r="AF4" s="44" t="str">
        <f>IF(AE4&lt;=1.2,"Free Flow",IF(AE4&lt;=1.7,"Low congestion",IF(AE4&lt;=2.2,"Moderate","Heavy")))</f>
        <v>Free Flow</v>
      </c>
    </row>
    <row r="5" spans="1:32" x14ac:dyDescent="0.25">
      <c r="A5" s="33">
        <v>2</v>
      </c>
      <c r="B5" s="44">
        <v>1.57</v>
      </c>
      <c r="C5" s="45">
        <v>3.38</v>
      </c>
      <c r="D5" s="46">
        <f>B5*60/average_speed_per_route!Q4</f>
        <v>4.7195533713380176</v>
      </c>
      <c r="E5" s="46">
        <f>B5*60/average_speed_per_route!S4</f>
        <v>6.1683091620157882</v>
      </c>
      <c r="F5" s="47">
        <f t="shared" ref="F5:F61" si="7">AVERAGE(D5:E5)</f>
        <v>5.4439312666769029</v>
      </c>
      <c r="G5" s="46">
        <f>B5*60/average_speed_per_route!U4</f>
        <v>4.0115184779230635</v>
      </c>
      <c r="H5" s="46">
        <f>B5*60/average_speed_per_route!W4</f>
        <v>4.5052080218687447</v>
      </c>
      <c r="I5" s="47">
        <f t="shared" ref="I5:I61" si="8">AVERAGE(G5:H5)</f>
        <v>4.2583632498959041</v>
      </c>
      <c r="J5" s="66">
        <f t="shared" ref="J5:J61" si="9">AVERAGE(D5,G5)</f>
        <v>4.3655359246305405</v>
      </c>
      <c r="K5" s="66">
        <f t="shared" ref="K5:K61" si="10">AVERAGE(E5,H5)</f>
        <v>5.3367585919422664</v>
      </c>
      <c r="L5" s="47">
        <f t="shared" ref="L5:L61" si="11">AVERAGE(D5:E5,G5:H5)</f>
        <v>4.851147258286403</v>
      </c>
      <c r="M5" s="46">
        <f t="shared" ref="M5:M61" si="12">(D5-C5)/B5</f>
        <v>0.85321870785860998</v>
      </c>
      <c r="N5" s="46">
        <f t="shared" ref="N5:N61" si="13">(E5-C5)/B5</f>
        <v>1.7759930968253428</v>
      </c>
      <c r="O5" s="66">
        <f t="shared" ref="O5:O61" si="14">AVERAGE(M5:N5)</f>
        <v>1.3146059023419765</v>
      </c>
      <c r="P5" s="63" t="str">
        <f>IF(O5&lt;=0.5,"Free flow",
 IF(O5&lt;=1,"Stable flow",
 IF(O5&lt;=2,"Nearing capacity",Unstable flow)))</f>
        <v>Nearing capacity</v>
      </c>
      <c r="Q5" s="46">
        <f t="shared" ref="Q5:Q61" si="15">(G5-C5)/B5</f>
        <v>0.40224106874080484</v>
      </c>
      <c r="R5" s="46">
        <f t="shared" si="0"/>
        <v>0.71669300755970999</v>
      </c>
      <c r="S5" s="66">
        <f t="shared" si="1"/>
        <v>0.55946703815025745</v>
      </c>
      <c r="T5" s="66" t="str">
        <f>IF(S5&lt;=0.5,"Free flow",
 IF(S5&lt;=1,"Stable flow",
 IF(S5&lt;=2,"Nearing capacity",Unstable flow)))</f>
        <v>Stable flow</v>
      </c>
      <c r="U5" s="46">
        <f t="shared" si="2"/>
        <v>0.62772988829970744</v>
      </c>
      <c r="V5" s="46" t="str">
        <f>IF(U5&lt;=0.5,"Free flow",
 IF(U5&lt;=1,"Stable flow",
 IF(U5&lt;=2,"Nearing capacity",Unstable flow)))</f>
        <v>Stable flow</v>
      </c>
      <c r="W5" s="46">
        <f t="shared" ref="W5:W35" si="16">AVERAGE(N5,R5)</f>
        <v>1.2463430521925263</v>
      </c>
      <c r="X5" s="46" t="str">
        <f>IF(W5&lt;=0.5,"Free flow",
 IF(W5&lt;=1,"Stable flow",
 IF(W5&lt;=2,"Nearing capacity",Unstable flow)))</f>
        <v>Nearing capacity</v>
      </c>
      <c r="Y5" s="47">
        <f t="shared" ref="Y5:Y35" si="17">AVERAGE(M5:N5,Q5:R5)</f>
        <v>0.93703647024611691</v>
      </c>
      <c r="Z5" s="43" t="str">
        <f>IF(Y5&lt;=0.5,"Free flow",
 IF(Y5&lt;=1,"Stable flow",
 IF(Y5&lt;=2,"Nearing capacity",Unstable flow)))</f>
        <v>Stable flow</v>
      </c>
      <c r="AA5" s="46">
        <f t="shared" ref="AA5:AA35" si="18">D5/C5</f>
        <v>1.3963175654846207</v>
      </c>
      <c r="AB5" s="46">
        <f t="shared" si="3"/>
        <v>1.8249435390579256</v>
      </c>
      <c r="AC5" s="46">
        <f t="shared" si="4"/>
        <v>1.1868397863677702</v>
      </c>
      <c r="AD5" s="46">
        <f t="shared" si="5"/>
        <v>1.3329017816179718</v>
      </c>
      <c r="AE5" s="46">
        <f t="shared" si="6"/>
        <v>1.435250668132072</v>
      </c>
      <c r="AF5" s="44" t="str">
        <f t="shared" ref="AF5:AF61" si="19">IF(AE5&lt;=1.2,"Free Flow",IF(AE5&lt;=1.7,"Low congestion",IF(AE5&lt;=2.2,"Moderate","Heavy")))</f>
        <v>Low congestion</v>
      </c>
    </row>
    <row r="6" spans="1:32" x14ac:dyDescent="0.25">
      <c r="A6" s="33">
        <v>3</v>
      </c>
      <c r="B6" s="44">
        <v>1.5</v>
      </c>
      <c r="C6" s="45">
        <v>2.5499999999999998</v>
      </c>
      <c r="D6" s="46">
        <f>B6*60/average_speed_per_route!Q5</f>
        <v>2.9477275636109992</v>
      </c>
      <c r="E6" s="46">
        <f>B6*60/average_speed_per_route!S5</f>
        <v>3.5712178612460947</v>
      </c>
      <c r="F6" s="47">
        <f t="shared" si="7"/>
        <v>3.259472712428547</v>
      </c>
      <c r="G6" s="46">
        <f>B6*60/average_speed_per_route!U5</f>
        <v>2.7148979355286285</v>
      </c>
      <c r="H6" s="46">
        <f>B6*60/average_speed_per_route!W5</f>
        <v>2.9957886481218603</v>
      </c>
      <c r="I6" s="47">
        <f t="shared" si="8"/>
        <v>2.8553432918252444</v>
      </c>
      <c r="J6" s="66">
        <f t="shared" si="9"/>
        <v>2.8313127495698138</v>
      </c>
      <c r="K6" s="66">
        <f t="shared" si="10"/>
        <v>3.2835032546839775</v>
      </c>
      <c r="L6" s="47">
        <f t="shared" si="11"/>
        <v>3.0574080021268957</v>
      </c>
      <c r="M6" s="46">
        <f t="shared" si="12"/>
        <v>0.2651517090739996</v>
      </c>
      <c r="N6" s="46">
        <f t="shared" si="13"/>
        <v>0.68081190749739662</v>
      </c>
      <c r="O6" s="66">
        <f t="shared" si="14"/>
        <v>0.47298180828569814</v>
      </c>
      <c r="P6" s="66" t="str">
        <f>IF(O6&lt;=0.5,"Free flow",
 IF(O6&lt;=1,"Stable flow",
 IF(O6&lt;=2,"Nearing capacity",Unstable flow)))</f>
        <v>Free flow</v>
      </c>
      <c r="Q6" s="46">
        <f t="shared" si="15"/>
        <v>0.10993195701908576</v>
      </c>
      <c r="R6" s="46">
        <f t="shared" si="0"/>
        <v>0.2971924320812403</v>
      </c>
      <c r="S6" s="66">
        <f t="shared" si="1"/>
        <v>0.20356219455016303</v>
      </c>
      <c r="T6" s="66" t="str">
        <f>IF(S6&lt;=0.5,"Free flow",
 IF(S6&lt;=1,"Stable flow",
 IF(S6&lt;=2,"Nearing capacity",Unstable flow)))</f>
        <v>Free flow</v>
      </c>
      <c r="U6" s="46">
        <f t="shared" si="2"/>
        <v>0.18754183304654268</v>
      </c>
      <c r="V6" s="46" t="str">
        <f>IF(U6&lt;=0.5,"Free flow",
 IF(U6&lt;=1,"Stable flow",
 IF(U6&lt;=2,"Nearing capacity",Unstable flow)))</f>
        <v>Free flow</v>
      </c>
      <c r="W6" s="46">
        <f t="shared" si="16"/>
        <v>0.48900216978931843</v>
      </c>
      <c r="X6" s="46" t="str">
        <f>IF(W6&lt;=0.5,"Free flow",
 IF(W6&lt;=1,"Stable flow",
 IF(W6&lt;=2,"Nearing capacity",Unstable flow)))</f>
        <v>Free flow</v>
      </c>
      <c r="Y6" s="47">
        <f t="shared" si="17"/>
        <v>0.33827200141793057</v>
      </c>
      <c r="Z6" s="43" t="str">
        <f>IF(Y6&lt;=0.5,"Free flow",
 IF(Y6&lt;=1,"Stable flow",
 IF(Y6&lt;=2,"Nearing capacity",Unstable flow)))</f>
        <v>Free flow</v>
      </c>
      <c r="AA6" s="46">
        <f t="shared" si="18"/>
        <v>1.1559715935729409</v>
      </c>
      <c r="AB6" s="46">
        <f t="shared" si="3"/>
        <v>1.4004775926455275</v>
      </c>
      <c r="AC6" s="46">
        <f t="shared" si="4"/>
        <v>1.0646658570700505</v>
      </c>
      <c r="AD6" s="46">
        <f t="shared" si="5"/>
        <v>1.1748190776948473</v>
      </c>
      <c r="AE6" s="46">
        <f t="shared" si="6"/>
        <v>1.1989835302458416</v>
      </c>
      <c r="AF6" s="44" t="str">
        <f t="shared" si="19"/>
        <v>Free Flow</v>
      </c>
    </row>
    <row r="7" spans="1:32" x14ac:dyDescent="0.25">
      <c r="A7" s="33">
        <v>4</v>
      </c>
      <c r="B7" s="44">
        <v>1.5</v>
      </c>
      <c r="C7" s="45">
        <v>2.2200000000000002</v>
      </c>
      <c r="D7" s="46">
        <f>B7*60/average_speed_per_route!Q6</f>
        <v>2.6754376636844475</v>
      </c>
      <c r="E7" s="46">
        <f>B7*60/average_speed_per_route!S6</f>
        <v>3.1911081525005356</v>
      </c>
      <c r="F7" s="47">
        <f t="shared" si="7"/>
        <v>2.9332729080924915</v>
      </c>
      <c r="G7" s="46">
        <f>B7*60/average_speed_per_route!U6</f>
        <v>2.4984552061926775</v>
      </c>
      <c r="H7" s="46">
        <f>B7*60/average_speed_per_route!W6</f>
        <v>2.9088442878358771</v>
      </c>
      <c r="I7" s="47">
        <f t="shared" si="8"/>
        <v>2.7036497470142775</v>
      </c>
      <c r="J7" s="66">
        <f t="shared" si="9"/>
        <v>2.5869464349385627</v>
      </c>
      <c r="K7" s="66">
        <f t="shared" si="10"/>
        <v>3.0499762201682064</v>
      </c>
      <c r="L7" s="47">
        <f t="shared" si="11"/>
        <v>2.8184613275533845</v>
      </c>
      <c r="M7" s="46">
        <f t="shared" si="12"/>
        <v>0.30362510912296486</v>
      </c>
      <c r="N7" s="46">
        <f t="shared" si="13"/>
        <v>0.64740543500035697</v>
      </c>
      <c r="O7" s="66">
        <f t="shared" si="14"/>
        <v>0.47551527206166089</v>
      </c>
      <c r="P7" s="66" t="str">
        <f>IF(O7&lt;=0.5,"Free flow",
 IF(O7&lt;=1,"Stable flow",
 IF(O7&lt;=2,"Nearing capacity",Unstable flow)))</f>
        <v>Free flow</v>
      </c>
      <c r="Q7" s="46">
        <f t="shared" si="15"/>
        <v>0.18563680412845152</v>
      </c>
      <c r="R7" s="46">
        <f t="shared" si="0"/>
        <v>0.45922952522391797</v>
      </c>
      <c r="S7" s="66">
        <f t="shared" si="1"/>
        <v>0.32243316467618477</v>
      </c>
      <c r="T7" s="66" t="str">
        <f>IF(S7&lt;=0.5,"Free flow",
 IF(S7&lt;=1,"Stable flow",
 IF(S7&lt;=2,"Nearing capacity",Unstable flow)))</f>
        <v>Free flow</v>
      </c>
      <c r="U7" s="46">
        <f t="shared" si="2"/>
        <v>0.24463095662570819</v>
      </c>
      <c r="V7" s="46" t="str">
        <f>IF(U7&lt;=0.5,"Free flow",
 IF(U7&lt;=1,"Stable flow",
 IF(U7&lt;=2,"Nearing capacity",Unstable flow)))</f>
        <v>Free flow</v>
      </c>
      <c r="W7" s="46">
        <f t="shared" si="16"/>
        <v>0.55331748011213744</v>
      </c>
      <c r="X7" s="46" t="str">
        <f>IF(W7&lt;=0.5,"Free flow",
 IF(W7&lt;=1,"Stable flow",
 IF(W7&lt;=2,"Nearing capacity",Unstable flow)))</f>
        <v>Stable flow</v>
      </c>
      <c r="Y7" s="47">
        <f t="shared" si="17"/>
        <v>0.39897421836892283</v>
      </c>
      <c r="Z7" s="43" t="str">
        <f>IF(Y7&lt;=0.5,"Free flow",
 IF(Y7&lt;=1,"Stable flow",
 IF(Y7&lt;=2,"Nearing capacity",Unstable flow)))</f>
        <v>Free flow</v>
      </c>
      <c r="AA7" s="46">
        <f t="shared" si="18"/>
        <v>1.20515210075876</v>
      </c>
      <c r="AB7" s="46">
        <f t="shared" si="3"/>
        <v>1.4374361047299709</v>
      </c>
      <c r="AC7" s="46">
        <f t="shared" si="4"/>
        <v>1.1254302730597645</v>
      </c>
      <c r="AD7" s="46">
        <f t="shared" si="5"/>
        <v>1.3102902197458905</v>
      </c>
      <c r="AE7" s="46">
        <f t="shared" si="6"/>
        <v>1.2695771745735964</v>
      </c>
      <c r="AF7" s="44" t="str">
        <f t="shared" si="19"/>
        <v>Low congestion</v>
      </c>
    </row>
    <row r="8" spans="1:32" x14ac:dyDescent="0.25">
      <c r="A8" s="33">
        <v>5</v>
      </c>
      <c r="B8" s="44">
        <v>1.52</v>
      </c>
      <c r="C8" s="45">
        <v>2.4300000000000002</v>
      </c>
      <c r="D8" s="46">
        <f>B8*60/average_speed_per_route!Q7</f>
        <v>3.0661420254617782</v>
      </c>
      <c r="E8" s="46">
        <f>B8*60/average_speed_per_route!S7</f>
        <v>4.128964962295103</v>
      </c>
      <c r="F8" s="47">
        <f t="shared" si="7"/>
        <v>3.5975534938784408</v>
      </c>
      <c r="G8" s="46">
        <f>B8*60/average_speed_per_route!U7</f>
        <v>2.7674974013713816</v>
      </c>
      <c r="H8" s="46">
        <f>B8*60/average_speed_per_route!W7</f>
        <v>3.4165948327588769</v>
      </c>
      <c r="I8" s="47">
        <f t="shared" si="8"/>
        <v>3.092046117065129</v>
      </c>
      <c r="J8" s="66">
        <f t="shared" si="9"/>
        <v>2.9168197134165799</v>
      </c>
      <c r="K8" s="66">
        <f t="shared" si="10"/>
        <v>3.7727798975269899</v>
      </c>
      <c r="L8" s="47">
        <f t="shared" si="11"/>
        <v>3.3447998054717849</v>
      </c>
      <c r="M8" s="46">
        <f t="shared" si="12"/>
        <v>0.41851449043538025</v>
      </c>
      <c r="N8" s="46">
        <f t="shared" si="13"/>
        <v>1.1177401067730939</v>
      </c>
      <c r="O8" s="66">
        <f t="shared" si="14"/>
        <v>0.76812729860423712</v>
      </c>
      <c r="P8" s="66" t="str">
        <f>IF(O8&lt;=0.5,"Free flow",
 IF(O8&lt;=1,"Stable flow",
 IF(O8&lt;=2,"Nearing capacity",Unstable flow)))</f>
        <v>Stable flow</v>
      </c>
      <c r="Q8" s="46">
        <f t="shared" si="15"/>
        <v>0.22203776406011935</v>
      </c>
      <c r="R8" s="46">
        <f t="shared" si="0"/>
        <v>0.64907554786768207</v>
      </c>
      <c r="S8" s="66">
        <f t="shared" si="1"/>
        <v>0.4355566559639007</v>
      </c>
      <c r="T8" s="66" t="str">
        <f>IF(S8&lt;=0.5,"Free flow",
 IF(S8&lt;=1,"Stable flow",
 IF(S8&lt;=2,"Nearing capacity",Unstable flow)))</f>
        <v>Free flow</v>
      </c>
      <c r="U8" s="46">
        <f t="shared" si="2"/>
        <v>0.32027612724774979</v>
      </c>
      <c r="V8" s="46" t="str">
        <f>IF(U8&lt;=0.5,"Free flow",
 IF(U8&lt;=1,"Stable flow",
 IF(U8&lt;=2,"Nearing capacity",Unstable flow)))</f>
        <v>Free flow</v>
      </c>
      <c r="W8" s="46">
        <f t="shared" si="16"/>
        <v>0.88340782732038803</v>
      </c>
      <c r="X8" s="46" t="str">
        <f>IF(W8&lt;=0.5,"Free flow",
 IF(W8&lt;=1,"Stable flow",
 IF(W8&lt;=2,"Nearing capacity",Unstable flow)))</f>
        <v>Stable flow</v>
      </c>
      <c r="Y8" s="47">
        <f t="shared" si="17"/>
        <v>0.60184197728406896</v>
      </c>
      <c r="Z8" s="43" t="str">
        <f>IF(Y8&lt;=0.5,"Free flow",
 IF(Y8&lt;=1,"Stable flow",
 IF(Y8&lt;=2,"Nearing capacity",Unstable flow)))</f>
        <v>Stable flow</v>
      </c>
      <c r="AA8" s="46">
        <f t="shared" si="18"/>
        <v>1.2617868417538181</v>
      </c>
      <c r="AB8" s="46">
        <f t="shared" si="3"/>
        <v>1.6991625359239106</v>
      </c>
      <c r="AC8" s="46">
        <f t="shared" si="4"/>
        <v>1.1388878194943957</v>
      </c>
      <c r="AD8" s="46">
        <f t="shared" si="5"/>
        <v>1.4060061040159986</v>
      </c>
      <c r="AE8" s="46">
        <f t="shared" si="6"/>
        <v>1.3764608252970305</v>
      </c>
      <c r="AF8" s="44" t="str">
        <f t="shared" si="19"/>
        <v>Low congestion</v>
      </c>
    </row>
    <row r="9" spans="1:32" x14ac:dyDescent="0.25">
      <c r="A9" s="33">
        <v>6</v>
      </c>
      <c r="B9" s="44">
        <v>1.5</v>
      </c>
      <c r="C9" s="45">
        <v>2.1800000000000002</v>
      </c>
      <c r="D9" s="46">
        <f>B9*60/average_speed_per_route!Q8</f>
        <v>2.6243360332138388</v>
      </c>
      <c r="E9" s="46">
        <f>B9*60/average_speed_per_route!S8</f>
        <v>2.7974292823669655</v>
      </c>
      <c r="F9" s="47">
        <f t="shared" si="7"/>
        <v>2.7108826577904024</v>
      </c>
      <c r="G9" s="46">
        <f>B9*60/average_speed_per_route!U8</f>
        <v>2.3906655517602884</v>
      </c>
      <c r="H9" s="46">
        <f>B9*60/average_speed_per_route!W8</f>
        <v>2.5895830119096486</v>
      </c>
      <c r="I9" s="47">
        <f t="shared" si="8"/>
        <v>2.4901242818349685</v>
      </c>
      <c r="J9" s="66">
        <f t="shared" si="9"/>
        <v>2.5075007924870638</v>
      </c>
      <c r="K9" s="66">
        <f t="shared" si="10"/>
        <v>2.693506147138307</v>
      </c>
      <c r="L9" s="47">
        <f t="shared" si="11"/>
        <v>2.6005034698126854</v>
      </c>
      <c r="M9" s="46">
        <f t="shared" si="12"/>
        <v>0.29622402214255911</v>
      </c>
      <c r="N9" s="46">
        <f t="shared" si="13"/>
        <v>0.41161952157797693</v>
      </c>
      <c r="O9" s="66">
        <f t="shared" si="14"/>
        <v>0.35392177186026802</v>
      </c>
      <c r="P9" s="66" t="str">
        <f>IF(O9&lt;=0.5,"Free flow",
 IF(O9&lt;=1,"Stable flow",
 IF(O9&lt;=2,"Nearing capacity",Unstable flow)))</f>
        <v>Free flow</v>
      </c>
      <c r="Q9" s="46">
        <f t="shared" si="15"/>
        <v>0.14044370117352548</v>
      </c>
      <c r="R9" s="46">
        <f t="shared" si="0"/>
        <v>0.27305534127309894</v>
      </c>
      <c r="S9" s="66">
        <f t="shared" si="1"/>
        <v>0.20674952122331219</v>
      </c>
      <c r="T9" s="66" t="str">
        <f>IF(S9&lt;=0.5,"Free flow",
 IF(S9&lt;=1,"Stable flow",
 IF(S9&lt;=2,"Nearing capacity",Unstable flow)))</f>
        <v>Free flow</v>
      </c>
      <c r="U9" s="46">
        <f t="shared" si="2"/>
        <v>0.21833386165804231</v>
      </c>
      <c r="V9" s="46" t="str">
        <f>IF(U9&lt;=0.5,"Free flow",
 IF(U9&lt;=1,"Stable flow",
 IF(U9&lt;=2,"Nearing capacity",Unstable flow)))</f>
        <v>Free flow</v>
      </c>
      <c r="W9" s="46">
        <f t="shared" si="16"/>
        <v>0.34233743142553796</v>
      </c>
      <c r="X9" s="46" t="str">
        <f>IF(W9&lt;=0.5,"Free flow",
 IF(W9&lt;=1,"Stable flow",
 IF(W9&lt;=2,"Nearing capacity",Unstable flow)))</f>
        <v>Free flow</v>
      </c>
      <c r="Y9" s="47">
        <f t="shared" si="17"/>
        <v>0.28033564654179011</v>
      </c>
      <c r="Z9" s="43" t="str">
        <f>IF(Y9&lt;=0.5,"Free flow",
 IF(Y9&lt;=1,"Stable flow",
 IF(Y9&lt;=2,"Nearing capacity",Unstable flow)))</f>
        <v>Free flow</v>
      </c>
      <c r="AA9" s="46">
        <f t="shared" si="18"/>
        <v>1.2038238684467149</v>
      </c>
      <c r="AB9" s="46">
        <f t="shared" si="3"/>
        <v>1.2832244414527363</v>
      </c>
      <c r="AC9" s="46">
        <f t="shared" si="4"/>
        <v>1.0966355742019671</v>
      </c>
      <c r="AD9" s="46">
        <f t="shared" si="5"/>
        <v>1.1878821155548847</v>
      </c>
      <c r="AE9" s="46">
        <f t="shared" si="6"/>
        <v>1.1928914999140758</v>
      </c>
      <c r="AF9" s="44" t="str">
        <f t="shared" si="19"/>
        <v>Free Flow</v>
      </c>
    </row>
    <row r="10" spans="1:32" x14ac:dyDescent="0.25">
      <c r="A10" s="33">
        <v>7</v>
      </c>
      <c r="B10" s="44">
        <v>1.54</v>
      </c>
      <c r="C10" s="45">
        <v>2.38</v>
      </c>
      <c r="D10" s="46">
        <f>B10*60/average_speed_per_route!Q9</f>
        <v>2.6244897436569921</v>
      </c>
      <c r="E10" s="46">
        <f>B10*60/average_speed_per_route!S9</f>
        <v>2.7290616090947433</v>
      </c>
      <c r="F10" s="47">
        <f t="shared" si="7"/>
        <v>2.6767756763758674</v>
      </c>
      <c r="G10" s="46">
        <f>B10*60/average_speed_per_route!U9</f>
        <v>2.5178522002074035</v>
      </c>
      <c r="H10" s="46">
        <f>B10*60/average_speed_per_route!W9</f>
        <v>2.7123569409079846</v>
      </c>
      <c r="I10" s="47">
        <f t="shared" si="8"/>
        <v>2.6151045705576941</v>
      </c>
      <c r="J10" s="66">
        <f t="shared" si="9"/>
        <v>2.5711709719321978</v>
      </c>
      <c r="K10" s="66">
        <f t="shared" si="10"/>
        <v>2.7207092750013642</v>
      </c>
      <c r="L10" s="47">
        <f t="shared" si="11"/>
        <v>2.6459401234667808</v>
      </c>
      <c r="M10" s="46">
        <f t="shared" si="12"/>
        <v>0.15875957380324165</v>
      </c>
      <c r="N10" s="46">
        <f t="shared" si="13"/>
        <v>0.22666338252905413</v>
      </c>
      <c r="O10" s="66">
        <f t="shared" si="14"/>
        <v>0.19271147816614789</v>
      </c>
      <c r="P10" s="66" t="str">
        <f>IF(O10&lt;=0.5,"Free flow",
 IF(O10&lt;=1,"Stable flow",
 IF(O10&lt;=2,"Nearing capacity",Unstable flow)))</f>
        <v>Free flow</v>
      </c>
      <c r="Q10" s="46">
        <f>(G10-C10)/B10</f>
        <v>8.9514415719093271E-2</v>
      </c>
      <c r="R10" s="46">
        <f t="shared" si="0"/>
        <v>0.21581619539479527</v>
      </c>
      <c r="S10" s="66">
        <f t="shared" si="1"/>
        <v>0.15266530555694427</v>
      </c>
      <c r="T10" s="66" t="str">
        <f>IF(S10&lt;=0.5,"Free flow",
 IF(S10&lt;=1,"Stable flow",
 IF(S10&lt;=2,"Nearing capacity",Unstable flow)))</f>
        <v>Free flow</v>
      </c>
      <c r="U10" s="46">
        <f t="shared" si="2"/>
        <v>0.12413699476116746</v>
      </c>
      <c r="V10" s="46" t="str">
        <f>IF(U10&lt;=0.5,"Free flow",
 IF(U10&lt;=1,"Stable flow",
 IF(U10&lt;=2,"Nearing capacity",Unstable flow)))</f>
        <v>Free flow</v>
      </c>
      <c r="W10" s="46">
        <f t="shared" si="16"/>
        <v>0.2212397889619247</v>
      </c>
      <c r="X10" s="46" t="str">
        <f>IF(W10&lt;=0.5,"Free flow",
 IF(W10&lt;=1,"Stable flow",
 IF(W10&lt;=2,"Nearing capacity",Unstable flow)))</f>
        <v>Free flow</v>
      </c>
      <c r="Y10" s="47">
        <f t="shared" si="17"/>
        <v>0.17268839186154608</v>
      </c>
      <c r="Z10" s="43" t="str">
        <f>IF(Y10&lt;=0.5,"Free flow",
 IF(Y10&lt;=1,"Stable flow",
 IF(Y10&lt;=2,"Nearing capacity",Unstable flow)))</f>
        <v>Free flow</v>
      </c>
      <c r="AA10" s="46">
        <f t="shared" si="18"/>
        <v>1.1027267830491563</v>
      </c>
      <c r="AB10" s="46">
        <f t="shared" si="3"/>
        <v>1.1466645416364467</v>
      </c>
      <c r="AC10" s="46">
        <f t="shared" si="4"/>
        <v>1.0579210925241191</v>
      </c>
      <c r="AD10" s="46">
        <f t="shared" si="5"/>
        <v>1.1396457734907499</v>
      </c>
      <c r="AE10" s="46">
        <f t="shared" si="6"/>
        <v>1.1117395476751182</v>
      </c>
      <c r="AF10" s="44" t="str">
        <f t="shared" si="19"/>
        <v>Free Flow</v>
      </c>
    </row>
    <row r="11" spans="1:32" x14ac:dyDescent="0.25">
      <c r="A11" s="33">
        <v>8</v>
      </c>
      <c r="B11" s="44">
        <v>1.54</v>
      </c>
      <c r="C11" s="45">
        <v>2.65</v>
      </c>
      <c r="D11" s="46">
        <f>B11*60/average_speed_per_route!Q10</f>
        <v>3.2183556937920539</v>
      </c>
      <c r="E11" s="46">
        <f>B11*60/average_speed_per_route!S10</f>
        <v>3.3208700949693823</v>
      </c>
      <c r="F11" s="47">
        <f t="shared" si="7"/>
        <v>3.2696128943807183</v>
      </c>
      <c r="G11" s="46">
        <f>B11*60/average_speed_per_route!U10</f>
        <v>2.8737112221573371</v>
      </c>
      <c r="H11" s="46">
        <f>B11*60/average_speed_per_route!W10</f>
        <v>3.092963676627158</v>
      </c>
      <c r="I11" s="47">
        <f t="shared" si="8"/>
        <v>2.9833374493922475</v>
      </c>
      <c r="J11" s="66">
        <f t="shared" si="9"/>
        <v>3.0460334579746955</v>
      </c>
      <c r="K11" s="66">
        <f t="shared" si="10"/>
        <v>3.2069168857982699</v>
      </c>
      <c r="L11" s="47">
        <f t="shared" si="11"/>
        <v>3.1264751718864829</v>
      </c>
      <c r="M11" s="46">
        <f t="shared" si="12"/>
        <v>0.36906213882600908</v>
      </c>
      <c r="N11" s="46">
        <f t="shared" si="13"/>
        <v>0.43562993179830029</v>
      </c>
      <c r="O11" s="66">
        <f t="shared" si="14"/>
        <v>0.40234603531215468</v>
      </c>
      <c r="P11" s="66" t="str">
        <f>IF(O11&lt;=0.5,"Free flow",
 IF(O11&lt;=1,"Stable flow",
 IF(O11&lt;=2,"Nearing capacity",Unstable flow)))</f>
        <v>Free flow</v>
      </c>
      <c r="Q11" s="46">
        <f t="shared" si="15"/>
        <v>0.14526702737489428</v>
      </c>
      <c r="R11" s="46">
        <f t="shared" si="0"/>
        <v>0.28763875105659614</v>
      </c>
      <c r="S11" s="66">
        <f t="shared" si="1"/>
        <v>0.21645288921574521</v>
      </c>
      <c r="T11" s="66" t="str">
        <f>IF(S11&lt;=0.5,"Free flow",
 IF(S11&lt;=1,"Stable flow",
 IF(S11&lt;=2,"Nearing capacity",Unstable flow)))</f>
        <v>Free flow</v>
      </c>
      <c r="U11" s="46">
        <f t="shared" si="2"/>
        <v>0.25716458310045165</v>
      </c>
      <c r="V11" s="46" t="str">
        <f>IF(U11&lt;=0.5,"Free flow",
 IF(U11&lt;=1,"Stable flow",
 IF(U11&lt;=2,"Nearing capacity",Unstable flow)))</f>
        <v>Free flow</v>
      </c>
      <c r="W11" s="46">
        <f t="shared" si="16"/>
        <v>0.36163434142744821</v>
      </c>
      <c r="X11" s="46" t="str">
        <f>IF(W11&lt;=0.5,"Free flow",
 IF(W11&lt;=1,"Stable flow",
 IF(W11&lt;=2,"Nearing capacity",Unstable flow)))</f>
        <v>Free flow</v>
      </c>
      <c r="Y11" s="47">
        <f t="shared" si="17"/>
        <v>0.30939946226394993</v>
      </c>
      <c r="Z11" s="43" t="str">
        <f>IF(Y11&lt;=0.5,"Free flow",
 IF(Y11&lt;=1,"Stable flow",
 IF(Y11&lt;=2,"Nearing capacity",Unstable flow)))</f>
        <v>Free flow</v>
      </c>
      <c r="AA11" s="46">
        <f t="shared" si="18"/>
        <v>1.2144738467139826</v>
      </c>
      <c r="AB11" s="46">
        <f t="shared" si="3"/>
        <v>1.2531585264035405</v>
      </c>
      <c r="AC11" s="46">
        <f t="shared" si="4"/>
        <v>1.0844193291159763</v>
      </c>
      <c r="AD11" s="46">
        <f t="shared" si="5"/>
        <v>1.1671561043876069</v>
      </c>
      <c r="AE11" s="46">
        <f t="shared" si="6"/>
        <v>1.1798019516552767</v>
      </c>
      <c r="AF11" s="44" t="str">
        <f t="shared" si="19"/>
        <v>Free Flow</v>
      </c>
    </row>
    <row r="12" spans="1:32" x14ac:dyDescent="0.25">
      <c r="A12" s="33">
        <v>9</v>
      </c>
      <c r="B12" s="44">
        <v>1.52</v>
      </c>
      <c r="C12" s="45">
        <v>2.4500000000000002</v>
      </c>
      <c r="D12" s="46">
        <f>B12*60/average_speed_per_route!Q11</f>
        <v>3.8330762627974999</v>
      </c>
      <c r="E12" s="46">
        <f>B12*60/average_speed_per_route!S11</f>
        <v>4.0515272731344254</v>
      </c>
      <c r="F12" s="47">
        <f t="shared" si="7"/>
        <v>3.9423017679659624</v>
      </c>
      <c r="G12" s="46">
        <f>B12*60/average_speed_per_route!U11</f>
        <v>2.8031313218373128</v>
      </c>
      <c r="H12" s="46">
        <f>B12*60/average_speed_per_route!W11</f>
        <v>3.5402025574800566</v>
      </c>
      <c r="I12" s="47">
        <f t="shared" si="8"/>
        <v>3.1716669396586847</v>
      </c>
      <c r="J12" s="66">
        <f t="shared" si="9"/>
        <v>3.3181037923174062</v>
      </c>
      <c r="K12" s="66">
        <f t="shared" si="10"/>
        <v>3.795864915307241</v>
      </c>
      <c r="L12" s="47">
        <f t="shared" si="11"/>
        <v>3.5569843538123234</v>
      </c>
      <c r="M12" s="46">
        <f t="shared" si="12"/>
        <v>0.9099185939457235</v>
      </c>
      <c r="N12" s="46">
        <f t="shared" si="13"/>
        <v>1.0536363639042272</v>
      </c>
      <c r="O12" s="66">
        <f t="shared" si="14"/>
        <v>0.98177747892497536</v>
      </c>
      <c r="P12" s="66" t="str">
        <f>IF(O12&lt;=0.5,"Free flow",
 IF(O12&lt;=1,"Stable flow",
 IF(O12&lt;=2,"Nearing capacity",Unstable flow)))</f>
        <v>Stable flow</v>
      </c>
      <c r="Q12" s="46">
        <f t="shared" si="15"/>
        <v>0.23232323805086358</v>
      </c>
      <c r="R12" s="46">
        <f t="shared" si="0"/>
        <v>0.71723852465793192</v>
      </c>
      <c r="S12" s="66">
        <f t="shared" si="1"/>
        <v>0.47478088135439778</v>
      </c>
      <c r="T12" s="66" t="str">
        <f>IF(S12&lt;=0.5,"Free flow",
 IF(S12&lt;=1,"Stable flow",
 IF(S12&lt;=2,"Nearing capacity",Unstable flow)))</f>
        <v>Free flow</v>
      </c>
      <c r="U12" s="46">
        <f t="shared" si="2"/>
        <v>0.57112091599829351</v>
      </c>
      <c r="V12" s="46" t="str">
        <f>IF(U12&lt;=0.5,"Free flow",
 IF(U12&lt;=1,"Stable flow",
 IF(U12&lt;=2,"Nearing capacity",Unstable flow)))</f>
        <v>Stable flow</v>
      </c>
      <c r="W12" s="46">
        <f t="shared" si="16"/>
        <v>0.88543744428107951</v>
      </c>
      <c r="X12" s="46" t="str">
        <f>IF(W12&lt;=0.5,"Free flow",
 IF(W12&lt;=1,"Stable flow",
 IF(W12&lt;=2,"Nearing capacity",Unstable flow)))</f>
        <v>Stable flow</v>
      </c>
      <c r="Y12" s="47">
        <f t="shared" si="17"/>
        <v>0.72827918013968651</v>
      </c>
      <c r="Z12" s="43" t="str">
        <f>IF(Y12&lt;=0.5,"Free flow",
 IF(Y12&lt;=1,"Stable flow",
 IF(Y12&lt;=2,"Nearing capacity",Unstable flow)))</f>
        <v>Stable flow</v>
      </c>
      <c r="AA12" s="46">
        <f t="shared" si="18"/>
        <v>1.5645209235908162</v>
      </c>
      <c r="AB12" s="46">
        <f t="shared" si="3"/>
        <v>1.6536846012793571</v>
      </c>
      <c r="AC12" s="46">
        <f t="shared" si="4"/>
        <v>1.1441352334029848</v>
      </c>
      <c r="AD12" s="46">
        <f t="shared" si="5"/>
        <v>1.4449806357061454</v>
      </c>
      <c r="AE12" s="46">
        <f t="shared" si="6"/>
        <v>1.4518303484948258</v>
      </c>
      <c r="AF12" s="44" t="str">
        <f t="shared" si="19"/>
        <v>Low congestion</v>
      </c>
    </row>
    <row r="13" spans="1:32" x14ac:dyDescent="0.25">
      <c r="A13" s="33">
        <v>10</v>
      </c>
      <c r="B13" s="44">
        <v>1.5</v>
      </c>
      <c r="C13" s="45">
        <v>2.5499999999999998</v>
      </c>
      <c r="D13" s="46">
        <f>B13*60/average_speed_per_route!Q12</f>
        <v>3.8385433320747064</v>
      </c>
      <c r="E13" s="46">
        <f>B13*60/average_speed_per_route!S12</f>
        <v>4.423630369323897</v>
      </c>
      <c r="F13" s="47">
        <f t="shared" si="7"/>
        <v>4.1310868506993019</v>
      </c>
      <c r="G13" s="46">
        <f>B13*60/average_speed_per_route!U12</f>
        <v>2.9306994903714374</v>
      </c>
      <c r="H13" s="46">
        <f>B13*60/average_speed_per_route!W12</f>
        <v>3.7095047875339016</v>
      </c>
      <c r="I13" s="47">
        <f t="shared" si="8"/>
        <v>3.3201021389526693</v>
      </c>
      <c r="J13" s="66">
        <f t="shared" si="9"/>
        <v>3.3846214112230717</v>
      </c>
      <c r="K13" s="66">
        <f t="shared" si="10"/>
        <v>4.0665675784288995</v>
      </c>
      <c r="L13" s="47">
        <f t="shared" si="11"/>
        <v>3.7255944948259856</v>
      </c>
      <c r="M13" s="46">
        <f t="shared" si="12"/>
        <v>0.85902888804980437</v>
      </c>
      <c r="N13" s="46">
        <f t="shared" si="13"/>
        <v>1.2490869128825981</v>
      </c>
      <c r="O13" s="66">
        <f t="shared" si="14"/>
        <v>1.0540579004662012</v>
      </c>
      <c r="P13" s="63" t="str">
        <f>IF(O13&lt;=0.5,"Free flow",
 IF(O13&lt;=1,"Stable flow",
 IF(O13&lt;=2,"Nearing capacity",Unstable flow)))</f>
        <v>Nearing capacity</v>
      </c>
      <c r="Q13" s="46">
        <f t="shared" si="15"/>
        <v>0.25379966024762507</v>
      </c>
      <c r="R13" s="46">
        <f t="shared" si="0"/>
        <v>0.77300319168926779</v>
      </c>
      <c r="S13" s="66">
        <f t="shared" si="1"/>
        <v>0.5134014259684464</v>
      </c>
      <c r="T13" s="66" t="str">
        <f>IF(S13&lt;=0.5,"Free flow",
 IF(S13&lt;=1,"Stable flow",
 IF(S13&lt;=2,"Nearing capacity",Unstable flow)))</f>
        <v>Stable flow</v>
      </c>
      <c r="U13" s="46">
        <f t="shared" si="2"/>
        <v>0.55641427414871469</v>
      </c>
      <c r="V13" s="46" t="str">
        <f>IF(U13&lt;=0.5,"Free flow",
 IF(U13&lt;=1,"Stable flow",
 IF(U13&lt;=2,"Nearing capacity",Unstable flow)))</f>
        <v>Stable flow</v>
      </c>
      <c r="W13" s="46">
        <f t="shared" si="16"/>
        <v>1.0110450522859329</v>
      </c>
      <c r="X13" s="46" t="str">
        <f>IF(W13&lt;=0.5,"Free flow",
 IF(W13&lt;=1,"Stable flow",
 IF(W13&lt;=2,"Nearing capacity",Unstable flow)))</f>
        <v>Nearing capacity</v>
      </c>
      <c r="Y13" s="47">
        <f t="shared" si="17"/>
        <v>0.78372966321732374</v>
      </c>
      <c r="Z13" s="43" t="str">
        <f>IF(Y13&lt;=0.5,"Free flow",
 IF(Y13&lt;=1,"Stable flow",
 IF(Y13&lt;=2,"Nearing capacity",Unstable flow)))</f>
        <v>Stable flow</v>
      </c>
      <c r="AA13" s="46">
        <f t="shared" si="18"/>
        <v>1.5053111106175321</v>
      </c>
      <c r="AB13" s="46">
        <f t="shared" si="3"/>
        <v>1.734757007577999</v>
      </c>
      <c r="AC13" s="46">
        <f t="shared" si="4"/>
        <v>1.1492939177927206</v>
      </c>
      <c r="AD13" s="46">
        <f t="shared" si="5"/>
        <v>1.4547077598172165</v>
      </c>
      <c r="AE13" s="46">
        <f t="shared" si="6"/>
        <v>1.461017448951367</v>
      </c>
      <c r="AF13" s="44" t="str">
        <f t="shared" si="19"/>
        <v>Low congestion</v>
      </c>
    </row>
    <row r="14" spans="1:32" x14ac:dyDescent="0.25">
      <c r="A14" s="33">
        <v>11</v>
      </c>
      <c r="B14" s="44">
        <v>1.48</v>
      </c>
      <c r="C14" s="45">
        <v>1.85</v>
      </c>
      <c r="D14" s="46">
        <f>B14*60/average_speed_per_route!Q13</f>
        <v>3.0901981001163574</v>
      </c>
      <c r="E14" s="46">
        <f>B14*60/average_speed_per_route!S13</f>
        <v>3.5715381428748034</v>
      </c>
      <c r="F14" s="47">
        <f t="shared" si="7"/>
        <v>3.3308681214955804</v>
      </c>
      <c r="G14" s="46">
        <f>B14*60/average_speed_per_route!U13</f>
        <v>2.1904569846226893</v>
      </c>
      <c r="H14" s="46">
        <f>B14*60/average_speed_per_route!W13</f>
        <v>2.4067711004063925</v>
      </c>
      <c r="I14" s="47">
        <f t="shared" si="8"/>
        <v>2.2986140425145409</v>
      </c>
      <c r="J14" s="66">
        <f t="shared" si="9"/>
        <v>2.6403275423695236</v>
      </c>
      <c r="K14" s="66">
        <f t="shared" si="10"/>
        <v>2.9891546216405978</v>
      </c>
      <c r="L14" s="47">
        <f t="shared" si="11"/>
        <v>2.8147410820050602</v>
      </c>
      <c r="M14" s="46">
        <f t="shared" si="12"/>
        <v>0.83797168926780907</v>
      </c>
      <c r="N14" s="46">
        <f t="shared" si="13"/>
        <v>1.1632014478883805</v>
      </c>
      <c r="O14" s="66">
        <f t="shared" si="14"/>
        <v>1.0005865685780948</v>
      </c>
      <c r="P14" s="63" t="str">
        <f>IF(O14&lt;=0.5,"Free flow",
 IF(O14&lt;=1,"Stable flow",
 IF(O14&lt;=2,"Nearing capacity",Unstable flow)))</f>
        <v>Nearing capacity</v>
      </c>
      <c r="Q14" s="46">
        <f t="shared" si="15"/>
        <v>0.23003850312343868</v>
      </c>
      <c r="R14" s="46">
        <f t="shared" si="0"/>
        <v>0.37619668946377866</v>
      </c>
      <c r="S14" s="66">
        <f t="shared" si="1"/>
        <v>0.30311759629360868</v>
      </c>
      <c r="T14" s="66" t="str">
        <f>IF(S14&lt;=0.5,"Free flow",
 IF(S14&lt;=1,"Stable flow",
 IF(S14&lt;=2,"Nearing capacity",Unstable flow)))</f>
        <v>Free flow</v>
      </c>
      <c r="U14" s="46">
        <f t="shared" si="2"/>
        <v>0.53400509619562386</v>
      </c>
      <c r="V14" s="46" t="str">
        <f>IF(U14&lt;=0.5,"Free flow",
 IF(U14&lt;=1,"Stable flow",
 IF(U14&lt;=2,"Nearing capacity",Unstable flow)))</f>
        <v>Stable flow</v>
      </c>
      <c r="W14" s="46">
        <f t="shared" si="16"/>
        <v>0.76969906867607962</v>
      </c>
      <c r="X14" s="46" t="str">
        <f>IF(W14&lt;=0.5,"Free flow",
 IF(W14&lt;=1,"Stable flow",
 IF(W14&lt;=2,"Nearing capacity",Unstable flow)))</f>
        <v>Stable flow</v>
      </c>
      <c r="Y14" s="47">
        <f t="shared" si="17"/>
        <v>0.6518520824358518</v>
      </c>
      <c r="Z14" s="43" t="str">
        <f>IF(Y14&lt;=0.5,"Free flow",
 IF(Y14&lt;=1,"Stable flow",
 IF(Y14&lt;=2,"Nearing capacity",Unstable flow)))</f>
        <v>Stable flow</v>
      </c>
      <c r="AA14" s="46">
        <f t="shared" si="18"/>
        <v>1.6703773514142473</v>
      </c>
      <c r="AB14" s="46">
        <f t="shared" si="3"/>
        <v>1.9305611583107045</v>
      </c>
      <c r="AC14" s="46">
        <f t="shared" si="4"/>
        <v>1.1840308024987509</v>
      </c>
      <c r="AD14" s="46">
        <f t="shared" si="5"/>
        <v>1.3009573515710229</v>
      </c>
      <c r="AE14" s="46">
        <f t="shared" si="6"/>
        <v>1.5214816659486816</v>
      </c>
      <c r="AF14" s="44" t="str">
        <f t="shared" si="19"/>
        <v>Low congestion</v>
      </c>
    </row>
    <row r="15" spans="1:32" x14ac:dyDescent="0.25">
      <c r="A15" s="33">
        <v>12</v>
      </c>
      <c r="B15" s="44">
        <v>1.46</v>
      </c>
      <c r="C15" s="45">
        <v>2.38</v>
      </c>
      <c r="D15" s="46">
        <f>B15*60/average_speed_per_route!Q14</f>
        <v>4.0489027950666996</v>
      </c>
      <c r="E15" s="46">
        <f>B15*60/average_speed_per_route!S14</f>
        <v>4.6999172477496289</v>
      </c>
      <c r="F15" s="47">
        <f t="shared" si="7"/>
        <v>4.3744100214081643</v>
      </c>
      <c r="G15" s="46">
        <f>B15*60/average_speed_per_route!U14</f>
        <v>2.8182278982738387</v>
      </c>
      <c r="H15" s="46">
        <f>B15*60/average_speed_per_route!W14</f>
        <v>3.4295022234857324</v>
      </c>
      <c r="I15" s="47">
        <f t="shared" si="8"/>
        <v>3.1238650608797855</v>
      </c>
      <c r="J15" s="66">
        <f t="shared" si="9"/>
        <v>3.4335653466702691</v>
      </c>
      <c r="K15" s="66">
        <f t="shared" si="10"/>
        <v>4.0647097356176811</v>
      </c>
      <c r="L15" s="47">
        <f t="shared" si="11"/>
        <v>3.7491375411439747</v>
      </c>
      <c r="M15" s="46">
        <f t="shared" si="12"/>
        <v>1.1430841062100683</v>
      </c>
      <c r="N15" s="46">
        <f t="shared" si="13"/>
        <v>1.5889844162668691</v>
      </c>
      <c r="O15" s="66">
        <f t="shared" si="14"/>
        <v>1.3660342612384686</v>
      </c>
      <c r="P15" s="63" t="str">
        <f>IF(O15&lt;=0.5,"Free flow",
 IF(O15&lt;=1,"Stable flow",
 IF(O15&lt;=2,"Nearing capacity",Unstable flow)))</f>
        <v>Nearing capacity</v>
      </c>
      <c r="Q15" s="46">
        <f t="shared" si="15"/>
        <v>0.30015609470810878</v>
      </c>
      <c r="R15" s="46">
        <f t="shared" si="0"/>
        <v>0.71883713937378946</v>
      </c>
      <c r="S15" s="66">
        <f t="shared" si="1"/>
        <v>0.50949661704094917</v>
      </c>
      <c r="T15" s="66" t="str">
        <f>IF(S15&lt;=0.5,"Free flow",
 IF(S15&lt;=1,"Stable flow",
 IF(S15&lt;=2,"Nearing capacity",Unstable flow)))</f>
        <v>Stable flow</v>
      </c>
      <c r="U15" s="46">
        <f t="shared" si="2"/>
        <v>0.72162010045908853</v>
      </c>
      <c r="V15" s="46" t="str">
        <f>IF(U15&lt;=0.5,"Free flow",
 IF(U15&lt;=1,"Stable flow",
 IF(U15&lt;=2,"Nearing capacity",Unstable flow)))</f>
        <v>Stable flow</v>
      </c>
      <c r="W15" s="46">
        <f t="shared" si="16"/>
        <v>1.1539107778203292</v>
      </c>
      <c r="X15" s="46" t="str">
        <f>IF(W15&lt;=0.5,"Free flow",
 IF(W15&lt;=1,"Stable flow",
 IF(W15&lt;=2,"Nearing capacity",Unstable flow)))</f>
        <v>Nearing capacity</v>
      </c>
      <c r="Y15" s="47">
        <f t="shared" si="17"/>
        <v>0.93776543913970889</v>
      </c>
      <c r="Z15" s="43" t="str">
        <f>IF(Y15&lt;=0.5,"Free flow",
 IF(Y15&lt;=1,"Stable flow",
 IF(Y15&lt;=2,"Nearing capacity",Unstable flow)))</f>
        <v>Stable flow</v>
      </c>
      <c r="AA15" s="46">
        <f t="shared" si="18"/>
        <v>1.7012196617927311</v>
      </c>
      <c r="AB15" s="46">
        <f t="shared" si="3"/>
        <v>1.9747551461132895</v>
      </c>
      <c r="AC15" s="46">
        <f t="shared" si="4"/>
        <v>1.1841293690226213</v>
      </c>
      <c r="AD15" s="46">
        <f t="shared" si="5"/>
        <v>1.4409673207923246</v>
      </c>
      <c r="AE15" s="46">
        <f t="shared" si="6"/>
        <v>1.5752678744302417</v>
      </c>
      <c r="AF15" s="44" t="str">
        <f t="shared" si="19"/>
        <v>Low congestion</v>
      </c>
    </row>
    <row r="16" spans="1:32" x14ac:dyDescent="0.25">
      <c r="A16" s="33">
        <v>13</v>
      </c>
      <c r="B16" s="44">
        <v>1.52</v>
      </c>
      <c r="C16" s="45">
        <v>2.5299999999999998</v>
      </c>
      <c r="D16" s="46">
        <f>B16*60/average_speed_per_route!Q15</f>
        <v>4.290861429946303</v>
      </c>
      <c r="E16" s="46">
        <f>B16*60/average_speed_per_route!S15</f>
        <v>4.99197596791719</v>
      </c>
      <c r="F16" s="47">
        <f t="shared" si="7"/>
        <v>4.6414186989317461</v>
      </c>
      <c r="G16" s="46">
        <f>B16*60/average_speed_per_route!U15</f>
        <v>2.8775010961714527</v>
      </c>
      <c r="H16" s="46">
        <f>B16*60/average_speed_per_route!W15</f>
        <v>3.447905094958029</v>
      </c>
      <c r="I16" s="47">
        <f t="shared" si="8"/>
        <v>3.1627030955647406</v>
      </c>
      <c r="J16" s="66">
        <f t="shared" si="9"/>
        <v>3.5841812630588779</v>
      </c>
      <c r="K16" s="66">
        <f t="shared" si="10"/>
        <v>4.2199405314376097</v>
      </c>
      <c r="L16" s="47">
        <f t="shared" si="11"/>
        <v>3.9020608972482438</v>
      </c>
      <c r="M16" s="46">
        <f t="shared" si="12"/>
        <v>1.1584614670699362</v>
      </c>
      <c r="N16" s="46">
        <f t="shared" si="13"/>
        <v>1.6197210315244672</v>
      </c>
      <c r="O16" s="66">
        <f t="shared" si="14"/>
        <v>1.3890912492972016</v>
      </c>
      <c r="P16" s="63" t="str">
        <f>IF(O16&lt;=0.5,"Free flow",
 IF(O16&lt;=1,"Stable flow",
 IF(O16&lt;=2,"Nearing capacity",Unstable flow)))</f>
        <v>Nearing capacity</v>
      </c>
      <c r="Q16" s="46">
        <f t="shared" si="15"/>
        <v>0.22861914221806109</v>
      </c>
      <c r="R16" s="46">
        <f t="shared" si="0"/>
        <v>0.6038849308934402</v>
      </c>
      <c r="S16" s="66">
        <f t="shared" si="1"/>
        <v>0.41625203655575066</v>
      </c>
      <c r="T16" s="66" t="str">
        <f>IF(S16&lt;=0.5,"Free flow",
 IF(S16&lt;=1,"Stable flow",
 IF(S16&lt;=2,"Nearing capacity",Unstable flow)))</f>
        <v>Free flow</v>
      </c>
      <c r="U16" s="46">
        <f t="shared" si="2"/>
        <v>0.69354030464399863</v>
      </c>
      <c r="V16" s="46" t="str">
        <f>IF(U16&lt;=0.5,"Free flow",
 IF(U16&lt;=1,"Stable flow",
 IF(U16&lt;=2,"Nearing capacity",Unstable flow)))</f>
        <v>Stable flow</v>
      </c>
      <c r="W16" s="46">
        <f t="shared" si="16"/>
        <v>1.1118029812089536</v>
      </c>
      <c r="X16" s="46" t="str">
        <f>IF(W16&lt;=0.5,"Free flow",
 IF(W16&lt;=1,"Stable flow",
 IF(W16&lt;=2,"Nearing capacity",Unstable flow)))</f>
        <v>Nearing capacity</v>
      </c>
      <c r="Y16" s="47">
        <f t="shared" si="17"/>
        <v>0.90267164292647606</v>
      </c>
      <c r="Z16" s="43" t="str">
        <f>IF(Y16&lt;=0.5,"Free flow",
 IF(Y16&lt;=1,"Stable flow",
 IF(Y16&lt;=2,"Nearing capacity",Unstable flow)))</f>
        <v>Stable flow</v>
      </c>
      <c r="AA16" s="46">
        <f t="shared" si="18"/>
        <v>1.6959926600578275</v>
      </c>
      <c r="AB16" s="46">
        <f t="shared" si="3"/>
        <v>1.9731130307973084</v>
      </c>
      <c r="AC16" s="46">
        <f t="shared" si="4"/>
        <v>1.1373522119254755</v>
      </c>
      <c r="AD16" s="46">
        <f t="shared" si="5"/>
        <v>1.3628083379280749</v>
      </c>
      <c r="AE16" s="46">
        <f t="shared" si="6"/>
        <v>1.5423165601771716</v>
      </c>
      <c r="AF16" s="44" t="str">
        <f t="shared" si="19"/>
        <v>Low congestion</v>
      </c>
    </row>
    <row r="17" spans="1:32" x14ac:dyDescent="0.25">
      <c r="A17" s="33">
        <v>14</v>
      </c>
      <c r="B17" s="44">
        <v>1.51</v>
      </c>
      <c r="C17" s="45">
        <v>2.52</v>
      </c>
      <c r="D17" s="46">
        <f>B17*60/average_speed_per_route!Q16</f>
        <v>3.6044129159554483</v>
      </c>
      <c r="E17" s="46">
        <f>B17*60/average_speed_per_route!S16</f>
        <v>4.41501507458403</v>
      </c>
      <c r="F17" s="47">
        <f t="shared" si="7"/>
        <v>4.0097139952697392</v>
      </c>
      <c r="G17" s="46">
        <f>B17*60/average_speed_per_route!U16</f>
        <v>2.8424778432609079</v>
      </c>
      <c r="H17" s="46">
        <f>B17*60/average_speed_per_route!W16</f>
        <v>3.2900191921036992</v>
      </c>
      <c r="I17" s="47">
        <f t="shared" si="8"/>
        <v>3.0662485176823036</v>
      </c>
      <c r="J17" s="66">
        <f t="shared" si="9"/>
        <v>3.2234453796081781</v>
      </c>
      <c r="K17" s="66">
        <f t="shared" si="10"/>
        <v>3.8525171333438646</v>
      </c>
      <c r="L17" s="47">
        <f t="shared" si="11"/>
        <v>3.5379812564760211</v>
      </c>
      <c r="M17" s="46">
        <f t="shared" si="12"/>
        <v>0.7181542489771181</v>
      </c>
      <c r="N17" s="46">
        <f t="shared" si="13"/>
        <v>1.2549768705854503</v>
      </c>
      <c r="O17" s="66">
        <f t="shared" si="14"/>
        <v>0.98656555978128413</v>
      </c>
      <c r="P17" s="66" t="str">
        <f>IF(O17&lt;=0.5,"Free flow",
 IF(O17&lt;=1,"Stable flow",
 IF(O17&lt;=2,"Nearing capacity",Unstable flow)))</f>
        <v>Stable flow</v>
      </c>
      <c r="Q17" s="46">
        <f t="shared" si="15"/>
        <v>0.21356148560325025</v>
      </c>
      <c r="R17" s="46">
        <f t="shared" si="0"/>
        <v>0.50994648483688687</v>
      </c>
      <c r="S17" s="66">
        <f t="shared" si="1"/>
        <v>0.36175398522006857</v>
      </c>
      <c r="T17" s="66" t="str">
        <f>IF(S17&lt;=0.5,"Free flow",
 IF(S17&lt;=1,"Stable flow",
 IF(S17&lt;=2,"Nearing capacity",Unstable flow)))</f>
        <v>Free flow</v>
      </c>
      <c r="U17" s="46">
        <f t="shared" si="2"/>
        <v>0.46585786729018419</v>
      </c>
      <c r="V17" s="46" t="str">
        <f>IF(U17&lt;=0.5,"Free flow",
 IF(U17&lt;=1,"Stable flow",
 IF(U17&lt;=2,"Nearing capacity",Unstable flow)))</f>
        <v>Free flow</v>
      </c>
      <c r="W17" s="46">
        <f t="shared" si="16"/>
        <v>0.88246167771116857</v>
      </c>
      <c r="X17" s="46" t="str">
        <f>IF(W17&lt;=0.5,"Free flow",
 IF(W17&lt;=1,"Stable flow",
 IF(W17&lt;=2,"Nearing capacity",Unstable flow)))</f>
        <v>Stable flow</v>
      </c>
      <c r="Y17" s="47">
        <f t="shared" si="17"/>
        <v>0.67415977250067638</v>
      </c>
      <c r="Z17" s="43" t="str">
        <f>IF(Y17&lt;=0.5,"Free flow",
 IF(Y17&lt;=1,"Stable flow",
 IF(Y17&lt;=2,"Nearing capacity",Unstable flow)))</f>
        <v>Stable flow</v>
      </c>
      <c r="AA17" s="46">
        <f t="shared" si="18"/>
        <v>1.4303225856966064</v>
      </c>
      <c r="AB17" s="46">
        <f t="shared" si="3"/>
        <v>1.7519901089619165</v>
      </c>
      <c r="AC17" s="46">
        <f t="shared" si="4"/>
        <v>1.1279673981194078</v>
      </c>
      <c r="AD17" s="46">
        <f t="shared" si="5"/>
        <v>1.3055631714697218</v>
      </c>
      <c r="AE17" s="46">
        <f t="shared" si="6"/>
        <v>1.4039608160619133</v>
      </c>
      <c r="AF17" s="44" t="str">
        <f t="shared" si="19"/>
        <v>Low congestion</v>
      </c>
    </row>
    <row r="18" spans="1:32" x14ac:dyDescent="0.25">
      <c r="A18" s="33">
        <v>15</v>
      </c>
      <c r="B18" s="44">
        <v>1.47</v>
      </c>
      <c r="C18" s="45">
        <v>1.85</v>
      </c>
      <c r="D18" s="46">
        <f>B18*60/average_speed_per_route!Q17</f>
        <v>2.5620584763201095</v>
      </c>
      <c r="E18" s="46">
        <f>B18*60/average_speed_per_route!S17</f>
        <v>2.9684520942488968</v>
      </c>
      <c r="F18" s="47">
        <f>AVERAGE(D18:E18)</f>
        <v>2.7652552852845034</v>
      </c>
      <c r="G18" s="46">
        <f>B18*60/average_speed_per_route!U17</f>
        <v>2.0184710231571721</v>
      </c>
      <c r="H18" s="46">
        <f>B18*60/average_speed_per_route!W17</f>
        <v>2.3328493548208113</v>
      </c>
      <c r="I18" s="47">
        <f t="shared" si="8"/>
        <v>2.1756601889889917</v>
      </c>
      <c r="J18" s="66">
        <f t="shared" si="9"/>
        <v>2.2902647497386406</v>
      </c>
      <c r="K18" s="66">
        <f t="shared" si="10"/>
        <v>2.6506507245348541</v>
      </c>
      <c r="L18" s="47">
        <f t="shared" si="11"/>
        <v>2.4704577371367478</v>
      </c>
      <c r="M18" s="46">
        <f t="shared" si="12"/>
        <v>0.48439352130619689</v>
      </c>
      <c r="N18" s="46">
        <f t="shared" si="13"/>
        <v>0.76085176479516781</v>
      </c>
      <c r="O18" s="66">
        <f t="shared" si="14"/>
        <v>0.62262264305068238</v>
      </c>
      <c r="P18" s="66" t="str">
        <f>IF(O18&lt;=0.5,"Free flow",
 IF(O18&lt;=1,"Stable flow",
 IF(O18&lt;=2,"Nearing capacity",Unstable flow)))</f>
        <v>Stable flow</v>
      </c>
      <c r="Q18" s="46">
        <f t="shared" si="15"/>
        <v>0.11460613820215783</v>
      </c>
      <c r="R18" s="46">
        <f t="shared" si="0"/>
        <v>0.32846894885769473</v>
      </c>
      <c r="S18" s="66">
        <f t="shared" si="1"/>
        <v>0.22153754352992627</v>
      </c>
      <c r="T18" s="66" t="str">
        <f>IF(S18&lt;=0.5,"Free flow",
 IF(S18&lt;=1,"Stable flow",
 IF(S18&lt;=2,"Nearing capacity",Unstable flow)))</f>
        <v>Free flow</v>
      </c>
      <c r="U18" s="46">
        <f t="shared" si="2"/>
        <v>0.29949982975417738</v>
      </c>
      <c r="V18" s="46" t="str">
        <f>IF(U18&lt;=0.5,"Free flow",
 IF(U18&lt;=1,"Stable flow",
 IF(U18&lt;=2,"Nearing capacity",Unstable flow)))</f>
        <v>Free flow</v>
      </c>
      <c r="W18" s="46">
        <f t="shared" si="16"/>
        <v>0.54466035682643121</v>
      </c>
      <c r="X18" s="46" t="str">
        <f>IF(W18&lt;=0.5,"Free flow",
 IF(W18&lt;=1,"Stable flow",
 IF(W18&lt;=2,"Nearing capacity",Unstable flow)))</f>
        <v>Stable flow</v>
      </c>
      <c r="Y18" s="47">
        <f t="shared" si="17"/>
        <v>0.42208009329030438</v>
      </c>
      <c r="Z18" s="43" t="str">
        <f>IF(Y18&lt;=0.5,"Free flow",
 IF(Y18&lt;=1,"Stable flow",
 IF(Y18&lt;=2,"Nearing capacity",Unstable flow)))</f>
        <v>Free flow</v>
      </c>
      <c r="AA18" s="46">
        <f t="shared" si="18"/>
        <v>1.3848964736865457</v>
      </c>
      <c r="AB18" s="46">
        <f t="shared" si="3"/>
        <v>1.6045686995939983</v>
      </c>
      <c r="AC18" s="46">
        <f t="shared" si="4"/>
        <v>1.0910654179227957</v>
      </c>
      <c r="AD18" s="46">
        <f t="shared" si="5"/>
        <v>1.2609996512544925</v>
      </c>
      <c r="AE18" s="46">
        <f t="shared" si="6"/>
        <v>1.335382560614458</v>
      </c>
      <c r="AF18" s="44" t="str">
        <f t="shared" si="19"/>
        <v>Low congestion</v>
      </c>
    </row>
    <row r="19" spans="1:32" x14ac:dyDescent="0.25">
      <c r="A19" s="33">
        <v>16</v>
      </c>
      <c r="B19" s="44">
        <v>1.5</v>
      </c>
      <c r="C19" s="45">
        <v>1.67</v>
      </c>
      <c r="D19" s="46">
        <f>B19*60/average_speed_per_route!Q18</f>
        <v>1.8585726735627075</v>
      </c>
      <c r="E19" s="46">
        <f>B19*60/average_speed_per_route!S18</f>
        <v>2.376189367893645</v>
      </c>
      <c r="F19" s="47">
        <f t="shared" si="7"/>
        <v>2.1173810207281765</v>
      </c>
      <c r="G19" s="46">
        <f>B19*60/average_speed_per_route!U18</f>
        <v>1.7162118748861246</v>
      </c>
      <c r="H19" s="46">
        <f>B19*60/average_speed_per_route!W18</f>
        <v>1.7924579497770885</v>
      </c>
      <c r="I19" s="47">
        <f t="shared" si="8"/>
        <v>1.7543349123316065</v>
      </c>
      <c r="J19" s="66">
        <f t="shared" si="9"/>
        <v>1.7873922742244162</v>
      </c>
      <c r="K19" s="66">
        <f t="shared" si="10"/>
        <v>2.0843236588353666</v>
      </c>
      <c r="L19" s="47">
        <f t="shared" si="11"/>
        <v>1.9358579665298916</v>
      </c>
      <c r="M19" s="46">
        <f t="shared" si="12"/>
        <v>0.12571511570847171</v>
      </c>
      <c r="N19" s="46">
        <f t="shared" si="13"/>
        <v>0.47079291192909672</v>
      </c>
      <c r="O19" s="66">
        <f t="shared" si="14"/>
        <v>0.29825401381878425</v>
      </c>
      <c r="P19" s="66" t="str">
        <f>IF(O19&lt;=0.5,"Free flow",
 IF(O19&lt;=1,"Stable flow",
 IF(O19&lt;=2,"Nearing capacity",Unstable flow)))</f>
        <v>Free flow</v>
      </c>
      <c r="Q19" s="46">
        <f t="shared" si="15"/>
        <v>3.0807916590749773E-2</v>
      </c>
      <c r="R19" s="46">
        <f t="shared" si="0"/>
        <v>8.1638633184725709E-2</v>
      </c>
      <c r="S19" s="66">
        <f t="shared" si="1"/>
        <v>5.6223274887737741E-2</v>
      </c>
      <c r="T19" s="66" t="str">
        <f>IF(S19&lt;=0.5,"Free flow",
 IF(S19&lt;=1,"Stable flow",
 IF(S19&lt;=2,"Nearing capacity",Unstable flow)))</f>
        <v>Free flow</v>
      </c>
      <c r="U19" s="46">
        <f t="shared" si="2"/>
        <v>7.8261516149610744E-2</v>
      </c>
      <c r="V19" s="46" t="str">
        <f>IF(U19&lt;=0.5,"Free flow",
 IF(U19&lt;=1,"Stable flow",
 IF(U19&lt;=2,"Nearing capacity",Unstable flow)))</f>
        <v>Free flow</v>
      </c>
      <c r="W19" s="46">
        <f t="shared" si="16"/>
        <v>0.27621577255691121</v>
      </c>
      <c r="X19" s="46" t="str">
        <f>IF(W19&lt;=0.5,"Free flow",
 IF(W19&lt;=1,"Stable flow",
 IF(W19&lt;=2,"Nearing capacity",Unstable flow)))</f>
        <v>Free flow</v>
      </c>
      <c r="Y19" s="47">
        <f t="shared" si="17"/>
        <v>0.177238644353261</v>
      </c>
      <c r="Z19" s="43" t="str">
        <f>IF(Y19&lt;=0.5,"Free flow",
 IF(Y19&lt;=1,"Stable flow",
 IF(Y19&lt;=2,"Nearing capacity",Unstable flow)))</f>
        <v>Free flow</v>
      </c>
      <c r="AA19" s="46">
        <f t="shared" si="18"/>
        <v>1.1129177686004237</v>
      </c>
      <c r="AB19" s="46">
        <f t="shared" si="3"/>
        <v>1.4228678849662546</v>
      </c>
      <c r="AC19" s="46">
        <f t="shared" si="4"/>
        <v>1.0276717813689369</v>
      </c>
      <c r="AD19" s="46">
        <f t="shared" si="5"/>
        <v>1.0733281136389752</v>
      </c>
      <c r="AE19" s="46">
        <f t="shared" si="6"/>
        <v>1.1591963871436475</v>
      </c>
      <c r="AF19" s="44" t="str">
        <f t="shared" si="19"/>
        <v>Free Flow</v>
      </c>
    </row>
    <row r="20" spans="1:32" x14ac:dyDescent="0.25">
      <c r="A20" s="33">
        <v>17</v>
      </c>
      <c r="B20" s="44">
        <v>1.51</v>
      </c>
      <c r="C20" s="45">
        <v>2.1800000000000002</v>
      </c>
      <c r="D20" s="46">
        <f>B20*60/average_speed_per_route!Q19</f>
        <v>2.9530187394273248</v>
      </c>
      <c r="E20" s="46">
        <f>B20*60/average_speed_per_route!S19</f>
        <v>3.7953303768036095</v>
      </c>
      <c r="F20" s="47">
        <f t="shared" si="7"/>
        <v>3.3741745581154672</v>
      </c>
      <c r="G20" s="46">
        <f>B20*60/average_speed_per_route!U19</f>
        <v>2.370375893149621</v>
      </c>
      <c r="H20" s="46">
        <f>B20*60/average_speed_per_route!W19</f>
        <v>2.7721380273623595</v>
      </c>
      <c r="I20" s="47">
        <f t="shared" si="8"/>
        <v>2.5712569602559903</v>
      </c>
      <c r="J20" s="66">
        <f t="shared" si="9"/>
        <v>2.6616973162884729</v>
      </c>
      <c r="K20" s="66">
        <f t="shared" si="10"/>
        <v>3.2837342020829845</v>
      </c>
      <c r="L20" s="47">
        <f t="shared" si="11"/>
        <v>2.9727157591857285</v>
      </c>
      <c r="M20" s="46">
        <f t="shared" si="12"/>
        <v>0.51193294001809586</v>
      </c>
      <c r="N20" s="46">
        <f t="shared" si="13"/>
        <v>1.0697552164262314</v>
      </c>
      <c r="O20" s="66">
        <f t="shared" si="14"/>
        <v>0.79084407822216363</v>
      </c>
      <c r="P20" s="66" t="str">
        <f>IF(O20&lt;=0.5,"Free flow",
 IF(O20&lt;=1,"Stable flow",
 IF(O20&lt;=2,"Nearing capacity",Unstable flow)))</f>
        <v>Stable flow</v>
      </c>
      <c r="Q20" s="46">
        <f t="shared" si="15"/>
        <v>0.12607675043021252</v>
      </c>
      <c r="R20" s="46">
        <f t="shared" si="0"/>
        <v>0.3921443889816949</v>
      </c>
      <c r="S20" s="66">
        <f t="shared" si="1"/>
        <v>0.2591105697059537</v>
      </c>
      <c r="T20" s="66" t="str">
        <f>IF(S20&lt;=0.5,"Free flow",
 IF(S20&lt;=1,"Stable flow",
 IF(S20&lt;=2,"Nearing capacity",Unstable flow)))</f>
        <v>Free flow</v>
      </c>
      <c r="U20" s="46">
        <f t="shared" si="2"/>
        <v>0.31900484522415418</v>
      </c>
      <c r="V20" s="46" t="str">
        <f>IF(U20&lt;=0.5,"Free flow",
 IF(U20&lt;=1,"Stable flow",
 IF(U20&lt;=2,"Nearing capacity",Unstable flow)))</f>
        <v>Free flow</v>
      </c>
      <c r="W20" s="46">
        <f t="shared" si="16"/>
        <v>0.73094980270396315</v>
      </c>
      <c r="X20" s="46" t="str">
        <f>IF(W20&lt;=0.5,"Free flow",
 IF(W20&lt;=1,"Stable flow",
 IF(W20&lt;=2,"Nearing capacity",Unstable flow)))</f>
        <v>Stable flow</v>
      </c>
      <c r="Y20" s="47">
        <f t="shared" si="17"/>
        <v>0.52497732396405872</v>
      </c>
      <c r="Z20" s="43" t="str">
        <f>IF(Y20&lt;=0.5,"Free flow",
 IF(Y20&lt;=1,"Stable flow",
 IF(Y20&lt;=2,"Nearing capacity",Unstable flow)))</f>
        <v>Stable flow</v>
      </c>
      <c r="AA20" s="46">
        <f t="shared" si="18"/>
        <v>1.3545957520308829</v>
      </c>
      <c r="AB20" s="46">
        <f t="shared" si="3"/>
        <v>1.7409772370658758</v>
      </c>
      <c r="AC20" s="46">
        <f t="shared" si="4"/>
        <v>1.0873283913530372</v>
      </c>
      <c r="AD20" s="46">
        <f t="shared" si="5"/>
        <v>1.2716229483313575</v>
      </c>
      <c r="AE20" s="46">
        <f t="shared" si="6"/>
        <v>1.3636310821952884</v>
      </c>
      <c r="AF20" s="44" t="str">
        <f t="shared" si="19"/>
        <v>Low congestion</v>
      </c>
    </row>
    <row r="21" spans="1:32" x14ac:dyDescent="0.25">
      <c r="A21" s="33">
        <v>18</v>
      </c>
      <c r="B21" s="44">
        <v>1.51</v>
      </c>
      <c r="C21" s="45">
        <v>2.38</v>
      </c>
      <c r="D21" s="46">
        <f>B21*60/average_speed_per_route!Q20</f>
        <v>3.0000622189049007</v>
      </c>
      <c r="E21" s="46">
        <f>B21*60/average_speed_per_route!S20</f>
        <v>3.9504746598853662</v>
      </c>
      <c r="F21" s="47">
        <f t="shared" si="7"/>
        <v>3.4752684393951334</v>
      </c>
      <c r="G21" s="46">
        <f>B21*60/average_speed_per_route!U20</f>
        <v>2.5740715741053464</v>
      </c>
      <c r="H21" s="46">
        <f>B21*60/average_speed_per_route!W20</f>
        <v>2.9615177243346671</v>
      </c>
      <c r="I21" s="47">
        <f t="shared" si="8"/>
        <v>2.767794649220007</v>
      </c>
      <c r="J21" s="66">
        <f t="shared" si="9"/>
        <v>2.7870668965051237</v>
      </c>
      <c r="K21" s="66">
        <f t="shared" si="10"/>
        <v>3.4559961921100166</v>
      </c>
      <c r="L21" s="47">
        <f t="shared" si="11"/>
        <v>3.1215315443075702</v>
      </c>
      <c r="M21" s="46">
        <f t="shared" si="12"/>
        <v>0.41063723106284816</v>
      </c>
      <c r="N21" s="46">
        <f t="shared" si="13"/>
        <v>1.0400494436326928</v>
      </c>
      <c r="O21" s="66">
        <f t="shared" si="14"/>
        <v>0.72534333734777046</v>
      </c>
      <c r="P21" s="66" t="str">
        <f>IF(O21&lt;=0.5,"Free flow",
 IF(O21&lt;=1,"Stable flow",
 IF(O21&lt;=2,"Nearing capacity",Unstable flow)))</f>
        <v>Stable flow</v>
      </c>
      <c r="Q21" s="46">
        <f t="shared" si="15"/>
        <v>0.12852422126181887</v>
      </c>
      <c r="R21" s="46">
        <f t="shared" si="0"/>
        <v>0.38511107571832265</v>
      </c>
      <c r="S21" s="66">
        <f t="shared" si="1"/>
        <v>0.25681764849007077</v>
      </c>
      <c r="T21" s="66" t="str">
        <f>IF(S21&lt;=0.5,"Free flow",
 IF(S21&lt;=1,"Stable flow",
 IF(S21&lt;=2,"Nearing capacity",Unstable flow)))</f>
        <v>Free flow</v>
      </c>
      <c r="U21" s="46">
        <f t="shared" si="2"/>
        <v>0.26958072616233353</v>
      </c>
      <c r="V21" s="46" t="str">
        <f>IF(U21&lt;=0.5,"Free flow",
 IF(U21&lt;=1,"Stable flow",
 IF(U21&lt;=2,"Nearing capacity",Unstable flow)))</f>
        <v>Free flow</v>
      </c>
      <c r="W21" s="46">
        <f t="shared" si="16"/>
        <v>0.71258025967550775</v>
      </c>
      <c r="X21" s="46" t="str">
        <f>IF(W21&lt;=0.5,"Free flow",
 IF(W21&lt;=1,"Stable flow",
 IF(W21&lt;=2,"Nearing capacity",Unstable flow)))</f>
        <v>Stable flow</v>
      </c>
      <c r="Y21" s="47">
        <f t="shared" si="17"/>
        <v>0.49108049291892064</v>
      </c>
      <c r="Z21" s="43" t="str">
        <f>IF(Y21&lt;=0.5,"Free flow",
 IF(Y21&lt;=1,"Stable flow",
 IF(Y21&lt;=2,"Nearing capacity",Unstable flow)))</f>
        <v>Free flow</v>
      </c>
      <c r="AA21" s="46">
        <f t="shared" si="18"/>
        <v>1.2605303440776894</v>
      </c>
      <c r="AB21" s="46">
        <f t="shared" si="3"/>
        <v>1.6598633024728431</v>
      </c>
      <c r="AC21" s="46">
        <f t="shared" si="4"/>
        <v>1.0815426781955237</v>
      </c>
      <c r="AD21" s="46">
        <f t="shared" si="5"/>
        <v>1.244335178291877</v>
      </c>
      <c r="AE21" s="46">
        <f t="shared" si="6"/>
        <v>1.3115678757594833</v>
      </c>
      <c r="AF21" s="44" t="str">
        <f t="shared" si="19"/>
        <v>Low congestion</v>
      </c>
    </row>
    <row r="22" spans="1:32" x14ac:dyDescent="0.25">
      <c r="A22" s="33">
        <v>19</v>
      </c>
      <c r="B22" s="44">
        <v>1.5</v>
      </c>
      <c r="C22" s="45">
        <v>2.77</v>
      </c>
      <c r="D22" s="46">
        <f>B22*60/average_speed_per_route!Q21</f>
        <v>3.9432150039012908</v>
      </c>
      <c r="E22" s="46">
        <f>B22*60/average_speed_per_route!S21</f>
        <v>3.8288067732845992</v>
      </c>
      <c r="F22" s="47">
        <f t="shared" si="7"/>
        <v>3.8860108885929447</v>
      </c>
      <c r="G22" s="46">
        <f>B22*60/average_speed_per_route!U21</f>
        <v>3.1607583692252499</v>
      </c>
      <c r="H22" s="46">
        <f>B22*60/average_speed_per_route!W21</f>
        <v>3.4431808313733847</v>
      </c>
      <c r="I22" s="47">
        <f t="shared" si="8"/>
        <v>3.3019696002993175</v>
      </c>
      <c r="J22" s="66">
        <f t="shared" si="9"/>
        <v>3.5519866865632705</v>
      </c>
      <c r="K22" s="66">
        <f t="shared" si="10"/>
        <v>3.6359938023289917</v>
      </c>
      <c r="L22" s="47">
        <f t="shared" si="11"/>
        <v>3.5939902444461311</v>
      </c>
      <c r="M22" s="46">
        <f t="shared" si="12"/>
        <v>0.78214333593419383</v>
      </c>
      <c r="N22" s="46">
        <f t="shared" si="13"/>
        <v>0.70587118218973277</v>
      </c>
      <c r="O22" s="66">
        <f t="shared" si="14"/>
        <v>0.7440072590619633</v>
      </c>
      <c r="P22" s="66" t="str">
        <f>IF(O22&lt;=0.5,"Free flow",
 IF(O22&lt;=1,"Stable flow",
 IF(O22&lt;=2,"Nearing capacity",Unstable flow)))</f>
        <v>Stable flow</v>
      </c>
      <c r="Q22" s="46">
        <f t="shared" si="15"/>
        <v>0.26050557948349989</v>
      </c>
      <c r="R22" s="46">
        <f t="shared" si="0"/>
        <v>0.44878722091558981</v>
      </c>
      <c r="S22" s="66">
        <f t="shared" si="1"/>
        <v>0.35464640019954485</v>
      </c>
      <c r="T22" s="66" t="str">
        <f>IF(S22&lt;=0.5,"Free flow",
 IF(S22&lt;=1,"Stable flow",
 IF(S22&lt;=2,"Nearing capacity",Unstable flow)))</f>
        <v>Free flow</v>
      </c>
      <c r="U22" s="46">
        <f t="shared" si="2"/>
        <v>0.52132445770884683</v>
      </c>
      <c r="V22" s="46" t="str">
        <f>IF(U22&lt;=0.5,"Free flow",
 IF(U22&lt;=1,"Stable flow",
 IF(U22&lt;=2,"Nearing capacity",Unstable flow)))</f>
        <v>Stable flow</v>
      </c>
      <c r="W22" s="46">
        <f t="shared" si="16"/>
        <v>0.57732920155266132</v>
      </c>
      <c r="X22" s="46" t="str">
        <f>IF(W22&lt;=0.5,"Free flow",
 IF(W22&lt;=1,"Stable flow",
 IF(W22&lt;=2,"Nearing capacity",Unstable flow)))</f>
        <v>Stable flow</v>
      </c>
      <c r="Y22" s="47">
        <f t="shared" si="17"/>
        <v>0.54932682963075408</v>
      </c>
      <c r="Z22" s="43" t="str">
        <f>IF(Y22&lt;=0.5,"Free flow",
 IF(Y22&lt;=1,"Stable flow",
 IF(Y22&lt;=2,"Nearing capacity",Unstable flow)))</f>
        <v>Stable flow</v>
      </c>
      <c r="AA22" s="46">
        <f t="shared" si="18"/>
        <v>1.4235433227080472</v>
      </c>
      <c r="AB22" s="46">
        <f t="shared" si="3"/>
        <v>1.3822407123771117</v>
      </c>
      <c r="AC22" s="46">
        <f t="shared" si="4"/>
        <v>1.141068003330415</v>
      </c>
      <c r="AD22" s="46">
        <f t="shared" si="5"/>
        <v>1.2430255708929188</v>
      </c>
      <c r="AE22" s="46">
        <f t="shared" si="6"/>
        <v>1.2974694023271232</v>
      </c>
      <c r="AF22" s="44" t="str">
        <f t="shared" si="19"/>
        <v>Low congestion</v>
      </c>
    </row>
    <row r="23" spans="1:32" x14ac:dyDescent="0.25">
      <c r="A23" s="33">
        <v>20</v>
      </c>
      <c r="B23" s="44">
        <v>1.48</v>
      </c>
      <c r="C23" s="45">
        <v>2.75</v>
      </c>
      <c r="D23" s="46">
        <f>B23*60/average_speed_per_route!Q22</f>
        <v>3.8752369104882445</v>
      </c>
      <c r="E23" s="46">
        <f>B23*60/average_speed_per_route!S22</f>
        <v>3.6156016870910341</v>
      </c>
      <c r="F23" s="47">
        <f t="shared" si="7"/>
        <v>3.7454192987896393</v>
      </c>
      <c r="G23" s="46">
        <f>B23*60/average_speed_per_route!U22</f>
        <v>3.1662907184320779</v>
      </c>
      <c r="H23" s="46">
        <f>B23*60/average_speed_per_route!W22</f>
        <v>3.3149853300029255</v>
      </c>
      <c r="I23" s="47">
        <f t="shared" si="8"/>
        <v>3.2406380242175015</v>
      </c>
      <c r="J23" s="66">
        <f t="shared" si="9"/>
        <v>3.5207638144601612</v>
      </c>
      <c r="K23" s="66">
        <f t="shared" si="10"/>
        <v>3.4652935085469796</v>
      </c>
      <c r="L23" s="47">
        <f t="shared" si="11"/>
        <v>3.4930286615035708</v>
      </c>
      <c r="M23" s="46">
        <f t="shared" si="12"/>
        <v>0.76029520978935439</v>
      </c>
      <c r="N23" s="46">
        <f t="shared" si="13"/>
        <v>0.58486600479123929</v>
      </c>
      <c r="O23" s="66">
        <f t="shared" si="14"/>
        <v>0.67258060729029689</v>
      </c>
      <c r="P23" s="66" t="str">
        <f>IF(O23&lt;=0.5,"Free flow",
 IF(O23&lt;=1,"Stable flow",
 IF(O23&lt;=2,"Nearing capacity",Unstable flow)))</f>
        <v>Stable flow</v>
      </c>
      <c r="Q23" s="46">
        <f t="shared" si="15"/>
        <v>0.2812775124541067</v>
      </c>
      <c r="R23" s="46">
        <f t="shared" si="0"/>
        <v>0.38174684459657127</v>
      </c>
      <c r="S23" s="66">
        <f t="shared" si="1"/>
        <v>0.33151217852533899</v>
      </c>
      <c r="T23" s="66" t="str">
        <f>IF(S23&lt;=0.5,"Free flow",
 IF(S23&lt;=1,"Stable flow",
 IF(S23&lt;=2,"Nearing capacity",Unstable flow)))</f>
        <v>Free flow</v>
      </c>
      <c r="U23" s="46">
        <f t="shared" si="2"/>
        <v>0.52078636112173049</v>
      </c>
      <c r="V23" s="46" t="str">
        <f>IF(U23&lt;=0.5,"Free flow",
 IF(U23&lt;=1,"Stable flow",
 IF(U23&lt;=2,"Nearing capacity",Unstable flow)))</f>
        <v>Stable flow</v>
      </c>
      <c r="W23" s="46">
        <f t="shared" si="16"/>
        <v>0.48330642469390528</v>
      </c>
      <c r="X23" s="46" t="str">
        <f>IF(W23&lt;=0.5,"Free flow",
 IF(W23&lt;=1,"Stable flow",
 IF(W23&lt;=2,"Nearing capacity",Unstable flow)))</f>
        <v>Free flow</v>
      </c>
      <c r="Y23" s="47">
        <f t="shared" si="17"/>
        <v>0.50204639290781794</v>
      </c>
      <c r="Z23" s="43" t="str">
        <f>IF(Y23&lt;=0.5,"Free flow",
 IF(Y23&lt;=1,"Stable flow",
 IF(Y23&lt;=2,"Nearing capacity",Unstable flow)))</f>
        <v>Stable flow</v>
      </c>
      <c r="AA23" s="46">
        <f t="shared" si="18"/>
        <v>1.4091770583593617</v>
      </c>
      <c r="AB23" s="46">
        <f t="shared" si="3"/>
        <v>1.314764249851285</v>
      </c>
      <c r="AC23" s="46">
        <f t="shared" si="4"/>
        <v>1.1513784430662102</v>
      </c>
      <c r="AD23" s="46">
        <f t="shared" si="5"/>
        <v>1.2054492109101547</v>
      </c>
      <c r="AE23" s="46">
        <f t="shared" si="6"/>
        <v>1.2701922405467529</v>
      </c>
      <c r="AF23" s="44" t="str">
        <f t="shared" si="19"/>
        <v>Low congestion</v>
      </c>
    </row>
    <row r="24" spans="1:32" x14ac:dyDescent="0.25">
      <c r="A24" s="33">
        <v>21</v>
      </c>
      <c r="B24" s="44">
        <v>1.51</v>
      </c>
      <c r="C24" s="45">
        <v>2.52</v>
      </c>
      <c r="D24" s="46">
        <f>B24*60/average_speed_per_route!Q23</f>
        <v>3.6814367085163981</v>
      </c>
      <c r="E24" s="46">
        <f>B24*60/average_speed_per_route!S23</f>
        <v>3.7127225280891785</v>
      </c>
      <c r="F24" s="47">
        <f t="shared" si="7"/>
        <v>3.6970796183027881</v>
      </c>
      <c r="G24" s="46">
        <f>B24*60/average_speed_per_route!U23</f>
        <v>2.7381447809328199</v>
      </c>
      <c r="H24" s="46">
        <f>B24*60/average_speed_per_route!W23</f>
        <v>3.0527178769985444</v>
      </c>
      <c r="I24" s="47">
        <f t="shared" si="8"/>
        <v>2.8954313289656821</v>
      </c>
      <c r="J24" s="66">
        <f t="shared" si="9"/>
        <v>3.209790744724609</v>
      </c>
      <c r="K24" s="66">
        <f t="shared" si="10"/>
        <v>3.3827202025438616</v>
      </c>
      <c r="L24" s="47">
        <f t="shared" si="11"/>
        <v>3.2962554736342349</v>
      </c>
      <c r="M24" s="46">
        <f t="shared" si="12"/>
        <v>0.76916338312344246</v>
      </c>
      <c r="N24" s="46">
        <f t="shared" si="13"/>
        <v>0.78988246893323077</v>
      </c>
      <c r="O24" s="66">
        <f t="shared" si="14"/>
        <v>0.77952292602833662</v>
      </c>
      <c r="P24" s="66" t="str">
        <f>IF(O24&lt;=0.5,"Free flow",
 IF(O24&lt;=1,"Stable flow",
 IF(O24&lt;=2,"Nearing capacity",Unstable flow)))</f>
        <v>Stable flow</v>
      </c>
      <c r="Q24" s="46">
        <f t="shared" si="15"/>
        <v>0.14446674233961579</v>
      </c>
      <c r="R24" s="46">
        <f t="shared" si="0"/>
        <v>0.35279329602552606</v>
      </c>
      <c r="S24" s="66">
        <f t="shared" si="1"/>
        <v>0.24863001918257094</v>
      </c>
      <c r="T24" s="66" t="str">
        <f>IF(S24&lt;=0.5,"Free flow",
 IF(S24&lt;=1,"Stable flow",
 IF(S24&lt;=2,"Nearing capacity",Unstable flow)))</f>
        <v>Free flow</v>
      </c>
      <c r="U24" s="46">
        <f t="shared" si="2"/>
        <v>0.45681506273152911</v>
      </c>
      <c r="V24" s="46" t="str">
        <f>IF(U24&lt;=0.5,"Free flow",
 IF(U24&lt;=1,"Stable flow",
 IF(U24&lt;=2,"Nearing capacity",Unstable flow)))</f>
        <v>Free flow</v>
      </c>
      <c r="W24" s="46">
        <f t="shared" si="16"/>
        <v>0.57133788247937844</v>
      </c>
      <c r="X24" s="46" t="str">
        <f>IF(W24&lt;=0.5,"Free flow",
 IF(W24&lt;=1,"Stable flow",
 IF(W24&lt;=2,"Nearing capacity",Unstable flow)))</f>
        <v>Stable flow</v>
      </c>
      <c r="Y24" s="47">
        <f t="shared" si="17"/>
        <v>0.51407647260545375</v>
      </c>
      <c r="Z24" s="43" t="str">
        <f>IF(Y24&lt;=0.5,"Free flow",
 IF(Y24&lt;=1,"Stable flow",
 IF(Y24&lt;=2,"Nearing capacity",Unstable flow)))</f>
        <v>Stable flow</v>
      </c>
      <c r="AA24" s="46">
        <f t="shared" si="18"/>
        <v>1.4608875827446024</v>
      </c>
      <c r="AB24" s="46">
        <f t="shared" si="3"/>
        <v>1.4733025905115786</v>
      </c>
      <c r="AC24" s="46">
        <f t="shared" si="4"/>
        <v>1.0865653892590554</v>
      </c>
      <c r="AD24" s="46">
        <f t="shared" si="5"/>
        <v>1.2113959829359302</v>
      </c>
      <c r="AE24" s="46">
        <f t="shared" si="6"/>
        <v>1.3080378863627917</v>
      </c>
      <c r="AF24" s="44" t="str">
        <f t="shared" si="19"/>
        <v>Low congestion</v>
      </c>
    </row>
    <row r="25" spans="1:32" x14ac:dyDescent="0.25">
      <c r="A25" s="33">
        <v>22</v>
      </c>
      <c r="B25" s="44">
        <v>1.57</v>
      </c>
      <c r="C25" s="45">
        <v>2.48</v>
      </c>
      <c r="D25" s="46">
        <f>B25*60/average_speed_per_route!Q24</f>
        <v>3.7160259752162852</v>
      </c>
      <c r="E25" s="46">
        <f>B25*60/average_speed_per_route!S24</f>
        <v>4.2642878559665922</v>
      </c>
      <c r="F25" s="47">
        <f t="shared" si="7"/>
        <v>3.9901569155914389</v>
      </c>
      <c r="G25" s="46">
        <f>B25*60/average_speed_per_route!U24</f>
        <v>2.9393973671801601</v>
      </c>
      <c r="H25" s="46">
        <f>B25*60/average_speed_per_route!W24</f>
        <v>3.2313851304981713</v>
      </c>
      <c r="I25" s="47">
        <f t="shared" si="8"/>
        <v>3.0853912488391657</v>
      </c>
      <c r="J25" s="66">
        <f t="shared" si="9"/>
        <v>3.3277116711982226</v>
      </c>
      <c r="K25" s="66">
        <f t="shared" si="10"/>
        <v>3.7478364932323815</v>
      </c>
      <c r="L25" s="47">
        <f t="shared" si="11"/>
        <v>3.5377740822153023</v>
      </c>
      <c r="M25" s="46">
        <f t="shared" si="12"/>
        <v>0.78727769122056379</v>
      </c>
      <c r="N25" s="46">
        <f t="shared" si="13"/>
        <v>1.1364890802334982</v>
      </c>
      <c r="O25" s="66">
        <f t="shared" si="14"/>
        <v>0.96188338572703103</v>
      </c>
      <c r="P25" s="66" t="str">
        <f>IF(O25&lt;=0.5,"Free flow",
 IF(O25&lt;=1,"Stable flow",
 IF(O25&lt;=2,"Nearing capacity",Unstable flow)))</f>
        <v>Stable flow</v>
      </c>
      <c r="Q25" s="46">
        <f t="shared" si="15"/>
        <v>0.29260978801284082</v>
      </c>
      <c r="R25" s="46">
        <f t="shared" si="0"/>
        <v>0.47858925509437666</v>
      </c>
      <c r="S25" s="66">
        <f t="shared" si="1"/>
        <v>0.38559952155360877</v>
      </c>
      <c r="T25" s="66" t="str">
        <f>IF(S25&lt;=0.5,"Free flow",
 IF(S25&lt;=1,"Stable flow",
 IF(S25&lt;=2,"Nearing capacity",Unstable flow)))</f>
        <v>Free flow</v>
      </c>
      <c r="U25" s="46">
        <f t="shared" si="2"/>
        <v>0.53994373961670228</v>
      </c>
      <c r="V25" s="46" t="str">
        <f>IF(U25&lt;=0.5,"Free flow",
 IF(U25&lt;=1,"Stable flow",
 IF(U25&lt;=2,"Nearing capacity",Unstable flow)))</f>
        <v>Stable flow</v>
      </c>
      <c r="W25" s="46">
        <f t="shared" si="16"/>
        <v>0.80753916766393741</v>
      </c>
      <c r="X25" s="46" t="str">
        <f>IF(W25&lt;=0.5,"Free flow",
 IF(W25&lt;=1,"Stable flow",
 IF(W25&lt;=2,"Nearing capacity",Unstable flow)))</f>
        <v>Stable flow</v>
      </c>
      <c r="Y25" s="47">
        <f t="shared" si="17"/>
        <v>0.6737414536403199</v>
      </c>
      <c r="Z25" s="43" t="str">
        <f>IF(Y25&lt;=0.5,"Free flow",
 IF(Y25&lt;=1,"Stable flow",
 IF(Y25&lt;=2,"Nearing capacity",Unstable flow)))</f>
        <v>Stable flow</v>
      </c>
      <c r="AA25" s="46">
        <f t="shared" si="18"/>
        <v>1.4983975706517279</v>
      </c>
      <c r="AB25" s="46">
        <f t="shared" si="3"/>
        <v>1.7194709096639484</v>
      </c>
      <c r="AC25" s="46">
        <f t="shared" si="4"/>
        <v>1.1852408738629678</v>
      </c>
      <c r="AD25" s="46">
        <f t="shared" si="5"/>
        <v>1.3029778752008756</v>
      </c>
      <c r="AE25" s="46">
        <f t="shared" si="6"/>
        <v>1.42652180734488</v>
      </c>
      <c r="AF25" s="44" t="str">
        <f t="shared" si="19"/>
        <v>Low congestion</v>
      </c>
    </row>
    <row r="26" spans="1:32" x14ac:dyDescent="0.25">
      <c r="A26" s="33">
        <v>23</v>
      </c>
      <c r="B26" s="44">
        <v>1.43</v>
      </c>
      <c r="C26" s="45">
        <v>2.67</v>
      </c>
      <c r="D26" s="46">
        <f>B26*60/average_speed_per_route!Q25</f>
        <v>3.8699307789561712</v>
      </c>
      <c r="E26" s="46">
        <f>B26*60/average_speed_per_route!S25</f>
        <v>5.0886535590430144</v>
      </c>
      <c r="F26" s="47">
        <f t="shared" si="7"/>
        <v>4.479292168999593</v>
      </c>
      <c r="G26" s="46">
        <f>B26*60/average_speed_per_route!U25</f>
        <v>2.90751055512141</v>
      </c>
      <c r="H26" s="46">
        <f>B26*60/average_speed_per_route!W25</f>
        <v>3.5425712908939024</v>
      </c>
      <c r="I26" s="47">
        <f t="shared" si="8"/>
        <v>3.225040923007656</v>
      </c>
      <c r="J26" s="66">
        <f t="shared" si="9"/>
        <v>3.3887206670387906</v>
      </c>
      <c r="K26" s="66">
        <f t="shared" si="10"/>
        <v>4.3156124249684584</v>
      </c>
      <c r="L26" s="47">
        <f t="shared" si="11"/>
        <v>3.852166546003625</v>
      </c>
      <c r="M26" s="46">
        <f t="shared" si="12"/>
        <v>0.8391124328364834</v>
      </c>
      <c r="N26" s="46">
        <f t="shared" si="13"/>
        <v>1.6913661252049053</v>
      </c>
      <c r="O26" s="66">
        <f t="shared" si="14"/>
        <v>1.2652392790206943</v>
      </c>
      <c r="P26" s="63" t="str">
        <f>IF(O26&lt;=0.5,"Free flow",
 IF(O26&lt;=1,"Stable flow",
 IF(O26&lt;=2,"Nearing capacity",Unstable flow)))</f>
        <v>Nearing capacity</v>
      </c>
      <c r="Q26" s="46">
        <f t="shared" si="15"/>
        <v>0.16609129728769936</v>
      </c>
      <c r="R26" s="46">
        <f t="shared" si="0"/>
        <v>0.61018971391181998</v>
      </c>
      <c r="S26" s="66">
        <f t="shared" si="1"/>
        <v>0.38814050559975966</v>
      </c>
      <c r="T26" s="66" t="str">
        <f>IF(S26&lt;=0.5,"Free flow",
 IF(S26&lt;=1,"Stable flow",
 IF(S26&lt;=2,"Nearing capacity",Unstable flow)))</f>
        <v>Free flow</v>
      </c>
      <c r="U26" s="46">
        <f t="shared" si="2"/>
        <v>0.50260186506209137</v>
      </c>
      <c r="V26" s="46" t="str">
        <f>IF(U26&lt;=0.5,"Free flow",
 IF(U26&lt;=1,"Stable flow",
 IF(U26&lt;=2,"Nearing capacity",Unstable flow)))</f>
        <v>Stable flow</v>
      </c>
      <c r="W26" s="46">
        <f t="shared" si="16"/>
        <v>1.1507779195583625</v>
      </c>
      <c r="X26" s="46" t="str">
        <f>IF(W26&lt;=0.5,"Free flow",
 IF(W26&lt;=1,"Stable flow",
 IF(W26&lt;=2,"Nearing capacity",Unstable flow)))</f>
        <v>Nearing capacity</v>
      </c>
      <c r="Y26" s="47">
        <f t="shared" si="17"/>
        <v>0.82668989231022705</v>
      </c>
      <c r="Z26" s="43" t="str">
        <f>IF(Y26&lt;=0.5,"Free flow",
 IF(Y26&lt;=1,"Stable flow",
 IF(Y26&lt;=2,"Nearing capacity",Unstable flow)))</f>
        <v>Stable flow</v>
      </c>
      <c r="AA26" s="46">
        <f t="shared" si="18"/>
        <v>1.449412276762611</v>
      </c>
      <c r="AB26" s="46">
        <f t="shared" si="3"/>
        <v>1.9058627561958856</v>
      </c>
      <c r="AC26" s="46">
        <f t="shared" si="4"/>
        <v>1.0889552640904157</v>
      </c>
      <c r="AD26" s="46">
        <f t="shared" si="5"/>
        <v>1.3268057269265552</v>
      </c>
      <c r="AE26" s="46">
        <f t="shared" si="6"/>
        <v>1.4427590059938669</v>
      </c>
      <c r="AF26" s="44" t="str">
        <f t="shared" si="19"/>
        <v>Low congestion</v>
      </c>
    </row>
    <row r="27" spans="1:32" x14ac:dyDescent="0.25">
      <c r="A27" s="33">
        <v>24</v>
      </c>
      <c r="B27" s="44">
        <v>1.52</v>
      </c>
      <c r="C27" s="45">
        <v>2.67</v>
      </c>
      <c r="D27" s="46">
        <f>B27*60/average_speed_per_route!Q26</f>
        <v>3.6633965292661586</v>
      </c>
      <c r="E27" s="46">
        <f>B27*60/average_speed_per_route!S26</f>
        <v>4.1670296602520045</v>
      </c>
      <c r="F27" s="47">
        <f>AVERAGE(D27:E27)</f>
        <v>3.9152130947590815</v>
      </c>
      <c r="G27" s="46">
        <f>B27*60/average_speed_per_route!U26</f>
        <v>2.8430909569448852</v>
      </c>
      <c r="H27" s="46">
        <f>B27*60/average_speed_per_route!W26</f>
        <v>3.1450864141452772</v>
      </c>
      <c r="I27" s="47">
        <f t="shared" si="8"/>
        <v>2.9940886855450812</v>
      </c>
      <c r="J27" s="66">
        <f t="shared" si="9"/>
        <v>3.2532437431055219</v>
      </c>
      <c r="K27" s="66">
        <f t="shared" si="10"/>
        <v>3.6560580371986409</v>
      </c>
      <c r="L27" s="47">
        <f t="shared" si="11"/>
        <v>3.4546508901520814</v>
      </c>
      <c r="M27" s="46">
        <f t="shared" si="12"/>
        <v>0.65355034820142011</v>
      </c>
      <c r="N27" s="46">
        <f t="shared" si="13"/>
        <v>0.98488793437631883</v>
      </c>
      <c r="O27" s="66">
        <f t="shared" si="14"/>
        <v>0.81921914128886941</v>
      </c>
      <c r="P27" s="66" t="str">
        <f>IF(O27&lt;=0.5,"Free flow",
 IF(O27&lt;=1,"Stable flow",
 IF(O27&lt;=2,"Nearing capacity",Unstable flow)))</f>
        <v>Stable flow</v>
      </c>
      <c r="Q27" s="46">
        <f t="shared" si="15"/>
        <v>0.11387562956900349</v>
      </c>
      <c r="R27" s="46">
        <f t="shared" si="0"/>
        <v>0.31255685141136663</v>
      </c>
      <c r="S27" s="66">
        <f t="shared" si="1"/>
        <v>0.21321624049018506</v>
      </c>
      <c r="T27" s="66" t="str">
        <f>IF(S27&lt;=0.5,"Free flow",
 IF(S27&lt;=1,"Stable flow",
 IF(S27&lt;=2,"Nearing capacity",Unstable flow)))</f>
        <v>Free flow</v>
      </c>
      <c r="U27" s="46">
        <f t="shared" si="2"/>
        <v>0.38371298888521177</v>
      </c>
      <c r="V27" s="46" t="str">
        <f>IF(U27&lt;=0.5,"Free flow",
 IF(U27&lt;=1,"Stable flow",
 IF(U27&lt;=2,"Nearing capacity",Unstable flow)))</f>
        <v>Free flow</v>
      </c>
      <c r="W27" s="46">
        <f t="shared" si="16"/>
        <v>0.6487223928938427</v>
      </c>
      <c r="X27" s="46" t="str">
        <f>IF(W27&lt;=0.5,"Free flow",
 IF(W27&lt;=1,"Stable flow",
 IF(W27&lt;=2,"Nearing capacity",Unstable flow)))</f>
        <v>Stable flow</v>
      </c>
      <c r="Y27" s="47">
        <f t="shared" si="17"/>
        <v>0.51621769088952729</v>
      </c>
      <c r="Z27" s="43" t="str">
        <f>IF(Y27&lt;=0.5,"Free flow",
 IF(Y27&lt;=1,"Stable flow",
 IF(Y27&lt;=2,"Nearing capacity",Unstable flow)))</f>
        <v>Stable flow</v>
      </c>
      <c r="AA27" s="46">
        <f t="shared" si="18"/>
        <v>1.3720586251933178</v>
      </c>
      <c r="AB27" s="46">
        <f t="shared" si="3"/>
        <v>1.5606852660119868</v>
      </c>
      <c r="AC27" s="46">
        <f t="shared" si="4"/>
        <v>1.0648280737621294</v>
      </c>
      <c r="AD27" s="46">
        <f t="shared" si="5"/>
        <v>1.1779349865712649</v>
      </c>
      <c r="AE27" s="46">
        <f t="shared" si="6"/>
        <v>1.2938767378846747</v>
      </c>
      <c r="AF27" s="44" t="str">
        <f t="shared" si="19"/>
        <v>Low congestion</v>
      </c>
    </row>
    <row r="28" spans="1:32" x14ac:dyDescent="0.25">
      <c r="A28" s="33">
        <v>25</v>
      </c>
      <c r="B28" s="44">
        <v>1.52</v>
      </c>
      <c r="C28" s="45">
        <v>2.88</v>
      </c>
      <c r="D28" s="46">
        <f>B28*60/average_speed_per_route!Q27</f>
        <v>3.2545607881672192</v>
      </c>
      <c r="E28" s="46">
        <f>B28*60/average_speed_per_route!S27</f>
        <v>3.8417405833001799</v>
      </c>
      <c r="F28" s="47">
        <f t="shared" si="7"/>
        <v>3.5481506857336997</v>
      </c>
      <c r="G28" s="46">
        <f>B28*60/average_speed_per_route!U27</f>
        <v>2.9855113598604373</v>
      </c>
      <c r="H28" s="46">
        <f>B28*60/average_speed_per_route!W27</f>
        <v>3.1963291866662433</v>
      </c>
      <c r="I28" s="47">
        <f t="shared" si="8"/>
        <v>3.0909202732633405</v>
      </c>
      <c r="J28" s="66">
        <f t="shared" si="9"/>
        <v>3.1200360740138282</v>
      </c>
      <c r="K28" s="66">
        <f t="shared" si="10"/>
        <v>3.5190348849832116</v>
      </c>
      <c r="L28" s="47">
        <f t="shared" si="11"/>
        <v>3.3195354794985201</v>
      </c>
      <c r="M28" s="46">
        <f t="shared" si="12"/>
        <v>0.24642157116264427</v>
      </c>
      <c r="N28" s="46">
        <f t="shared" si="13"/>
        <v>0.63272406796064473</v>
      </c>
      <c r="O28" s="66">
        <f t="shared" si="14"/>
        <v>0.43957281956164451</v>
      </c>
      <c r="P28" s="66" t="str">
        <f>IF(O28&lt;=0.5,"Free flow",
 IF(O28&lt;=1,"Stable flow",
 IF(O28&lt;=2,"Nearing capacity",Unstable flow)))</f>
        <v>Free flow</v>
      </c>
      <c r="Q28" s="46">
        <f t="shared" si="15"/>
        <v>6.9415368329235103E-2</v>
      </c>
      <c r="R28" s="46">
        <f t="shared" si="0"/>
        <v>0.20811130701726541</v>
      </c>
      <c r="S28" s="66">
        <f t="shared" si="1"/>
        <v>0.13876333767325025</v>
      </c>
      <c r="T28" s="66" t="str">
        <f>IF(S28&lt;=0.5,"Free flow",
 IF(S28&lt;=1,"Stable flow",
 IF(S28&lt;=2,"Nearing capacity",Unstable flow)))</f>
        <v>Free flow</v>
      </c>
      <c r="U28" s="46">
        <f t="shared" si="2"/>
        <v>0.15791846974593968</v>
      </c>
      <c r="V28" s="46" t="str">
        <f>IF(U28&lt;=0.5,"Free flow",
 IF(U28&lt;=1,"Stable flow",
 IF(U28&lt;=2,"Nearing capacity",Unstable flow)))</f>
        <v>Free flow</v>
      </c>
      <c r="W28" s="46">
        <f t="shared" si="16"/>
        <v>0.42041768748895508</v>
      </c>
      <c r="X28" s="46" t="str">
        <f>IF(W28&lt;=0.5,"Free flow",
 IF(W28&lt;=1,"Stable flow",
 IF(W28&lt;=2,"Nearing capacity",Unstable flow)))</f>
        <v>Free flow</v>
      </c>
      <c r="Y28" s="47">
        <f t="shared" si="17"/>
        <v>0.28916807861744737</v>
      </c>
      <c r="Z28" s="43" t="str">
        <f>IF(Y28&lt;=0.5,"Free flow",
 IF(Y28&lt;=1,"Stable flow",
 IF(Y28&lt;=2,"Nearing capacity",Unstable flow)))</f>
        <v>Free flow</v>
      </c>
      <c r="AA28" s="46">
        <f t="shared" si="18"/>
        <v>1.1300558292247289</v>
      </c>
      <c r="AB28" s="46">
        <f t="shared" si="3"/>
        <v>1.3339377025347847</v>
      </c>
      <c r="AC28" s="46">
        <f t="shared" si="4"/>
        <v>1.0366358888404297</v>
      </c>
      <c r="AD28" s="46">
        <f t="shared" si="5"/>
        <v>1.1098365231480012</v>
      </c>
      <c r="AE28" s="46">
        <f t="shared" si="6"/>
        <v>1.1526164859369861</v>
      </c>
      <c r="AF28" s="44" t="str">
        <f t="shared" si="19"/>
        <v>Free Flow</v>
      </c>
    </row>
    <row r="29" spans="1:32" x14ac:dyDescent="0.25">
      <c r="A29" s="33">
        <v>26</v>
      </c>
      <c r="B29" s="44">
        <v>1.49</v>
      </c>
      <c r="C29" s="45">
        <v>2.73</v>
      </c>
      <c r="D29" s="46">
        <f>B29*60/average_speed_per_route!Q28</f>
        <v>3.665488267822631</v>
      </c>
      <c r="E29" s="46">
        <f>B29*60/average_speed_per_route!S28</f>
        <v>6.1203207298631934</v>
      </c>
      <c r="F29" s="47">
        <f t="shared" si="7"/>
        <v>4.8929044988429125</v>
      </c>
      <c r="G29" s="46">
        <f>B29*60/average_speed_per_route!U28</f>
        <v>2.9914269079263245</v>
      </c>
      <c r="H29" s="46">
        <f>B29*60/average_speed_per_route!W28</f>
        <v>3.6581942505033997</v>
      </c>
      <c r="I29" s="47">
        <f t="shared" si="8"/>
        <v>3.3248105792148621</v>
      </c>
      <c r="J29" s="66">
        <f t="shared" si="9"/>
        <v>3.3284575878744778</v>
      </c>
      <c r="K29" s="66">
        <f t="shared" si="10"/>
        <v>4.8892574901832964</v>
      </c>
      <c r="L29" s="47">
        <f t="shared" si="11"/>
        <v>4.1088575390288877</v>
      </c>
      <c r="M29" s="46">
        <f t="shared" si="12"/>
        <v>0.62784447504874563</v>
      </c>
      <c r="N29" s="63">
        <f t="shared" si="13"/>
        <v>2.2753830401766399</v>
      </c>
      <c r="O29" s="66">
        <f t="shared" si="14"/>
        <v>1.4516137576126928</v>
      </c>
      <c r="P29" s="63" t="str">
        <f>IF(O29&lt;=0.5,"Free flow",
 IF(O29&lt;=1,"Stable flow",
 IF(O29&lt;=2,"Nearing capacity",Unstable flow)))</f>
        <v>Nearing capacity</v>
      </c>
      <c r="Q29" s="46">
        <f t="shared" si="15"/>
        <v>0.17545430062169429</v>
      </c>
      <c r="R29" s="46">
        <f t="shared" si="0"/>
        <v>0.62294916141167767</v>
      </c>
      <c r="S29" s="66">
        <f t="shared" si="1"/>
        <v>0.39920173101668599</v>
      </c>
      <c r="T29" s="66" t="str">
        <f>IF(S29&lt;=0.5,"Free flow",
 IF(S29&lt;=1,"Stable flow",
 IF(S29&lt;=2,"Nearing capacity",Unstable flow)))</f>
        <v>Free flow</v>
      </c>
      <c r="U29" s="46">
        <f t="shared" si="2"/>
        <v>0.40164938783521997</v>
      </c>
      <c r="V29" s="46" t="str">
        <f>IF(U29&lt;=0.5,"Free flow",
 IF(U29&lt;=1,"Stable flow",
 IF(U29&lt;=2,"Nearing capacity",Unstable flow)))</f>
        <v>Free flow</v>
      </c>
      <c r="W29" s="46">
        <f t="shared" si="16"/>
        <v>1.4491661007941588</v>
      </c>
      <c r="X29" s="46" t="str">
        <f>IF(W29&lt;=0.5,"Free flow",
 IF(W29&lt;=1,"Stable flow",
 IF(W29&lt;=2,"Nearing capacity",Unstable flow)))</f>
        <v>Nearing capacity</v>
      </c>
      <c r="Y29" s="47">
        <f t="shared" si="17"/>
        <v>0.92540774431468942</v>
      </c>
      <c r="Z29" s="43" t="str">
        <f>IF(Y29&lt;=0.5,"Free flow",
 IF(Y29&lt;=1,"Stable flow",
 IF(Y29&lt;=2,"Nearing capacity",Unstable flow)))</f>
        <v>Stable flow</v>
      </c>
      <c r="AA29" s="46">
        <f t="shared" si="18"/>
        <v>1.342669695173125</v>
      </c>
      <c r="AB29" s="48">
        <f t="shared" si="3"/>
        <v>2.2418757252246131</v>
      </c>
      <c r="AC29" s="46">
        <f t="shared" si="4"/>
        <v>1.0957607721341849</v>
      </c>
      <c r="AD29" s="46">
        <f t="shared" si="5"/>
        <v>1.3399978939572892</v>
      </c>
      <c r="AE29" s="46">
        <f t="shared" si="6"/>
        <v>1.5050760216223029</v>
      </c>
      <c r="AF29" s="44" t="str">
        <f t="shared" si="19"/>
        <v>Low congestion</v>
      </c>
    </row>
    <row r="30" spans="1:32" x14ac:dyDescent="0.25">
      <c r="A30" s="33">
        <v>27</v>
      </c>
      <c r="B30" s="44">
        <v>1.53</v>
      </c>
      <c r="C30" s="45">
        <v>2.63</v>
      </c>
      <c r="D30" s="46">
        <f>B30*60/average_speed_per_route!Q29</f>
        <v>3.4689421436908208</v>
      </c>
      <c r="E30" s="46">
        <f>B30*60/average_speed_per_route!S29</f>
        <v>4.8308389357577681</v>
      </c>
      <c r="F30" s="47">
        <f t="shared" si="7"/>
        <v>4.1498905397242947</v>
      </c>
      <c r="G30" s="46">
        <f>B30*60/average_speed_per_route!U29</f>
        <v>2.9350969368505524</v>
      </c>
      <c r="H30" s="46">
        <f>B30*60/average_speed_per_route!W29</f>
        <v>4.4961236803514506</v>
      </c>
      <c r="I30" s="47">
        <f t="shared" si="8"/>
        <v>3.7156103086010015</v>
      </c>
      <c r="J30" s="66">
        <f t="shared" si="9"/>
        <v>3.2020195402706868</v>
      </c>
      <c r="K30" s="66">
        <f t="shared" si="10"/>
        <v>4.6634813080546094</v>
      </c>
      <c r="L30" s="47">
        <f t="shared" si="11"/>
        <v>3.9327504241626481</v>
      </c>
      <c r="M30" s="46">
        <f t="shared" si="12"/>
        <v>0.54832819849073255</v>
      </c>
      <c r="N30" s="46">
        <f t="shared" si="13"/>
        <v>1.4384568207567112</v>
      </c>
      <c r="O30" s="66">
        <f t="shared" si="14"/>
        <v>0.99339250962372194</v>
      </c>
      <c r="P30" s="66" t="str">
        <f>IF(O30&lt;=0.5,"Free flow",
 IF(O30&lt;=1,"Stable flow",
 IF(O30&lt;=2,"Nearing capacity",Unstable flow)))</f>
        <v>Stable flow</v>
      </c>
      <c r="Q30" s="46">
        <f t="shared" si="15"/>
        <v>0.19940976264741994</v>
      </c>
      <c r="R30" s="46">
        <f t="shared" si="0"/>
        <v>1.2196886799682685</v>
      </c>
      <c r="S30" s="66">
        <f t="shared" si="1"/>
        <v>0.70954922130784426</v>
      </c>
      <c r="T30" s="66" t="str">
        <f>IF(S30&lt;=0.5,"Free flow",
 IF(S30&lt;=1,"Stable flow",
 IF(S30&lt;=2,"Nearing capacity",Unstable flow)))</f>
        <v>Stable flow</v>
      </c>
      <c r="U30" s="46">
        <f t="shared" si="2"/>
        <v>0.37386898056907625</v>
      </c>
      <c r="V30" s="46" t="str">
        <f>IF(U30&lt;=0.5,"Free flow",
 IF(U30&lt;=1,"Stable flow",
 IF(U30&lt;=2,"Nearing capacity",Unstable flow)))</f>
        <v>Free flow</v>
      </c>
      <c r="W30" s="46">
        <f t="shared" si="16"/>
        <v>1.32907275036249</v>
      </c>
      <c r="X30" s="46" t="str">
        <f>IF(W30&lt;=0.5,"Free flow",
 IF(W30&lt;=1,"Stable flow",
 IF(W30&lt;=2,"Nearing capacity",Unstable flow)))</f>
        <v>Nearing capacity</v>
      </c>
      <c r="Y30" s="47">
        <f t="shared" si="17"/>
        <v>0.8514708654657831</v>
      </c>
      <c r="Z30" s="43" t="str">
        <f>IF(Y30&lt;=0.5,"Free flow",
 IF(Y30&lt;=1,"Stable flow",
 IF(Y30&lt;=2,"Nearing capacity",Unstable flow)))</f>
        <v>Stable flow</v>
      </c>
      <c r="AA30" s="46">
        <f t="shared" si="18"/>
        <v>1.3189894082474605</v>
      </c>
      <c r="AB30" s="46">
        <f t="shared" si="3"/>
        <v>1.8368208881208246</v>
      </c>
      <c r="AC30" s="46">
        <f t="shared" si="4"/>
        <v>1.1160064398671303</v>
      </c>
      <c r="AD30" s="46">
        <f t="shared" si="5"/>
        <v>1.7095527301716542</v>
      </c>
      <c r="AE30" s="46">
        <f t="shared" si="6"/>
        <v>1.4953423666017673</v>
      </c>
      <c r="AF30" s="44" t="str">
        <f t="shared" si="19"/>
        <v>Low congestion</v>
      </c>
    </row>
    <row r="31" spans="1:32" x14ac:dyDescent="0.25">
      <c r="A31" s="33">
        <v>28</v>
      </c>
      <c r="B31" s="44">
        <v>1.51</v>
      </c>
      <c r="C31" s="45">
        <v>3</v>
      </c>
      <c r="D31" s="46">
        <f>B31*60/average_speed_per_route!Q30</f>
        <v>3.9648268295871265</v>
      </c>
      <c r="E31" s="46">
        <f>B31*60/average_speed_per_route!S30</f>
        <v>4.7359082688658791</v>
      </c>
      <c r="F31" s="47">
        <f>AVERAGE(D31:E31)</f>
        <v>4.3503675492265028</v>
      </c>
      <c r="G31" s="46">
        <f>B31*60/average_speed_per_route!U30</f>
        <v>3.4796036447646932</v>
      </c>
      <c r="H31" s="46">
        <f>B31*60/average_speed_per_route!W30</f>
        <v>3.9093715318097426</v>
      </c>
      <c r="I31" s="47">
        <f t="shared" si="8"/>
        <v>3.6944875882872177</v>
      </c>
      <c r="J31" s="66">
        <f t="shared" si="9"/>
        <v>3.7222152371759099</v>
      </c>
      <c r="K31" s="66">
        <f t="shared" si="10"/>
        <v>4.3226399003378111</v>
      </c>
      <c r="L31" s="47">
        <f t="shared" si="11"/>
        <v>4.0224275687568607</v>
      </c>
      <c r="M31" s="46">
        <f t="shared" si="12"/>
        <v>0.63895816528948779</v>
      </c>
      <c r="N31" s="46">
        <f t="shared" si="13"/>
        <v>1.1496081250767411</v>
      </c>
      <c r="O31" s="66">
        <f t="shared" si="14"/>
        <v>0.89428314518311447</v>
      </c>
      <c r="P31" s="66" t="str">
        <f>IF(O31&lt;=0.5,"Free flow",
 IF(O31&lt;=1,"Stable flow",
 IF(O31&lt;=2,"Nearing capacity",Unstable flow)))</f>
        <v>Stable flow</v>
      </c>
      <c r="Q31" s="46">
        <f t="shared" si="15"/>
        <v>0.31761830779118755</v>
      </c>
      <c r="R31" s="46">
        <f t="shared" si="0"/>
        <v>0.60223280252300837</v>
      </c>
      <c r="S31" s="66">
        <f t="shared" si="1"/>
        <v>0.45992555515709799</v>
      </c>
      <c r="T31" s="66" t="str">
        <f>IF(S31&lt;=0.5,"Free flow",
 IF(S31&lt;=1,"Stable flow",
 IF(S31&lt;=2,"Nearing capacity",Unstable flow)))</f>
        <v>Free flow</v>
      </c>
      <c r="U31" s="46">
        <f t="shared" si="2"/>
        <v>0.4782882365403377</v>
      </c>
      <c r="V31" s="46" t="str">
        <f>IF(U31&lt;=0.5,"Free flow",
 IF(U31&lt;=1,"Stable flow",
 IF(U31&lt;=2,"Nearing capacity",Unstable flow)))</f>
        <v>Free flow</v>
      </c>
      <c r="W31" s="46">
        <f t="shared" si="16"/>
        <v>0.87592046379987476</v>
      </c>
      <c r="X31" s="46" t="str">
        <f>IF(W31&lt;=0.5,"Free flow",
 IF(W31&lt;=1,"Stable flow",
 IF(W31&lt;=2,"Nearing capacity",Unstable flow)))</f>
        <v>Stable flow</v>
      </c>
      <c r="Y31" s="47">
        <f t="shared" si="17"/>
        <v>0.67710435017010617</v>
      </c>
      <c r="Z31" s="43" t="str">
        <f>IF(Y31&lt;=0.5,"Free flow",
 IF(Y31&lt;=1,"Stable flow",
 IF(Y31&lt;=2,"Nearing capacity",Unstable flow)))</f>
        <v>Stable flow</v>
      </c>
      <c r="AA31" s="46">
        <f t="shared" si="18"/>
        <v>1.3216089431957088</v>
      </c>
      <c r="AB31" s="46">
        <f t="shared" si="3"/>
        <v>1.5786360896219598</v>
      </c>
      <c r="AC31" s="46">
        <f t="shared" si="4"/>
        <v>1.1598678815882311</v>
      </c>
      <c r="AD31" s="46">
        <f t="shared" si="5"/>
        <v>1.3031238439365809</v>
      </c>
      <c r="AE31" s="46">
        <f t="shared" si="6"/>
        <v>1.3408091895856202</v>
      </c>
      <c r="AF31" s="44" t="str">
        <f t="shared" si="19"/>
        <v>Low congestion</v>
      </c>
    </row>
    <row r="32" spans="1:32" x14ac:dyDescent="0.25">
      <c r="A32" s="33">
        <v>29</v>
      </c>
      <c r="B32" s="44">
        <v>1.57</v>
      </c>
      <c r="C32" s="45">
        <v>2.4500000000000002</v>
      </c>
      <c r="D32" s="46">
        <f>B32*60/average_speed_per_route!Q31</f>
        <v>4.3827659752638501</v>
      </c>
      <c r="E32" s="46">
        <f>B32*60/average_speed_per_route!S31</f>
        <v>4.200064548299105</v>
      </c>
      <c r="F32" s="47">
        <f t="shared" si="7"/>
        <v>4.2914152617814771</v>
      </c>
      <c r="G32" s="46">
        <f>B32*60/average_speed_per_route!U31</f>
        <v>3.114980156606844</v>
      </c>
      <c r="H32" s="46">
        <f>B32*60/average_speed_per_route!W31</f>
        <v>3.466508873619381</v>
      </c>
      <c r="I32" s="47">
        <f t="shared" si="8"/>
        <v>3.2907445151131123</v>
      </c>
      <c r="J32" s="66">
        <f t="shared" si="9"/>
        <v>3.7488730659353471</v>
      </c>
      <c r="K32" s="66">
        <f t="shared" si="10"/>
        <v>3.8332867109592428</v>
      </c>
      <c r="L32" s="47">
        <f t="shared" si="11"/>
        <v>3.7910798884472947</v>
      </c>
      <c r="M32" s="46">
        <f t="shared" si="12"/>
        <v>1.2310611307413057</v>
      </c>
      <c r="N32" s="46">
        <f t="shared" si="13"/>
        <v>1.1146907950949712</v>
      </c>
      <c r="O32" s="66">
        <f t="shared" si="14"/>
        <v>1.1728759629181384</v>
      </c>
      <c r="P32" s="66" t="str">
        <f>IF(O32&lt;=0.5,"Free flow",
 IF(O32&lt;=1,"Stable flow",
 IF(O32&lt;=2,"Nearing capacity",Unstable flow)))</f>
        <v>Nearing capacity</v>
      </c>
      <c r="Q32" s="46">
        <f t="shared" si="15"/>
        <v>0.42355423987697061</v>
      </c>
      <c r="R32" s="46">
        <f t="shared" si="0"/>
        <v>0.64745788128622983</v>
      </c>
      <c r="S32" s="66">
        <f t="shared" si="1"/>
        <v>0.53550606058160022</v>
      </c>
      <c r="T32" s="66" t="str">
        <f>IF(S32&lt;=0.5,"Free flow",
 IF(S32&lt;=1,"Stable flow",
 IF(S32&lt;=2,"Nearing capacity",Unstable flow)))</f>
        <v>Stable flow</v>
      </c>
      <c r="U32" s="46">
        <f t="shared" si="2"/>
        <v>0.82730768530913812</v>
      </c>
      <c r="V32" s="46" t="str">
        <f>IF(U32&lt;=0.5,"Free flow",
 IF(U32&lt;=1,"Stable flow",
 IF(U32&lt;=2,"Nearing capacity",Unstable flow)))</f>
        <v>Stable flow</v>
      </c>
      <c r="W32" s="46">
        <f t="shared" si="16"/>
        <v>0.88107433819060055</v>
      </c>
      <c r="X32" s="46" t="str">
        <f>IF(W32&lt;=0.5,"Free flow",
 IF(W32&lt;=1,"Stable flow",
 IF(W32&lt;=2,"Nearing capacity",Unstable flow)))</f>
        <v>Stable flow</v>
      </c>
      <c r="Y32" s="47">
        <f t="shared" si="17"/>
        <v>0.85419101174986933</v>
      </c>
      <c r="Z32" s="43" t="str">
        <f>IF(Y32&lt;=0.5,"Free flow",
 IF(Y32&lt;=1,"Stable flow",
 IF(Y32&lt;=2,"Nearing capacity",Unstable flow)))</f>
        <v>Stable flow</v>
      </c>
      <c r="AA32" s="46">
        <f t="shared" si="18"/>
        <v>1.7888840715362653</v>
      </c>
      <c r="AB32" s="46">
        <f t="shared" si="3"/>
        <v>1.7143120605302469</v>
      </c>
      <c r="AC32" s="46">
        <f t="shared" si="4"/>
        <v>1.271420472084426</v>
      </c>
      <c r="AD32" s="46">
        <f t="shared" si="5"/>
        <v>1.414901581069135</v>
      </c>
      <c r="AE32" s="46">
        <f t="shared" si="6"/>
        <v>1.5473795463050184</v>
      </c>
      <c r="AF32" s="44" t="str">
        <f t="shared" si="19"/>
        <v>Low congestion</v>
      </c>
    </row>
    <row r="33" spans="1:32" x14ac:dyDescent="0.25">
      <c r="A33" s="33">
        <v>30</v>
      </c>
      <c r="B33" s="44">
        <v>1.57</v>
      </c>
      <c r="C33" s="45">
        <v>2.65</v>
      </c>
      <c r="D33" s="46">
        <f>B33*60/average_speed_per_route!Q32</f>
        <v>5.4889131787476266</v>
      </c>
      <c r="E33" s="46">
        <f>B33*60/average_speed_per_route!S32</f>
        <v>4.2228691032693639</v>
      </c>
      <c r="F33" s="47">
        <f t="shared" si="7"/>
        <v>4.8558911410084953</v>
      </c>
      <c r="G33" s="46">
        <f>B33*60/average_speed_per_route!U32</f>
        <v>3.757462530984891</v>
      </c>
      <c r="H33" s="46">
        <f>B33*60/average_speed_per_route!W32</f>
        <v>3.8649335909135973</v>
      </c>
      <c r="I33" s="47">
        <f t="shared" si="8"/>
        <v>3.811198060949244</v>
      </c>
      <c r="J33" s="66">
        <f t="shared" si="9"/>
        <v>4.6231878548662593</v>
      </c>
      <c r="K33" s="66">
        <f t="shared" si="10"/>
        <v>4.0439013470914809</v>
      </c>
      <c r="L33" s="47">
        <f>AVERAGE(D33:E33,G33:H33)</f>
        <v>4.3335446009788701</v>
      </c>
      <c r="M33" s="46">
        <f t="shared" si="12"/>
        <v>1.8082249546163227</v>
      </c>
      <c r="N33" s="46">
        <f t="shared" si="13"/>
        <v>1.0018274543116967</v>
      </c>
      <c r="O33" s="66">
        <f t="shared" si="14"/>
        <v>1.4050262044640096</v>
      </c>
      <c r="P33" s="66" t="str">
        <f>IF(O33&lt;=0.5,"Free flow",
 IF(O33&lt;=1,"Stable flow",
 IF(O33&lt;=2,"Nearing capacity",Unstable flow)))</f>
        <v>Nearing capacity</v>
      </c>
      <c r="Q33" s="46">
        <f t="shared" si="15"/>
        <v>0.70539014712413439</v>
      </c>
      <c r="R33" s="46">
        <f t="shared" si="0"/>
        <v>0.77384305153732313</v>
      </c>
      <c r="S33" s="66">
        <f t="shared" si="1"/>
        <v>0.73961659933072876</v>
      </c>
      <c r="T33" s="66" t="str">
        <f>IF(S33&lt;=0.5,"Free flow",
 IF(S33&lt;=1,"Stable flow",
 IF(S33&lt;=2,"Nearing capacity",Unstable flow)))</f>
        <v>Stable flow</v>
      </c>
      <c r="U33" s="46">
        <f t="shared" si="2"/>
        <v>1.2568075508702286</v>
      </c>
      <c r="V33" s="46" t="str">
        <f>IF(U33&lt;=0.5,"Free flow",
 IF(U33&lt;=1,"Stable flow",
 IF(U33&lt;=2,"Nearing capacity",Unstable flow)))</f>
        <v>Nearing capacity</v>
      </c>
      <c r="W33" s="46">
        <f t="shared" si="16"/>
        <v>0.88783525292450993</v>
      </c>
      <c r="X33" s="46" t="str">
        <f>IF(W33&lt;=0.5,"Free flow",
 IF(W33&lt;=1,"Stable flow",
 IF(W33&lt;=2,"Nearing capacity",Unstable flow)))</f>
        <v>Stable flow</v>
      </c>
      <c r="Y33" s="47">
        <f t="shared" si="17"/>
        <v>1.0723214018973692</v>
      </c>
      <c r="Z33" s="43" t="str">
        <f>IF(Y33&lt;=0.5,"Free flow",
 IF(Y33&lt;=1,"Stable flow",
 IF(Y33&lt;=2,"Nearing capacity",Unstable flow)))</f>
        <v>Nearing capacity</v>
      </c>
      <c r="AA33" s="48">
        <f t="shared" si="18"/>
        <v>2.0712879919802365</v>
      </c>
      <c r="AB33" s="46">
        <f t="shared" si="3"/>
        <v>1.5935355106676845</v>
      </c>
      <c r="AC33" s="46">
        <f t="shared" si="4"/>
        <v>1.4179103890509024</v>
      </c>
      <c r="AD33" s="46">
        <f t="shared" si="5"/>
        <v>1.458465506005131</v>
      </c>
      <c r="AE33" s="46">
        <f t="shared" si="6"/>
        <v>1.6352998494259885</v>
      </c>
      <c r="AF33" s="44" t="str">
        <f t="shared" si="19"/>
        <v>Low congestion</v>
      </c>
    </row>
    <row r="34" spans="1:32" x14ac:dyDescent="0.25">
      <c r="A34" s="33">
        <v>31</v>
      </c>
      <c r="B34" s="44">
        <v>1.52</v>
      </c>
      <c r="C34" s="45">
        <v>2.3199999999999998</v>
      </c>
      <c r="D34" s="46">
        <f>B34*60/average_speed_per_route!Q33</f>
        <v>2.8614029655211479</v>
      </c>
      <c r="E34" s="46">
        <f>B34*60/average_speed_per_route!S33</f>
        <v>3.3383162801116057</v>
      </c>
      <c r="F34" s="47">
        <f t="shared" si="7"/>
        <v>3.0998596228163766</v>
      </c>
      <c r="G34" s="46">
        <f>B34*60/average_speed_per_route!U33</f>
        <v>2.4375577921592773</v>
      </c>
      <c r="H34" s="46">
        <f>B34*60/average_speed_per_route!W33</f>
        <v>2.6879117997423991</v>
      </c>
      <c r="I34" s="47">
        <f t="shared" si="8"/>
        <v>2.5627347959508384</v>
      </c>
      <c r="J34" s="66">
        <f t="shared" si="9"/>
        <v>2.6494803788402126</v>
      </c>
      <c r="K34" s="66">
        <f t="shared" si="10"/>
        <v>3.0131140399270024</v>
      </c>
      <c r="L34" s="47">
        <f t="shared" si="11"/>
        <v>2.8312972093836075</v>
      </c>
      <c r="M34" s="46">
        <f t="shared" si="12"/>
        <v>0.35618616152707111</v>
      </c>
      <c r="N34" s="46">
        <f t="shared" si="13"/>
        <v>0.66994492112605653</v>
      </c>
      <c r="O34" s="66">
        <f t="shared" si="14"/>
        <v>0.51306554132656379</v>
      </c>
      <c r="P34" s="66" t="str">
        <f>IF(O34&lt;=0.5,"Free flow",
 IF(O34&lt;=1,"Stable flow",
 IF(O34&lt;=2,"Nearing capacity",Unstable flow)))</f>
        <v>Stable flow</v>
      </c>
      <c r="Q34" s="46">
        <f t="shared" si="15"/>
        <v>7.7340652736366727E-2</v>
      </c>
      <c r="R34" s="46">
        <f t="shared" si="0"/>
        <v>0.24204723667263112</v>
      </c>
      <c r="S34" s="66">
        <f t="shared" si="1"/>
        <v>0.15969394470449894</v>
      </c>
      <c r="T34" s="66" t="str">
        <f>IF(S34&lt;=0.5,"Free flow",
 IF(S34&lt;=1,"Stable flow",
 IF(S34&lt;=2,"Nearing capacity",Unstable flow)))</f>
        <v>Free flow</v>
      </c>
      <c r="U34" s="46">
        <f t="shared" si="2"/>
        <v>0.21676340713171893</v>
      </c>
      <c r="V34" s="46" t="str">
        <f>IF(U34&lt;=0.5,"Free flow",
 IF(U34&lt;=1,"Stable flow",
 IF(U34&lt;=2,"Nearing capacity",Unstable flow)))</f>
        <v>Free flow</v>
      </c>
      <c r="W34" s="46">
        <f t="shared" si="16"/>
        <v>0.45599607889934379</v>
      </c>
      <c r="X34" s="46" t="str">
        <f>IF(W34&lt;=0.5,"Free flow",
 IF(W34&lt;=1,"Stable flow",
 IF(W34&lt;=2,"Nearing capacity",Unstable flow)))</f>
        <v>Free flow</v>
      </c>
      <c r="Y34" s="47">
        <f t="shared" si="17"/>
        <v>0.33637974301553136</v>
      </c>
      <c r="Z34" s="43" t="str">
        <f>IF(Y34&lt;=0.5,"Free flow",
 IF(Y34&lt;=1,"Stable flow",
 IF(Y34&lt;=2,"Nearing capacity",Unstable flow)))</f>
        <v>Free flow</v>
      </c>
      <c r="AA34" s="46">
        <f t="shared" si="18"/>
        <v>1.2333633472073915</v>
      </c>
      <c r="AB34" s="46">
        <f t="shared" si="3"/>
        <v>1.4389294310825889</v>
      </c>
      <c r="AC34" s="46">
        <f t="shared" si="4"/>
        <v>1.0506714621376196</v>
      </c>
      <c r="AD34" s="46">
        <f t="shared" si="5"/>
        <v>1.1585826723027584</v>
      </c>
      <c r="AE34" s="46">
        <f t="shared" si="6"/>
        <v>1.2203867281825898</v>
      </c>
      <c r="AF34" s="44" t="str">
        <f t="shared" si="19"/>
        <v>Low congestion</v>
      </c>
    </row>
    <row r="35" spans="1:32" x14ac:dyDescent="0.25">
      <c r="A35" s="33">
        <v>32</v>
      </c>
      <c r="B35" s="44">
        <v>1.5</v>
      </c>
      <c r="C35" s="45">
        <v>1.62</v>
      </c>
      <c r="D35" s="46">
        <f>B35*60/average_speed_per_route!Q34</f>
        <v>1.7292039623776343</v>
      </c>
      <c r="E35" s="46">
        <f>B35*60/average_speed_per_route!S34</f>
        <v>2.2016406388874126</v>
      </c>
      <c r="F35" s="47">
        <f t="shared" si="7"/>
        <v>1.9654223006325235</v>
      </c>
      <c r="G35" s="46">
        <f>B35*60/average_speed_per_route!U34</f>
        <v>1.6669887260152976</v>
      </c>
      <c r="H35" s="46">
        <f>B35*60/average_speed_per_route!W34</f>
        <v>1.8060238957099601</v>
      </c>
      <c r="I35" s="47">
        <f t="shared" si="8"/>
        <v>1.7365063108626289</v>
      </c>
      <c r="J35" s="66">
        <f t="shared" si="9"/>
        <v>1.698096344196466</v>
      </c>
      <c r="K35" s="66">
        <f t="shared" si="10"/>
        <v>2.0038322672986864</v>
      </c>
      <c r="L35" s="47">
        <f t="shared" si="11"/>
        <v>1.8509643057475762</v>
      </c>
      <c r="M35" s="46">
        <f t="shared" si="12"/>
        <v>7.2802641585089464E-2</v>
      </c>
      <c r="N35" s="46">
        <f t="shared" si="13"/>
        <v>0.38776042592494164</v>
      </c>
      <c r="O35" s="66">
        <f t="shared" si="14"/>
        <v>0.23028153375501556</v>
      </c>
      <c r="P35" s="66" t="str">
        <f>IF(O35&lt;=0.5,"Free flow",
 IF(O35&lt;=1,"Stable flow",
 IF(O35&lt;=2,"Nearing capacity",Unstable flow)))</f>
        <v>Free flow</v>
      </c>
      <c r="Q35" s="46">
        <f t="shared" si="15"/>
        <v>3.1325817343531646E-2</v>
      </c>
      <c r="R35" s="46">
        <f t="shared" si="0"/>
        <v>0.12401593047330668</v>
      </c>
      <c r="S35" s="66">
        <f t="shared" si="1"/>
        <v>7.7670873908419161E-2</v>
      </c>
      <c r="T35" s="66" t="str">
        <f>IF(S35&lt;=0.5,"Free flow",
 IF(S35&lt;=1,"Stable flow",
 IF(S35&lt;=2,"Nearing capacity",Unstable flow)))</f>
        <v>Free flow</v>
      </c>
      <c r="U35" s="46">
        <f t="shared" si="2"/>
        <v>5.2064229464310552E-2</v>
      </c>
      <c r="V35" s="46" t="str">
        <f>IF(U35&lt;=0.5,"Free flow",
 IF(U35&lt;=1,"Stable flow",
 IF(U35&lt;=2,"Nearing capacity",Unstable flow)))</f>
        <v>Free flow</v>
      </c>
      <c r="W35" s="46">
        <f t="shared" si="16"/>
        <v>0.25588817819912418</v>
      </c>
      <c r="X35" s="46" t="str">
        <f>IF(W35&lt;=0.5,"Free flow",
 IF(W35&lt;=1,"Stable flow",
 IF(W35&lt;=2,"Nearing capacity",Unstable flow)))</f>
        <v>Free flow</v>
      </c>
      <c r="Y35" s="47">
        <f t="shared" si="17"/>
        <v>0.15397620383171737</v>
      </c>
      <c r="Z35" s="43" t="str">
        <f>IF(Y35&lt;=0.5,"Free flow",
 IF(Y35&lt;=1,"Stable flow",
 IF(Y35&lt;=2,"Nearing capacity",Unstable flow)))</f>
        <v>Free flow</v>
      </c>
      <c r="AA35" s="46">
        <f t="shared" si="18"/>
        <v>1.0674098533195273</v>
      </c>
      <c r="AB35" s="46">
        <f t="shared" si="3"/>
        <v>1.3590374314119831</v>
      </c>
      <c r="AC35" s="46">
        <f t="shared" si="4"/>
        <v>1.0290053864291959</v>
      </c>
      <c r="AD35" s="46">
        <f t="shared" si="5"/>
        <v>1.1148295652530618</v>
      </c>
      <c r="AE35" s="46">
        <f t="shared" si="6"/>
        <v>1.1425705591034421</v>
      </c>
      <c r="AF35" s="44" t="str">
        <f t="shared" si="19"/>
        <v>Free Flow</v>
      </c>
    </row>
    <row r="36" spans="1:32" x14ac:dyDescent="0.25">
      <c r="A36" s="33">
        <v>33</v>
      </c>
      <c r="B36" s="44">
        <v>1.51</v>
      </c>
      <c r="C36" s="45">
        <v>1.62</v>
      </c>
      <c r="D36" s="46">
        <f>B36*60/average_speed_per_route!Q35</f>
        <v>1.7697587543859887</v>
      </c>
      <c r="E36" s="46">
        <f>B36*60/average_speed_per_route!S35</f>
        <v>2.2861327488924847</v>
      </c>
      <c r="F36" s="47">
        <f t="shared" si="7"/>
        <v>2.027945751639237</v>
      </c>
      <c r="G36" s="46">
        <f>B36*60/average_speed_per_route!U35</f>
        <v>1.6778092648868645</v>
      </c>
      <c r="H36" s="46">
        <f>B36*60/average_speed_per_route!W35</f>
        <v>1.8027157989778289</v>
      </c>
      <c r="I36" s="47">
        <f t="shared" si="8"/>
        <v>1.7402625319323466</v>
      </c>
      <c r="J36" s="66">
        <f t="shared" si="9"/>
        <v>1.7237840096364265</v>
      </c>
      <c r="K36" s="66">
        <f t="shared" si="10"/>
        <v>2.0444242739351566</v>
      </c>
      <c r="L36" s="47">
        <f t="shared" si="11"/>
        <v>1.8841041417857918</v>
      </c>
      <c r="M36" s="46">
        <f t="shared" si="12"/>
        <v>9.917798303707856E-2</v>
      </c>
      <c r="N36" s="46">
        <f t="shared" si="13"/>
        <v>0.44114751582283751</v>
      </c>
      <c r="O36" s="66">
        <f t="shared" si="14"/>
        <v>0.27016274942995805</v>
      </c>
      <c r="P36" s="66" t="str">
        <f>IF(O36&lt;=0.5,"Free flow",
 IF(O36&lt;=1,"Stable flow",
 IF(O36&lt;=2,"Nearing capacity",Unstable flow)))</f>
        <v>Free flow</v>
      </c>
      <c r="Q36" s="46">
        <f t="shared" si="15"/>
        <v>3.8284281382029432E-2</v>
      </c>
      <c r="R36" s="46">
        <f t="shared" ref="R36:R61" si="20">(H36-C36)/B36</f>
        <v>0.12100384038266804</v>
      </c>
      <c r="S36" s="66">
        <f t="shared" ref="S36:S61" si="21">AVERAGE(Q36:R36)</f>
        <v>7.9644060882348738E-2</v>
      </c>
      <c r="T36" s="66" t="str">
        <f>IF(S36&lt;=0.5,"Free flow",
 IF(S36&lt;=1,"Stable flow",
 IF(S36&lt;=2,"Nearing capacity",Unstable flow)))</f>
        <v>Free flow</v>
      </c>
      <c r="U36" s="46">
        <f t="shared" ref="U36:U61" si="22">AVERAGE(M36,Q36)</f>
        <v>6.8731132209553999E-2</v>
      </c>
      <c r="V36" s="46" t="str">
        <f>IF(U36&lt;=0.5,"Free flow",
 IF(U36&lt;=1,"Stable flow",
 IF(U36&lt;=2,"Nearing capacity",Unstable flow)))</f>
        <v>Free flow</v>
      </c>
      <c r="W36" s="46">
        <f t="shared" ref="W36:W61" si="23">AVERAGE(N36,R36)</f>
        <v>0.2810756781027528</v>
      </c>
      <c r="X36" s="46" t="str">
        <f>IF(W36&lt;=0.5,"Free flow",
 IF(W36&lt;=1,"Stable flow",
 IF(W36&lt;=2,"Nearing capacity",Unstable flow)))</f>
        <v>Free flow</v>
      </c>
      <c r="Y36" s="47">
        <f t="shared" ref="Y36:Y61" si="24">AVERAGE(M36:N36,Q36:R36)</f>
        <v>0.17490340515615338</v>
      </c>
      <c r="Z36" s="43" t="str">
        <f>IF(Y36&lt;=0.5,"Free flow",
 IF(Y36&lt;=1,"Stable flow",
 IF(Y36&lt;=2,"Nearing capacity",Unstable flow)))</f>
        <v>Free flow</v>
      </c>
      <c r="AA36" s="46">
        <f t="shared" ref="AA36:AA61" si="25">D36/C36</f>
        <v>1.0924436755469065</v>
      </c>
      <c r="AB36" s="46">
        <f t="shared" ref="AB36:AB61" si="26">E36/C36</f>
        <v>1.4111930548719041</v>
      </c>
      <c r="AC36" s="46">
        <f t="shared" ref="AC36:AC61" si="27">G36/C36</f>
        <v>1.0356847314116446</v>
      </c>
      <c r="AD36" s="46">
        <f t="shared" ref="AD36:AD61" si="28">H36/C36</f>
        <v>1.1127875302332275</v>
      </c>
      <c r="AE36" s="46">
        <f t="shared" ref="AE36:AE61" si="29">AVERAGE(AA36:AD36)</f>
        <v>1.1630272480159207</v>
      </c>
      <c r="AF36" s="44" t="str">
        <f t="shared" si="19"/>
        <v>Free Flow</v>
      </c>
    </row>
    <row r="37" spans="1:32" x14ac:dyDescent="0.25">
      <c r="A37" s="33">
        <v>34</v>
      </c>
      <c r="B37" s="44">
        <v>1.5</v>
      </c>
      <c r="C37" s="45">
        <v>1.6</v>
      </c>
      <c r="D37" s="46">
        <f>B37*60/average_speed_per_route!Q36</f>
        <v>1.8258464501470371</v>
      </c>
      <c r="E37" s="46">
        <f>B37*60/average_speed_per_route!S36</f>
        <v>2.2845934514764732</v>
      </c>
      <c r="F37" s="47">
        <f t="shared" si="7"/>
        <v>2.0552199508117552</v>
      </c>
      <c r="G37" s="46">
        <f>B37*60/average_speed_per_route!U36</f>
        <v>1.7050423751168409</v>
      </c>
      <c r="H37" s="46">
        <f>B37*60/average_speed_per_route!W36</f>
        <v>1.8786867420551812</v>
      </c>
      <c r="I37" s="47">
        <f t="shared" si="8"/>
        <v>1.7918645585860111</v>
      </c>
      <c r="J37" s="66">
        <f t="shared" si="9"/>
        <v>1.7654444126319389</v>
      </c>
      <c r="K37" s="66">
        <f t="shared" si="10"/>
        <v>2.0816400967658271</v>
      </c>
      <c r="L37" s="47">
        <f t="shared" si="11"/>
        <v>1.923542254698883</v>
      </c>
      <c r="M37" s="46">
        <f t="shared" si="12"/>
        <v>0.15056430009802466</v>
      </c>
      <c r="N37" s="46">
        <f t="shared" si="13"/>
        <v>0.45639563431764874</v>
      </c>
      <c r="O37" s="66">
        <f t="shared" si="14"/>
        <v>0.30347996720783671</v>
      </c>
      <c r="P37" s="66" t="str">
        <f>IF(O37&lt;=0.5,"Free flow",
 IF(O37&lt;=1,"Stable flow",
 IF(O37&lt;=2,"Nearing capacity",Unstable flow)))</f>
        <v>Free flow</v>
      </c>
      <c r="Q37" s="46">
        <f t="shared" si="15"/>
        <v>7.0028250077893858E-2</v>
      </c>
      <c r="R37" s="46">
        <f t="shared" si="20"/>
        <v>0.18579116137012072</v>
      </c>
      <c r="S37" s="66">
        <f t="shared" si="21"/>
        <v>0.12790970572400728</v>
      </c>
      <c r="T37" s="66" t="str">
        <f>IF(S37&lt;=0.5,"Free flow",
 IF(S37&lt;=1,"Stable flow",
 IF(S37&lt;=2,"Nearing capacity",Unstable flow)))</f>
        <v>Free flow</v>
      </c>
      <c r="U37" s="46">
        <f t="shared" si="22"/>
        <v>0.11029627508795925</v>
      </c>
      <c r="V37" s="46" t="str">
        <f>IF(U37&lt;=0.5,"Free flow",
 IF(U37&lt;=1,"Stable flow",
 IF(U37&lt;=2,"Nearing capacity",Unstable flow)))</f>
        <v>Free flow</v>
      </c>
      <c r="W37" s="46">
        <f t="shared" si="23"/>
        <v>0.32109339784388474</v>
      </c>
      <c r="X37" s="46" t="str">
        <f>IF(W37&lt;=0.5,"Free flow",
 IF(W37&lt;=1,"Stable flow",
 IF(W37&lt;=2,"Nearing capacity",Unstable flow)))</f>
        <v>Free flow</v>
      </c>
      <c r="Y37" s="47">
        <f t="shared" si="24"/>
        <v>0.215694836465922</v>
      </c>
      <c r="Z37" s="43" t="str">
        <f>IF(Y37&lt;=0.5,"Free flow",
 IF(Y37&lt;=1,"Stable flow",
 IF(Y37&lt;=2,"Nearing capacity",Unstable flow)))</f>
        <v>Free flow</v>
      </c>
      <c r="AA37" s="46">
        <f t="shared" si="25"/>
        <v>1.1411540313418982</v>
      </c>
      <c r="AB37" s="46">
        <f t="shared" si="26"/>
        <v>1.4278709071727957</v>
      </c>
      <c r="AC37" s="46">
        <f t="shared" si="27"/>
        <v>1.0656514844480254</v>
      </c>
      <c r="AD37" s="46">
        <f t="shared" si="28"/>
        <v>1.1741792137844882</v>
      </c>
      <c r="AE37" s="46">
        <f t="shared" si="29"/>
        <v>1.202213909186802</v>
      </c>
      <c r="AF37" s="44" t="str">
        <f t="shared" si="19"/>
        <v>Low congestion</v>
      </c>
    </row>
    <row r="38" spans="1:32" x14ac:dyDescent="0.25">
      <c r="A38" s="33">
        <v>35</v>
      </c>
      <c r="B38" s="44">
        <v>1.55</v>
      </c>
      <c r="C38" s="45">
        <v>2.93</v>
      </c>
      <c r="D38" s="46">
        <f>B38*60/average_speed_per_route!Q37</f>
        <v>3.8716376621582538</v>
      </c>
      <c r="E38" s="46">
        <f>B38*60/average_speed_per_route!S37</f>
        <v>4.1920135255799202</v>
      </c>
      <c r="F38" s="47">
        <f t="shared" si="7"/>
        <v>4.0318255938690868</v>
      </c>
      <c r="G38" s="46">
        <f>B38*60/average_speed_per_route!U37</f>
        <v>3.0960348030519933</v>
      </c>
      <c r="H38" s="46">
        <f>B38*60/average_speed_per_route!W37</f>
        <v>3.31036235176001</v>
      </c>
      <c r="I38" s="47">
        <f t="shared" si="8"/>
        <v>3.2031985774060017</v>
      </c>
      <c r="J38" s="66">
        <f t="shared" si="9"/>
        <v>3.4838362326051238</v>
      </c>
      <c r="K38" s="66">
        <f t="shared" si="10"/>
        <v>3.7511879386699651</v>
      </c>
      <c r="L38" s="47">
        <f t="shared" si="11"/>
        <v>3.6175120856375438</v>
      </c>
      <c r="M38" s="46">
        <f t="shared" si="12"/>
        <v>0.60750816913435712</v>
      </c>
      <c r="N38" s="46">
        <f t="shared" si="13"/>
        <v>0.81420227456769034</v>
      </c>
      <c r="O38" s="66">
        <f t="shared" si="14"/>
        <v>0.71085522185102379</v>
      </c>
      <c r="P38" s="66" t="str">
        <f>IF(O38&lt;=0.5,"Free flow",
 IF(O38&lt;=1,"Stable flow",
 IF(O38&lt;=2,"Nearing capacity",Unstable flow)))</f>
        <v>Stable flow</v>
      </c>
      <c r="Q38" s="46">
        <f t="shared" si="15"/>
        <v>0.10711922777547944</v>
      </c>
      <c r="R38" s="46">
        <f t="shared" si="20"/>
        <v>0.24539506565161925</v>
      </c>
      <c r="S38" s="66">
        <f t="shared" si="21"/>
        <v>0.17625714671354936</v>
      </c>
      <c r="T38" s="66" t="str">
        <f>IF(S38&lt;=0.5,"Free flow",
 IF(S38&lt;=1,"Stable flow",
 IF(S38&lt;=2,"Nearing capacity",Unstable flow)))</f>
        <v>Free flow</v>
      </c>
      <c r="U38" s="46">
        <f t="shared" si="22"/>
        <v>0.35731369845491828</v>
      </c>
      <c r="V38" s="46" t="str">
        <f>IF(U38&lt;=0.5,"Free flow",
 IF(U38&lt;=1,"Stable flow",
 IF(U38&lt;=2,"Nearing capacity",Unstable flow)))</f>
        <v>Free flow</v>
      </c>
      <c r="W38" s="46">
        <f t="shared" si="23"/>
        <v>0.52979867010965476</v>
      </c>
      <c r="X38" s="46" t="str">
        <f>IF(W38&lt;=0.5,"Free flow",
 IF(W38&lt;=1,"Stable flow",
 IF(W38&lt;=2,"Nearing capacity",Unstable flow)))</f>
        <v>Stable flow</v>
      </c>
      <c r="Y38" s="47">
        <f t="shared" si="24"/>
        <v>0.44355618428228655</v>
      </c>
      <c r="Z38" s="43" t="str">
        <f>IF(Y38&lt;=0.5,"Free flow",
 IF(Y38&lt;=1,"Stable flow",
 IF(Y38&lt;=2,"Nearing capacity",Unstable flow)))</f>
        <v>Free flow</v>
      </c>
      <c r="AA38" s="46">
        <f t="shared" si="25"/>
        <v>1.3213780416922367</v>
      </c>
      <c r="AB38" s="46">
        <f t="shared" si="26"/>
        <v>1.4307213397883687</v>
      </c>
      <c r="AC38" s="46">
        <f t="shared" si="27"/>
        <v>1.0566671682771307</v>
      </c>
      <c r="AD38" s="46">
        <f t="shared" si="28"/>
        <v>1.1298165023071707</v>
      </c>
      <c r="AE38" s="46">
        <f t="shared" si="29"/>
        <v>1.2346457630162269</v>
      </c>
      <c r="AF38" s="44" t="str">
        <f t="shared" si="19"/>
        <v>Low congestion</v>
      </c>
    </row>
    <row r="39" spans="1:32" x14ac:dyDescent="0.25">
      <c r="A39" s="33">
        <v>36</v>
      </c>
      <c r="B39" s="44">
        <v>1.5</v>
      </c>
      <c r="C39" s="45">
        <v>2.1800000000000002</v>
      </c>
      <c r="D39" s="46">
        <f>B39*60/average_speed_per_route!Q38</f>
        <v>2.9795346052709579</v>
      </c>
      <c r="E39" s="46">
        <f>B39*60/average_speed_per_route!S38</f>
        <v>3.6829171966163141</v>
      </c>
      <c r="F39" s="47">
        <f t="shared" si="7"/>
        <v>3.331225900943636</v>
      </c>
      <c r="G39" s="46">
        <f>B39*60/average_speed_per_route!U38</f>
        <v>2.5780425455018143</v>
      </c>
      <c r="H39" s="46">
        <f>B39*60/average_speed_per_route!W38</f>
        <v>2.97232380739168</v>
      </c>
      <c r="I39" s="47">
        <f t="shared" si="8"/>
        <v>2.7751831764467472</v>
      </c>
      <c r="J39" s="66">
        <f t="shared" si="9"/>
        <v>2.7787885753863861</v>
      </c>
      <c r="K39" s="66">
        <f t="shared" si="10"/>
        <v>3.3276205020039971</v>
      </c>
      <c r="L39" s="47">
        <f t="shared" si="11"/>
        <v>3.0532045386951916</v>
      </c>
      <c r="M39" s="46">
        <f t="shared" si="12"/>
        <v>0.53302307018063855</v>
      </c>
      <c r="N39" s="46">
        <f t="shared" si="13"/>
        <v>1.0019447977442093</v>
      </c>
      <c r="O39" s="66">
        <f t="shared" si="14"/>
        <v>0.76748393396242398</v>
      </c>
      <c r="P39" s="66" t="str">
        <f>IF(O39&lt;=0.5,"Free flow",
 IF(O39&lt;=1,"Stable flow",
 IF(O39&lt;=2,"Nearing capacity",Unstable flow)))</f>
        <v>Stable flow</v>
      </c>
      <c r="Q39" s="46">
        <f t="shared" si="15"/>
        <v>0.26536169700120943</v>
      </c>
      <c r="R39" s="46">
        <f t="shared" si="20"/>
        <v>0.52821587159445327</v>
      </c>
      <c r="S39" s="66">
        <f t="shared" si="21"/>
        <v>0.39678878429783138</v>
      </c>
      <c r="T39" s="66" t="str">
        <f>IF(S39&lt;=0.5,"Free flow",
 IF(S39&lt;=1,"Stable flow",
 IF(S39&lt;=2,"Nearing capacity",Unstable flow)))</f>
        <v>Free flow</v>
      </c>
      <c r="U39" s="46">
        <f t="shared" si="22"/>
        <v>0.39919238359092402</v>
      </c>
      <c r="V39" s="46" t="str">
        <f>IF(U39&lt;=0.5,"Free flow",
 IF(U39&lt;=1,"Stable flow",
 IF(U39&lt;=2,"Nearing capacity",Unstable flow)))</f>
        <v>Free flow</v>
      </c>
      <c r="W39" s="46">
        <f t="shared" si="23"/>
        <v>0.76508033466933134</v>
      </c>
      <c r="X39" s="46" t="str">
        <f>IF(W39&lt;=0.5,"Free flow",
 IF(W39&lt;=1,"Stable flow",
 IF(W39&lt;=2,"Nearing capacity",Unstable flow)))</f>
        <v>Stable flow</v>
      </c>
      <c r="Y39" s="47">
        <f t="shared" si="24"/>
        <v>0.58213635913012762</v>
      </c>
      <c r="Z39" s="43" t="str">
        <f>IF(Y39&lt;=0.5,"Free flow",
 IF(Y39&lt;=1,"Stable flow",
 IF(Y39&lt;=2,"Nearing capacity",Unstable flow)))</f>
        <v>Stable flow</v>
      </c>
      <c r="AA39" s="46">
        <f t="shared" si="25"/>
        <v>1.3667589932435587</v>
      </c>
      <c r="AB39" s="46">
        <f t="shared" si="26"/>
        <v>1.689411558080878</v>
      </c>
      <c r="AC39" s="46">
        <f t="shared" si="27"/>
        <v>1.1825883236246855</v>
      </c>
      <c r="AD39" s="46">
        <f t="shared" si="28"/>
        <v>1.3634512877943485</v>
      </c>
      <c r="AE39" s="46">
        <f t="shared" si="29"/>
        <v>1.4005525406858677</v>
      </c>
      <c r="AF39" s="44" t="str">
        <f t="shared" si="19"/>
        <v>Low congestion</v>
      </c>
    </row>
    <row r="40" spans="1:32" x14ac:dyDescent="0.25">
      <c r="A40" s="33">
        <v>37</v>
      </c>
      <c r="B40" s="44">
        <v>1.38</v>
      </c>
      <c r="C40" s="45">
        <v>2.72</v>
      </c>
      <c r="D40" s="46">
        <f>B40*60/average_speed_per_route!Q39</f>
        <v>3.7782940806677692</v>
      </c>
      <c r="E40" s="46">
        <f>B40*60/average_speed_per_route!S39</f>
        <v>5.2630539523438822</v>
      </c>
      <c r="F40" s="47">
        <f t="shared" si="7"/>
        <v>4.5206740165058257</v>
      </c>
      <c r="G40" s="46">
        <f>B40*60/average_speed_per_route!U39</f>
        <v>3.2111695485018177</v>
      </c>
      <c r="H40" s="46">
        <f>B40*60/average_speed_per_route!W39</f>
        <v>3.8828861393754521</v>
      </c>
      <c r="I40" s="47">
        <f t="shared" si="8"/>
        <v>3.5470278439386349</v>
      </c>
      <c r="J40" s="66">
        <f t="shared" si="9"/>
        <v>3.4947318145847932</v>
      </c>
      <c r="K40" s="66">
        <f t="shared" si="10"/>
        <v>4.5729700458596669</v>
      </c>
      <c r="L40" s="47">
        <f t="shared" si="11"/>
        <v>4.0338509302222301</v>
      </c>
      <c r="M40" s="46">
        <f t="shared" si="12"/>
        <v>0.76687976859983265</v>
      </c>
      <c r="N40" s="46">
        <f t="shared" si="13"/>
        <v>1.8427927190897697</v>
      </c>
      <c r="O40" s="66">
        <f t="shared" si="14"/>
        <v>1.3048362438448011</v>
      </c>
      <c r="P40" s="66" t="str">
        <f>IF(O40&lt;=0.5,"Free flow",
 IF(O40&lt;=1,"Stable flow",
 IF(O40&lt;=2,"Nearing capacity",Unstable flow)))</f>
        <v>Nearing capacity</v>
      </c>
      <c r="Q40" s="46">
        <f t="shared" si="15"/>
        <v>0.35591996268247644</v>
      </c>
      <c r="R40" s="46">
        <f t="shared" si="20"/>
        <v>0.84267111548945794</v>
      </c>
      <c r="S40" s="66">
        <f t="shared" si="21"/>
        <v>0.59929553908596722</v>
      </c>
      <c r="T40" s="66" t="str">
        <f>IF(S40&lt;=0.5,"Free flow",
 IF(S40&lt;=1,"Stable flow",
 IF(S40&lt;=2,"Nearing capacity",Unstable flow)))</f>
        <v>Stable flow</v>
      </c>
      <c r="U40" s="46">
        <f t="shared" si="22"/>
        <v>0.56139986564115452</v>
      </c>
      <c r="V40" s="46" t="str">
        <f>IF(U40&lt;=0.5,"Free flow",
 IF(U40&lt;=1,"Stable flow",
 IF(U40&lt;=2,"Nearing capacity",Unstable flow)))</f>
        <v>Stable flow</v>
      </c>
      <c r="W40" s="46">
        <f t="shared" si="23"/>
        <v>1.3427319172896137</v>
      </c>
      <c r="X40" s="46" t="str">
        <f>IF(W40&lt;=0.5,"Free flow",
 IF(W40&lt;=1,"Stable flow",
 IF(W40&lt;=2,"Nearing capacity",Unstable flow)))</f>
        <v>Nearing capacity</v>
      </c>
      <c r="Y40" s="47">
        <f t="shared" si="24"/>
        <v>0.95206589146538412</v>
      </c>
      <c r="Z40" s="43" t="str">
        <f>IF(Y40&lt;=0.5,"Free flow",
 IF(Y40&lt;=1,"Stable flow",
 IF(Y40&lt;=2,"Nearing capacity",Unstable flow)))</f>
        <v>Stable flow</v>
      </c>
      <c r="AA40" s="46">
        <f t="shared" si="25"/>
        <v>1.3890787061278562</v>
      </c>
      <c r="AB40" s="46">
        <f t="shared" si="26"/>
        <v>1.9349463060087801</v>
      </c>
      <c r="AC40" s="46">
        <f t="shared" si="27"/>
        <v>1.1805770398903741</v>
      </c>
      <c r="AD40" s="46">
        <f t="shared" si="28"/>
        <v>1.4275316688880337</v>
      </c>
      <c r="AE40" s="46">
        <f t="shared" si="29"/>
        <v>1.4830334302287611</v>
      </c>
      <c r="AF40" s="44" t="str">
        <f t="shared" si="19"/>
        <v>Low congestion</v>
      </c>
    </row>
    <row r="41" spans="1:32" x14ac:dyDescent="0.25">
      <c r="A41" s="33">
        <v>38</v>
      </c>
      <c r="B41" s="44">
        <v>1.61</v>
      </c>
      <c r="C41" s="45">
        <v>3.18</v>
      </c>
      <c r="D41" s="46">
        <f>B41*60/average_speed_per_route!Q40</f>
        <v>3.6398224304244016</v>
      </c>
      <c r="E41" s="46">
        <f>B41*60/average_speed_per_route!S40</f>
        <v>4.778061659156843</v>
      </c>
      <c r="F41" s="47">
        <f t="shared" si="7"/>
        <v>4.2089420447906223</v>
      </c>
      <c r="G41" s="46">
        <f>B41*60/average_speed_per_route!U40</f>
        <v>3.4416603475608101</v>
      </c>
      <c r="H41" s="46">
        <f>B41*60/average_speed_per_route!W40</f>
        <v>4.0456268031715936</v>
      </c>
      <c r="I41" s="47">
        <f t="shared" si="8"/>
        <v>3.7436435753662018</v>
      </c>
      <c r="J41" s="66">
        <f t="shared" si="9"/>
        <v>3.5407413889926058</v>
      </c>
      <c r="K41" s="66">
        <f t="shared" si="10"/>
        <v>4.4118442311642188</v>
      </c>
      <c r="L41" s="47">
        <f t="shared" si="11"/>
        <v>3.9762928100784123</v>
      </c>
      <c r="M41" s="46">
        <f t="shared" si="12"/>
        <v>0.2856039940524232</v>
      </c>
      <c r="N41" s="46">
        <f t="shared" si="13"/>
        <v>0.99258488146387747</v>
      </c>
      <c r="O41" s="66">
        <f t="shared" si="14"/>
        <v>0.63909443775815034</v>
      </c>
      <c r="P41" s="66" t="str">
        <f>IF(O41&lt;=0.5,"Free flow",
 IF(O41&lt;=1,"Stable flow",
 IF(O41&lt;=2,"Nearing capacity",Unstable flow)))</f>
        <v>Stable flow</v>
      </c>
      <c r="Q41" s="46">
        <f t="shared" si="15"/>
        <v>0.16252195500671424</v>
      </c>
      <c r="R41" s="46">
        <f t="shared" si="20"/>
        <v>0.53765639948546173</v>
      </c>
      <c r="S41" s="66">
        <f t="shared" si="21"/>
        <v>0.35008917724608801</v>
      </c>
      <c r="T41" s="66" t="str">
        <f>IF(S41&lt;=0.5,"Free flow",
 IF(S41&lt;=1,"Stable flow",
 IF(S41&lt;=2,"Nearing capacity",Unstable flow)))</f>
        <v>Free flow</v>
      </c>
      <c r="U41" s="46">
        <f t="shared" si="22"/>
        <v>0.22406297452956872</v>
      </c>
      <c r="V41" s="46" t="str">
        <f>IF(U41&lt;=0.5,"Free flow",
 IF(U41&lt;=1,"Stable flow",
 IF(U41&lt;=2,"Nearing capacity",Unstable flow)))</f>
        <v>Free flow</v>
      </c>
      <c r="W41" s="46">
        <f t="shared" si="23"/>
        <v>0.76512064047466954</v>
      </c>
      <c r="X41" s="46" t="str">
        <f>IF(W41&lt;=0.5,"Free flow",
 IF(W41&lt;=1,"Stable flow",
 IF(W41&lt;=2,"Nearing capacity",Unstable flow)))</f>
        <v>Stable flow</v>
      </c>
      <c r="Y41" s="47">
        <f t="shared" si="24"/>
        <v>0.49459180750211917</v>
      </c>
      <c r="Z41" s="43" t="str">
        <f>IF(Y41&lt;=0.5,"Free flow",
 IF(Y41&lt;=1,"Stable flow",
 IF(Y41&lt;=2,"Nearing capacity",Unstable flow)))</f>
        <v>Free flow</v>
      </c>
      <c r="AA41" s="46">
        <f t="shared" si="25"/>
        <v>1.1445982485611326</v>
      </c>
      <c r="AB41" s="46">
        <f t="shared" si="26"/>
        <v>1.5025351129424034</v>
      </c>
      <c r="AC41" s="46">
        <f t="shared" si="27"/>
        <v>1.0822831281637768</v>
      </c>
      <c r="AD41" s="46">
        <f t="shared" si="28"/>
        <v>1.2722096865319477</v>
      </c>
      <c r="AE41" s="46">
        <f t="shared" si="29"/>
        <v>1.2504065440498151</v>
      </c>
      <c r="AF41" s="44" t="str">
        <f t="shared" si="19"/>
        <v>Low congestion</v>
      </c>
    </row>
    <row r="42" spans="1:32" x14ac:dyDescent="0.25">
      <c r="A42" s="33">
        <v>39</v>
      </c>
      <c r="B42" s="44">
        <v>1.55</v>
      </c>
      <c r="C42" s="45">
        <v>2.85</v>
      </c>
      <c r="D42" s="46">
        <f>B42*60/average_speed_per_route!Q41</f>
        <v>3.2591291225185519</v>
      </c>
      <c r="E42" s="46">
        <f>B42*60/average_speed_per_route!S41</f>
        <v>3.7807080118716043</v>
      </c>
      <c r="F42" s="47">
        <f t="shared" si="7"/>
        <v>3.5199185671950781</v>
      </c>
      <c r="G42" s="46">
        <f>B42*60/average_speed_per_route!U41</f>
        <v>3.0815518987659041</v>
      </c>
      <c r="H42" s="46">
        <f>B42*60/average_speed_per_route!W41</f>
        <v>3.4714414399935878</v>
      </c>
      <c r="I42" s="47">
        <f t="shared" si="8"/>
        <v>3.2764966693797462</v>
      </c>
      <c r="J42" s="66">
        <f t="shared" si="9"/>
        <v>3.170340510642228</v>
      </c>
      <c r="K42" s="66">
        <f t="shared" si="10"/>
        <v>3.6260747259325958</v>
      </c>
      <c r="L42" s="47">
        <f t="shared" si="11"/>
        <v>3.3982076182874117</v>
      </c>
      <c r="M42" s="46">
        <f t="shared" si="12"/>
        <v>0.26395427259261406</v>
      </c>
      <c r="N42" s="46">
        <f t="shared" si="13"/>
        <v>0.60045678185264784</v>
      </c>
      <c r="O42" s="66">
        <f t="shared" si="14"/>
        <v>0.43220552722263095</v>
      </c>
      <c r="P42" s="66" t="str">
        <f>IF(O42&lt;=0.5,"Free flow",
 IF(O42&lt;=1,"Stable flow",
 IF(O42&lt;=2,"Nearing capacity",Unstable flow)))</f>
        <v>Free flow</v>
      </c>
      <c r="Q42" s="46">
        <f t="shared" si="15"/>
        <v>0.14938832178445419</v>
      </c>
      <c r="R42" s="46">
        <f t="shared" si="20"/>
        <v>0.40092996128618558</v>
      </c>
      <c r="S42" s="66">
        <f t="shared" si="21"/>
        <v>0.2751591415353199</v>
      </c>
      <c r="T42" s="66" t="str">
        <f>IF(S42&lt;=0.5,"Free flow",
 IF(S42&lt;=1,"Stable flow",
 IF(S42&lt;=2,"Nearing capacity",Unstable flow)))</f>
        <v>Free flow</v>
      </c>
      <c r="U42" s="46">
        <f t="shared" si="22"/>
        <v>0.20667129718853411</v>
      </c>
      <c r="V42" s="46" t="str">
        <f>IF(U42&lt;=0.5,"Free flow",
 IF(U42&lt;=1,"Stable flow",
 IF(U42&lt;=2,"Nearing capacity",Unstable flow)))</f>
        <v>Free flow</v>
      </c>
      <c r="W42" s="46">
        <f t="shared" si="23"/>
        <v>0.50069337156941673</v>
      </c>
      <c r="X42" s="46" t="str">
        <f>IF(W42&lt;=0.5,"Free flow",
 IF(W42&lt;=1,"Stable flow",
 IF(W42&lt;=2,"Nearing capacity",Unstable flow)))</f>
        <v>Stable flow</v>
      </c>
      <c r="Y42" s="47">
        <f t="shared" si="24"/>
        <v>0.35368233437897545</v>
      </c>
      <c r="Z42" s="43" t="str">
        <f>IF(Y42&lt;=0.5,"Free flow",
 IF(Y42&lt;=1,"Stable flow",
 IF(Y42&lt;=2,"Nearing capacity",Unstable flow)))</f>
        <v>Free flow</v>
      </c>
      <c r="AA42" s="46">
        <f t="shared" si="25"/>
        <v>1.1435540780766849</v>
      </c>
      <c r="AB42" s="46">
        <f t="shared" si="26"/>
        <v>1.3265642146917909</v>
      </c>
      <c r="AC42" s="46">
        <f t="shared" si="27"/>
        <v>1.0812462802687381</v>
      </c>
      <c r="AD42" s="46">
        <f t="shared" si="28"/>
        <v>1.2180496280679256</v>
      </c>
      <c r="AE42" s="46">
        <f t="shared" si="29"/>
        <v>1.1923535502762848</v>
      </c>
      <c r="AF42" s="44" t="str">
        <f t="shared" si="19"/>
        <v>Free Flow</v>
      </c>
    </row>
    <row r="43" spans="1:32" x14ac:dyDescent="0.25">
      <c r="A43" s="33">
        <v>40</v>
      </c>
      <c r="B43" s="44">
        <v>1.39</v>
      </c>
      <c r="C43" s="45">
        <v>2.4700000000000002</v>
      </c>
      <c r="D43" s="46">
        <f>B43*60/average_speed_per_route!Q42</f>
        <v>2.7565253343957568</v>
      </c>
      <c r="E43" s="46">
        <f>B43*60/average_speed_per_route!S42</f>
        <v>3.2711649311728843</v>
      </c>
      <c r="F43" s="47">
        <f t="shared" si="7"/>
        <v>3.0138451327843203</v>
      </c>
      <c r="G43" s="46">
        <f>B43*60/average_speed_per_route!U42</f>
        <v>2.6632276924753979</v>
      </c>
      <c r="H43" s="46">
        <f>B43*60/average_speed_per_route!W42</f>
        <v>2.9433394502960124</v>
      </c>
      <c r="I43" s="47">
        <f t="shared" si="8"/>
        <v>2.8032835713857054</v>
      </c>
      <c r="J43" s="66">
        <f t="shared" si="9"/>
        <v>2.7098765134355771</v>
      </c>
      <c r="K43" s="66">
        <f t="shared" si="10"/>
        <v>3.1072521907344486</v>
      </c>
      <c r="L43" s="47">
        <f t="shared" si="11"/>
        <v>2.9085643520850128</v>
      </c>
      <c r="M43" s="46">
        <f t="shared" si="12"/>
        <v>0.2061333340976666</v>
      </c>
      <c r="N43" s="46">
        <f t="shared" si="13"/>
        <v>0.57637764832581595</v>
      </c>
      <c r="O43" s="66">
        <f t="shared" si="14"/>
        <v>0.3912554912117413</v>
      </c>
      <c r="P43" s="66" t="str">
        <f>IF(O43&lt;=0.5,"Free flow",
 IF(O43&lt;=1,"Stable flow",
 IF(O43&lt;=2,"Nearing capacity",Unstable flow)))</f>
        <v>Free flow</v>
      </c>
      <c r="Q43" s="46">
        <f t="shared" si="15"/>
        <v>0.13901272839956672</v>
      </c>
      <c r="R43" s="46">
        <f t="shared" si="20"/>
        <v>0.34053197863022461</v>
      </c>
      <c r="S43" s="66">
        <f t="shared" si="21"/>
        <v>0.23977235351489568</v>
      </c>
      <c r="T43" s="66" t="str">
        <f>IF(S43&lt;=0.5,"Free flow",
 IF(S43&lt;=1,"Stable flow",
 IF(S43&lt;=2,"Nearing capacity",Unstable flow)))</f>
        <v>Free flow</v>
      </c>
      <c r="U43" s="46">
        <f t="shared" si="22"/>
        <v>0.17257303124861667</v>
      </c>
      <c r="V43" s="46" t="str">
        <f>IF(U43&lt;=0.5,"Free flow",
 IF(U43&lt;=1,"Stable flow",
 IF(U43&lt;=2,"Nearing capacity",Unstable flow)))</f>
        <v>Free flow</v>
      </c>
      <c r="W43" s="46">
        <f t="shared" si="23"/>
        <v>0.45845481347802031</v>
      </c>
      <c r="X43" s="46" t="str">
        <f>IF(W43&lt;=0.5,"Free flow",
 IF(W43&lt;=1,"Stable flow",
 IF(W43&lt;=2,"Nearing capacity",Unstable flow)))</f>
        <v>Free flow</v>
      </c>
      <c r="Y43" s="47">
        <f t="shared" si="24"/>
        <v>0.31551392236331849</v>
      </c>
      <c r="Z43" s="43" t="str">
        <f>IF(Y43&lt;=0.5,"Free flow",
 IF(Y43&lt;=1,"Stable flow",
 IF(Y43&lt;=2,"Nearing capacity",Unstable flow)))</f>
        <v>Free flow</v>
      </c>
      <c r="AA43" s="46">
        <f t="shared" si="25"/>
        <v>1.1160021596743954</v>
      </c>
      <c r="AB43" s="46">
        <f t="shared" si="26"/>
        <v>1.3243582717299125</v>
      </c>
      <c r="AC43" s="46">
        <f t="shared" si="27"/>
        <v>1.0782298350102826</v>
      </c>
      <c r="AD43" s="46">
        <f t="shared" si="28"/>
        <v>1.1916354049781426</v>
      </c>
      <c r="AE43" s="46">
        <f t="shared" si="29"/>
        <v>1.1775564178481832</v>
      </c>
      <c r="AF43" s="44" t="str">
        <f t="shared" si="19"/>
        <v>Free Flow</v>
      </c>
    </row>
    <row r="44" spans="1:32" x14ac:dyDescent="0.25">
      <c r="A44" s="33">
        <v>41</v>
      </c>
      <c r="B44" s="44">
        <v>1.56</v>
      </c>
      <c r="C44" s="45">
        <v>2.82</v>
      </c>
      <c r="D44" s="46">
        <f>B44*60/average_speed_per_route!Q43</f>
        <v>4.1319690272941241</v>
      </c>
      <c r="E44" s="46">
        <f>B44*60/average_speed_per_route!S43</f>
        <v>5.1224639982493017</v>
      </c>
      <c r="F44" s="47">
        <f t="shared" si="7"/>
        <v>4.6272165127717129</v>
      </c>
      <c r="G44" s="46">
        <f>B44*60/average_speed_per_route!U43</f>
        <v>3.1330969532311492</v>
      </c>
      <c r="H44" s="46">
        <f>B44*60/average_speed_per_route!W43</f>
        <v>3.7492179122832354</v>
      </c>
      <c r="I44" s="47">
        <f t="shared" si="8"/>
        <v>3.4411574327571923</v>
      </c>
      <c r="J44" s="66">
        <f t="shared" si="9"/>
        <v>3.6325329902626367</v>
      </c>
      <c r="K44" s="66">
        <f t="shared" si="10"/>
        <v>4.4358409552662685</v>
      </c>
      <c r="L44" s="47">
        <f t="shared" si="11"/>
        <v>4.0341869727644522</v>
      </c>
      <c r="M44" s="46">
        <f t="shared" si="12"/>
        <v>0.84100578672700266</v>
      </c>
      <c r="N44" s="46">
        <f t="shared" si="13"/>
        <v>1.4759384604162191</v>
      </c>
      <c r="O44" s="66">
        <f t="shared" si="14"/>
        <v>1.1584721235716109</v>
      </c>
      <c r="P44" s="66" t="str">
        <f>IF(O44&lt;=0.5,"Free flow",
 IF(O44&lt;=1,"Stable flow",
 IF(O44&lt;=2,"Nearing capacity",Unstable flow)))</f>
        <v>Nearing capacity</v>
      </c>
      <c r="Q44" s="46">
        <f t="shared" si="15"/>
        <v>0.20070317514817268</v>
      </c>
      <c r="R44" s="46">
        <f t="shared" si="20"/>
        <v>0.59565250787386892</v>
      </c>
      <c r="S44" s="66">
        <f t="shared" si="21"/>
        <v>0.39817784151102081</v>
      </c>
      <c r="T44" s="66" t="str">
        <f>IF(S44&lt;=0.5,"Free flow",
 IF(S44&lt;=1,"Stable flow",
 IF(S44&lt;=2,"Nearing capacity",Unstable flow)))</f>
        <v>Free flow</v>
      </c>
      <c r="U44" s="46">
        <f t="shared" si="22"/>
        <v>0.52085448093758768</v>
      </c>
      <c r="V44" s="46" t="str">
        <f>IF(U44&lt;=0.5,"Free flow",
 IF(U44&lt;=1,"Stable flow",
 IF(U44&lt;=2,"Nearing capacity",Unstable flow)))</f>
        <v>Stable flow</v>
      </c>
      <c r="W44" s="46">
        <f t="shared" si="23"/>
        <v>1.0357954841450441</v>
      </c>
      <c r="X44" s="46" t="str">
        <f>IF(W44&lt;=0.5,"Free flow",
 IF(W44&lt;=1,"Stable flow",
 IF(W44&lt;=2,"Nearing capacity",Unstable flow)))</f>
        <v>Nearing capacity</v>
      </c>
      <c r="Y44" s="47">
        <f t="shared" si="24"/>
        <v>0.77832498254131588</v>
      </c>
      <c r="Z44" s="43" t="str">
        <f>IF(Y44&lt;=0.5,"Free flow",
 IF(Y44&lt;=1,"Stable flow",
 IF(Y44&lt;=2,"Nearing capacity",Unstable flow)))</f>
        <v>Stable flow</v>
      </c>
      <c r="AA44" s="46">
        <f t="shared" si="25"/>
        <v>1.4652372437213206</v>
      </c>
      <c r="AB44" s="46">
        <f t="shared" si="26"/>
        <v>1.8164765951238659</v>
      </c>
      <c r="AC44" s="46">
        <f t="shared" si="27"/>
        <v>1.1110272883798402</v>
      </c>
      <c r="AD44" s="46">
        <f t="shared" si="28"/>
        <v>1.3295098979727786</v>
      </c>
      <c r="AE44" s="46">
        <f t="shared" si="29"/>
        <v>1.4305627562994514</v>
      </c>
      <c r="AF44" s="44" t="str">
        <f t="shared" si="19"/>
        <v>Low congestion</v>
      </c>
    </row>
    <row r="45" spans="1:32" x14ac:dyDescent="0.25">
      <c r="A45" s="33">
        <v>42</v>
      </c>
      <c r="B45" s="44">
        <v>1.56</v>
      </c>
      <c r="C45" s="45">
        <v>2.93</v>
      </c>
      <c r="D45" s="46">
        <f>B45*60/average_speed_per_route!Q44</f>
        <v>4.0035905182933229</v>
      </c>
      <c r="E45" s="46">
        <f>B45*60/average_speed_per_route!S44</f>
        <v>4.7968231504528864</v>
      </c>
      <c r="F45" s="47">
        <f>AVERAGE(D45:E45)</f>
        <v>4.4002068343731047</v>
      </c>
      <c r="G45" s="46">
        <f>B45*60/average_speed_per_route!U44</f>
        <v>3.2693398043414166</v>
      </c>
      <c r="H45" s="46">
        <f>B45*60/average_speed_per_route!W44</f>
        <v>3.8977841458882727</v>
      </c>
      <c r="I45" s="47">
        <f t="shared" si="8"/>
        <v>3.5835619751148444</v>
      </c>
      <c r="J45" s="66">
        <f t="shared" si="9"/>
        <v>3.6364651613173695</v>
      </c>
      <c r="K45" s="66">
        <f t="shared" si="10"/>
        <v>4.3473036481705796</v>
      </c>
      <c r="L45" s="47">
        <f t="shared" si="11"/>
        <v>3.991884404743975</v>
      </c>
      <c r="M45" s="46">
        <f t="shared" si="12"/>
        <v>0.68819905018802741</v>
      </c>
      <c r="N45" s="46">
        <f t="shared" si="13"/>
        <v>1.1966815067005681</v>
      </c>
      <c r="O45" s="66">
        <f t="shared" si="14"/>
        <v>0.94244027844429779</v>
      </c>
      <c r="P45" s="66" t="str">
        <f>IF(O45&lt;=0.5,"Free flow",
 IF(O45&lt;=1,"Stable flow",
 IF(O45&lt;=2,"Nearing capacity",Unstable flow)))</f>
        <v>Stable flow</v>
      </c>
      <c r="Q45" s="46">
        <f t="shared" si="15"/>
        <v>0.21752551560347205</v>
      </c>
      <c r="R45" s="46">
        <f t="shared" si="20"/>
        <v>0.62037445249248235</v>
      </c>
      <c r="S45" s="66">
        <f t="shared" si="21"/>
        <v>0.41894998404797723</v>
      </c>
      <c r="T45" s="66" t="str">
        <f>IF(S45&lt;=0.5,"Free flow",
 IF(S45&lt;=1,"Stable flow",
 IF(S45&lt;=2,"Nearing capacity",Unstable flow)))</f>
        <v>Free flow</v>
      </c>
      <c r="U45" s="46">
        <f t="shared" si="22"/>
        <v>0.4528622828957497</v>
      </c>
      <c r="V45" s="46" t="str">
        <f>IF(U45&lt;=0.5,"Free flow",
 IF(U45&lt;=1,"Stable flow",
 IF(U45&lt;=2,"Nearing capacity",Unstable flow)))</f>
        <v>Free flow</v>
      </c>
      <c r="W45" s="46">
        <f t="shared" si="23"/>
        <v>0.9085279795965252</v>
      </c>
      <c r="X45" s="46" t="str">
        <f>IF(W45&lt;=0.5,"Free flow",
 IF(W45&lt;=1,"Stable flow",
 IF(W45&lt;=2,"Nearing capacity",Unstable flow)))</f>
        <v>Stable flow</v>
      </c>
      <c r="Y45" s="47">
        <f t="shared" si="24"/>
        <v>0.68069513124613756</v>
      </c>
      <c r="Z45" s="43" t="str">
        <f>IF(Y45&lt;=0.5,"Free flow",
 IF(Y45&lt;=1,"Stable flow",
 IF(Y45&lt;=2,"Nearing capacity",Unstable flow)))</f>
        <v>Stable flow</v>
      </c>
      <c r="AA45" s="46">
        <f t="shared" si="25"/>
        <v>1.3664131461751954</v>
      </c>
      <c r="AB45" s="46">
        <f t="shared" si="26"/>
        <v>1.6371410069805072</v>
      </c>
      <c r="AC45" s="46">
        <f t="shared" si="27"/>
        <v>1.1158156328810296</v>
      </c>
      <c r="AD45" s="46">
        <f t="shared" si="28"/>
        <v>1.330301756275861</v>
      </c>
      <c r="AE45" s="46">
        <f t="shared" si="29"/>
        <v>1.3624178855781484</v>
      </c>
      <c r="AF45" s="44" t="str">
        <f t="shared" si="19"/>
        <v>Low congestion</v>
      </c>
    </row>
    <row r="46" spans="1:32" x14ac:dyDescent="0.25">
      <c r="A46" s="33">
        <v>43</v>
      </c>
      <c r="B46" s="44">
        <v>1.51</v>
      </c>
      <c r="C46" s="45">
        <v>2.61</v>
      </c>
      <c r="D46" s="46">
        <f>B46*60/average_speed_per_route!Q45</f>
        <v>3.3708470967642272</v>
      </c>
      <c r="E46" s="46">
        <f>B46*60/average_speed_per_route!S45</f>
        <v>4.0576663463591052</v>
      </c>
      <c r="F46" s="47">
        <f t="shared" si="7"/>
        <v>3.7142567215616662</v>
      </c>
      <c r="G46" s="46">
        <f>B46*60/average_speed_per_route!U45</f>
        <v>3.0114143552144954</v>
      </c>
      <c r="H46" s="46">
        <f>B46*60/average_speed_per_route!W45</f>
        <v>3.3277272215672635</v>
      </c>
      <c r="I46" s="47">
        <f t="shared" si="8"/>
        <v>3.1695707883908795</v>
      </c>
      <c r="J46" s="66">
        <f t="shared" si="9"/>
        <v>3.1911307259893613</v>
      </c>
      <c r="K46" s="66">
        <f t="shared" si="10"/>
        <v>3.6926967839631843</v>
      </c>
      <c r="L46" s="47">
        <f t="shared" si="11"/>
        <v>3.4419137549762726</v>
      </c>
      <c r="M46" s="46">
        <f t="shared" si="12"/>
        <v>0.50387224951273335</v>
      </c>
      <c r="N46" s="46">
        <f t="shared" si="13"/>
        <v>0.95871943467490417</v>
      </c>
      <c r="O46" s="66">
        <f t="shared" si="14"/>
        <v>0.7312958420938187</v>
      </c>
      <c r="P46" s="66" t="str">
        <f>IF(O46&lt;=0.5,"Free flow",
 IF(O46&lt;=1,"Stable flow",
 IF(O46&lt;=2,"Nearing capacity",Unstable flow)))</f>
        <v>Stable flow</v>
      </c>
      <c r="Q46" s="46">
        <f t="shared" si="15"/>
        <v>0.26583732133410298</v>
      </c>
      <c r="R46" s="46">
        <f t="shared" si="20"/>
        <v>0.47531604077302231</v>
      </c>
      <c r="S46" s="66">
        <f t="shared" si="21"/>
        <v>0.37057668105356267</v>
      </c>
      <c r="T46" s="66" t="str">
        <f>IF(S46&lt;=0.5,"Free flow",
 IF(S46&lt;=1,"Stable flow",
 IF(S46&lt;=2,"Nearing capacity",Unstable flow)))</f>
        <v>Free flow</v>
      </c>
      <c r="U46" s="46">
        <f t="shared" si="22"/>
        <v>0.38485478542341817</v>
      </c>
      <c r="V46" s="46" t="str">
        <f>IF(U46&lt;=0.5,"Free flow",
 IF(U46&lt;=1,"Stable flow",
 IF(U46&lt;=2,"Nearing capacity",Unstable flow)))</f>
        <v>Free flow</v>
      </c>
      <c r="W46" s="46">
        <f t="shared" si="23"/>
        <v>0.71701773772396327</v>
      </c>
      <c r="X46" s="46" t="str">
        <f>IF(W46&lt;=0.5,"Free flow",
 IF(W46&lt;=1,"Stable flow",
 IF(W46&lt;=2,"Nearing capacity",Unstable flow)))</f>
        <v>Stable flow</v>
      </c>
      <c r="Y46" s="47">
        <f t="shared" si="24"/>
        <v>0.55093626157369069</v>
      </c>
      <c r="Z46" s="43" t="str">
        <f>IF(Y46&lt;=0.5,"Free flow",
 IF(Y46&lt;=1,"Stable flow",
 IF(Y46&lt;=2,"Nearing capacity",Unstable flow)))</f>
        <v>Stable flow</v>
      </c>
      <c r="AA46" s="46">
        <f t="shared" si="25"/>
        <v>1.2915122976108151</v>
      </c>
      <c r="AB46" s="46">
        <f t="shared" si="26"/>
        <v>1.5546614353866304</v>
      </c>
      <c r="AC46" s="46">
        <f t="shared" si="27"/>
        <v>1.1537986035304582</v>
      </c>
      <c r="AD46" s="46">
        <f t="shared" si="28"/>
        <v>1.2749912726311354</v>
      </c>
      <c r="AE46" s="46">
        <f t="shared" si="29"/>
        <v>1.3187409022897598</v>
      </c>
      <c r="AF46" s="44" t="str">
        <f t="shared" si="19"/>
        <v>Low congestion</v>
      </c>
    </row>
    <row r="47" spans="1:32" x14ac:dyDescent="0.25">
      <c r="A47" s="33">
        <v>44</v>
      </c>
      <c r="B47" s="44">
        <v>1.51</v>
      </c>
      <c r="C47" s="45">
        <v>3.27</v>
      </c>
      <c r="D47" s="46">
        <f>B47*60/average_speed_per_route!Q46</f>
        <v>4.4935658526720488</v>
      </c>
      <c r="E47" s="46">
        <f>B47*60/average_speed_per_route!S46</f>
        <v>4.6891377960270146</v>
      </c>
      <c r="F47" s="47">
        <f>AVERAGE(D47:E47)</f>
        <v>4.5913518243495322</v>
      </c>
      <c r="G47" s="46">
        <f>B47*60/average_speed_per_route!U46</f>
        <v>3.6980530353217267</v>
      </c>
      <c r="H47" s="46">
        <f>B47*60/average_speed_per_route!W46</f>
        <v>3.959632500314282</v>
      </c>
      <c r="I47" s="47">
        <f t="shared" si="8"/>
        <v>3.8288427678180046</v>
      </c>
      <c r="J47" s="66">
        <f t="shared" si="9"/>
        <v>4.0958094439968882</v>
      </c>
      <c r="K47" s="66">
        <f t="shared" si="10"/>
        <v>4.3243851481706486</v>
      </c>
      <c r="L47" s="47">
        <f t="shared" si="11"/>
        <v>4.2100972960837684</v>
      </c>
      <c r="M47" s="46">
        <f t="shared" si="12"/>
        <v>0.8103085117033435</v>
      </c>
      <c r="N47" s="46">
        <f t="shared" si="13"/>
        <v>0.93982635498477785</v>
      </c>
      <c r="O47" s="66">
        <f t="shared" si="14"/>
        <v>0.87506743334406067</v>
      </c>
      <c r="P47" s="66" t="str">
        <f>IF(O47&lt;=0.5,"Free flow",
 IF(O47&lt;=1,"Stable flow",
 IF(O47&lt;=2,"Nearing capacity",Unstable flow)))</f>
        <v>Stable flow</v>
      </c>
      <c r="Q47" s="46">
        <f t="shared" si="15"/>
        <v>0.28347883133889185</v>
      </c>
      <c r="R47" s="46">
        <f t="shared" si="20"/>
        <v>0.45671026510879603</v>
      </c>
      <c r="S47" s="66">
        <f t="shared" si="21"/>
        <v>0.37009454822384391</v>
      </c>
      <c r="T47" s="66" t="str">
        <f>IF(S47&lt;=0.5,"Free flow",
 IF(S47&lt;=1,"Stable flow",
 IF(S47&lt;=2,"Nearing capacity",Unstable flow)))</f>
        <v>Free flow</v>
      </c>
      <c r="U47" s="46">
        <f t="shared" si="22"/>
        <v>0.54689367152111767</v>
      </c>
      <c r="V47" s="46" t="str">
        <f>IF(U47&lt;=0.5,"Free flow",
 IF(U47&lt;=1,"Stable flow",
 IF(U47&lt;=2,"Nearing capacity",Unstable flow)))</f>
        <v>Stable flow</v>
      </c>
      <c r="W47" s="46">
        <f t="shared" si="23"/>
        <v>0.69826831004678691</v>
      </c>
      <c r="X47" s="46" t="str">
        <f>IF(W47&lt;=0.5,"Free flow",
 IF(W47&lt;=1,"Stable flow",
 IF(W47&lt;=2,"Nearing capacity",Unstable flow)))</f>
        <v>Stable flow</v>
      </c>
      <c r="Y47" s="47">
        <f t="shared" si="24"/>
        <v>0.62258099078395224</v>
      </c>
      <c r="Z47" s="43" t="str">
        <f>IF(Y47&lt;=0.5,"Free flow",
 IF(Y47&lt;=1,"Stable flow",
 IF(Y47&lt;=2,"Nearing capacity",Unstable flow)))</f>
        <v>Stable flow</v>
      </c>
      <c r="AA47" s="46">
        <f t="shared" si="25"/>
        <v>1.3741791598385471</v>
      </c>
      <c r="AB47" s="46">
        <f t="shared" si="26"/>
        <v>1.4339870935862431</v>
      </c>
      <c r="AC47" s="46">
        <f t="shared" si="27"/>
        <v>1.1309030689057269</v>
      </c>
      <c r="AD47" s="46">
        <f t="shared" si="28"/>
        <v>1.2108967890869364</v>
      </c>
      <c r="AE47" s="46">
        <f t="shared" si="29"/>
        <v>1.2874915278543635</v>
      </c>
      <c r="AF47" s="44" t="str">
        <f t="shared" si="19"/>
        <v>Low congestion</v>
      </c>
    </row>
    <row r="48" spans="1:32" x14ac:dyDescent="0.25">
      <c r="A48" s="33">
        <v>45</v>
      </c>
      <c r="B48" s="44">
        <v>1.49</v>
      </c>
      <c r="C48" s="45">
        <v>2.67</v>
      </c>
      <c r="D48" s="46">
        <f>B48*60/average_speed_per_route!Q47</f>
        <v>3.439263708591874</v>
      </c>
      <c r="E48" s="46">
        <f>B48*60/average_speed_per_route!S47</f>
        <v>4.3770806098394992</v>
      </c>
      <c r="F48" s="47">
        <f t="shared" si="7"/>
        <v>3.9081721592156864</v>
      </c>
      <c r="G48" s="46">
        <f>B48*60/average_speed_per_route!U47</f>
        <v>2.9199723160483044</v>
      </c>
      <c r="H48" s="46">
        <f>B48*60/average_speed_per_route!W47</f>
        <v>3.3275996707106064</v>
      </c>
      <c r="I48" s="47">
        <f t="shared" si="8"/>
        <v>3.1237859933794554</v>
      </c>
      <c r="J48" s="66">
        <f t="shared" si="9"/>
        <v>3.1796180123200894</v>
      </c>
      <c r="K48" s="66">
        <f t="shared" si="10"/>
        <v>3.8523401402750528</v>
      </c>
      <c r="L48" s="47">
        <f t="shared" si="11"/>
        <v>3.5159790762975711</v>
      </c>
      <c r="M48" s="46">
        <f t="shared" si="12"/>
        <v>0.51628436818246581</v>
      </c>
      <c r="N48" s="46">
        <f t="shared" si="13"/>
        <v>1.1456916844560399</v>
      </c>
      <c r="O48" s="66">
        <f t="shared" si="14"/>
        <v>0.83098802631925284</v>
      </c>
      <c r="P48" s="66" t="str">
        <f>IF(O48&lt;=0.5,"Free flow",
 IF(O48&lt;=1,"Stable flow",
 IF(O48&lt;=2,"Nearing capacity",Unstable flow)))</f>
        <v>Stable flow</v>
      </c>
      <c r="Q48" s="46">
        <f t="shared" si="15"/>
        <v>0.16776665506597618</v>
      </c>
      <c r="R48" s="46">
        <f t="shared" si="20"/>
        <v>0.44134206087960165</v>
      </c>
      <c r="S48" s="66">
        <f t="shared" si="21"/>
        <v>0.3045543579727889</v>
      </c>
      <c r="T48" s="66" t="str">
        <f>IF(S48&lt;=0.5,"Free flow",
 IF(S48&lt;=1,"Stable flow",
 IF(S48&lt;=2,"Nearing capacity",Unstable flow)))</f>
        <v>Free flow</v>
      </c>
      <c r="U48" s="46">
        <f t="shared" si="22"/>
        <v>0.34202551162422101</v>
      </c>
      <c r="V48" s="46" t="str">
        <f>IF(U48&lt;=0.5,"Free flow",
 IF(U48&lt;=1,"Stable flow",
 IF(U48&lt;=2,"Nearing capacity",Unstable flow)))</f>
        <v>Free flow</v>
      </c>
      <c r="W48" s="46">
        <f t="shared" si="23"/>
        <v>0.79351687266782078</v>
      </c>
      <c r="X48" s="46" t="str">
        <f>IF(W48&lt;=0.5,"Free flow",
 IF(W48&lt;=1,"Stable flow",
 IF(W48&lt;=2,"Nearing capacity",Unstable flow)))</f>
        <v>Stable flow</v>
      </c>
      <c r="Y48" s="47">
        <f t="shared" si="24"/>
        <v>0.5677711921460209</v>
      </c>
      <c r="Z48" s="43" t="str">
        <f>IF(Y48&lt;=0.5,"Free flow",
 IF(Y48&lt;=1,"Stable flow",
 IF(Y48&lt;=2,"Nearing capacity",Unstable flow)))</f>
        <v>Stable flow</v>
      </c>
      <c r="AA48" s="46">
        <f t="shared" si="25"/>
        <v>1.2881137485362824</v>
      </c>
      <c r="AB48" s="46">
        <f t="shared" si="26"/>
        <v>1.6393560336477526</v>
      </c>
      <c r="AC48" s="46">
        <f t="shared" si="27"/>
        <v>1.0936225902802639</v>
      </c>
      <c r="AD48" s="46">
        <f t="shared" si="28"/>
        <v>1.2462920115020999</v>
      </c>
      <c r="AE48" s="46">
        <f t="shared" si="29"/>
        <v>1.3168460959915997</v>
      </c>
      <c r="AF48" s="44" t="str">
        <f t="shared" si="19"/>
        <v>Low congestion</v>
      </c>
    </row>
    <row r="49" spans="1:32" x14ac:dyDescent="0.25">
      <c r="A49" s="33">
        <v>46</v>
      </c>
      <c r="B49" s="44">
        <v>1.52</v>
      </c>
      <c r="C49" s="45">
        <v>2.93</v>
      </c>
      <c r="D49" s="46">
        <f>B49*60/average_speed_per_route!Q48</f>
        <v>3.7786710308659535</v>
      </c>
      <c r="E49" s="46">
        <f>B49*60/average_speed_per_route!S48</f>
        <v>4.4951795933978769</v>
      </c>
      <c r="F49" s="47">
        <f t="shared" si="7"/>
        <v>4.1369253121319147</v>
      </c>
      <c r="G49" s="46">
        <f>B49*60/average_speed_per_route!U48</f>
        <v>3.3398394585740641</v>
      </c>
      <c r="H49" s="46">
        <f>B49*60/average_speed_per_route!W48</f>
        <v>3.5922518334609155</v>
      </c>
      <c r="I49" s="47">
        <f t="shared" si="8"/>
        <v>3.4660456460174895</v>
      </c>
      <c r="J49" s="66">
        <f t="shared" si="9"/>
        <v>3.559255244720009</v>
      </c>
      <c r="K49" s="66">
        <f t="shared" si="10"/>
        <v>4.0437157134293962</v>
      </c>
      <c r="L49" s="47">
        <f t="shared" si="11"/>
        <v>3.8014854790747021</v>
      </c>
      <c r="M49" s="46">
        <f t="shared" si="12"/>
        <v>0.55833620451707455</v>
      </c>
      <c r="N49" s="46">
        <f t="shared" si="13"/>
        <v>1.0297234167091294</v>
      </c>
      <c r="O49" s="66">
        <f t="shared" si="14"/>
        <v>0.79402981061310196</v>
      </c>
      <c r="P49" s="66" t="str">
        <f>IF(O49&lt;=0.5,"Free flow",
 IF(O49&lt;=1,"Stable flow",
 IF(O49&lt;=2,"Nearing capacity",Unstable flow)))</f>
        <v>Stable flow</v>
      </c>
      <c r="Q49" s="46">
        <f t="shared" si="15"/>
        <v>0.26963122274609469</v>
      </c>
      <c r="R49" s="46">
        <f t="shared" si="20"/>
        <v>0.43569199569797062</v>
      </c>
      <c r="S49" s="66">
        <f t="shared" si="21"/>
        <v>0.35266160922203266</v>
      </c>
      <c r="T49" s="66" t="str">
        <f>IF(S49&lt;=0.5,"Free flow",
 IF(S49&lt;=1,"Stable flow",
 IF(S49&lt;=2,"Nearing capacity",Unstable flow)))</f>
        <v>Free flow</v>
      </c>
      <c r="U49" s="46">
        <f t="shared" si="22"/>
        <v>0.41398371363158459</v>
      </c>
      <c r="V49" s="46" t="str">
        <f>IF(U49&lt;=0.5,"Free flow",
 IF(U49&lt;=1,"Stable flow",
 IF(U49&lt;=2,"Nearing capacity",Unstable flow)))</f>
        <v>Free flow</v>
      </c>
      <c r="W49" s="46">
        <f t="shared" si="23"/>
        <v>0.73270770620354997</v>
      </c>
      <c r="X49" s="46" t="str">
        <f>IF(W49&lt;=0.5,"Free flow",
 IF(W49&lt;=1,"Stable flow",
 IF(W49&lt;=2,"Nearing capacity",Unstable flow)))</f>
        <v>Stable flow</v>
      </c>
      <c r="Y49" s="47">
        <f t="shared" si="24"/>
        <v>0.57334570991756728</v>
      </c>
      <c r="Z49" s="43" t="str">
        <f>IF(Y49&lt;=0.5,"Free flow",
 IF(Y49&lt;=1,"Stable flow",
 IF(Y49&lt;=2,"Nearing capacity",Unstable flow)))</f>
        <v>Stable flow</v>
      </c>
      <c r="AA49" s="46">
        <f t="shared" si="25"/>
        <v>1.289648815995206</v>
      </c>
      <c r="AB49" s="46">
        <f t="shared" si="26"/>
        <v>1.5341909875078077</v>
      </c>
      <c r="AC49" s="46">
        <f t="shared" si="27"/>
        <v>1.1398769483187932</v>
      </c>
      <c r="AD49" s="46">
        <f t="shared" si="28"/>
        <v>1.2260245165395616</v>
      </c>
      <c r="AE49" s="46">
        <f t="shared" si="29"/>
        <v>1.2974353170903421</v>
      </c>
      <c r="AF49" s="44" t="str">
        <f t="shared" si="19"/>
        <v>Low congestion</v>
      </c>
    </row>
    <row r="50" spans="1:32" x14ac:dyDescent="0.25">
      <c r="A50" s="33">
        <v>47</v>
      </c>
      <c r="B50" s="44">
        <v>1.52</v>
      </c>
      <c r="C50" s="45">
        <v>2.78</v>
      </c>
      <c r="D50" s="46">
        <f>B50*60/average_speed_per_route!Q49</f>
        <v>4.7250953296694753</v>
      </c>
      <c r="E50" s="46">
        <f>B50*60/average_speed_per_route!S49</f>
        <v>5.5609500453324925</v>
      </c>
      <c r="F50" s="47">
        <f t="shared" si="7"/>
        <v>5.1430226875009843</v>
      </c>
      <c r="G50" s="46">
        <f>B50*60/average_speed_per_route!U49</f>
        <v>3.2149947817022566</v>
      </c>
      <c r="H50" s="46">
        <f>B50*60/average_speed_per_route!W49</f>
        <v>3.7150205382848238</v>
      </c>
      <c r="I50" s="47">
        <f t="shared" si="8"/>
        <v>3.4650076599935402</v>
      </c>
      <c r="J50" s="66">
        <f t="shared" si="9"/>
        <v>3.970045055685866</v>
      </c>
      <c r="K50" s="66">
        <f t="shared" si="10"/>
        <v>4.6379852918086577</v>
      </c>
      <c r="L50" s="47">
        <f t="shared" si="11"/>
        <v>4.3040151737472616</v>
      </c>
      <c r="M50" s="46">
        <f t="shared" si="12"/>
        <v>1.2796679800457076</v>
      </c>
      <c r="N50" s="46">
        <f t="shared" si="13"/>
        <v>1.8295723982450609</v>
      </c>
      <c r="O50" s="66">
        <f t="shared" si="14"/>
        <v>1.5546201891453841</v>
      </c>
      <c r="P50" s="66" t="str">
        <f>IF(O50&lt;=0.5,"Free flow",
 IF(O50&lt;=1,"Stable flow",
 IF(O50&lt;=2,"Nearing capacity",Unstable flow)))</f>
        <v>Nearing capacity</v>
      </c>
      <c r="Q50" s="46">
        <f t="shared" si="15"/>
        <v>0.28618077743569525</v>
      </c>
      <c r="R50" s="46">
        <f t="shared" si="20"/>
        <v>0.61514509097685788</v>
      </c>
      <c r="S50" s="66">
        <f t="shared" si="21"/>
        <v>0.45066293420627657</v>
      </c>
      <c r="T50" s="66" t="str">
        <f>IF(S50&lt;=0.5,"Free flow",
 IF(S50&lt;=1,"Stable flow",
 IF(S50&lt;=2,"Nearing capacity",Unstable flow)))</f>
        <v>Free flow</v>
      </c>
      <c r="U50" s="46">
        <f t="shared" si="22"/>
        <v>0.78292437874070142</v>
      </c>
      <c r="V50" s="46" t="str">
        <f>IF(U50&lt;=0.5,"Free flow",
 IF(U50&lt;=1,"Stable flow",
 IF(U50&lt;=2,"Nearing capacity",Unstable flow)))</f>
        <v>Stable flow</v>
      </c>
      <c r="W50" s="46">
        <f t="shared" si="23"/>
        <v>1.2223587446109594</v>
      </c>
      <c r="X50" s="46" t="str">
        <f>IF(W50&lt;=0.5,"Free flow",
 IF(W50&lt;=1,"Stable flow",
 IF(W50&lt;=2,"Nearing capacity",Unstable flow)))</f>
        <v>Nearing capacity</v>
      </c>
      <c r="Y50" s="47">
        <f t="shared" si="24"/>
        <v>1.0026415616758304</v>
      </c>
      <c r="Z50" s="43" t="str">
        <f>IF(Y50&lt;=0.5,"Free flow",
 IF(Y50&lt;=1,"Stable flow",
 IF(Y50&lt;=2,"Nearing capacity",Unstable flow)))</f>
        <v>Nearing capacity</v>
      </c>
      <c r="AA50" s="46">
        <f t="shared" si="25"/>
        <v>1.6996745790177969</v>
      </c>
      <c r="AB50" s="46">
        <f t="shared" si="26"/>
        <v>2.0003417429253569</v>
      </c>
      <c r="AC50" s="46">
        <f t="shared" si="27"/>
        <v>1.1564729430583658</v>
      </c>
      <c r="AD50" s="46">
        <f t="shared" si="28"/>
        <v>1.3363383231240373</v>
      </c>
      <c r="AE50" s="46">
        <f t="shared" si="29"/>
        <v>1.5482068970313891</v>
      </c>
      <c r="AF50" s="44" t="str">
        <f t="shared" si="19"/>
        <v>Low congestion</v>
      </c>
    </row>
    <row r="51" spans="1:32" x14ac:dyDescent="0.25">
      <c r="A51" s="33">
        <v>48</v>
      </c>
      <c r="B51" s="44">
        <v>1.5</v>
      </c>
      <c r="C51" s="45">
        <v>2.82</v>
      </c>
      <c r="D51" s="46">
        <f>B51*60/average_speed_per_route!Q50</f>
        <v>3.6864885580791662</v>
      </c>
      <c r="E51" s="46">
        <f>B51*60/average_speed_per_route!S50</f>
        <v>4.3867712152735798</v>
      </c>
      <c r="F51" s="47">
        <f t="shared" si="7"/>
        <v>4.0366298866763728</v>
      </c>
      <c r="G51" s="46">
        <f>B51*60/average_speed_per_route!U50</f>
        <v>3.1161952361111345</v>
      </c>
      <c r="H51" s="46">
        <f>B51*60/average_speed_per_route!W50</f>
        <v>3.5079668056629281</v>
      </c>
      <c r="I51" s="47">
        <f t="shared" si="8"/>
        <v>3.3120810208870313</v>
      </c>
      <c r="J51" s="66">
        <f t="shared" si="9"/>
        <v>3.4013418970951506</v>
      </c>
      <c r="K51" s="66">
        <f t="shared" si="10"/>
        <v>3.9473690104682539</v>
      </c>
      <c r="L51" s="47">
        <f t="shared" si="11"/>
        <v>3.6743554537817023</v>
      </c>
      <c r="M51" s="46">
        <f t="shared" si="12"/>
        <v>0.57765903871944424</v>
      </c>
      <c r="N51" s="46">
        <f t="shared" si="13"/>
        <v>1.0445141435157199</v>
      </c>
      <c r="O51" s="66">
        <f t="shared" si="14"/>
        <v>0.81108659111758208</v>
      </c>
      <c r="P51" s="66" t="str">
        <f>IF(O51&lt;=0.5,"Free flow",
 IF(O51&lt;=1,"Stable flow",
 IF(O51&lt;=2,"Nearing capacity",Unstable flow)))</f>
        <v>Stable flow</v>
      </c>
      <c r="Q51" s="46">
        <f t="shared" si="15"/>
        <v>0.19746349074075642</v>
      </c>
      <c r="R51" s="46">
        <f t="shared" si="20"/>
        <v>0.4586445371086188</v>
      </c>
      <c r="S51" s="66">
        <f t="shared" si="21"/>
        <v>0.32805401392468758</v>
      </c>
      <c r="T51" s="66" t="str">
        <f>IF(S51&lt;=0.5,"Free flow",
 IF(S51&lt;=1,"Stable flow",
 IF(S51&lt;=2,"Nearing capacity",Unstable flow)))</f>
        <v>Free flow</v>
      </c>
      <c r="U51" s="46">
        <f t="shared" si="22"/>
        <v>0.38756126473010033</v>
      </c>
      <c r="V51" s="46" t="str">
        <f>IF(U51&lt;=0.5,"Free flow",
 IF(U51&lt;=1,"Stable flow",
 IF(U51&lt;=2,"Nearing capacity",Unstable flow)))</f>
        <v>Free flow</v>
      </c>
      <c r="W51" s="46">
        <f t="shared" si="23"/>
        <v>0.75157934031216933</v>
      </c>
      <c r="X51" s="46" t="str">
        <f>IF(W51&lt;=0.5,"Free flow",
 IF(W51&lt;=1,"Stable flow",
 IF(W51&lt;=2,"Nearing capacity",Unstable flow)))</f>
        <v>Stable flow</v>
      </c>
      <c r="Y51" s="47">
        <f t="shared" si="24"/>
        <v>0.56957030252113483</v>
      </c>
      <c r="Z51" s="43" t="str">
        <f>IF(Y51&lt;=0.5,"Free flow",
 IF(Y51&lt;=1,"Stable flow",
 IF(Y51&lt;=2,"Nearing capacity",Unstable flow)))</f>
        <v>Stable flow</v>
      </c>
      <c r="AA51" s="46">
        <f t="shared" si="25"/>
        <v>1.3072654461273641</v>
      </c>
      <c r="AB51" s="46">
        <f t="shared" si="26"/>
        <v>1.5555926295296383</v>
      </c>
      <c r="AC51" s="46">
        <f t="shared" si="27"/>
        <v>1.1050337716706151</v>
      </c>
      <c r="AD51" s="46">
        <f t="shared" si="28"/>
        <v>1.243959860164159</v>
      </c>
      <c r="AE51" s="46">
        <f t="shared" si="29"/>
        <v>1.3029629268729441</v>
      </c>
      <c r="AF51" s="44" t="str">
        <f t="shared" si="19"/>
        <v>Low congestion</v>
      </c>
    </row>
    <row r="52" spans="1:32" x14ac:dyDescent="0.25">
      <c r="A52" s="33">
        <v>49</v>
      </c>
      <c r="B52" s="44">
        <v>1.54</v>
      </c>
      <c r="C52" s="45">
        <v>2.7</v>
      </c>
      <c r="D52" s="46">
        <f>B52*60/average_speed_per_route!Q51</f>
        <v>3.9825656096548925</v>
      </c>
      <c r="E52" s="46">
        <f>B52*60/average_speed_per_route!S51</f>
        <v>5.0333582549867897</v>
      </c>
      <c r="F52" s="47">
        <f t="shared" si="7"/>
        <v>4.5079619323208409</v>
      </c>
      <c r="G52" s="46">
        <f>B52*60/average_speed_per_route!U51</f>
        <v>3.4175207366197129</v>
      </c>
      <c r="H52" s="46">
        <f>B52*60/average_speed_per_route!W51</f>
        <v>4.1196483579939089</v>
      </c>
      <c r="I52" s="47">
        <f t="shared" si="8"/>
        <v>3.7685845473068111</v>
      </c>
      <c r="J52" s="66">
        <f t="shared" si="9"/>
        <v>3.7000431731373027</v>
      </c>
      <c r="K52" s="66">
        <f t="shared" si="10"/>
        <v>4.5765033064903493</v>
      </c>
      <c r="L52" s="47">
        <f t="shared" si="11"/>
        <v>4.1382732398138256</v>
      </c>
      <c r="M52" s="46">
        <f t="shared" si="12"/>
        <v>0.83283481146421579</v>
      </c>
      <c r="N52" s="46">
        <f t="shared" si="13"/>
        <v>1.5151676980433697</v>
      </c>
      <c r="O52" s="66">
        <f t="shared" si="14"/>
        <v>1.1740012547537928</v>
      </c>
      <c r="P52" s="66" t="str">
        <f>IF(O52&lt;=0.5,"Free flow",
 IF(O52&lt;=1,"Stable flow",
 IF(O52&lt;=2,"Nearing capacity",Unstable flow)))</f>
        <v>Nearing capacity</v>
      </c>
      <c r="Q52" s="46">
        <f t="shared" si="15"/>
        <v>0.4659225562465667</v>
      </c>
      <c r="R52" s="46">
        <f t="shared" si="20"/>
        <v>0.92184958311292775</v>
      </c>
      <c r="S52" s="66">
        <f t="shared" si="21"/>
        <v>0.6938860696797472</v>
      </c>
      <c r="T52" s="66" t="str">
        <f>IF(S52&lt;=0.5,"Free flow",
 IF(S52&lt;=1,"Stable flow",
 IF(S52&lt;=2,"Nearing capacity",Unstable flow)))</f>
        <v>Stable flow</v>
      </c>
      <c r="U52" s="46">
        <f t="shared" si="22"/>
        <v>0.64937868385539121</v>
      </c>
      <c r="V52" s="46" t="str">
        <f>IF(U52&lt;=0.5,"Free flow",
 IF(U52&lt;=1,"Stable flow",
 IF(U52&lt;=2,"Nearing capacity",Unstable flow)))</f>
        <v>Stable flow</v>
      </c>
      <c r="W52" s="46">
        <f t="shared" si="23"/>
        <v>1.2185086405781487</v>
      </c>
      <c r="X52" s="46" t="str">
        <f>IF(W52&lt;=0.5,"Free flow",
 IF(W52&lt;=1,"Stable flow",
 IF(W52&lt;=2,"Nearing capacity",Unstable flow)))</f>
        <v>Nearing capacity</v>
      </c>
      <c r="Y52" s="47">
        <f t="shared" si="24"/>
        <v>0.93394366221676994</v>
      </c>
      <c r="Z52" s="43" t="str">
        <f>IF(Y52&lt;=0.5,"Free flow",
 IF(Y52&lt;=1,"Stable flow",
 IF(Y52&lt;=2,"Nearing capacity",Unstable flow)))</f>
        <v>Stable flow</v>
      </c>
      <c r="AA52" s="46">
        <f t="shared" si="25"/>
        <v>1.4750242998721823</v>
      </c>
      <c r="AB52" s="46">
        <f t="shared" si="26"/>
        <v>1.8642067611062183</v>
      </c>
      <c r="AC52" s="46">
        <f t="shared" si="27"/>
        <v>1.2657484209702639</v>
      </c>
      <c r="AD52" s="46">
        <f t="shared" si="28"/>
        <v>1.5257956881458921</v>
      </c>
      <c r="AE52" s="46">
        <f t="shared" si="29"/>
        <v>1.532693792523639</v>
      </c>
      <c r="AF52" s="44" t="str">
        <f t="shared" si="19"/>
        <v>Low congestion</v>
      </c>
    </row>
    <row r="53" spans="1:32" x14ac:dyDescent="0.25">
      <c r="A53" s="33">
        <v>50</v>
      </c>
      <c r="B53" s="44">
        <v>1.38</v>
      </c>
      <c r="C53" s="45">
        <v>2.58</v>
      </c>
      <c r="D53" s="46">
        <f>B53*60/average_speed_per_route!Q52</f>
        <v>3.0765494287534558</v>
      </c>
      <c r="E53" s="46">
        <f>B53*60/average_speed_per_route!S52</f>
        <v>3.3904449170572826</v>
      </c>
      <c r="F53" s="47">
        <f>AVERAGE(D53:E53)</f>
        <v>3.233497172905369</v>
      </c>
      <c r="G53" s="46">
        <f>B53*60/average_speed_per_route!U52</f>
        <v>2.865518444561491</v>
      </c>
      <c r="H53" s="46">
        <f>B53*60/average_speed_per_route!W52</f>
        <v>3.0978121866478925</v>
      </c>
      <c r="I53" s="47">
        <f t="shared" si="8"/>
        <v>2.9816653156046917</v>
      </c>
      <c r="J53" s="66">
        <f t="shared" si="9"/>
        <v>2.9710339366574736</v>
      </c>
      <c r="K53" s="66">
        <f t="shared" si="10"/>
        <v>3.2441285518525875</v>
      </c>
      <c r="L53" s="47">
        <f t="shared" si="11"/>
        <v>3.1075812442550306</v>
      </c>
      <c r="M53" s="46">
        <f t="shared" si="12"/>
        <v>0.359818426632939</v>
      </c>
      <c r="N53" s="46">
        <f t="shared" si="13"/>
        <v>0.58727892540382798</v>
      </c>
      <c r="O53" s="66">
        <f t="shared" si="14"/>
        <v>0.47354867601838346</v>
      </c>
      <c r="P53" s="66" t="str">
        <f>IF(O53&lt;=0.5,"Free flow",
 IF(O53&lt;=1,"Stable flow",
 IF(O53&lt;=2,"Nearing capacity",Unstable flow)))</f>
        <v>Free flow</v>
      </c>
      <c r="Q53" s="46">
        <f t="shared" si="15"/>
        <v>0.20689742359528326</v>
      </c>
      <c r="R53" s="46">
        <f t="shared" si="20"/>
        <v>0.37522622220861773</v>
      </c>
      <c r="S53" s="66">
        <f t="shared" si="21"/>
        <v>0.29106182290195048</v>
      </c>
      <c r="T53" s="66" t="str">
        <f>IF(S53&lt;=0.5,"Free flow",
 IF(S53&lt;=1,"Stable flow",
 IF(S53&lt;=2,"Nearing capacity",Unstable flow)))</f>
        <v>Free flow</v>
      </c>
      <c r="U53" s="46">
        <f t="shared" si="22"/>
        <v>0.28335792511411112</v>
      </c>
      <c r="V53" s="46" t="str">
        <f>IF(U53&lt;=0.5,"Free flow",
 IF(U53&lt;=1,"Stable flow",
 IF(U53&lt;=2,"Nearing capacity",Unstable flow)))</f>
        <v>Free flow</v>
      </c>
      <c r="W53" s="46">
        <f t="shared" si="23"/>
        <v>0.48125257380622288</v>
      </c>
      <c r="X53" s="46" t="str">
        <f>IF(W53&lt;=0.5,"Free flow",
 IF(W53&lt;=1,"Stable flow",
 IF(W53&lt;=2,"Nearing capacity",Unstable flow)))</f>
        <v>Free flow</v>
      </c>
      <c r="Y53" s="47">
        <f t="shared" si="24"/>
        <v>0.38230524946016697</v>
      </c>
      <c r="Z53" s="43" t="str">
        <f>IF(Y53&lt;=0.5,"Free flow",
 IF(Y53&lt;=1,"Stable flow",
 IF(Y53&lt;=2,"Nearing capacity",Unstable flow)))</f>
        <v>Free flow</v>
      </c>
      <c r="AA53" s="46">
        <f t="shared" si="25"/>
        <v>1.1924610188966882</v>
      </c>
      <c r="AB53" s="46">
        <f t="shared" si="26"/>
        <v>1.314125936843908</v>
      </c>
      <c r="AC53" s="46">
        <f t="shared" si="27"/>
        <v>1.1106660637835235</v>
      </c>
      <c r="AD53" s="46">
        <f t="shared" si="28"/>
        <v>1.2007023979255398</v>
      </c>
      <c r="AE53" s="46">
        <f t="shared" si="29"/>
        <v>1.204488854362415</v>
      </c>
      <c r="AF53" s="44" t="str">
        <f t="shared" si="19"/>
        <v>Low congestion</v>
      </c>
    </row>
    <row r="54" spans="1:32" x14ac:dyDescent="0.25">
      <c r="A54" s="33">
        <v>51</v>
      </c>
      <c r="B54" s="44">
        <v>2.79</v>
      </c>
      <c r="C54" s="45">
        <v>4.62</v>
      </c>
      <c r="D54" s="46">
        <f>B54*60/average_speed_per_route!Q53</f>
        <v>5.6431155256290122</v>
      </c>
      <c r="E54" s="46">
        <f>B54*60/average_speed_per_route!S53</f>
        <v>6.0513771505040896</v>
      </c>
      <c r="F54" s="47">
        <f t="shared" si="7"/>
        <v>5.8472463380665509</v>
      </c>
      <c r="G54" s="46">
        <f>B54*60/average_speed_per_route!U53</f>
        <v>5.016219539115804</v>
      </c>
      <c r="H54" s="46">
        <f>B54*60/average_speed_per_route!W53</f>
        <v>5.5296189458277318</v>
      </c>
      <c r="I54" s="47">
        <f t="shared" si="8"/>
        <v>5.2729192424717679</v>
      </c>
      <c r="J54" s="66">
        <f t="shared" si="9"/>
        <v>5.3296675323724081</v>
      </c>
      <c r="K54" s="66">
        <f t="shared" si="10"/>
        <v>5.7904980481659107</v>
      </c>
      <c r="L54" s="47">
        <f t="shared" si="11"/>
        <v>5.560082790269159</v>
      </c>
      <c r="M54" s="46">
        <f t="shared" si="12"/>
        <v>0.36670807370215486</v>
      </c>
      <c r="N54" s="46">
        <f t="shared" si="13"/>
        <v>0.51303840519859845</v>
      </c>
      <c r="O54" s="66">
        <f t="shared" si="14"/>
        <v>0.43987323945037665</v>
      </c>
      <c r="P54" s="66" t="str">
        <f>IF(O54&lt;=0.5,"Free flow",
 IF(O54&lt;=1,"Stable flow",
 IF(O54&lt;=2,"Nearing capacity",Unstable flow)))</f>
        <v>Free flow</v>
      </c>
      <c r="Q54" s="46">
        <f t="shared" si="15"/>
        <v>0.14201417172609457</v>
      </c>
      <c r="R54" s="46">
        <f t="shared" si="20"/>
        <v>0.32602829599560279</v>
      </c>
      <c r="S54" s="66">
        <f t="shared" si="21"/>
        <v>0.23402123386084867</v>
      </c>
      <c r="T54" s="66" t="str">
        <f>IF(S54&lt;=0.5,"Free flow",
 IF(S54&lt;=1,"Stable flow",
 IF(S54&lt;=2,"Nearing capacity",Unstable flow)))</f>
        <v>Free flow</v>
      </c>
      <c r="U54" s="46">
        <f t="shared" si="22"/>
        <v>0.2543611227141247</v>
      </c>
      <c r="V54" s="46" t="str">
        <f>IF(U54&lt;=0.5,"Free flow",
 IF(U54&lt;=1,"Stable flow",
 IF(U54&lt;=2,"Nearing capacity",Unstable flow)))</f>
        <v>Free flow</v>
      </c>
      <c r="W54" s="46">
        <f t="shared" si="23"/>
        <v>0.41953335059710062</v>
      </c>
      <c r="X54" s="46" t="str">
        <f>IF(W54&lt;=0.5,"Free flow",
 IF(W54&lt;=1,"Stable flow",
 IF(W54&lt;=2,"Nearing capacity",Unstable flow)))</f>
        <v>Free flow</v>
      </c>
      <c r="Y54" s="47">
        <f t="shared" si="24"/>
        <v>0.33694723665561266</v>
      </c>
      <c r="Z54" s="43" t="str">
        <f>IF(Y54&lt;=0.5,"Free flow",
 IF(Y54&lt;=1,"Stable flow",
 IF(Y54&lt;=2,"Nearing capacity",Unstable flow)))</f>
        <v>Free flow</v>
      </c>
      <c r="AA54" s="46">
        <f t="shared" si="25"/>
        <v>1.2214535769759767</v>
      </c>
      <c r="AB54" s="46">
        <f t="shared" si="26"/>
        <v>1.3098218940485042</v>
      </c>
      <c r="AC54" s="46">
        <f t="shared" si="27"/>
        <v>1.0857618050034208</v>
      </c>
      <c r="AD54" s="46">
        <f t="shared" si="28"/>
        <v>1.1968872177116303</v>
      </c>
      <c r="AE54" s="46">
        <f t="shared" si="29"/>
        <v>1.203481123434883</v>
      </c>
      <c r="AF54" s="44" t="str">
        <f t="shared" si="19"/>
        <v>Low congestion</v>
      </c>
    </row>
    <row r="55" spans="1:32" x14ac:dyDescent="0.25">
      <c r="A55" s="33">
        <v>52</v>
      </c>
      <c r="B55" s="44">
        <v>1.5</v>
      </c>
      <c r="C55" s="45">
        <v>2.4700000000000002</v>
      </c>
      <c r="D55" s="46">
        <f>B55*60/average_speed_per_route!Q54</f>
        <v>2.844498162399522</v>
      </c>
      <c r="E55" s="46">
        <f>B55*60/average_speed_per_route!S54</f>
        <v>2.9234657383089169</v>
      </c>
      <c r="F55" s="47">
        <f t="shared" si="7"/>
        <v>2.8839819503542197</v>
      </c>
      <c r="G55" s="46">
        <f>B55*60/average_speed_per_route!U54</f>
        <v>2.6724756855570799</v>
      </c>
      <c r="H55" s="46">
        <f>B55*60/average_speed_per_route!W54</f>
        <v>2.7352210178083149</v>
      </c>
      <c r="I55" s="47">
        <f t="shared" si="8"/>
        <v>2.7038483516826974</v>
      </c>
      <c r="J55" s="66">
        <f t="shared" si="9"/>
        <v>2.758486923978301</v>
      </c>
      <c r="K55" s="66">
        <f t="shared" si="10"/>
        <v>2.8293433780586161</v>
      </c>
      <c r="L55" s="47">
        <f t="shared" si="11"/>
        <v>2.7939151510184583</v>
      </c>
      <c r="M55" s="46">
        <f t="shared" si="12"/>
        <v>0.24966544159968121</v>
      </c>
      <c r="N55" s="46">
        <f t="shared" si="13"/>
        <v>0.30231049220594447</v>
      </c>
      <c r="O55" s="66">
        <f t="shared" si="14"/>
        <v>0.27598796690281285</v>
      </c>
      <c r="P55" s="66" t="str">
        <f>IF(O55&lt;=0.5,"Free flow",
 IF(O55&lt;=1,"Stable flow",
 IF(O55&lt;=2,"Nearing capacity",Unstable flow)))</f>
        <v>Free flow</v>
      </c>
      <c r="Q55" s="46">
        <f t="shared" si="15"/>
        <v>0.1349837903713865</v>
      </c>
      <c r="R55" s="46">
        <f t="shared" si="20"/>
        <v>0.17681401187220983</v>
      </c>
      <c r="S55" s="66">
        <f t="shared" si="21"/>
        <v>0.15589890112179816</v>
      </c>
      <c r="T55" s="66" t="str">
        <f>IF(S55&lt;=0.5,"Free flow",
 IF(S55&lt;=1,"Stable flow",
 IF(S55&lt;=2,"Nearing capacity",Unstable flow)))</f>
        <v>Free flow</v>
      </c>
      <c r="U55" s="46">
        <f t="shared" si="22"/>
        <v>0.19232461598553385</v>
      </c>
      <c r="V55" s="46" t="str">
        <f>IF(U55&lt;=0.5,"Free flow",
 IF(U55&lt;=1,"Stable flow",
 IF(U55&lt;=2,"Nearing capacity",Unstable flow)))</f>
        <v>Free flow</v>
      </c>
      <c r="W55" s="46">
        <f t="shared" si="23"/>
        <v>0.23956225203907716</v>
      </c>
      <c r="X55" s="46" t="str">
        <f>IF(W55&lt;=0.5,"Free flow",
 IF(W55&lt;=1,"Stable flow",
 IF(W55&lt;=2,"Nearing capacity",Unstable flow)))</f>
        <v>Free flow</v>
      </c>
      <c r="Y55" s="47">
        <f t="shared" si="24"/>
        <v>0.21594343401230551</v>
      </c>
      <c r="Z55" s="43" t="str">
        <f>IF(Y55&lt;=0.5,"Free flow",
 IF(Y55&lt;=1,"Stable flow",
 IF(Y55&lt;=2,"Nearing capacity",Unstable flow)))</f>
        <v>Free flow</v>
      </c>
      <c r="AA55" s="46">
        <f t="shared" si="25"/>
        <v>1.1516186892305755</v>
      </c>
      <c r="AB55" s="46">
        <f t="shared" si="26"/>
        <v>1.1835893677364036</v>
      </c>
      <c r="AC55" s="46">
        <f t="shared" si="27"/>
        <v>1.0819739617639998</v>
      </c>
      <c r="AD55" s="46">
        <f t="shared" si="28"/>
        <v>1.1073769302867671</v>
      </c>
      <c r="AE55" s="46">
        <f t="shared" si="29"/>
        <v>1.1311397372544365</v>
      </c>
      <c r="AF55" s="44" t="str">
        <f t="shared" si="19"/>
        <v>Free Flow</v>
      </c>
    </row>
    <row r="56" spans="1:32" x14ac:dyDescent="0.25">
      <c r="A56" s="33">
        <v>53</v>
      </c>
      <c r="B56" s="44">
        <v>1.46</v>
      </c>
      <c r="C56" s="45">
        <v>2.93</v>
      </c>
      <c r="D56" s="46">
        <f>B56*60/average_speed_per_route!Q55</f>
        <v>3.6681827759037606</v>
      </c>
      <c r="E56" s="46">
        <f>B56*60/average_speed_per_route!S55</f>
        <v>3.9484413292178862</v>
      </c>
      <c r="F56" s="47">
        <f t="shared" si="7"/>
        <v>3.8083120525608232</v>
      </c>
      <c r="G56" s="46">
        <f>B56*60/average_speed_per_route!U55</f>
        <v>3.3198524763471244</v>
      </c>
      <c r="H56" s="46">
        <f>B56*60/average_speed_per_route!W55</f>
        <v>3.6105266577546979</v>
      </c>
      <c r="I56" s="47">
        <f t="shared" si="8"/>
        <v>3.4651895670509112</v>
      </c>
      <c r="J56" s="66">
        <f t="shared" si="9"/>
        <v>3.4940176261254425</v>
      </c>
      <c r="K56" s="66">
        <f t="shared" si="10"/>
        <v>3.7794839934862923</v>
      </c>
      <c r="L56" s="47">
        <f t="shared" si="11"/>
        <v>3.636750809805867</v>
      </c>
      <c r="M56" s="46">
        <f t="shared" si="12"/>
        <v>0.50560464102997293</v>
      </c>
      <c r="N56" s="46">
        <f t="shared" si="13"/>
        <v>0.69756255425882607</v>
      </c>
      <c r="O56" s="66">
        <f t="shared" si="14"/>
        <v>0.6015835976443995</v>
      </c>
      <c r="P56" s="66" t="str">
        <f>IF(O56&lt;=0.5,"Free flow",
 IF(O56&lt;=1,"Stable flow",
 IF(O56&lt;=2,"Nearing capacity",Unstable flow)))</f>
        <v>Stable flow</v>
      </c>
      <c r="Q56" s="46">
        <f t="shared" si="15"/>
        <v>0.26702224407337277</v>
      </c>
      <c r="R56" s="46">
        <f t="shared" si="20"/>
        <v>0.46611414914705329</v>
      </c>
      <c r="S56" s="66">
        <f t="shared" si="21"/>
        <v>0.366568196610213</v>
      </c>
      <c r="T56" s="66" t="str">
        <f>IF(S56&lt;=0.5,"Free flow",
 IF(S56&lt;=1,"Stable flow",
 IF(S56&lt;=2,"Nearing capacity",Unstable flow)))</f>
        <v>Free flow</v>
      </c>
      <c r="U56" s="46">
        <f t="shared" si="22"/>
        <v>0.38631344255167288</v>
      </c>
      <c r="V56" s="46" t="str">
        <f>IF(U56&lt;=0.5,"Free flow",
 IF(U56&lt;=1,"Stable flow",
 IF(U56&lt;=2,"Nearing capacity",Unstable flow)))</f>
        <v>Free flow</v>
      </c>
      <c r="W56" s="46">
        <f t="shared" si="23"/>
        <v>0.58183835170293974</v>
      </c>
      <c r="X56" s="46" t="str">
        <f>IF(W56&lt;=0.5,"Free flow",
 IF(W56&lt;=1,"Stable flow",
 IF(W56&lt;=2,"Nearing capacity",Unstable flow)))</f>
        <v>Stable flow</v>
      </c>
      <c r="Y56" s="47">
        <f t="shared" si="24"/>
        <v>0.48407589712730625</v>
      </c>
      <c r="Z56" s="43" t="str">
        <f>IF(Y56&lt;=0.5,"Free flow",
 IF(Y56&lt;=1,"Stable flow",
 IF(Y56&lt;=2,"Nearing capacity",Unstable flow)))</f>
        <v>Free flow</v>
      </c>
      <c r="AA56" s="46">
        <f t="shared" si="25"/>
        <v>1.2519395139603278</v>
      </c>
      <c r="AB56" s="46">
        <f t="shared" si="26"/>
        <v>1.3475908973439883</v>
      </c>
      <c r="AC56" s="46">
        <f t="shared" si="27"/>
        <v>1.1330554526781995</v>
      </c>
      <c r="AD56" s="46">
        <f t="shared" si="28"/>
        <v>1.2322616579367569</v>
      </c>
      <c r="AE56" s="46">
        <f t="shared" si="29"/>
        <v>1.2412118804798182</v>
      </c>
      <c r="AF56" s="44" t="str">
        <f t="shared" si="19"/>
        <v>Low congestion</v>
      </c>
    </row>
    <row r="57" spans="1:32" x14ac:dyDescent="0.25">
      <c r="A57" s="33">
        <v>54</v>
      </c>
      <c r="B57" s="44">
        <v>1.46</v>
      </c>
      <c r="C57" s="45">
        <v>2.12</v>
      </c>
      <c r="D57" s="46">
        <f>B57*60/average_speed_per_route!Q56</f>
        <v>3.8211943123947267</v>
      </c>
      <c r="E57" s="46">
        <f>B57*60/average_speed_per_route!S56</f>
        <v>3.4196137724763309</v>
      </c>
      <c r="F57" s="47">
        <f t="shared" si="7"/>
        <v>3.6204040424355286</v>
      </c>
      <c r="G57" s="46">
        <f>B57*60/average_speed_per_route!U56</f>
        <v>2.317410626410092</v>
      </c>
      <c r="H57" s="46">
        <f>B57*60/average_speed_per_route!W56</f>
        <v>2.700573745056754</v>
      </c>
      <c r="I57" s="47">
        <f t="shared" si="8"/>
        <v>2.508992185733423</v>
      </c>
      <c r="J57" s="66">
        <f t="shared" si="9"/>
        <v>3.0693024694024094</v>
      </c>
      <c r="K57" s="66">
        <f t="shared" si="10"/>
        <v>3.0600937587665422</v>
      </c>
      <c r="L57" s="47">
        <f t="shared" si="11"/>
        <v>3.064698114084476</v>
      </c>
      <c r="M57" s="46">
        <f t="shared" si="12"/>
        <v>1.1652015838320047</v>
      </c>
      <c r="N57" s="46">
        <f t="shared" si="13"/>
        <v>0.89014641950433615</v>
      </c>
      <c r="O57" s="66">
        <f t="shared" si="14"/>
        <v>1.0276740016681705</v>
      </c>
      <c r="P57" s="66" t="str">
        <f>IF(O57&lt;=0.5,"Free flow",
 IF(O57&lt;=1,"Stable flow",
 IF(O57&lt;=2,"Nearing capacity",Unstable flow)))</f>
        <v>Nearing capacity</v>
      </c>
      <c r="Q57" s="46">
        <f t="shared" si="15"/>
        <v>0.13521275781513142</v>
      </c>
      <c r="R57" s="46">
        <f t="shared" si="20"/>
        <v>0.39765325003887253</v>
      </c>
      <c r="S57" s="66">
        <f t="shared" si="21"/>
        <v>0.26643300392700198</v>
      </c>
      <c r="T57" s="66" t="str">
        <f>IF(S57&lt;=0.5,"Free flow",
 IF(S57&lt;=1,"Stable flow",
 IF(S57&lt;=2,"Nearing capacity",Unstable flow)))</f>
        <v>Free flow</v>
      </c>
      <c r="U57" s="46">
        <f t="shared" si="22"/>
        <v>0.65020717082356805</v>
      </c>
      <c r="V57" s="46" t="str">
        <f>IF(U57&lt;=0.5,"Free flow",
 IF(U57&lt;=1,"Stable flow",
 IF(U57&lt;=2,"Nearing capacity",Unstable flow)))</f>
        <v>Stable flow</v>
      </c>
      <c r="W57" s="46">
        <f t="shared" si="23"/>
        <v>0.64389983477160428</v>
      </c>
      <c r="X57" s="46" t="str">
        <f>IF(W57&lt;=0.5,"Free flow",
 IF(W57&lt;=1,"Stable flow",
 IF(W57&lt;=2,"Nearing capacity",Unstable flow)))</f>
        <v>Stable flow</v>
      </c>
      <c r="Y57" s="47">
        <f t="shared" si="24"/>
        <v>0.64705350279758611</v>
      </c>
      <c r="Z57" s="43" t="str">
        <f>IF(Y57&lt;=0.5,"Free flow",
 IF(Y57&lt;=1,"Stable flow",
 IF(Y57&lt;=2,"Nearing capacity",Unstable flow)))</f>
        <v>Stable flow</v>
      </c>
      <c r="AA57" s="46">
        <f t="shared" si="25"/>
        <v>1.8024501473560031</v>
      </c>
      <c r="AB57" s="46">
        <f t="shared" si="26"/>
        <v>1.6130253643756276</v>
      </c>
      <c r="AC57" s="46">
        <f t="shared" si="27"/>
        <v>1.0931182200047602</v>
      </c>
      <c r="AD57" s="46">
        <f t="shared" si="28"/>
        <v>1.2738555401211102</v>
      </c>
      <c r="AE57" s="46">
        <f t="shared" si="29"/>
        <v>1.4456123179643754</v>
      </c>
      <c r="AF57" s="44" t="str">
        <f t="shared" si="19"/>
        <v>Low congestion</v>
      </c>
    </row>
    <row r="58" spans="1:32" x14ac:dyDescent="0.25">
      <c r="A58" s="33">
        <v>55</v>
      </c>
      <c r="B58" s="44">
        <v>1.5</v>
      </c>
      <c r="C58" s="45">
        <v>1.75</v>
      </c>
      <c r="D58" s="46">
        <f>B58*60/average_speed_per_route!Q57</f>
        <v>2.2743826986515248</v>
      </c>
      <c r="E58" s="46">
        <f>B58*60/average_speed_per_route!S57</f>
        <v>2.4755132907817186</v>
      </c>
      <c r="F58" s="47">
        <f t="shared" si="7"/>
        <v>2.3749479947166217</v>
      </c>
      <c r="G58" s="46">
        <f>B58*60/average_speed_per_route!U57</f>
        <v>1.8554889607184821</v>
      </c>
      <c r="H58" s="46">
        <f>B58*60/average_speed_per_route!W57</f>
        <v>2.103609694428457</v>
      </c>
      <c r="I58" s="47">
        <f t="shared" si="8"/>
        <v>1.9795493275734697</v>
      </c>
      <c r="J58" s="66">
        <f t="shared" si="9"/>
        <v>2.0649358296850036</v>
      </c>
      <c r="K58" s="66">
        <f t="shared" si="10"/>
        <v>2.2895614926050878</v>
      </c>
      <c r="L58" s="47">
        <f t="shared" si="11"/>
        <v>2.1772486611450454</v>
      </c>
      <c r="M58" s="46">
        <f t="shared" si="12"/>
        <v>0.34958846576768315</v>
      </c>
      <c r="N58" s="46">
        <f t="shared" si="13"/>
        <v>0.48367552718781237</v>
      </c>
      <c r="O58" s="66">
        <f t="shared" si="14"/>
        <v>0.41663199647774773</v>
      </c>
      <c r="P58" s="66" t="str">
        <f>IF(O58&lt;=0.5,"Free flow",
 IF(O58&lt;=1,"Stable flow",
 IF(O58&lt;=2,"Nearing capacity",Unstable flow)))</f>
        <v>Free flow</v>
      </c>
      <c r="Q58" s="46">
        <f t="shared" si="15"/>
        <v>7.0325973812321418E-2</v>
      </c>
      <c r="R58" s="46">
        <f t="shared" si="20"/>
        <v>0.23573979628563801</v>
      </c>
      <c r="S58" s="66">
        <f t="shared" si="21"/>
        <v>0.15303288504897972</v>
      </c>
      <c r="T58" s="66" t="str">
        <f>IF(S58&lt;=0.5,"Free flow",
 IF(S58&lt;=1,"Stable flow",
 IF(S58&lt;=2,"Nearing capacity",Unstable flow)))</f>
        <v>Free flow</v>
      </c>
      <c r="U58" s="46">
        <f t="shared" si="22"/>
        <v>0.20995721979000229</v>
      </c>
      <c r="V58" s="46" t="str">
        <f>IF(U58&lt;=0.5,"Free flow",
 IF(U58&lt;=1,"Stable flow",
 IF(U58&lt;=2,"Nearing capacity",Unstable flow)))</f>
        <v>Free flow</v>
      </c>
      <c r="W58" s="46">
        <f t="shared" si="23"/>
        <v>0.35970766173672519</v>
      </c>
      <c r="X58" s="46" t="str">
        <f>IF(W58&lt;=0.5,"Free flow",
 IF(W58&lt;=1,"Stable flow",
 IF(W58&lt;=2,"Nearing capacity",Unstable flow)))</f>
        <v>Free flow</v>
      </c>
      <c r="Y58" s="47">
        <f t="shared" si="24"/>
        <v>0.28483244076336373</v>
      </c>
      <c r="Z58" s="43" t="str">
        <f>IF(Y58&lt;=0.5,"Free flow",
 IF(Y58&lt;=1,"Stable flow",
 IF(Y58&lt;=2,"Nearing capacity",Unstable flow)))</f>
        <v>Free flow</v>
      </c>
      <c r="AA58" s="46">
        <f t="shared" si="25"/>
        <v>1.2996472563722998</v>
      </c>
      <c r="AB58" s="46">
        <f t="shared" si="26"/>
        <v>1.4145790233038391</v>
      </c>
      <c r="AC58" s="46">
        <f t="shared" si="27"/>
        <v>1.0602794061248468</v>
      </c>
      <c r="AD58" s="46">
        <f t="shared" si="28"/>
        <v>1.2020626825305469</v>
      </c>
      <c r="AE58" s="46">
        <f t="shared" si="29"/>
        <v>1.2441420920828832</v>
      </c>
      <c r="AF58" s="44" t="str">
        <f t="shared" si="19"/>
        <v>Low congestion</v>
      </c>
    </row>
    <row r="59" spans="1:32" x14ac:dyDescent="0.25">
      <c r="A59" s="33">
        <v>56</v>
      </c>
      <c r="B59" s="44">
        <v>1.51</v>
      </c>
      <c r="C59" s="45">
        <v>2.8</v>
      </c>
      <c r="D59" s="46">
        <f>B59*60/average_speed_per_route!Q58</f>
        <v>4.5903414713118149</v>
      </c>
      <c r="E59" s="46">
        <f>B59*60/average_speed_per_route!S58</f>
        <v>5.5503706832622788</v>
      </c>
      <c r="F59" s="47">
        <f>AVERAGE(D59:E59)</f>
        <v>5.0703560772870464</v>
      </c>
      <c r="G59" s="46">
        <f>B59*60/average_speed_per_route!U58</f>
        <v>3.3155610685261458</v>
      </c>
      <c r="H59" s="46">
        <f>B59*60/average_speed_per_route!W58</f>
        <v>4.2499184493009086</v>
      </c>
      <c r="I59" s="47">
        <f t="shared" si="8"/>
        <v>3.782739758913527</v>
      </c>
      <c r="J59" s="66">
        <f t="shared" si="9"/>
        <v>3.9529512699189802</v>
      </c>
      <c r="K59" s="66">
        <f t="shared" si="10"/>
        <v>4.9001445662815932</v>
      </c>
      <c r="L59" s="47">
        <f t="shared" si="11"/>
        <v>4.4265479181002867</v>
      </c>
      <c r="M59" s="46">
        <f t="shared" si="12"/>
        <v>1.1856566035177583</v>
      </c>
      <c r="N59" s="46">
        <f t="shared" si="13"/>
        <v>1.8214375385842907</v>
      </c>
      <c r="O59" s="66">
        <f t="shared" si="14"/>
        <v>1.5035470710510244</v>
      </c>
      <c r="P59" s="66" t="str">
        <f>IF(O59&lt;=0.5,"Free flow",
 IF(O59&lt;=1,"Stable flow",
 IF(O59&lt;=2,"Nearing capacity",Unstable flow)))</f>
        <v>Nearing capacity</v>
      </c>
      <c r="Q59" s="46">
        <f t="shared" si="15"/>
        <v>0.34143117120936822</v>
      </c>
      <c r="R59" s="46">
        <f t="shared" si="20"/>
        <v>0.9602108935767607</v>
      </c>
      <c r="S59" s="66">
        <f t="shared" si="21"/>
        <v>0.65082103239306444</v>
      </c>
      <c r="T59" s="66" t="str">
        <f>IF(S59&lt;=0.5,"Free flow",
 IF(S59&lt;=1,"Stable flow",
 IF(S59&lt;=2,"Nearing capacity",Unstable flow)))</f>
        <v>Stable flow</v>
      </c>
      <c r="U59" s="46">
        <f t="shared" si="22"/>
        <v>0.76354388736356327</v>
      </c>
      <c r="V59" s="46" t="str">
        <f>IF(U59&lt;=0.5,"Free flow",
 IF(U59&lt;=1,"Stable flow",
 IF(U59&lt;=2,"Nearing capacity",Unstable flow)))</f>
        <v>Stable flow</v>
      </c>
      <c r="W59" s="46">
        <f t="shared" si="23"/>
        <v>1.3908242160805258</v>
      </c>
      <c r="X59" s="46" t="str">
        <f>IF(W59&lt;=0.5,"Free flow",
 IF(W59&lt;=1,"Stable flow",
 IF(W59&lt;=2,"Nearing capacity",Unstable flow)))</f>
        <v>Nearing capacity</v>
      </c>
      <c r="Y59" s="47">
        <f t="shared" si="24"/>
        <v>1.0771840517220443</v>
      </c>
      <c r="Z59" s="43" t="str">
        <f>IF(Y59&lt;=0.5,"Free flow",
 IF(Y59&lt;=1,"Stable flow",
 IF(Y59&lt;=2,"Nearing capacity",Unstable flow)))</f>
        <v>Nearing capacity</v>
      </c>
      <c r="AA59" s="46">
        <f t="shared" si="25"/>
        <v>1.6394076683256482</v>
      </c>
      <c r="AB59" s="46">
        <f t="shared" si="26"/>
        <v>1.9822752440222426</v>
      </c>
      <c r="AC59" s="46">
        <f t="shared" si="27"/>
        <v>1.1841289530450521</v>
      </c>
      <c r="AD59" s="46">
        <f t="shared" si="28"/>
        <v>1.5178280176074674</v>
      </c>
      <c r="AE59" s="46">
        <f t="shared" si="29"/>
        <v>1.5809099707501026</v>
      </c>
      <c r="AF59" s="44" t="str">
        <f t="shared" si="19"/>
        <v>Low congestion</v>
      </c>
    </row>
    <row r="60" spans="1:32" x14ac:dyDescent="0.25">
      <c r="A60" s="33">
        <v>57</v>
      </c>
      <c r="B60" s="44">
        <v>1.52</v>
      </c>
      <c r="C60" s="45">
        <v>2.82</v>
      </c>
      <c r="D60" s="46">
        <f>B60*60/average_speed_per_route!Q59</f>
        <v>3.9250992481960236</v>
      </c>
      <c r="E60" s="46">
        <f>B60*60/average_speed_per_route!S59</f>
        <v>4.896947090671663</v>
      </c>
      <c r="F60" s="47">
        <f t="shared" si="7"/>
        <v>4.4110231694338431</v>
      </c>
      <c r="G60" s="46">
        <f>B60*60/average_speed_per_route!U59</f>
        <v>3.2965647483878961</v>
      </c>
      <c r="H60" s="46">
        <f>B60*60/average_speed_per_route!W59</f>
        <v>3.7207876736976813</v>
      </c>
      <c r="I60" s="47">
        <f t="shared" si="8"/>
        <v>3.5086762110427889</v>
      </c>
      <c r="J60" s="66">
        <f t="shared" si="9"/>
        <v>3.6108319982919599</v>
      </c>
      <c r="K60" s="66">
        <f t="shared" si="10"/>
        <v>4.3088673821846726</v>
      </c>
      <c r="L60" s="47">
        <f t="shared" si="11"/>
        <v>3.9598496902383156</v>
      </c>
      <c r="M60" s="46">
        <f t="shared" si="12"/>
        <v>0.72703897907633142</v>
      </c>
      <c r="N60" s="46">
        <f t="shared" si="13"/>
        <v>1.3664125596524099</v>
      </c>
      <c r="O60" s="66">
        <f t="shared" si="14"/>
        <v>1.0467257693643708</v>
      </c>
      <c r="P60" s="66" t="str">
        <f>IF(O60&lt;=0.5,"Free flow",
 IF(O60&lt;=1,"Stable flow",
 IF(O60&lt;=2,"Nearing capacity",Unstable flow)))</f>
        <v>Nearing capacity</v>
      </c>
      <c r="Q60" s="46">
        <f t="shared" si="15"/>
        <v>0.31352943972887914</v>
      </c>
      <c r="R60" s="46">
        <f t="shared" si="20"/>
        <v>0.59262346953794831</v>
      </c>
      <c r="S60" s="66">
        <f t="shared" si="21"/>
        <v>0.45307645463341373</v>
      </c>
      <c r="T60" s="66" t="str">
        <f>IF(S60&lt;=0.5,"Free flow",
 IF(S60&lt;=1,"Stable flow",
 IF(S60&lt;=2,"Nearing capacity",Unstable flow)))</f>
        <v>Free flow</v>
      </c>
      <c r="U60" s="46">
        <f t="shared" si="22"/>
        <v>0.52028420940260522</v>
      </c>
      <c r="V60" s="46" t="str">
        <f>IF(U60&lt;=0.5,"Free flow",
 IF(U60&lt;=1,"Stable flow",
 IF(U60&lt;=2,"Nearing capacity",Unstable flow)))</f>
        <v>Stable flow</v>
      </c>
      <c r="W60" s="46">
        <f t="shared" si="23"/>
        <v>0.97951801459517918</v>
      </c>
      <c r="X60" s="46" t="str">
        <f>IF(W60&lt;=0.5,"Free flow",
 IF(W60&lt;=1,"Stable flow",
 IF(W60&lt;=2,"Nearing capacity",Unstable flow)))</f>
        <v>Stable flow</v>
      </c>
      <c r="Y60" s="47">
        <f t="shared" si="24"/>
        <v>0.7499011119988922</v>
      </c>
      <c r="Z60" s="43" t="str">
        <f>IF(Y60&lt;=0.5,"Free flow",
 IF(Y60&lt;=1,"Stable flow",
 IF(Y60&lt;=2,"Nearing capacity",Unstable flow)))</f>
        <v>Stable flow</v>
      </c>
      <c r="AA60" s="46">
        <f t="shared" si="25"/>
        <v>1.3918791660269587</v>
      </c>
      <c r="AB60" s="46">
        <f t="shared" si="26"/>
        <v>1.7365060605218665</v>
      </c>
      <c r="AC60" s="46">
        <f t="shared" si="27"/>
        <v>1.1689945916269135</v>
      </c>
      <c r="AD60" s="46">
        <f t="shared" si="28"/>
        <v>1.3194282530842842</v>
      </c>
      <c r="AE60" s="46">
        <f t="shared" si="29"/>
        <v>1.4042020178150059</v>
      </c>
      <c r="AF60" s="44" t="str">
        <f t="shared" si="19"/>
        <v>Low congestion</v>
      </c>
    </row>
    <row r="61" spans="1:32" x14ac:dyDescent="0.25">
      <c r="A61" s="33">
        <v>58</v>
      </c>
      <c r="B61" s="44">
        <v>1.5</v>
      </c>
      <c r="C61" s="45">
        <v>2.73</v>
      </c>
      <c r="D61" s="46">
        <f>B61*60/average_speed_per_route!Q60</f>
        <v>3.5883827896101863</v>
      </c>
      <c r="E61" s="46">
        <f>B61*60/average_speed_per_route!S60</f>
        <v>4.7174151646992764</v>
      </c>
      <c r="F61" s="47">
        <f t="shared" si="7"/>
        <v>4.1528989771547309</v>
      </c>
      <c r="G61" s="46">
        <f>B61*60/average_speed_per_route!U60</f>
        <v>3.172813022268743</v>
      </c>
      <c r="H61" s="46">
        <f>B61*60/average_speed_per_route!W60</f>
        <v>3.6228563073433824</v>
      </c>
      <c r="I61" s="47">
        <f t="shared" si="8"/>
        <v>3.3978346648060627</v>
      </c>
      <c r="J61" s="66">
        <f t="shared" si="9"/>
        <v>3.3805979059394646</v>
      </c>
      <c r="K61" s="66">
        <f t="shared" si="10"/>
        <v>4.1701357360213294</v>
      </c>
      <c r="L61" s="47">
        <f t="shared" si="11"/>
        <v>3.7753668209803966</v>
      </c>
      <c r="M61" s="46">
        <f t="shared" si="12"/>
        <v>0.57225519307345751</v>
      </c>
      <c r="N61" s="46">
        <f t="shared" si="13"/>
        <v>1.3249434431328508</v>
      </c>
      <c r="O61" s="66">
        <f t="shared" si="14"/>
        <v>0.94859931810315423</v>
      </c>
      <c r="P61" s="66" t="str">
        <f>IF(O61&lt;=0.5,"Free flow",
 IF(O61&lt;=1,"Stable flow",
 IF(O61&lt;=2,"Nearing capacity",Unstable flow)))</f>
        <v>Stable flow</v>
      </c>
      <c r="Q61" s="46">
        <f t="shared" si="15"/>
        <v>0.2952086815124953</v>
      </c>
      <c r="R61" s="46">
        <f t="shared" si="20"/>
        <v>0.59523753822892156</v>
      </c>
      <c r="S61" s="66">
        <f t="shared" si="21"/>
        <v>0.44522310987070846</v>
      </c>
      <c r="T61" s="66" t="str">
        <f>IF(S61&lt;=0.5,"Free flow",
 IF(S61&lt;=1,"Stable flow",
 IF(S61&lt;=2,"Nearing capacity",Unstable flow)))</f>
        <v>Free flow</v>
      </c>
      <c r="U61" s="46">
        <f t="shared" si="22"/>
        <v>0.43373193729297643</v>
      </c>
      <c r="V61" s="46" t="str">
        <f>IF(U61&lt;=0.5,"Free flow",
 IF(U61&lt;=1,"Stable flow",
 IF(U61&lt;=2,"Nearing capacity",Unstable flow)))</f>
        <v>Free flow</v>
      </c>
      <c r="W61" s="46">
        <f t="shared" si="23"/>
        <v>0.96009049068088625</v>
      </c>
      <c r="X61" s="46" t="str">
        <f>IF(W61&lt;=0.5,"Free flow",
 IF(W61&lt;=1,"Stable flow",
 IF(W61&lt;=2,"Nearing capacity",Unstable flow)))</f>
        <v>Stable flow</v>
      </c>
      <c r="Y61" s="47">
        <f t="shared" si="24"/>
        <v>0.69691121398693134</v>
      </c>
      <c r="Z61" s="43" t="str">
        <f>IF(Y61&lt;=0.5,"Free flow",
 IF(Y61&lt;=1,"Stable flow",
 IF(Y61&lt;=2,"Nearing capacity",Unstable flow)))</f>
        <v>Stable flow</v>
      </c>
      <c r="AA61" s="46">
        <f t="shared" si="25"/>
        <v>1.3144259302601415</v>
      </c>
      <c r="AB61" s="46">
        <f t="shared" si="26"/>
        <v>1.7279909028202478</v>
      </c>
      <c r="AC61" s="46">
        <f t="shared" si="27"/>
        <v>1.1622025722596128</v>
      </c>
      <c r="AD61" s="46">
        <f t="shared" si="28"/>
        <v>1.3270535924334734</v>
      </c>
      <c r="AE61" s="46">
        <f t="shared" si="29"/>
        <v>1.3829182494433689</v>
      </c>
      <c r="AF61" s="44" t="str">
        <f t="shared" si="19"/>
        <v>Low congestion</v>
      </c>
    </row>
    <row r="62" spans="1:32" s="3" customFormat="1" x14ac:dyDescent="0.25">
      <c r="A62" s="130" t="s">
        <v>109</v>
      </c>
      <c r="B62" s="131"/>
      <c r="C62" s="62">
        <f t="shared" ref="C62:E62" si="30">AVERAGE(C4:C61)</f>
        <v>2.5653448275862072</v>
      </c>
      <c r="D62" s="62">
        <f t="shared" si="30"/>
        <v>3.4911096520396594</v>
      </c>
      <c r="E62" s="62">
        <f t="shared" si="30"/>
        <v>4.0721736022323025</v>
      </c>
      <c r="F62" s="62">
        <f>AVERAGE(F4:F61)</f>
        <v>3.7816416271359827</v>
      </c>
      <c r="G62" s="62">
        <f>AVERAGE(G4:G61)</f>
        <v>2.8840921484094619</v>
      </c>
      <c r="H62" s="62">
        <f>AVERAGE(H4:H61)</f>
        <v>3.2862944288162232</v>
      </c>
      <c r="I62" s="62">
        <f>AVERAGE(I4:I61)</f>
        <v>3.0851932886128419</v>
      </c>
      <c r="J62" s="62">
        <f t="shared" ref="J62:K62" si="31">AVERAGE(J4:J61)</f>
        <v>3.1876009002245591</v>
      </c>
      <c r="K62" s="62">
        <f t="shared" si="31"/>
        <v>3.6792340155242638</v>
      </c>
      <c r="L62" s="62">
        <f>AVERAGE(L4:L61)</f>
        <v>3.4334174578744134</v>
      </c>
      <c r="M62" s="62">
        <f>AVERAGE(M4:M61)</f>
        <v>0.60749387777828445</v>
      </c>
      <c r="N62" s="62">
        <f>AVERAGE(N4:N61)</f>
        <v>0.99180526519361711</v>
      </c>
      <c r="O62" s="62">
        <f>AVERAGE(O4:O61)</f>
        <v>0.79964957148595039</v>
      </c>
      <c r="P62" s="62" t="str">
        <f>IF(O62&lt;=0.5,"Free flow",
 IF(O62&lt;=1,"Stable flow",
 IF(O62&lt;=2,"Nearing capacity",Unstable flow)))</f>
        <v>Stable flow</v>
      </c>
      <c r="Q62" s="62">
        <f>AVERAGE(Q4:Q61)</f>
        <v>0.20881553810469089</v>
      </c>
      <c r="R62" s="62">
        <f>AVERAGE(R4:R61)</f>
        <v>0.4728789321646103</v>
      </c>
      <c r="S62" s="62">
        <f>AVERAGE(S4:S61)</f>
        <v>0.34084723513465065</v>
      </c>
      <c r="T62" s="62" t="str">
        <f>IF(S62&lt;=0.5,"Free flow",
 IF(S62&lt;=1,"Stable flow",
 IF(S62&lt;=2,"Nearing capacity",Unstable flow)))</f>
        <v>Free flow</v>
      </c>
      <c r="U62" s="62">
        <f>AVERAGE(U4:U61)</f>
        <v>0.40815470794148773</v>
      </c>
      <c r="V62" s="62" t="str">
        <f>IF(U62&lt;=0.5,"Free flow",
 IF(U62&lt;=1,"Stable flow",
 IF(U62&lt;=2,"Nearing capacity",Unstable flow)))</f>
        <v>Free flow</v>
      </c>
      <c r="W62" s="62">
        <f>AVERAGE(W4:W61)</f>
        <v>0.73234209867911337</v>
      </c>
      <c r="X62" s="62" t="str">
        <f>IF(W62&lt;=0.5,"Free flow",
 IF(W62&lt;=1,"Stable flow",
 IF(W62&lt;=2,"Nearing capacity",Unstable flow)))</f>
        <v>Stable flow</v>
      </c>
      <c r="Y62" s="62">
        <f>AVERAGE(Y4:Y61)</f>
        <v>0.57024840331030069</v>
      </c>
      <c r="Z62" s="71" t="str">
        <f>IF(Y62&lt;=0.5,"Free flow",
 IF(Y62&lt;=1,"Stable flow",
 IF(Y62&lt;=2,"Nearing capacity",Unstable flow)))</f>
        <v>Stable flow</v>
      </c>
      <c r="AA62" s="62">
        <f>AVERAGE(AA4:AA61)</f>
        <v>1.3588761242526417</v>
      </c>
      <c r="AB62" s="62">
        <f>AVERAGE(AB4:AB61)</f>
        <v>1.5858564285093073</v>
      </c>
      <c r="AC62" s="62">
        <f>AVERAGE(AC4:AC61)</f>
        <v>1.121873574114592</v>
      </c>
      <c r="AD62" s="62">
        <f>AVERAGE(AD4:AD61)</f>
        <v>1.2776710479352213</v>
      </c>
      <c r="AE62" s="62">
        <f>AVERAGE(AE4:AE61)</f>
        <v>1.3360692937029406</v>
      </c>
      <c r="AF62" s="44" t="str">
        <f>IF(AE62&lt;=1.2,"Free Flow",IF(AE62&lt;=1.7,"Low congestion",IF(AE62&lt;=2.2,"Moderate","Heavy")))</f>
        <v>Low congestion</v>
      </c>
    </row>
    <row r="63" spans="1:32" x14ac:dyDescent="0.25">
      <c r="A63" s="42"/>
      <c r="B63" s="32">
        <f>SUM(B4:B61)</f>
        <v>88.72</v>
      </c>
      <c r="AB63" s="74"/>
    </row>
    <row r="64" spans="1:32" x14ac:dyDescent="0.25">
      <c r="AF64" s="73"/>
    </row>
  </sheetData>
  <mergeCells count="19">
    <mergeCell ref="A62:B62"/>
    <mergeCell ref="O3:P3"/>
    <mergeCell ref="S3:T3"/>
    <mergeCell ref="M2:P2"/>
    <mergeCell ref="Q2:T2"/>
    <mergeCell ref="M1:Z1"/>
    <mergeCell ref="J2:L2"/>
    <mergeCell ref="AA1:AF1"/>
    <mergeCell ref="A1:A3"/>
    <mergeCell ref="B1:B3"/>
    <mergeCell ref="C1:C3"/>
    <mergeCell ref="D1:L1"/>
    <mergeCell ref="D2:F2"/>
    <mergeCell ref="G2:I2"/>
    <mergeCell ref="Y3:Z3"/>
    <mergeCell ref="AC2:AD2"/>
    <mergeCell ref="AE2:AF3"/>
    <mergeCell ref="AA2:AB2"/>
    <mergeCell ref="U2:Z2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"/>
  <sheetViews>
    <sheetView workbookViewId="0">
      <selection activeCell="M66" sqref="M66"/>
    </sheetView>
  </sheetViews>
  <sheetFormatPr defaultRowHeight="15" x14ac:dyDescent="0.25"/>
  <cols>
    <col min="1" max="1" width="8.42578125" style="33" customWidth="1"/>
    <col min="2" max="5" width="9.140625" style="37"/>
    <col min="8" max="8" width="8.42578125" style="33" customWidth="1"/>
    <col min="9" max="22" width="9.140625" style="37"/>
    <col min="25" max="25" width="8.42578125" style="33" customWidth="1"/>
    <col min="26" max="29" width="9.140625" style="37"/>
  </cols>
  <sheetData>
    <row r="1" spans="1:29" x14ac:dyDescent="0.25">
      <c r="A1" s="118" t="s">
        <v>1</v>
      </c>
      <c r="B1" s="135" t="s">
        <v>95</v>
      </c>
      <c r="C1" s="135"/>
      <c r="D1" s="135"/>
      <c r="E1" s="135"/>
      <c r="H1" s="72"/>
      <c r="I1" s="135" t="s">
        <v>117</v>
      </c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Y1" s="72" t="s">
        <v>1</v>
      </c>
      <c r="Z1" s="84" t="s">
        <v>121</v>
      </c>
      <c r="AA1" s="84" t="s">
        <v>122</v>
      </c>
      <c r="AB1" s="84" t="s">
        <v>123</v>
      </c>
      <c r="AC1" s="84" t="s">
        <v>124</v>
      </c>
    </row>
    <row r="2" spans="1:29" x14ac:dyDescent="0.25">
      <c r="A2" s="118"/>
      <c r="B2" s="135"/>
      <c r="C2" s="135"/>
      <c r="D2" s="135"/>
      <c r="E2" s="135"/>
      <c r="H2" s="72" t="s">
        <v>1</v>
      </c>
      <c r="I2" s="135" t="s">
        <v>111</v>
      </c>
      <c r="J2" s="135"/>
      <c r="K2" s="135" t="s">
        <v>112</v>
      </c>
      <c r="L2" s="135"/>
      <c r="M2" s="135" t="s">
        <v>108</v>
      </c>
      <c r="N2" s="135"/>
      <c r="O2" s="135"/>
      <c r="P2" s="135"/>
      <c r="Q2" s="135"/>
      <c r="R2" s="135"/>
      <c r="S2" s="135"/>
      <c r="T2" s="135"/>
      <c r="U2" s="135"/>
      <c r="V2" s="135"/>
      <c r="Y2" s="33">
        <v>1</v>
      </c>
      <c r="Z2" s="46">
        <v>30.208168068259038</v>
      </c>
      <c r="AA2" s="46">
        <v>26.728077544225005</v>
      </c>
      <c r="AB2" s="46">
        <v>32.433222095181513</v>
      </c>
      <c r="AC2" s="46">
        <v>30.494392239926782</v>
      </c>
    </row>
    <row r="3" spans="1:29" x14ac:dyDescent="0.25">
      <c r="A3" s="118"/>
      <c r="B3" s="46" t="s">
        <v>89</v>
      </c>
      <c r="C3" s="46" t="s">
        <v>90</v>
      </c>
      <c r="D3" s="46" t="s">
        <v>91</v>
      </c>
      <c r="E3" s="46" t="s">
        <v>92</v>
      </c>
      <c r="H3" s="72"/>
      <c r="I3" s="46" t="s">
        <v>87</v>
      </c>
      <c r="J3" s="46" t="s">
        <v>88</v>
      </c>
      <c r="K3" s="46" t="s">
        <v>87</v>
      </c>
      <c r="L3" s="46" t="s">
        <v>88</v>
      </c>
      <c r="M3" s="135" t="s">
        <v>99</v>
      </c>
      <c r="N3" s="135"/>
      <c r="O3" s="135" t="s">
        <v>98</v>
      </c>
      <c r="P3" s="135"/>
      <c r="Q3" s="135" t="s">
        <v>114</v>
      </c>
      <c r="R3" s="135"/>
      <c r="S3" s="135" t="s">
        <v>115</v>
      </c>
      <c r="T3" s="135"/>
      <c r="U3" s="135" t="s">
        <v>108</v>
      </c>
      <c r="V3" s="135"/>
      <c r="Y3" s="33">
        <v>2</v>
      </c>
      <c r="Z3" s="46">
        <v>19.959515782166868</v>
      </c>
      <c r="AA3" s="46">
        <v>15.271608073745719</v>
      </c>
      <c r="AB3" s="46">
        <v>23.482379682012933</v>
      </c>
      <c r="AC3" s="46">
        <v>20.909134393516013</v>
      </c>
    </row>
    <row r="4" spans="1:29" x14ac:dyDescent="0.25">
      <c r="A4" s="33">
        <v>1</v>
      </c>
      <c r="B4" s="46">
        <v>1.1688127604398344</v>
      </c>
      <c r="C4" s="46">
        <v>1.320996328646205</v>
      </c>
      <c r="D4" s="46">
        <v>1.0886273403263822</v>
      </c>
      <c r="E4" s="46">
        <v>1.1578421379870427</v>
      </c>
      <c r="H4" s="33">
        <v>1</v>
      </c>
      <c r="I4" s="46">
        <v>0.28687135761017613</v>
      </c>
      <c r="J4" s="46">
        <v>0.54548395717655751</v>
      </c>
      <c r="K4" s="46">
        <v>0.15060855218862337</v>
      </c>
      <c r="L4" s="46">
        <v>0.26822846978190251</v>
      </c>
      <c r="M4" s="46">
        <v>0.41617765739336682</v>
      </c>
      <c r="N4" s="46" t="s">
        <v>118</v>
      </c>
      <c r="O4" s="46">
        <v>0.20941851098526293</v>
      </c>
      <c r="P4" s="46" t="s">
        <v>118</v>
      </c>
      <c r="Q4" s="46">
        <v>0.21873995489939974</v>
      </c>
      <c r="R4" s="46" t="s">
        <v>118</v>
      </c>
      <c r="S4" s="46">
        <v>0.40685621347923001</v>
      </c>
      <c r="T4" s="46" t="s">
        <v>118</v>
      </c>
      <c r="U4" s="46">
        <v>0.31279808418931487</v>
      </c>
      <c r="V4" s="46" t="s">
        <v>118</v>
      </c>
      <c r="Y4" s="33">
        <v>3</v>
      </c>
      <c r="Z4" s="46">
        <v>30.531993903042043</v>
      </c>
      <c r="AA4" s="46">
        <v>25.201486858770515</v>
      </c>
      <c r="AB4" s="46">
        <v>33.1504174879693</v>
      </c>
      <c r="AC4" s="46">
        <v>30.042172720169493</v>
      </c>
    </row>
    <row r="5" spans="1:29" x14ac:dyDescent="0.25">
      <c r="A5" s="33">
        <v>2</v>
      </c>
      <c r="B5" s="46">
        <v>1.3963175654846207</v>
      </c>
      <c r="C5" s="46">
        <v>1.8249435390579256</v>
      </c>
      <c r="D5" s="46">
        <v>1.1868397863677702</v>
      </c>
      <c r="E5" s="46">
        <v>1.3329017816179718</v>
      </c>
      <c r="H5" s="33">
        <v>2</v>
      </c>
      <c r="I5" s="46">
        <v>0.85321870785860998</v>
      </c>
      <c r="J5" s="46">
        <v>1.7759930968253428</v>
      </c>
      <c r="K5" s="46">
        <v>0.40224106874080484</v>
      </c>
      <c r="L5" s="46">
        <v>0.71669300755970999</v>
      </c>
      <c r="M5" s="46">
        <v>1.3146059023419765</v>
      </c>
      <c r="N5" s="46" t="s">
        <v>119</v>
      </c>
      <c r="O5" s="46">
        <v>0.55946703815025745</v>
      </c>
      <c r="P5" s="46" t="s">
        <v>120</v>
      </c>
      <c r="Q5" s="46">
        <v>0.62772988829970744</v>
      </c>
      <c r="R5" s="46" t="s">
        <v>120</v>
      </c>
      <c r="S5" s="46">
        <v>1.2463430521925263</v>
      </c>
      <c r="T5" s="46" t="s">
        <v>119</v>
      </c>
      <c r="U5" s="46">
        <v>0.93703647024611691</v>
      </c>
      <c r="V5" s="46" t="s">
        <v>120</v>
      </c>
      <c r="Y5" s="33">
        <v>4</v>
      </c>
      <c r="Z5" s="46">
        <v>33.639355990846582</v>
      </c>
      <c r="AA5" s="46">
        <v>28.203368766889479</v>
      </c>
      <c r="AB5" s="46">
        <v>36.022258784918684</v>
      </c>
      <c r="AC5" s="46">
        <v>30.940122981611445</v>
      </c>
    </row>
    <row r="6" spans="1:29" x14ac:dyDescent="0.25">
      <c r="A6" s="33">
        <v>3</v>
      </c>
      <c r="B6" s="46">
        <v>1.1559715935729409</v>
      </c>
      <c r="C6" s="46">
        <v>1.4004775926455275</v>
      </c>
      <c r="D6" s="46">
        <v>1.0646658570700505</v>
      </c>
      <c r="E6" s="46">
        <v>1.1748190776948473</v>
      </c>
      <c r="H6" s="33">
        <v>3</v>
      </c>
      <c r="I6" s="46">
        <v>0.2651517090739996</v>
      </c>
      <c r="J6" s="46">
        <v>0.68081190749739662</v>
      </c>
      <c r="K6" s="46">
        <v>0.10993195701908576</v>
      </c>
      <c r="L6" s="46">
        <v>0.2971924320812403</v>
      </c>
      <c r="M6" s="46">
        <v>0.47298180828569814</v>
      </c>
      <c r="N6" s="46" t="s">
        <v>118</v>
      </c>
      <c r="O6" s="46">
        <v>0.20356219455016303</v>
      </c>
      <c r="P6" s="46" t="s">
        <v>118</v>
      </c>
      <c r="Q6" s="46">
        <v>0.18754183304654268</v>
      </c>
      <c r="R6" s="46" t="s">
        <v>118</v>
      </c>
      <c r="S6" s="46">
        <v>0.48900216978931843</v>
      </c>
      <c r="T6" s="46" t="s">
        <v>118</v>
      </c>
      <c r="U6" s="46">
        <v>0.33827200141793057</v>
      </c>
      <c r="V6" s="46" t="s">
        <v>118</v>
      </c>
      <c r="Y6" s="33">
        <v>5</v>
      </c>
      <c r="Z6" s="46">
        <v>29.744219035732623</v>
      </c>
      <c r="AA6" s="46">
        <v>22.087859992230616</v>
      </c>
      <c r="AB6" s="46">
        <v>32.953960482422694</v>
      </c>
      <c r="AC6" s="46">
        <v>26.693244140498987</v>
      </c>
    </row>
    <row r="7" spans="1:29" x14ac:dyDescent="0.25">
      <c r="A7" s="33">
        <v>4</v>
      </c>
      <c r="B7" s="46">
        <v>1.20515210075876</v>
      </c>
      <c r="C7" s="46">
        <v>1.4374361047299709</v>
      </c>
      <c r="D7" s="46">
        <v>1.1254302730597645</v>
      </c>
      <c r="E7" s="46">
        <v>1.3102902197458905</v>
      </c>
      <c r="H7" s="33">
        <v>4</v>
      </c>
      <c r="I7" s="46">
        <v>0.30362510912296486</v>
      </c>
      <c r="J7" s="46">
        <v>0.64740543500035697</v>
      </c>
      <c r="K7" s="46">
        <v>0.18563680412845152</v>
      </c>
      <c r="L7" s="46">
        <v>0.45922952522391797</v>
      </c>
      <c r="M7" s="46">
        <v>0.47551527206166089</v>
      </c>
      <c r="N7" s="46" t="s">
        <v>118</v>
      </c>
      <c r="O7" s="46">
        <v>0.32243316467618477</v>
      </c>
      <c r="P7" s="46" t="s">
        <v>118</v>
      </c>
      <c r="Q7" s="46">
        <v>0.24463095662570819</v>
      </c>
      <c r="R7" s="46" t="s">
        <v>118</v>
      </c>
      <c r="S7" s="46">
        <v>0.55331748011213744</v>
      </c>
      <c r="T7" s="46" t="s">
        <v>120</v>
      </c>
      <c r="U7" s="46">
        <v>0.39897421836892283</v>
      </c>
      <c r="V7" s="46" t="s">
        <v>118</v>
      </c>
      <c r="Y7" s="33">
        <v>6</v>
      </c>
      <c r="Z7" s="46">
        <v>34.294388699065863</v>
      </c>
      <c r="AA7" s="46">
        <v>32.172395051162489</v>
      </c>
      <c r="AB7" s="46">
        <v>37.646420233784454</v>
      </c>
      <c r="AC7" s="46">
        <v>34.754630218874844</v>
      </c>
    </row>
    <row r="8" spans="1:29" x14ac:dyDescent="0.25">
      <c r="A8" s="33">
        <v>5</v>
      </c>
      <c r="B8" s="46">
        <v>1.2617868417538181</v>
      </c>
      <c r="C8" s="46">
        <v>1.6991625359239106</v>
      </c>
      <c r="D8" s="46">
        <v>1.1388878194943957</v>
      </c>
      <c r="E8" s="46">
        <v>1.4060061040159986</v>
      </c>
      <c r="H8" s="33">
        <v>5</v>
      </c>
      <c r="I8" s="46">
        <v>0.41851449043538025</v>
      </c>
      <c r="J8" s="46">
        <v>1.1177401067730939</v>
      </c>
      <c r="K8" s="46">
        <v>0.22203776406011935</v>
      </c>
      <c r="L8" s="46">
        <v>0.64907554786768207</v>
      </c>
      <c r="M8" s="46">
        <v>0.76812729860423712</v>
      </c>
      <c r="N8" s="46" t="s">
        <v>120</v>
      </c>
      <c r="O8" s="46">
        <v>0.4355566559639007</v>
      </c>
      <c r="P8" s="46" t="s">
        <v>118</v>
      </c>
      <c r="Q8" s="46">
        <v>0.32027612724774979</v>
      </c>
      <c r="R8" s="46" t="s">
        <v>118</v>
      </c>
      <c r="S8" s="46">
        <v>0.88340782732038803</v>
      </c>
      <c r="T8" s="46" t="s">
        <v>120</v>
      </c>
      <c r="U8" s="46">
        <v>0.60184197728406896</v>
      </c>
      <c r="V8" s="46" t="s">
        <v>120</v>
      </c>
      <c r="Y8" s="33">
        <v>7</v>
      </c>
      <c r="Z8" s="46">
        <v>35.206843624867382</v>
      </c>
      <c r="AA8" s="46">
        <v>33.857791884240385</v>
      </c>
      <c r="AB8" s="46">
        <v>36.697944379892007</v>
      </c>
      <c r="AC8" s="46">
        <v>34.066312809503721</v>
      </c>
    </row>
    <row r="9" spans="1:29" x14ac:dyDescent="0.25">
      <c r="A9" s="33">
        <v>6</v>
      </c>
      <c r="B9" s="46">
        <v>1.2038238684467149</v>
      </c>
      <c r="C9" s="46">
        <v>1.2832244414527363</v>
      </c>
      <c r="D9" s="46">
        <v>1.0966355742019671</v>
      </c>
      <c r="E9" s="46">
        <v>1.1878821155548847</v>
      </c>
      <c r="H9" s="33">
        <v>6</v>
      </c>
      <c r="I9" s="46">
        <v>0.29622402214255911</v>
      </c>
      <c r="J9" s="46">
        <v>0.41161952157797693</v>
      </c>
      <c r="K9" s="46">
        <v>0.14044370117352548</v>
      </c>
      <c r="L9" s="46">
        <v>0.27305534127309894</v>
      </c>
      <c r="M9" s="46">
        <v>0.35392177186026802</v>
      </c>
      <c r="N9" s="46" t="s">
        <v>118</v>
      </c>
      <c r="O9" s="46">
        <v>0.20674952122331219</v>
      </c>
      <c r="P9" s="46" t="s">
        <v>118</v>
      </c>
      <c r="Q9" s="46">
        <v>0.21833386165804231</v>
      </c>
      <c r="R9" s="46" t="s">
        <v>118</v>
      </c>
      <c r="S9" s="46">
        <v>0.34233743142553796</v>
      </c>
      <c r="T9" s="46" t="s">
        <v>118</v>
      </c>
      <c r="U9" s="46">
        <v>0.28033564654179011</v>
      </c>
      <c r="V9" s="46" t="s">
        <v>118</v>
      </c>
      <c r="Y9" s="33">
        <v>8</v>
      </c>
      <c r="Z9" s="46">
        <v>28.710313213120628</v>
      </c>
      <c r="AA9" s="46">
        <v>27.8240332676584</v>
      </c>
      <c r="AB9" s="46">
        <v>32.153543921728492</v>
      </c>
      <c r="AC9" s="46">
        <v>29.874259661775646</v>
      </c>
    </row>
    <row r="10" spans="1:29" x14ac:dyDescent="0.25">
      <c r="A10" s="33">
        <v>7</v>
      </c>
      <c r="B10" s="46">
        <v>1.1027267830491563</v>
      </c>
      <c r="C10" s="46">
        <v>1.1466645416364467</v>
      </c>
      <c r="D10" s="46">
        <v>1.0579210925241191</v>
      </c>
      <c r="E10" s="46">
        <v>1.1396457734907499</v>
      </c>
      <c r="H10" s="33">
        <v>7</v>
      </c>
      <c r="I10" s="46">
        <v>0.15875957380324165</v>
      </c>
      <c r="J10" s="46">
        <v>0.22666338252905413</v>
      </c>
      <c r="K10" s="46">
        <v>8.9514415719093271E-2</v>
      </c>
      <c r="L10" s="46">
        <v>0.21581619539479527</v>
      </c>
      <c r="M10" s="46">
        <v>0.19271147816614789</v>
      </c>
      <c r="N10" s="46" t="s">
        <v>118</v>
      </c>
      <c r="O10" s="46">
        <v>0.15266530555694427</v>
      </c>
      <c r="P10" s="46" t="s">
        <v>118</v>
      </c>
      <c r="Q10" s="46">
        <v>0.12413699476116746</v>
      </c>
      <c r="R10" s="46" t="s">
        <v>118</v>
      </c>
      <c r="S10" s="46">
        <v>0.2212397889619247</v>
      </c>
      <c r="T10" s="46" t="s">
        <v>118</v>
      </c>
      <c r="U10" s="46">
        <v>0.17268839186154608</v>
      </c>
      <c r="V10" s="46" t="s">
        <v>118</v>
      </c>
      <c r="Y10" s="33">
        <v>9</v>
      </c>
      <c r="Z10" s="46">
        <v>23.79289994440115</v>
      </c>
      <c r="AA10" s="46">
        <v>22.510029885456994</v>
      </c>
      <c r="AB10" s="46">
        <v>32.535043681158307</v>
      </c>
      <c r="AC10" s="46">
        <v>25.761237815984423</v>
      </c>
    </row>
    <row r="11" spans="1:29" x14ac:dyDescent="0.25">
      <c r="A11" s="33">
        <v>8</v>
      </c>
      <c r="B11" s="46">
        <v>1.2144738467139826</v>
      </c>
      <c r="C11" s="46">
        <v>1.2531585264035405</v>
      </c>
      <c r="D11" s="46">
        <v>1.0844193291159763</v>
      </c>
      <c r="E11" s="46">
        <v>1.1671561043876069</v>
      </c>
      <c r="H11" s="33">
        <v>8</v>
      </c>
      <c r="I11" s="46">
        <v>0.36906213882600908</v>
      </c>
      <c r="J11" s="46">
        <v>0.43562993179830029</v>
      </c>
      <c r="K11" s="46">
        <v>0.14526702737489428</v>
      </c>
      <c r="L11" s="46">
        <v>0.28763875105659614</v>
      </c>
      <c r="M11" s="46">
        <v>0.40234603531215468</v>
      </c>
      <c r="N11" s="46" t="s">
        <v>118</v>
      </c>
      <c r="O11" s="46">
        <v>0.21645288921574521</v>
      </c>
      <c r="P11" s="46" t="s">
        <v>118</v>
      </c>
      <c r="Q11" s="46">
        <v>0.25716458310045165</v>
      </c>
      <c r="R11" s="46" t="s">
        <v>118</v>
      </c>
      <c r="S11" s="46">
        <v>0.36163434142744821</v>
      </c>
      <c r="T11" s="46" t="s">
        <v>118</v>
      </c>
      <c r="U11" s="46">
        <v>0.30939946226394993</v>
      </c>
      <c r="V11" s="46" t="s">
        <v>118</v>
      </c>
      <c r="Y11" s="33">
        <v>10</v>
      </c>
      <c r="Z11" s="46">
        <v>23.446394169362058</v>
      </c>
      <c r="AA11" s="46">
        <v>20.345280343519185</v>
      </c>
      <c r="AB11" s="46">
        <v>30.709392176061485</v>
      </c>
      <c r="AC11" s="46">
        <v>24.261998610286867</v>
      </c>
    </row>
    <row r="12" spans="1:29" x14ac:dyDescent="0.25">
      <c r="A12" s="33">
        <v>9</v>
      </c>
      <c r="B12" s="46">
        <v>1.5645209235908162</v>
      </c>
      <c r="C12" s="46">
        <v>1.6536846012793571</v>
      </c>
      <c r="D12" s="46">
        <v>1.1441352334029848</v>
      </c>
      <c r="E12" s="46">
        <v>1.4449806357061454</v>
      </c>
      <c r="H12" s="33">
        <v>9</v>
      </c>
      <c r="I12" s="46">
        <v>0.9099185939457235</v>
      </c>
      <c r="J12" s="46">
        <v>1.0536363639042272</v>
      </c>
      <c r="K12" s="46">
        <v>0.23232323805086358</v>
      </c>
      <c r="L12" s="46">
        <v>0.71723852465793192</v>
      </c>
      <c r="M12" s="46">
        <v>0.98177747892497536</v>
      </c>
      <c r="N12" s="46" t="s">
        <v>120</v>
      </c>
      <c r="O12" s="46">
        <v>0.47478088135439778</v>
      </c>
      <c r="P12" s="46" t="s">
        <v>118</v>
      </c>
      <c r="Q12" s="46">
        <v>0.57112091599829351</v>
      </c>
      <c r="R12" s="46" t="s">
        <v>120</v>
      </c>
      <c r="S12" s="46">
        <v>0.88543744428107951</v>
      </c>
      <c r="T12" s="46" t="s">
        <v>120</v>
      </c>
      <c r="U12" s="46">
        <v>0.72827918013968651</v>
      </c>
      <c r="V12" s="46" t="s">
        <v>120</v>
      </c>
      <c r="Y12" s="33">
        <v>11</v>
      </c>
      <c r="Z12" s="46">
        <v>28.736021809299654</v>
      </c>
      <c r="AA12" s="46">
        <v>24.863237195759886</v>
      </c>
      <c r="AB12" s="46">
        <v>40.539485880520942</v>
      </c>
      <c r="AC12" s="46">
        <v>36.895905881953531</v>
      </c>
    </row>
    <row r="13" spans="1:29" x14ac:dyDescent="0.25">
      <c r="A13" s="33">
        <v>10</v>
      </c>
      <c r="B13" s="46">
        <v>1.5053111106175321</v>
      </c>
      <c r="C13" s="46">
        <v>1.734757007577999</v>
      </c>
      <c r="D13" s="46">
        <v>1.1492939177927206</v>
      </c>
      <c r="E13" s="46">
        <v>1.4547077598172165</v>
      </c>
      <c r="H13" s="33">
        <v>10</v>
      </c>
      <c r="I13" s="46">
        <v>0.85902888804980437</v>
      </c>
      <c r="J13" s="46">
        <v>1.2490869128825981</v>
      </c>
      <c r="K13" s="46">
        <v>0.25379966024762507</v>
      </c>
      <c r="L13" s="46">
        <v>0.77300319168926779</v>
      </c>
      <c r="M13" s="46">
        <v>1.0540579004662012</v>
      </c>
      <c r="N13" s="46" t="s">
        <v>119</v>
      </c>
      <c r="O13" s="46">
        <v>0.5134014259684464</v>
      </c>
      <c r="P13" s="46" t="s">
        <v>120</v>
      </c>
      <c r="Q13" s="46">
        <v>0.55641427414871469</v>
      </c>
      <c r="R13" s="46" t="s">
        <v>120</v>
      </c>
      <c r="S13" s="46">
        <v>1.0110450522859329</v>
      </c>
      <c r="T13" s="46" t="s">
        <v>119</v>
      </c>
      <c r="U13" s="46">
        <v>0.78372966321732374</v>
      </c>
      <c r="V13" s="46" t="s">
        <v>120</v>
      </c>
      <c r="Y13" s="33">
        <v>12</v>
      </c>
      <c r="Z13" s="46">
        <v>21.635491004312172</v>
      </c>
      <c r="AA13" s="46">
        <v>18.638626040052902</v>
      </c>
      <c r="AB13" s="46">
        <v>31.083362723665779</v>
      </c>
      <c r="AC13" s="46">
        <v>25.543065521317466</v>
      </c>
    </row>
    <row r="14" spans="1:29" x14ac:dyDescent="0.25">
      <c r="A14" s="33">
        <v>11</v>
      </c>
      <c r="B14" s="46">
        <v>1.6703773514142473</v>
      </c>
      <c r="C14" s="46">
        <v>1.9305611583107045</v>
      </c>
      <c r="D14" s="46">
        <v>1.1840308024987509</v>
      </c>
      <c r="E14" s="46">
        <v>1.3009573515710229</v>
      </c>
      <c r="H14" s="33">
        <v>11</v>
      </c>
      <c r="I14" s="46">
        <v>0.83797168926780907</v>
      </c>
      <c r="J14" s="46">
        <v>1.1632014478883805</v>
      </c>
      <c r="K14" s="46">
        <v>0.23003850312343868</v>
      </c>
      <c r="L14" s="46">
        <v>0.37619668946377866</v>
      </c>
      <c r="M14" s="46">
        <v>1.0005865685780948</v>
      </c>
      <c r="N14" s="46" t="s">
        <v>119</v>
      </c>
      <c r="O14" s="46">
        <v>0.30311759629360868</v>
      </c>
      <c r="P14" s="46" t="s">
        <v>118</v>
      </c>
      <c r="Q14" s="46">
        <v>0.53400509619562386</v>
      </c>
      <c r="R14" s="46" t="s">
        <v>120</v>
      </c>
      <c r="S14" s="46">
        <v>0.76969906867607962</v>
      </c>
      <c r="T14" s="46" t="s">
        <v>120</v>
      </c>
      <c r="U14" s="46">
        <v>0.6518520824358518</v>
      </c>
      <c r="V14" s="46" t="s">
        <v>120</v>
      </c>
      <c r="Y14" s="33">
        <v>13</v>
      </c>
      <c r="Z14" s="46">
        <v>21.254473370663312</v>
      </c>
      <c r="AA14" s="46">
        <v>18.269318719907925</v>
      </c>
      <c r="AB14" s="46">
        <v>31.694166901045708</v>
      </c>
      <c r="AC14" s="46">
        <v>26.450844059879834</v>
      </c>
    </row>
    <row r="15" spans="1:29" x14ac:dyDescent="0.25">
      <c r="A15" s="33">
        <v>12</v>
      </c>
      <c r="B15" s="46">
        <v>1.7012196617927311</v>
      </c>
      <c r="C15" s="46">
        <v>1.9747551461132895</v>
      </c>
      <c r="D15" s="46">
        <v>1.1841293690226213</v>
      </c>
      <c r="E15" s="46">
        <v>1.4409673207923246</v>
      </c>
      <c r="H15" s="33">
        <v>12</v>
      </c>
      <c r="I15" s="46">
        <v>1.1430841062100683</v>
      </c>
      <c r="J15" s="46">
        <v>1.5889844162668691</v>
      </c>
      <c r="K15" s="46">
        <v>0.30015609470810878</v>
      </c>
      <c r="L15" s="46">
        <v>0.71883713937378946</v>
      </c>
      <c r="M15" s="46">
        <v>1.3660342612384686</v>
      </c>
      <c r="N15" s="46" t="s">
        <v>119</v>
      </c>
      <c r="O15" s="46">
        <v>0.50949661704094917</v>
      </c>
      <c r="P15" s="46" t="s">
        <v>120</v>
      </c>
      <c r="Q15" s="46">
        <v>0.72162010045908853</v>
      </c>
      <c r="R15" s="46" t="s">
        <v>120</v>
      </c>
      <c r="S15" s="46">
        <v>1.1539107778203292</v>
      </c>
      <c r="T15" s="46" t="s">
        <v>119</v>
      </c>
      <c r="U15" s="46">
        <v>0.93776543913970889</v>
      </c>
      <c r="V15" s="46" t="s">
        <v>120</v>
      </c>
      <c r="Y15" s="33">
        <v>14</v>
      </c>
      <c r="Z15" s="46">
        <v>25.135854884701516</v>
      </c>
      <c r="AA15" s="46">
        <v>20.52088123584404</v>
      </c>
      <c r="AB15" s="46">
        <v>31.87359937204053</v>
      </c>
      <c r="AC15" s="46">
        <v>27.537833279953809</v>
      </c>
    </row>
    <row r="16" spans="1:29" x14ac:dyDescent="0.25">
      <c r="A16" s="33">
        <v>13</v>
      </c>
      <c r="B16" s="46">
        <v>1.6959926600578275</v>
      </c>
      <c r="C16" s="46">
        <v>1.9731130307973084</v>
      </c>
      <c r="D16" s="46">
        <v>1.1373522119254755</v>
      </c>
      <c r="E16" s="46">
        <v>1.3628083379280749</v>
      </c>
      <c r="H16" s="33">
        <v>13</v>
      </c>
      <c r="I16" s="46">
        <v>1.1584614670699362</v>
      </c>
      <c r="J16" s="46">
        <v>1.6197210315244672</v>
      </c>
      <c r="K16" s="46">
        <v>0.22861914221806109</v>
      </c>
      <c r="L16" s="46">
        <v>0.6038849308934402</v>
      </c>
      <c r="M16" s="46">
        <v>1.3890912492972016</v>
      </c>
      <c r="N16" s="46" t="s">
        <v>119</v>
      </c>
      <c r="O16" s="46">
        <v>0.41625203655575066</v>
      </c>
      <c r="P16" s="46" t="s">
        <v>118</v>
      </c>
      <c r="Q16" s="46">
        <v>0.69354030464399863</v>
      </c>
      <c r="R16" s="46" t="s">
        <v>120</v>
      </c>
      <c r="S16" s="46">
        <v>1.1118029812089536</v>
      </c>
      <c r="T16" s="46" t="s">
        <v>119</v>
      </c>
      <c r="U16" s="46">
        <v>0.90267164292647606</v>
      </c>
      <c r="V16" s="46" t="s">
        <v>120</v>
      </c>
      <c r="Y16" s="33">
        <v>15</v>
      </c>
      <c r="Z16" s="46">
        <v>34.425443765312437</v>
      </c>
      <c r="AA16" s="46">
        <v>29.712455245910622</v>
      </c>
      <c r="AB16" s="46">
        <v>43.696441013080694</v>
      </c>
      <c r="AC16" s="46">
        <v>37.807842078501778</v>
      </c>
    </row>
    <row r="17" spans="1:29" x14ac:dyDescent="0.25">
      <c r="A17" s="33">
        <v>14</v>
      </c>
      <c r="B17" s="46">
        <v>1.4303225856966064</v>
      </c>
      <c r="C17" s="46">
        <v>1.7519901089619165</v>
      </c>
      <c r="D17" s="46">
        <v>1.1279673981194078</v>
      </c>
      <c r="E17" s="46">
        <v>1.3055631714697218</v>
      </c>
      <c r="H17" s="33">
        <v>14</v>
      </c>
      <c r="I17" s="46">
        <v>0.7181542489771181</v>
      </c>
      <c r="J17" s="46">
        <v>1.2549768705854503</v>
      </c>
      <c r="K17" s="46">
        <v>0.21356148560325025</v>
      </c>
      <c r="L17" s="46">
        <v>0.50994648483688687</v>
      </c>
      <c r="M17" s="46">
        <v>0.98656555978128413</v>
      </c>
      <c r="N17" s="46" t="s">
        <v>120</v>
      </c>
      <c r="O17" s="46">
        <v>0.36175398522006857</v>
      </c>
      <c r="P17" s="46" t="s">
        <v>118</v>
      </c>
      <c r="Q17" s="46">
        <v>0.46585786729018419</v>
      </c>
      <c r="R17" s="46" t="s">
        <v>118</v>
      </c>
      <c r="S17" s="46">
        <v>0.88246167771116857</v>
      </c>
      <c r="T17" s="46" t="s">
        <v>120</v>
      </c>
      <c r="U17" s="46">
        <v>0.67415977250067638</v>
      </c>
      <c r="V17" s="46" t="s">
        <v>120</v>
      </c>
      <c r="Y17" s="33">
        <v>16</v>
      </c>
      <c r="Z17" s="46">
        <v>48.42425657075789</v>
      </c>
      <c r="AA17" s="46">
        <v>37.875769168927732</v>
      </c>
      <c r="AB17" s="46">
        <v>52.441077536520218</v>
      </c>
      <c r="AC17" s="46">
        <v>50.210382905324209</v>
      </c>
    </row>
    <row r="18" spans="1:29" x14ac:dyDescent="0.25">
      <c r="A18" s="33">
        <v>15</v>
      </c>
      <c r="B18" s="46">
        <v>1.3848964736865457</v>
      </c>
      <c r="C18" s="46">
        <v>1.6045686995939983</v>
      </c>
      <c r="D18" s="46">
        <v>1.0910654179227957</v>
      </c>
      <c r="E18" s="46">
        <v>1.2609996512544925</v>
      </c>
      <c r="H18" s="33">
        <v>15</v>
      </c>
      <c r="I18" s="46">
        <v>0.48439352130619689</v>
      </c>
      <c r="J18" s="46">
        <v>0.76085176479516781</v>
      </c>
      <c r="K18" s="46">
        <v>0.11460613820215783</v>
      </c>
      <c r="L18" s="46">
        <v>0.32846894885769473</v>
      </c>
      <c r="M18" s="46">
        <v>0.62262264305068238</v>
      </c>
      <c r="N18" s="46" t="s">
        <v>120</v>
      </c>
      <c r="O18" s="46">
        <v>0.22153754352992627</v>
      </c>
      <c r="P18" s="46" t="s">
        <v>118</v>
      </c>
      <c r="Q18" s="46">
        <v>0.29949982975417738</v>
      </c>
      <c r="R18" s="46" t="s">
        <v>118</v>
      </c>
      <c r="S18" s="46">
        <v>0.54466035682643121</v>
      </c>
      <c r="T18" s="46" t="s">
        <v>120</v>
      </c>
      <c r="U18" s="46">
        <v>0.42208009329030438</v>
      </c>
      <c r="V18" s="46" t="s">
        <v>118</v>
      </c>
      <c r="Y18" s="33">
        <v>17</v>
      </c>
      <c r="Z18" s="46">
        <v>30.680469036769448</v>
      </c>
      <c r="AA18" s="46">
        <v>23.871439639018313</v>
      </c>
      <c r="AB18" s="46">
        <v>38.221785946201067</v>
      </c>
      <c r="AC18" s="46">
        <v>32.682355317712769</v>
      </c>
    </row>
    <row r="19" spans="1:29" x14ac:dyDescent="0.25">
      <c r="A19" s="33">
        <v>16</v>
      </c>
      <c r="B19" s="46">
        <v>1.1129177686004237</v>
      </c>
      <c r="C19" s="46">
        <v>1.4228678849662546</v>
      </c>
      <c r="D19" s="46">
        <v>1.0276717813689369</v>
      </c>
      <c r="E19" s="46">
        <v>1.0733281136389752</v>
      </c>
      <c r="H19" s="33">
        <v>16</v>
      </c>
      <c r="I19" s="46">
        <v>0.12571511570847171</v>
      </c>
      <c r="J19" s="46">
        <v>0.47079291192909672</v>
      </c>
      <c r="K19" s="46">
        <v>3.0807916590749773E-2</v>
      </c>
      <c r="L19" s="46">
        <v>8.1638633184725709E-2</v>
      </c>
      <c r="M19" s="46">
        <v>0.29825401381878425</v>
      </c>
      <c r="N19" s="46" t="s">
        <v>118</v>
      </c>
      <c r="O19" s="46">
        <v>5.6223274887737741E-2</v>
      </c>
      <c r="P19" s="46" t="s">
        <v>118</v>
      </c>
      <c r="Q19" s="46">
        <v>7.8261516149610744E-2</v>
      </c>
      <c r="R19" s="46" t="s">
        <v>118</v>
      </c>
      <c r="S19" s="46">
        <v>0.27621577255691121</v>
      </c>
      <c r="T19" s="46" t="s">
        <v>118</v>
      </c>
      <c r="U19" s="46">
        <v>0.177238644353261</v>
      </c>
      <c r="V19" s="46" t="s">
        <v>118</v>
      </c>
      <c r="Y19" s="33">
        <v>18</v>
      </c>
      <c r="Z19" s="46">
        <v>30.199373676013728</v>
      </c>
      <c r="AA19" s="46">
        <v>22.93395295506819</v>
      </c>
      <c r="AB19" s="46">
        <v>35.197156486019338</v>
      </c>
      <c r="AC19" s="46">
        <v>30.592422005630286</v>
      </c>
    </row>
    <row r="20" spans="1:29" x14ac:dyDescent="0.25">
      <c r="A20" s="33">
        <v>17</v>
      </c>
      <c r="B20" s="46">
        <v>1.3545957520308829</v>
      </c>
      <c r="C20" s="46">
        <v>1.7409772370658758</v>
      </c>
      <c r="D20" s="46">
        <v>1.0873283913530372</v>
      </c>
      <c r="E20" s="46">
        <v>1.2716229483313575</v>
      </c>
      <c r="H20" s="33">
        <v>17</v>
      </c>
      <c r="I20" s="46">
        <v>0.51193294001809586</v>
      </c>
      <c r="J20" s="46">
        <v>1.0697552164262314</v>
      </c>
      <c r="K20" s="46">
        <v>0.12607675043021252</v>
      </c>
      <c r="L20" s="46">
        <v>0.3921443889816949</v>
      </c>
      <c r="M20" s="46">
        <v>0.79084407822216363</v>
      </c>
      <c r="N20" s="46" t="s">
        <v>120</v>
      </c>
      <c r="O20" s="46">
        <v>0.2591105697059537</v>
      </c>
      <c r="P20" s="46" t="s">
        <v>118</v>
      </c>
      <c r="Q20" s="46">
        <v>0.31900484522415418</v>
      </c>
      <c r="R20" s="46" t="s">
        <v>118</v>
      </c>
      <c r="S20" s="46">
        <v>0.73094980270396315</v>
      </c>
      <c r="T20" s="46" t="s">
        <v>120</v>
      </c>
      <c r="U20" s="46">
        <v>0.52497732396405872</v>
      </c>
      <c r="V20" s="46" t="s">
        <v>120</v>
      </c>
      <c r="Y20" s="33">
        <v>19</v>
      </c>
      <c r="Z20" s="46">
        <v>22.824015406453078</v>
      </c>
      <c r="AA20" s="46">
        <v>23.506017756751969</v>
      </c>
      <c r="AB20" s="46">
        <v>28.474179132541654</v>
      </c>
      <c r="AC20" s="46">
        <v>26.138621352658269</v>
      </c>
    </row>
    <row r="21" spans="1:29" x14ac:dyDescent="0.25">
      <c r="A21" s="33">
        <v>18</v>
      </c>
      <c r="B21" s="46">
        <v>1.2605303440776894</v>
      </c>
      <c r="C21" s="46">
        <v>1.6598633024728431</v>
      </c>
      <c r="D21" s="46">
        <v>1.0815426781955237</v>
      </c>
      <c r="E21" s="46">
        <v>1.244335178291877</v>
      </c>
      <c r="H21" s="33">
        <v>18</v>
      </c>
      <c r="I21" s="46">
        <v>0.41063723106284816</v>
      </c>
      <c r="J21" s="46">
        <v>1.0400494436326928</v>
      </c>
      <c r="K21" s="46">
        <v>0.12852422126181887</v>
      </c>
      <c r="L21" s="46">
        <v>0.38511107571832265</v>
      </c>
      <c r="M21" s="46">
        <v>0.72534333734777046</v>
      </c>
      <c r="N21" s="46" t="s">
        <v>120</v>
      </c>
      <c r="O21" s="46">
        <v>0.25681764849007077</v>
      </c>
      <c r="P21" s="46" t="s">
        <v>118</v>
      </c>
      <c r="Q21" s="46">
        <v>0.26958072616233353</v>
      </c>
      <c r="R21" s="46" t="s">
        <v>118</v>
      </c>
      <c r="S21" s="46">
        <v>0.71258025967550775</v>
      </c>
      <c r="T21" s="46" t="s">
        <v>120</v>
      </c>
      <c r="U21" s="46">
        <v>0.49108049291892064</v>
      </c>
      <c r="V21" s="46" t="s">
        <v>118</v>
      </c>
      <c r="Y21" s="33">
        <v>20</v>
      </c>
      <c r="Z21" s="46">
        <v>22.914728067247896</v>
      </c>
      <c r="AA21" s="46">
        <v>24.560227504331337</v>
      </c>
      <c r="AB21" s="46">
        <v>28.045434831067269</v>
      </c>
      <c r="AC21" s="46">
        <v>26.787448860270409</v>
      </c>
    </row>
    <row r="22" spans="1:29" x14ac:dyDescent="0.25">
      <c r="A22" s="33">
        <v>19</v>
      </c>
      <c r="B22" s="46">
        <v>1.4235433227080472</v>
      </c>
      <c r="C22" s="46">
        <v>1.3822407123771117</v>
      </c>
      <c r="D22" s="46">
        <v>1.141068003330415</v>
      </c>
      <c r="E22" s="46">
        <v>1.2430255708929188</v>
      </c>
      <c r="H22" s="33">
        <v>19</v>
      </c>
      <c r="I22" s="46">
        <v>0.78214333593419383</v>
      </c>
      <c r="J22" s="46">
        <v>0.70587118218973277</v>
      </c>
      <c r="K22" s="46">
        <v>0.26050557948349989</v>
      </c>
      <c r="L22" s="46">
        <v>0.44878722091558981</v>
      </c>
      <c r="M22" s="46">
        <v>0.7440072590619633</v>
      </c>
      <c r="N22" s="46" t="s">
        <v>120</v>
      </c>
      <c r="O22" s="46">
        <v>0.35464640019954485</v>
      </c>
      <c r="P22" s="46" t="s">
        <v>118</v>
      </c>
      <c r="Q22" s="46">
        <v>0.52132445770884683</v>
      </c>
      <c r="R22" s="46" t="s">
        <v>120</v>
      </c>
      <c r="S22" s="46">
        <v>0.57732920155266132</v>
      </c>
      <c r="T22" s="46" t="s">
        <v>120</v>
      </c>
      <c r="U22" s="46">
        <v>0.54932682963075408</v>
      </c>
      <c r="V22" s="46" t="s">
        <v>120</v>
      </c>
      <c r="Y22" s="33">
        <v>21</v>
      </c>
      <c r="Z22" s="46">
        <v>24.609957245879524</v>
      </c>
      <c r="AA22" s="46">
        <v>24.402577708016594</v>
      </c>
      <c r="AB22" s="46">
        <v>33.088096959261136</v>
      </c>
      <c r="AC22" s="46">
        <v>29.678471332922062</v>
      </c>
    </row>
    <row r="23" spans="1:29" x14ac:dyDescent="0.25">
      <c r="A23" s="33">
        <v>20</v>
      </c>
      <c r="B23" s="46">
        <v>1.4091770583593617</v>
      </c>
      <c r="C23" s="46">
        <v>1.314764249851285</v>
      </c>
      <c r="D23" s="46">
        <v>1.1513784430662102</v>
      </c>
      <c r="E23" s="46">
        <v>1.2054492109101547</v>
      </c>
      <c r="H23" s="33">
        <v>20</v>
      </c>
      <c r="I23" s="46">
        <v>0.76029520978935439</v>
      </c>
      <c r="J23" s="46">
        <v>0.58486600479123929</v>
      </c>
      <c r="K23" s="46">
        <v>0.2812775124541067</v>
      </c>
      <c r="L23" s="46">
        <v>0.38174684459657127</v>
      </c>
      <c r="M23" s="46">
        <v>0.67258060729029689</v>
      </c>
      <c r="N23" s="46" t="s">
        <v>120</v>
      </c>
      <c r="O23" s="46">
        <v>0.33151217852533899</v>
      </c>
      <c r="P23" s="46" t="s">
        <v>118</v>
      </c>
      <c r="Q23" s="46">
        <v>0.52078636112173049</v>
      </c>
      <c r="R23" s="46" t="s">
        <v>120</v>
      </c>
      <c r="S23" s="46">
        <v>0.48330642469390528</v>
      </c>
      <c r="T23" s="46" t="s">
        <v>118</v>
      </c>
      <c r="U23" s="46">
        <v>0.50204639290781794</v>
      </c>
      <c r="V23" s="46" t="s">
        <v>120</v>
      </c>
      <c r="Y23" s="33">
        <v>22</v>
      </c>
      <c r="Z23" s="46">
        <v>25.349661339360591</v>
      </c>
      <c r="AA23" s="46">
        <v>22.090441166675777</v>
      </c>
      <c r="AB23" s="46">
        <v>32.047385308223397</v>
      </c>
      <c r="AC23" s="46">
        <v>29.151585526259296</v>
      </c>
    </row>
    <row r="24" spans="1:29" x14ac:dyDescent="0.25">
      <c r="A24" s="33">
        <v>21</v>
      </c>
      <c r="B24" s="46">
        <v>1.4608875827446024</v>
      </c>
      <c r="C24" s="46">
        <v>1.4733025905115786</v>
      </c>
      <c r="D24" s="46">
        <v>1.0865653892590554</v>
      </c>
      <c r="E24" s="46">
        <v>1.2113959829359302</v>
      </c>
      <c r="H24" s="33">
        <v>21</v>
      </c>
      <c r="I24" s="46">
        <v>0.76916338312344246</v>
      </c>
      <c r="J24" s="46">
        <v>0.78988246893323077</v>
      </c>
      <c r="K24" s="46">
        <v>0.14446674233961579</v>
      </c>
      <c r="L24" s="46">
        <v>0.35279329602552606</v>
      </c>
      <c r="M24" s="46">
        <v>0.77952292602833662</v>
      </c>
      <c r="N24" s="46" t="s">
        <v>120</v>
      </c>
      <c r="O24" s="46">
        <v>0.24863001918257094</v>
      </c>
      <c r="P24" s="46" t="s">
        <v>118</v>
      </c>
      <c r="Q24" s="46">
        <v>0.45681506273152911</v>
      </c>
      <c r="R24" s="46" t="s">
        <v>118</v>
      </c>
      <c r="S24" s="46">
        <v>0.57133788247937844</v>
      </c>
      <c r="T24" s="46" t="s">
        <v>120</v>
      </c>
      <c r="U24" s="46">
        <v>0.51407647260545375</v>
      </c>
      <c r="V24" s="46" t="s">
        <v>120</v>
      </c>
      <c r="Y24" s="33">
        <v>23</v>
      </c>
      <c r="Z24" s="46">
        <v>22.170939197817553</v>
      </c>
      <c r="AA24" s="46">
        <v>16.861041728322288</v>
      </c>
      <c r="AB24" s="46">
        <v>29.509781090516871</v>
      </c>
      <c r="AC24" s="46">
        <v>24.219696077972209</v>
      </c>
    </row>
    <row r="25" spans="1:29" x14ac:dyDescent="0.25">
      <c r="A25" s="33">
        <v>22</v>
      </c>
      <c r="B25" s="46">
        <v>1.4983975706517279</v>
      </c>
      <c r="C25" s="46">
        <v>1.7194709096639484</v>
      </c>
      <c r="D25" s="46">
        <v>1.1852408738629678</v>
      </c>
      <c r="E25" s="46">
        <v>1.3029778752008756</v>
      </c>
      <c r="H25" s="33">
        <v>22</v>
      </c>
      <c r="I25" s="46">
        <v>0.78727769122056379</v>
      </c>
      <c r="J25" s="46">
        <v>1.1364890802334982</v>
      </c>
      <c r="K25" s="46">
        <v>0.29260978801284082</v>
      </c>
      <c r="L25" s="46">
        <v>0.47858925509437666</v>
      </c>
      <c r="M25" s="46">
        <v>0.96188338572703103</v>
      </c>
      <c r="N25" s="46" t="s">
        <v>120</v>
      </c>
      <c r="O25" s="46">
        <v>0.38559952155360877</v>
      </c>
      <c r="P25" s="46" t="s">
        <v>118</v>
      </c>
      <c r="Q25" s="46">
        <v>0.53994373961670228</v>
      </c>
      <c r="R25" s="46" t="s">
        <v>120</v>
      </c>
      <c r="S25" s="46">
        <v>0.80753916766393741</v>
      </c>
      <c r="T25" s="46" t="s">
        <v>120</v>
      </c>
      <c r="U25" s="46">
        <v>0.6737414536403199</v>
      </c>
      <c r="V25" s="46" t="s">
        <v>120</v>
      </c>
      <c r="Y25" s="33">
        <v>24</v>
      </c>
      <c r="Z25" s="46">
        <v>24.894929956782192</v>
      </c>
      <c r="AA25" s="46">
        <v>21.886093317244256</v>
      </c>
      <c r="AB25" s="46">
        <v>32.077763737112811</v>
      </c>
      <c r="AC25" s="46">
        <v>28.997613416858982</v>
      </c>
    </row>
    <row r="26" spans="1:29" x14ac:dyDescent="0.25">
      <c r="A26" s="33">
        <v>23</v>
      </c>
      <c r="B26" s="46">
        <v>1.449412276762611</v>
      </c>
      <c r="C26" s="46">
        <v>1.9058627561958856</v>
      </c>
      <c r="D26" s="46">
        <v>1.0889552640904157</v>
      </c>
      <c r="E26" s="46">
        <v>1.3268057269265552</v>
      </c>
      <c r="H26" s="33">
        <v>23</v>
      </c>
      <c r="I26" s="46">
        <v>0.8391124328364834</v>
      </c>
      <c r="J26" s="46">
        <v>1.6913661252049053</v>
      </c>
      <c r="K26" s="46">
        <v>0.16609129728769936</v>
      </c>
      <c r="L26" s="46">
        <v>0.61018971391181998</v>
      </c>
      <c r="M26" s="46">
        <v>1.2652392790206943</v>
      </c>
      <c r="N26" s="46" t="s">
        <v>119</v>
      </c>
      <c r="O26" s="46">
        <v>0.38814050559975966</v>
      </c>
      <c r="P26" s="46" t="s">
        <v>118</v>
      </c>
      <c r="Q26" s="46">
        <v>0.50260186506209137</v>
      </c>
      <c r="R26" s="46" t="s">
        <v>120</v>
      </c>
      <c r="S26" s="46">
        <v>1.1507779195583625</v>
      </c>
      <c r="T26" s="46" t="s">
        <v>119</v>
      </c>
      <c r="U26" s="46">
        <v>0.82668989231022705</v>
      </c>
      <c r="V26" s="46" t="s">
        <v>120</v>
      </c>
      <c r="Y26" s="33">
        <v>25</v>
      </c>
      <c r="Z26" s="46">
        <v>28.022214343508569</v>
      </c>
      <c r="AA26" s="46">
        <v>23.739239551062099</v>
      </c>
      <c r="AB26" s="46">
        <v>30.547530726616731</v>
      </c>
      <c r="AC26" s="46">
        <v>28.532730727626081</v>
      </c>
    </row>
    <row r="27" spans="1:29" x14ac:dyDescent="0.25">
      <c r="A27" s="33">
        <v>24</v>
      </c>
      <c r="B27" s="46">
        <v>1.3720586251933178</v>
      </c>
      <c r="C27" s="46">
        <v>1.5606852660119868</v>
      </c>
      <c r="D27" s="46">
        <v>1.0648280737621294</v>
      </c>
      <c r="E27" s="46">
        <v>1.1779349865712649</v>
      </c>
      <c r="H27" s="33">
        <v>24</v>
      </c>
      <c r="I27" s="46">
        <v>0.65355034820142011</v>
      </c>
      <c r="J27" s="46">
        <v>0.98488793437631883</v>
      </c>
      <c r="K27" s="46">
        <v>0.11387562956900349</v>
      </c>
      <c r="L27" s="46">
        <v>0.31255685141136663</v>
      </c>
      <c r="M27" s="46">
        <v>0.81921914128886941</v>
      </c>
      <c r="N27" s="46" t="s">
        <v>120</v>
      </c>
      <c r="O27" s="46">
        <v>0.21321624049018506</v>
      </c>
      <c r="P27" s="46" t="s">
        <v>118</v>
      </c>
      <c r="Q27" s="46">
        <v>0.38371298888521177</v>
      </c>
      <c r="R27" s="46" t="s">
        <v>118</v>
      </c>
      <c r="S27" s="46">
        <v>0.6487223928938427</v>
      </c>
      <c r="T27" s="46" t="s">
        <v>120</v>
      </c>
      <c r="U27" s="46">
        <v>0.51621769088952729</v>
      </c>
      <c r="V27" s="46" t="s">
        <v>120</v>
      </c>
      <c r="Y27" s="33">
        <v>26</v>
      </c>
      <c r="Z27" s="46">
        <v>24.389656566301134</v>
      </c>
      <c r="AA27" s="46">
        <v>14.607077626469152</v>
      </c>
      <c r="AB27" s="46">
        <v>29.885403438445579</v>
      </c>
      <c r="AC27" s="46">
        <v>24.438286727856998</v>
      </c>
    </row>
    <row r="28" spans="1:29" x14ac:dyDescent="0.25">
      <c r="A28" s="33">
        <v>25</v>
      </c>
      <c r="B28" s="46">
        <v>1.1300558292247289</v>
      </c>
      <c r="C28" s="46">
        <v>1.3339377025347847</v>
      </c>
      <c r="D28" s="46">
        <v>1.0366358888404297</v>
      </c>
      <c r="E28" s="46">
        <v>1.1098365231480012</v>
      </c>
      <c r="H28" s="33">
        <v>25</v>
      </c>
      <c r="I28" s="46">
        <v>0.24642157116264427</v>
      </c>
      <c r="J28" s="46">
        <v>0.63272406796064473</v>
      </c>
      <c r="K28" s="46">
        <v>6.9415368329235103E-2</v>
      </c>
      <c r="L28" s="46">
        <v>0.20811130701726541</v>
      </c>
      <c r="M28" s="46">
        <v>0.43957281956164451</v>
      </c>
      <c r="N28" s="46" t="s">
        <v>118</v>
      </c>
      <c r="O28" s="46">
        <v>0.13876333767325025</v>
      </c>
      <c r="P28" s="46" t="s">
        <v>118</v>
      </c>
      <c r="Q28" s="46">
        <v>0.15791846974593968</v>
      </c>
      <c r="R28" s="46" t="s">
        <v>118</v>
      </c>
      <c r="S28" s="46">
        <v>0.42041768748895508</v>
      </c>
      <c r="T28" s="46" t="s">
        <v>118</v>
      </c>
      <c r="U28" s="46">
        <v>0.28916807861744737</v>
      </c>
      <c r="V28" s="46" t="s">
        <v>118</v>
      </c>
      <c r="Y28" s="33">
        <v>27</v>
      </c>
      <c r="Z28" s="46">
        <v>26.463398983739847</v>
      </c>
      <c r="AA28" s="46">
        <v>19.002910513223352</v>
      </c>
      <c r="AB28" s="46">
        <v>31.276650132892772</v>
      </c>
      <c r="AC28" s="46">
        <v>20.417587799280518</v>
      </c>
    </row>
    <row r="29" spans="1:29" x14ac:dyDescent="0.25">
      <c r="A29" s="33">
        <v>26</v>
      </c>
      <c r="B29" s="46">
        <v>1.342669695173125</v>
      </c>
      <c r="C29" s="46">
        <v>2.2418757252246131</v>
      </c>
      <c r="D29" s="46">
        <v>1.0957607721341849</v>
      </c>
      <c r="E29" s="46">
        <v>1.3399978939572892</v>
      </c>
      <c r="H29" s="33">
        <v>26</v>
      </c>
      <c r="I29" s="46">
        <v>0.62784447504874563</v>
      </c>
      <c r="J29" s="46">
        <v>2.2753830401766399</v>
      </c>
      <c r="K29" s="46">
        <v>0.17545430062169429</v>
      </c>
      <c r="L29" s="46">
        <v>0.62294916141167767</v>
      </c>
      <c r="M29" s="46">
        <v>1.4516137576126928</v>
      </c>
      <c r="N29" s="46" t="s">
        <v>119</v>
      </c>
      <c r="O29" s="46">
        <v>0.39920173101668599</v>
      </c>
      <c r="P29" s="46" t="s">
        <v>118</v>
      </c>
      <c r="Q29" s="46">
        <v>0.40164938783521997</v>
      </c>
      <c r="R29" s="46" t="s">
        <v>118</v>
      </c>
      <c r="S29" s="46">
        <v>1.4491661007941588</v>
      </c>
      <c r="T29" s="46" t="s">
        <v>119</v>
      </c>
      <c r="U29" s="46">
        <v>0.92540774431468942</v>
      </c>
      <c r="V29" s="46" t="s">
        <v>120</v>
      </c>
      <c r="Y29" s="33">
        <v>28</v>
      </c>
      <c r="Z29" s="46">
        <v>22.850934957336975</v>
      </c>
      <c r="AA29" s="46">
        <v>19.130438103205961</v>
      </c>
      <c r="AB29" s="46">
        <v>26.037448298548032</v>
      </c>
      <c r="AC29" s="46">
        <v>23.175080511741246</v>
      </c>
    </row>
    <row r="30" spans="1:29" x14ac:dyDescent="0.25">
      <c r="A30" s="33">
        <v>27</v>
      </c>
      <c r="B30" s="46">
        <v>1.3189894082474605</v>
      </c>
      <c r="C30" s="46">
        <v>1.8368208881208246</v>
      </c>
      <c r="D30" s="46">
        <v>1.1160064398671303</v>
      </c>
      <c r="E30" s="46">
        <v>1.7095527301716542</v>
      </c>
      <c r="H30" s="33">
        <v>27</v>
      </c>
      <c r="I30" s="46">
        <v>0.54832819849073255</v>
      </c>
      <c r="J30" s="46">
        <v>1.4384568207567112</v>
      </c>
      <c r="K30" s="46">
        <v>0.19940976264741994</v>
      </c>
      <c r="L30" s="46">
        <v>1.2196886799682685</v>
      </c>
      <c r="M30" s="46">
        <v>0.99339250962372194</v>
      </c>
      <c r="N30" s="46" t="s">
        <v>120</v>
      </c>
      <c r="O30" s="46">
        <v>0.70954922130784426</v>
      </c>
      <c r="P30" s="46" t="s">
        <v>120</v>
      </c>
      <c r="Q30" s="46">
        <v>0.37386898056907625</v>
      </c>
      <c r="R30" s="46" t="s">
        <v>118</v>
      </c>
      <c r="S30" s="46">
        <v>1.32907275036249</v>
      </c>
      <c r="T30" s="46" t="s">
        <v>119</v>
      </c>
      <c r="U30" s="46">
        <v>0.8514708654657831</v>
      </c>
      <c r="V30" s="46" t="s">
        <v>120</v>
      </c>
      <c r="Y30" s="33">
        <v>29</v>
      </c>
      <c r="Z30" s="46">
        <v>21.493276285263896</v>
      </c>
      <c r="AA30" s="46">
        <v>22.428226737169567</v>
      </c>
      <c r="AB30" s="46">
        <v>30.240963108610075</v>
      </c>
      <c r="AC30" s="46">
        <v>27.174313822438254</v>
      </c>
    </row>
    <row r="31" spans="1:29" x14ac:dyDescent="0.25">
      <c r="A31" s="33">
        <v>28</v>
      </c>
      <c r="B31" s="46">
        <v>1.3216089431957088</v>
      </c>
      <c r="C31" s="46">
        <v>1.5786360896219598</v>
      </c>
      <c r="D31" s="46">
        <v>1.1598678815882311</v>
      </c>
      <c r="E31" s="46">
        <v>1.3031238439365809</v>
      </c>
      <c r="H31" s="33">
        <v>28</v>
      </c>
      <c r="I31" s="46">
        <v>0.63895816528948779</v>
      </c>
      <c r="J31" s="46">
        <v>1.1496081250767411</v>
      </c>
      <c r="K31" s="46">
        <v>0.31761830779118755</v>
      </c>
      <c r="L31" s="46">
        <v>0.60223280252300837</v>
      </c>
      <c r="M31" s="46">
        <v>0.89428314518311447</v>
      </c>
      <c r="N31" s="46" t="s">
        <v>120</v>
      </c>
      <c r="O31" s="46">
        <v>0.45992555515709799</v>
      </c>
      <c r="P31" s="46" t="s">
        <v>118</v>
      </c>
      <c r="Q31" s="46">
        <v>0.4782882365403377</v>
      </c>
      <c r="R31" s="46" t="s">
        <v>118</v>
      </c>
      <c r="S31" s="46">
        <v>0.87592046379987476</v>
      </c>
      <c r="T31" s="46" t="s">
        <v>120</v>
      </c>
      <c r="U31" s="46">
        <v>0.67710435017010617</v>
      </c>
      <c r="V31" s="46" t="s">
        <v>120</v>
      </c>
      <c r="Y31" s="33">
        <v>30</v>
      </c>
      <c r="Z31" s="46">
        <v>17.161867373805514</v>
      </c>
      <c r="AA31" s="46">
        <v>22.307108673359057</v>
      </c>
      <c r="AB31" s="46">
        <v>25.070110273410677</v>
      </c>
      <c r="AC31" s="46">
        <v>24.372993166418908</v>
      </c>
    </row>
    <row r="32" spans="1:29" x14ac:dyDescent="0.25">
      <c r="A32" s="33">
        <v>29</v>
      </c>
      <c r="B32" s="46">
        <v>1.7888840715362653</v>
      </c>
      <c r="C32" s="46">
        <v>1.7143120605302469</v>
      </c>
      <c r="D32" s="46">
        <v>1.271420472084426</v>
      </c>
      <c r="E32" s="46">
        <v>1.414901581069135</v>
      </c>
      <c r="H32" s="33">
        <v>29</v>
      </c>
      <c r="I32" s="46">
        <v>1.2310611307413057</v>
      </c>
      <c r="J32" s="46">
        <v>1.1146907950949712</v>
      </c>
      <c r="K32" s="46">
        <v>0.42355423987697061</v>
      </c>
      <c r="L32" s="46">
        <v>0.64745788128622983</v>
      </c>
      <c r="M32" s="46">
        <v>1.1728759629181384</v>
      </c>
      <c r="N32" s="46" t="s">
        <v>119</v>
      </c>
      <c r="O32" s="46">
        <v>0.53550606058160022</v>
      </c>
      <c r="P32" s="46" t="s">
        <v>120</v>
      </c>
      <c r="Q32" s="46">
        <v>0.82730768530913812</v>
      </c>
      <c r="R32" s="46" t="s">
        <v>120</v>
      </c>
      <c r="S32" s="46">
        <v>0.88107433819060055</v>
      </c>
      <c r="T32" s="46" t="s">
        <v>120</v>
      </c>
      <c r="U32" s="46">
        <v>0.85419101174986933</v>
      </c>
      <c r="V32" s="46" t="s">
        <v>120</v>
      </c>
      <c r="Y32" s="33">
        <v>31</v>
      </c>
      <c r="Z32" s="46">
        <v>31.872476927900898</v>
      </c>
      <c r="AA32" s="46">
        <v>27.319161022379529</v>
      </c>
      <c r="AB32" s="46">
        <v>37.414497532471522</v>
      </c>
      <c r="AC32" s="46">
        <v>33.929684749603879</v>
      </c>
    </row>
    <row r="33" spans="1:29" x14ac:dyDescent="0.25">
      <c r="A33" s="33">
        <v>30</v>
      </c>
      <c r="B33" s="46">
        <v>2.0712879919802365</v>
      </c>
      <c r="C33" s="46">
        <v>1.5935355106676845</v>
      </c>
      <c r="D33" s="46">
        <v>1.4179103890509024</v>
      </c>
      <c r="E33" s="46">
        <v>1.458465506005131</v>
      </c>
      <c r="H33" s="33">
        <v>30</v>
      </c>
      <c r="I33" s="46">
        <v>1.8082249546163227</v>
      </c>
      <c r="J33" s="46">
        <v>1.0018274543116967</v>
      </c>
      <c r="K33" s="46">
        <v>0.70539014712413439</v>
      </c>
      <c r="L33" s="46">
        <v>0.77384305153732313</v>
      </c>
      <c r="M33" s="46">
        <v>1.4050262044640096</v>
      </c>
      <c r="N33" s="46" t="s">
        <v>119</v>
      </c>
      <c r="O33" s="46">
        <v>0.73961659933072876</v>
      </c>
      <c r="P33" s="46" t="s">
        <v>120</v>
      </c>
      <c r="Q33" s="46">
        <v>1.2568075508702286</v>
      </c>
      <c r="R33" s="46" t="s">
        <v>119</v>
      </c>
      <c r="S33" s="46">
        <v>0.88783525292450993</v>
      </c>
      <c r="T33" s="46" t="s">
        <v>120</v>
      </c>
      <c r="U33" s="46">
        <v>1.0723214018973692</v>
      </c>
      <c r="V33" s="46" t="s">
        <v>119</v>
      </c>
      <c r="Y33" s="33">
        <v>32</v>
      </c>
      <c r="Z33" s="46">
        <v>52.047070188441566</v>
      </c>
      <c r="AA33" s="46">
        <v>40.878605895229576</v>
      </c>
      <c r="AB33" s="46">
        <v>53.989567293074835</v>
      </c>
      <c r="AC33" s="46">
        <v>49.833227685296151</v>
      </c>
    </row>
    <row r="34" spans="1:29" x14ac:dyDescent="0.25">
      <c r="A34" s="33">
        <v>31</v>
      </c>
      <c r="B34" s="46">
        <v>1.2333633472073915</v>
      </c>
      <c r="C34" s="46">
        <v>1.4389294310825889</v>
      </c>
      <c r="D34" s="46">
        <v>1.0506714621376196</v>
      </c>
      <c r="E34" s="46">
        <v>1.1585826723027584</v>
      </c>
      <c r="H34" s="33">
        <v>31</v>
      </c>
      <c r="I34" s="46">
        <v>0.35618616152707111</v>
      </c>
      <c r="J34" s="46">
        <v>0.66994492112605653</v>
      </c>
      <c r="K34" s="46">
        <v>7.7340652736366727E-2</v>
      </c>
      <c r="L34" s="46">
        <v>0.24204723667263112</v>
      </c>
      <c r="M34" s="46">
        <v>0.51306554132656379</v>
      </c>
      <c r="N34" s="46" t="s">
        <v>120</v>
      </c>
      <c r="O34" s="46">
        <v>0.15969394470449894</v>
      </c>
      <c r="P34" s="46" t="s">
        <v>118</v>
      </c>
      <c r="Q34" s="46">
        <v>0.21676340713171893</v>
      </c>
      <c r="R34" s="46" t="s">
        <v>118</v>
      </c>
      <c r="S34" s="46">
        <v>0.45599607889934379</v>
      </c>
      <c r="T34" s="46" t="s">
        <v>118</v>
      </c>
      <c r="U34" s="46">
        <v>0.33637974301553136</v>
      </c>
      <c r="V34" s="46" t="s">
        <v>118</v>
      </c>
      <c r="Y34" s="33">
        <v>33</v>
      </c>
      <c r="Z34" s="46">
        <v>51.193418185086664</v>
      </c>
      <c r="AA34" s="46">
        <v>39.63024458832983</v>
      </c>
      <c r="AB34" s="46">
        <v>53.998986592858749</v>
      </c>
      <c r="AC34" s="46">
        <v>50.257505953723694</v>
      </c>
    </row>
    <row r="35" spans="1:29" x14ac:dyDescent="0.25">
      <c r="A35" s="33">
        <v>32</v>
      </c>
      <c r="B35" s="46">
        <v>1.0674098533195273</v>
      </c>
      <c r="C35" s="46">
        <v>1.3590374314119831</v>
      </c>
      <c r="D35" s="46">
        <v>1.0290053864291959</v>
      </c>
      <c r="E35" s="46">
        <v>1.1148295652530618</v>
      </c>
      <c r="H35" s="33">
        <v>32</v>
      </c>
      <c r="I35" s="46">
        <v>7.2802641585089464E-2</v>
      </c>
      <c r="J35" s="46">
        <v>0.38776042592494164</v>
      </c>
      <c r="K35" s="46">
        <v>3.1325817343531646E-2</v>
      </c>
      <c r="L35" s="46">
        <v>0.12401593047330668</v>
      </c>
      <c r="M35" s="46">
        <v>0.23028153375501556</v>
      </c>
      <c r="N35" s="46" t="s">
        <v>118</v>
      </c>
      <c r="O35" s="46">
        <v>7.7670873908419161E-2</v>
      </c>
      <c r="P35" s="46" t="s">
        <v>118</v>
      </c>
      <c r="Q35" s="46">
        <v>5.2064229464310552E-2</v>
      </c>
      <c r="R35" s="46" t="s">
        <v>118</v>
      </c>
      <c r="S35" s="46">
        <v>0.25588817819912418</v>
      </c>
      <c r="T35" s="46" t="s">
        <v>118</v>
      </c>
      <c r="U35" s="46">
        <v>0.15397620383171737</v>
      </c>
      <c r="V35" s="46" t="s">
        <v>118</v>
      </c>
      <c r="Y35" s="33">
        <v>34</v>
      </c>
      <c r="Z35" s="46">
        <v>49.292206358728698</v>
      </c>
      <c r="AA35" s="46">
        <v>39.394317593721254</v>
      </c>
      <c r="AB35" s="46">
        <v>52.784611874430745</v>
      </c>
      <c r="AC35" s="46">
        <v>47.905804616231492</v>
      </c>
    </row>
    <row r="36" spans="1:29" x14ac:dyDescent="0.25">
      <c r="A36" s="33">
        <v>33</v>
      </c>
      <c r="B36" s="46">
        <v>1.0924436755469065</v>
      </c>
      <c r="C36" s="46">
        <v>1.4111930548719041</v>
      </c>
      <c r="D36" s="46">
        <v>1.0356847314116446</v>
      </c>
      <c r="E36" s="46">
        <v>1.1127875302332275</v>
      </c>
      <c r="H36" s="33">
        <v>33</v>
      </c>
      <c r="I36" s="46">
        <v>9.917798303707856E-2</v>
      </c>
      <c r="J36" s="46">
        <v>0.44114751582283751</v>
      </c>
      <c r="K36" s="46">
        <v>3.8284281382029432E-2</v>
      </c>
      <c r="L36" s="46">
        <v>0.12100384038266804</v>
      </c>
      <c r="M36" s="46">
        <v>0.27016274942995805</v>
      </c>
      <c r="N36" s="46" t="s">
        <v>118</v>
      </c>
      <c r="O36" s="46">
        <v>7.9644060882348738E-2</v>
      </c>
      <c r="P36" s="46" t="s">
        <v>118</v>
      </c>
      <c r="Q36" s="46">
        <v>6.8731132209553999E-2</v>
      </c>
      <c r="R36" s="46" t="s">
        <v>118</v>
      </c>
      <c r="S36" s="46">
        <v>0.2810756781027528</v>
      </c>
      <c r="T36" s="46" t="s">
        <v>118</v>
      </c>
      <c r="U36" s="46">
        <v>0.17490340515615338</v>
      </c>
      <c r="V36" s="46" t="s">
        <v>118</v>
      </c>
      <c r="Y36" s="33">
        <v>35</v>
      </c>
      <c r="Z36" s="46">
        <v>24.020842887491938</v>
      </c>
      <c r="AA36" s="46">
        <v>22.185042923289338</v>
      </c>
      <c r="AB36" s="46">
        <v>30.038422019133293</v>
      </c>
      <c r="AC36" s="46">
        <v>28.093601279193795</v>
      </c>
    </row>
    <row r="37" spans="1:29" x14ac:dyDescent="0.25">
      <c r="A37" s="33">
        <v>34</v>
      </c>
      <c r="B37" s="46">
        <v>1.1411540313418982</v>
      </c>
      <c r="C37" s="46">
        <v>1.4278709071727957</v>
      </c>
      <c r="D37" s="46">
        <v>1.0656514844480254</v>
      </c>
      <c r="E37" s="46">
        <v>1.1741792137844882</v>
      </c>
      <c r="H37" s="33">
        <v>34</v>
      </c>
      <c r="I37" s="46">
        <v>0.15056430009802466</v>
      </c>
      <c r="J37" s="46">
        <v>0.45639563431764874</v>
      </c>
      <c r="K37" s="46">
        <v>7.0028250077893858E-2</v>
      </c>
      <c r="L37" s="46">
        <v>0.18579116137012072</v>
      </c>
      <c r="M37" s="46">
        <v>0.30347996720783671</v>
      </c>
      <c r="N37" s="46" t="s">
        <v>118</v>
      </c>
      <c r="O37" s="46">
        <v>0.12790970572400728</v>
      </c>
      <c r="P37" s="46" t="s">
        <v>118</v>
      </c>
      <c r="Q37" s="46">
        <v>0.11029627508795925</v>
      </c>
      <c r="R37" s="46" t="s">
        <v>118</v>
      </c>
      <c r="S37" s="46">
        <v>0.32109339784388474</v>
      </c>
      <c r="T37" s="46" t="s">
        <v>118</v>
      </c>
      <c r="U37" s="46">
        <v>0.215694836465922</v>
      </c>
      <c r="V37" s="46" t="s">
        <v>118</v>
      </c>
      <c r="Y37" s="33">
        <v>36</v>
      </c>
      <c r="Z37" s="46">
        <v>30.20605964461199</v>
      </c>
      <c r="AA37" s="46">
        <v>24.437150007794809</v>
      </c>
      <c r="AB37" s="46">
        <v>34.910207419591501</v>
      </c>
      <c r="AC37" s="46">
        <v>30.279338938841327</v>
      </c>
    </row>
    <row r="38" spans="1:29" x14ac:dyDescent="0.25">
      <c r="A38" s="33">
        <v>35</v>
      </c>
      <c r="B38" s="46">
        <v>1.3213780416922367</v>
      </c>
      <c r="C38" s="46">
        <v>1.4307213397883687</v>
      </c>
      <c r="D38" s="46">
        <v>1.0566671682771307</v>
      </c>
      <c r="E38" s="46">
        <v>1.1298165023071707</v>
      </c>
      <c r="H38" s="33">
        <v>35</v>
      </c>
      <c r="I38" s="46">
        <v>0.60750816913435712</v>
      </c>
      <c r="J38" s="46">
        <v>0.81420227456769034</v>
      </c>
      <c r="K38" s="46">
        <v>0.10711922777547944</v>
      </c>
      <c r="L38" s="46">
        <v>0.24539506565161925</v>
      </c>
      <c r="M38" s="46">
        <v>0.71085522185102379</v>
      </c>
      <c r="N38" s="46" t="s">
        <v>120</v>
      </c>
      <c r="O38" s="46">
        <v>0.17625714671354936</v>
      </c>
      <c r="P38" s="46" t="s">
        <v>118</v>
      </c>
      <c r="Q38" s="46">
        <v>0.35731369845491828</v>
      </c>
      <c r="R38" s="46" t="s">
        <v>118</v>
      </c>
      <c r="S38" s="46">
        <v>0.52979867010965476</v>
      </c>
      <c r="T38" s="46" t="s">
        <v>120</v>
      </c>
      <c r="U38" s="46">
        <v>0.44355618428228655</v>
      </c>
      <c r="V38" s="46" t="s">
        <v>118</v>
      </c>
      <c r="Y38" s="33">
        <v>37</v>
      </c>
      <c r="Z38" s="46">
        <v>21.914652018131438</v>
      </c>
      <c r="AA38" s="46">
        <v>15.732310698263944</v>
      </c>
      <c r="AB38" s="46">
        <v>25.784997879862999</v>
      </c>
      <c r="AC38" s="46">
        <v>21.324344064675063</v>
      </c>
    </row>
    <row r="39" spans="1:29" x14ac:dyDescent="0.25">
      <c r="A39" s="33">
        <v>36</v>
      </c>
      <c r="B39" s="46">
        <v>1.3667589932435587</v>
      </c>
      <c r="C39" s="46">
        <v>1.689411558080878</v>
      </c>
      <c r="D39" s="46">
        <v>1.1825883236246855</v>
      </c>
      <c r="E39" s="46">
        <v>1.3634512877943485</v>
      </c>
      <c r="H39" s="33">
        <v>36</v>
      </c>
      <c r="I39" s="46">
        <v>0.53302307018063855</v>
      </c>
      <c r="J39" s="46">
        <v>1.0019447977442093</v>
      </c>
      <c r="K39" s="46">
        <v>0.26536169700120943</v>
      </c>
      <c r="L39" s="46">
        <v>0.52821587159445327</v>
      </c>
      <c r="M39" s="46">
        <v>0.76748393396242398</v>
      </c>
      <c r="N39" s="46" t="s">
        <v>120</v>
      </c>
      <c r="O39" s="46">
        <v>0.39678878429783138</v>
      </c>
      <c r="P39" s="46" t="s">
        <v>118</v>
      </c>
      <c r="Q39" s="46">
        <v>0.39919238359092402</v>
      </c>
      <c r="R39" s="46" t="s">
        <v>118</v>
      </c>
      <c r="S39" s="46">
        <v>0.76508033466933134</v>
      </c>
      <c r="T39" s="46" t="s">
        <v>120</v>
      </c>
      <c r="U39" s="46">
        <v>0.58213635913012762</v>
      </c>
      <c r="V39" s="46" t="s">
        <v>120</v>
      </c>
      <c r="Y39" s="33">
        <v>38</v>
      </c>
      <c r="Z39" s="46">
        <v>26.539756223420078</v>
      </c>
      <c r="AA39" s="46">
        <v>20.2174033930417</v>
      </c>
      <c r="AB39" s="46">
        <v>28.067848144417511</v>
      </c>
      <c r="AC39" s="46">
        <v>23.877634962342512</v>
      </c>
    </row>
    <row r="40" spans="1:29" x14ac:dyDescent="0.25">
      <c r="A40" s="33">
        <v>37</v>
      </c>
      <c r="B40" s="46">
        <v>1.3890787061278562</v>
      </c>
      <c r="C40" s="46">
        <v>1.9349463060087801</v>
      </c>
      <c r="D40" s="46">
        <v>1.1805770398903741</v>
      </c>
      <c r="E40" s="46">
        <v>1.4275316688880337</v>
      </c>
      <c r="H40" s="33">
        <v>37</v>
      </c>
      <c r="I40" s="46">
        <v>0.76687976859983265</v>
      </c>
      <c r="J40" s="46">
        <v>1.8427927190897697</v>
      </c>
      <c r="K40" s="46">
        <v>0.35591996268247644</v>
      </c>
      <c r="L40" s="46">
        <v>0.84267111548945794</v>
      </c>
      <c r="M40" s="46">
        <v>1.3048362438448011</v>
      </c>
      <c r="N40" s="46" t="s">
        <v>119</v>
      </c>
      <c r="O40" s="46">
        <v>0.59929553908596722</v>
      </c>
      <c r="P40" s="46" t="s">
        <v>120</v>
      </c>
      <c r="Q40" s="46">
        <v>0.56139986564115452</v>
      </c>
      <c r="R40" s="46" t="s">
        <v>120</v>
      </c>
      <c r="S40" s="46">
        <v>1.3427319172896137</v>
      </c>
      <c r="T40" s="46" t="s">
        <v>119</v>
      </c>
      <c r="U40" s="46">
        <v>0.95206589146538412</v>
      </c>
      <c r="V40" s="46" t="s">
        <v>120</v>
      </c>
      <c r="Y40" s="33">
        <v>39</v>
      </c>
      <c r="Z40" s="46">
        <v>28.535230272844341</v>
      </c>
      <c r="AA40" s="46">
        <v>24.598567175242188</v>
      </c>
      <c r="AB40" s="46">
        <v>30.179598804499943</v>
      </c>
      <c r="AC40" s="46">
        <v>26.790024146330346</v>
      </c>
    </row>
    <row r="41" spans="1:29" x14ac:dyDescent="0.25">
      <c r="A41" s="33">
        <v>38</v>
      </c>
      <c r="B41" s="46">
        <v>1.1445982485611326</v>
      </c>
      <c r="C41" s="46">
        <v>1.5025351129424034</v>
      </c>
      <c r="D41" s="46">
        <v>1.0822831281637768</v>
      </c>
      <c r="E41" s="46">
        <v>1.2722096865319477</v>
      </c>
      <c r="H41" s="33">
        <v>38</v>
      </c>
      <c r="I41" s="46">
        <v>0.2856039940524232</v>
      </c>
      <c r="J41" s="46">
        <v>0.99258488146387747</v>
      </c>
      <c r="K41" s="46">
        <v>0.16252195500671424</v>
      </c>
      <c r="L41" s="46">
        <v>0.53765639948546173</v>
      </c>
      <c r="M41" s="46">
        <v>0.63909443775815034</v>
      </c>
      <c r="N41" s="46" t="s">
        <v>120</v>
      </c>
      <c r="O41" s="46">
        <v>0.35008917724608801</v>
      </c>
      <c r="P41" s="46" t="s">
        <v>118</v>
      </c>
      <c r="Q41" s="46">
        <v>0.22406297452956872</v>
      </c>
      <c r="R41" s="46" t="s">
        <v>118</v>
      </c>
      <c r="S41" s="46">
        <v>0.76512064047466954</v>
      </c>
      <c r="T41" s="46" t="s">
        <v>120</v>
      </c>
      <c r="U41" s="46">
        <v>0.49459180750211917</v>
      </c>
      <c r="V41" s="46" t="s">
        <v>118</v>
      </c>
      <c r="Y41" s="33">
        <v>40</v>
      </c>
      <c r="Z41" s="46">
        <v>30.255481043232152</v>
      </c>
      <c r="AA41" s="46">
        <v>25.495504431840651</v>
      </c>
      <c r="AB41" s="46">
        <v>31.315384800043873</v>
      </c>
      <c r="AC41" s="46">
        <v>28.335161950692584</v>
      </c>
    </row>
    <row r="42" spans="1:29" x14ac:dyDescent="0.25">
      <c r="A42" s="33">
        <v>39</v>
      </c>
      <c r="B42" s="46">
        <v>1.1435540780766849</v>
      </c>
      <c r="C42" s="46">
        <v>1.3265642146917909</v>
      </c>
      <c r="D42" s="46">
        <v>1.0812462802687381</v>
      </c>
      <c r="E42" s="46">
        <v>1.2180496280679256</v>
      </c>
      <c r="H42" s="33">
        <v>39</v>
      </c>
      <c r="I42" s="46">
        <v>0.26395427259261406</v>
      </c>
      <c r="J42" s="46">
        <v>0.60045678185264784</v>
      </c>
      <c r="K42" s="46">
        <v>0.14938832178445419</v>
      </c>
      <c r="L42" s="46">
        <v>0.40092996128618558</v>
      </c>
      <c r="M42" s="46">
        <v>0.43220552722263095</v>
      </c>
      <c r="N42" s="46" t="s">
        <v>118</v>
      </c>
      <c r="O42" s="46">
        <v>0.2751591415353199</v>
      </c>
      <c r="P42" s="46" t="s">
        <v>118</v>
      </c>
      <c r="Q42" s="46">
        <v>0.20667129718853411</v>
      </c>
      <c r="R42" s="46" t="s">
        <v>118</v>
      </c>
      <c r="S42" s="46">
        <v>0.50069337156941673</v>
      </c>
      <c r="T42" s="46" t="s">
        <v>120</v>
      </c>
      <c r="U42" s="46">
        <v>0.35368233437897545</v>
      </c>
      <c r="V42" s="46" t="s">
        <v>118</v>
      </c>
      <c r="Y42" s="33">
        <v>41</v>
      </c>
      <c r="Z42" s="46">
        <v>22.652638338215048</v>
      </c>
      <c r="AA42" s="46">
        <v>18.272456386611907</v>
      </c>
      <c r="AB42" s="46">
        <v>29.874594178603616</v>
      </c>
      <c r="AC42" s="46">
        <v>24.965206661727102</v>
      </c>
    </row>
    <row r="43" spans="1:29" x14ac:dyDescent="0.25">
      <c r="A43" s="33">
        <v>40</v>
      </c>
      <c r="B43" s="46">
        <v>1.1160021596743954</v>
      </c>
      <c r="C43" s="46">
        <v>1.3243582717299125</v>
      </c>
      <c r="D43" s="46">
        <v>1.0782298350102826</v>
      </c>
      <c r="E43" s="46">
        <v>1.1916354049781426</v>
      </c>
      <c r="H43" s="33">
        <v>40</v>
      </c>
      <c r="I43" s="46">
        <v>0.2061333340976666</v>
      </c>
      <c r="J43" s="46">
        <v>0.57637764832581595</v>
      </c>
      <c r="K43" s="46">
        <v>0.13901272839956672</v>
      </c>
      <c r="L43" s="46">
        <v>0.34053197863022461</v>
      </c>
      <c r="M43" s="46">
        <v>0.3912554912117413</v>
      </c>
      <c r="N43" s="46" t="s">
        <v>118</v>
      </c>
      <c r="O43" s="46">
        <v>0.23977235351489568</v>
      </c>
      <c r="P43" s="46" t="s">
        <v>118</v>
      </c>
      <c r="Q43" s="46">
        <v>0.17257303124861667</v>
      </c>
      <c r="R43" s="46" t="s">
        <v>118</v>
      </c>
      <c r="S43" s="46">
        <v>0.45845481347802031</v>
      </c>
      <c r="T43" s="46" t="s">
        <v>118</v>
      </c>
      <c r="U43" s="46">
        <v>0.31551392236331849</v>
      </c>
      <c r="V43" s="46" t="s">
        <v>118</v>
      </c>
      <c r="Y43" s="33">
        <v>42</v>
      </c>
      <c r="Z43" s="46">
        <v>23.379014305364187</v>
      </c>
      <c r="AA43" s="46">
        <v>19.512914498664156</v>
      </c>
      <c r="AB43" s="46">
        <v>28.62963338216078</v>
      </c>
      <c r="AC43" s="46">
        <v>24.013643777256767</v>
      </c>
    </row>
    <row r="44" spans="1:29" x14ac:dyDescent="0.25">
      <c r="A44" s="33">
        <v>41</v>
      </c>
      <c r="B44" s="46">
        <v>1.4652372437213206</v>
      </c>
      <c r="C44" s="46">
        <v>1.8164765951238659</v>
      </c>
      <c r="D44" s="46">
        <v>1.1110272883798402</v>
      </c>
      <c r="E44" s="46">
        <v>1.3295098979727786</v>
      </c>
      <c r="H44" s="33">
        <v>41</v>
      </c>
      <c r="I44" s="46">
        <v>0.84100578672700266</v>
      </c>
      <c r="J44" s="46">
        <v>1.4759384604162191</v>
      </c>
      <c r="K44" s="46">
        <v>0.20070317514817268</v>
      </c>
      <c r="L44" s="46">
        <v>0.59565250787386892</v>
      </c>
      <c r="M44" s="46">
        <v>1.1584721235716109</v>
      </c>
      <c r="N44" s="46" t="s">
        <v>119</v>
      </c>
      <c r="O44" s="46">
        <v>0.39817784151102081</v>
      </c>
      <c r="P44" s="46" t="s">
        <v>118</v>
      </c>
      <c r="Q44" s="46">
        <v>0.52085448093758768</v>
      </c>
      <c r="R44" s="46" t="s">
        <v>120</v>
      </c>
      <c r="S44" s="46">
        <v>1.0357954841450441</v>
      </c>
      <c r="T44" s="46" t="s">
        <v>119</v>
      </c>
      <c r="U44" s="46">
        <v>0.77832498254131588</v>
      </c>
      <c r="V44" s="46" t="s">
        <v>120</v>
      </c>
      <c r="Y44" s="33">
        <v>43</v>
      </c>
      <c r="Z44" s="46">
        <v>26.877516956188707</v>
      </c>
      <c r="AA44" s="46">
        <v>22.328104941722053</v>
      </c>
      <c r="AB44" s="46">
        <v>30.085531020704316</v>
      </c>
      <c r="AC44" s="46">
        <v>27.225789245228462</v>
      </c>
    </row>
    <row r="45" spans="1:29" x14ac:dyDescent="0.25">
      <c r="A45" s="33">
        <v>42</v>
      </c>
      <c r="B45" s="46">
        <v>1.3664131461751954</v>
      </c>
      <c r="C45" s="46">
        <v>1.6371410069805072</v>
      </c>
      <c r="D45" s="46">
        <v>1.1158156328810296</v>
      </c>
      <c r="E45" s="46">
        <v>1.330301756275861</v>
      </c>
      <c r="H45" s="33">
        <v>42</v>
      </c>
      <c r="I45" s="46">
        <v>0.68819905018802741</v>
      </c>
      <c r="J45" s="46">
        <v>1.1966815067005681</v>
      </c>
      <c r="K45" s="46">
        <v>0.21752551560347205</v>
      </c>
      <c r="L45" s="46">
        <v>0.62037445249248235</v>
      </c>
      <c r="M45" s="46">
        <v>0.94244027844429779</v>
      </c>
      <c r="N45" s="46" t="s">
        <v>120</v>
      </c>
      <c r="O45" s="46">
        <v>0.41894998404797723</v>
      </c>
      <c r="P45" s="46" t="s">
        <v>118</v>
      </c>
      <c r="Q45" s="46">
        <v>0.4528622828957497</v>
      </c>
      <c r="R45" s="46" t="s">
        <v>118</v>
      </c>
      <c r="S45" s="46">
        <v>0.9085279795965252</v>
      </c>
      <c r="T45" s="46" t="s">
        <v>120</v>
      </c>
      <c r="U45" s="46">
        <v>0.68069513124613756</v>
      </c>
      <c r="V45" s="46" t="s">
        <v>120</v>
      </c>
      <c r="Y45" s="33">
        <v>44</v>
      </c>
      <c r="Z45" s="46">
        <v>20.162161403760383</v>
      </c>
      <c r="AA45" s="46">
        <v>19.321249223420782</v>
      </c>
      <c r="AB45" s="46">
        <v>24.499378222713318</v>
      </c>
      <c r="AC45" s="46">
        <v>22.880911294876213</v>
      </c>
    </row>
    <row r="46" spans="1:29" x14ac:dyDescent="0.25">
      <c r="A46" s="33">
        <v>43</v>
      </c>
      <c r="B46" s="46">
        <v>1.2915122976108151</v>
      </c>
      <c r="C46" s="46">
        <v>1.5546614353866304</v>
      </c>
      <c r="D46" s="46">
        <v>1.1537986035304582</v>
      </c>
      <c r="E46" s="46">
        <v>1.2749912726311354</v>
      </c>
      <c r="H46" s="33">
        <v>43</v>
      </c>
      <c r="I46" s="46">
        <v>0.50387224951273335</v>
      </c>
      <c r="J46" s="46">
        <v>0.95871943467490417</v>
      </c>
      <c r="K46" s="46">
        <v>0.26583732133410298</v>
      </c>
      <c r="L46" s="46">
        <v>0.47531604077302231</v>
      </c>
      <c r="M46" s="46">
        <v>0.7312958420938187</v>
      </c>
      <c r="N46" s="46" t="s">
        <v>120</v>
      </c>
      <c r="O46" s="46">
        <v>0.37057668105356267</v>
      </c>
      <c r="P46" s="46" t="s">
        <v>118</v>
      </c>
      <c r="Q46" s="46">
        <v>0.38485478542341817</v>
      </c>
      <c r="R46" s="46" t="s">
        <v>118</v>
      </c>
      <c r="S46" s="46">
        <v>0.71701773772396327</v>
      </c>
      <c r="T46" s="46" t="s">
        <v>120</v>
      </c>
      <c r="U46" s="46">
        <v>0.55093626157369069</v>
      </c>
      <c r="V46" s="46" t="s">
        <v>120</v>
      </c>
      <c r="Y46" s="33">
        <v>45</v>
      </c>
      <c r="Z46" s="46">
        <v>25.993935788251243</v>
      </c>
      <c r="AA46" s="46">
        <v>20.424572441967928</v>
      </c>
      <c r="AB46" s="46">
        <v>30.616728627409728</v>
      </c>
      <c r="AC46" s="46">
        <v>26.866212539595757</v>
      </c>
    </row>
    <row r="47" spans="1:29" x14ac:dyDescent="0.25">
      <c r="A47" s="33">
        <v>44</v>
      </c>
      <c r="B47" s="46">
        <v>1.3741791598385471</v>
      </c>
      <c r="C47" s="46">
        <v>1.4339870935862431</v>
      </c>
      <c r="D47" s="46">
        <v>1.1309030689057269</v>
      </c>
      <c r="E47" s="46">
        <v>1.2108967890869364</v>
      </c>
      <c r="H47" s="33">
        <v>44</v>
      </c>
      <c r="I47" s="46">
        <v>0.8103085117033435</v>
      </c>
      <c r="J47" s="46">
        <v>0.93982635498477785</v>
      </c>
      <c r="K47" s="46">
        <v>0.28347883133889185</v>
      </c>
      <c r="L47" s="46">
        <v>0.45671026510879603</v>
      </c>
      <c r="M47" s="46">
        <v>0.87506743334406067</v>
      </c>
      <c r="N47" s="46" t="s">
        <v>120</v>
      </c>
      <c r="O47" s="46">
        <v>0.37009454822384391</v>
      </c>
      <c r="P47" s="46" t="s">
        <v>118</v>
      </c>
      <c r="Q47" s="46">
        <v>0.54689367152111767</v>
      </c>
      <c r="R47" s="46" t="s">
        <v>120</v>
      </c>
      <c r="S47" s="46">
        <v>0.69826831004678691</v>
      </c>
      <c r="T47" s="46" t="s">
        <v>120</v>
      </c>
      <c r="U47" s="46">
        <v>0.62258099078395224</v>
      </c>
      <c r="V47" s="46" t="s">
        <v>120</v>
      </c>
      <c r="Y47" s="33">
        <v>46</v>
      </c>
      <c r="Z47" s="46">
        <v>24.135469654552015</v>
      </c>
      <c r="AA47" s="46">
        <v>20.288399630116338</v>
      </c>
      <c r="AB47" s="46">
        <v>27.306701753544051</v>
      </c>
      <c r="AC47" s="46">
        <v>25.387975071929844</v>
      </c>
    </row>
    <row r="48" spans="1:29" x14ac:dyDescent="0.25">
      <c r="A48" s="33">
        <v>45</v>
      </c>
      <c r="B48" s="46">
        <v>1.2881137485362824</v>
      </c>
      <c r="C48" s="46">
        <v>1.6393560336477526</v>
      </c>
      <c r="D48" s="46">
        <v>1.0936225902802639</v>
      </c>
      <c r="E48" s="46">
        <v>1.2462920115020999</v>
      </c>
      <c r="H48" s="33">
        <v>45</v>
      </c>
      <c r="I48" s="46">
        <v>0.51628436818246581</v>
      </c>
      <c r="J48" s="46">
        <v>1.1456916844560399</v>
      </c>
      <c r="K48" s="46">
        <v>0.16776665506597618</v>
      </c>
      <c r="L48" s="46">
        <v>0.44134206087960165</v>
      </c>
      <c r="M48" s="46">
        <v>0.83098802631925284</v>
      </c>
      <c r="N48" s="46" t="s">
        <v>120</v>
      </c>
      <c r="O48" s="46">
        <v>0.3045543579727889</v>
      </c>
      <c r="P48" s="46" t="s">
        <v>118</v>
      </c>
      <c r="Q48" s="46">
        <v>0.34202551162422101</v>
      </c>
      <c r="R48" s="46" t="s">
        <v>118</v>
      </c>
      <c r="S48" s="46">
        <v>0.79351687266782078</v>
      </c>
      <c r="T48" s="46" t="s">
        <v>120</v>
      </c>
      <c r="U48" s="46">
        <v>0.5677711921460209</v>
      </c>
      <c r="V48" s="46" t="s">
        <v>120</v>
      </c>
      <c r="Y48" s="33">
        <v>47</v>
      </c>
      <c r="Z48" s="46">
        <v>19.301197888504724</v>
      </c>
      <c r="AA48" s="46">
        <v>16.400075392971292</v>
      </c>
      <c r="AB48" s="46">
        <v>28.367075591865177</v>
      </c>
      <c r="AC48" s="46">
        <v>24.548989449761116</v>
      </c>
    </row>
    <row r="49" spans="1:29" x14ac:dyDescent="0.25">
      <c r="A49" s="33">
        <v>46</v>
      </c>
      <c r="B49" s="46">
        <v>1.289648815995206</v>
      </c>
      <c r="C49" s="46">
        <v>1.5341909875078077</v>
      </c>
      <c r="D49" s="46">
        <v>1.1398769483187932</v>
      </c>
      <c r="E49" s="46">
        <v>1.2260245165395616</v>
      </c>
      <c r="H49" s="33">
        <v>46</v>
      </c>
      <c r="I49" s="46">
        <v>0.55833620451707455</v>
      </c>
      <c r="J49" s="46">
        <v>1.0297234167091294</v>
      </c>
      <c r="K49" s="46">
        <v>0.26963122274609469</v>
      </c>
      <c r="L49" s="46">
        <v>0.43569199569797062</v>
      </c>
      <c r="M49" s="46">
        <v>0.79402981061310196</v>
      </c>
      <c r="N49" s="46" t="s">
        <v>120</v>
      </c>
      <c r="O49" s="46">
        <v>0.35266160922203266</v>
      </c>
      <c r="P49" s="46" t="s">
        <v>118</v>
      </c>
      <c r="Q49" s="46">
        <v>0.41398371363158459</v>
      </c>
      <c r="R49" s="46" t="s">
        <v>118</v>
      </c>
      <c r="S49" s="46">
        <v>0.73270770620354997</v>
      </c>
      <c r="T49" s="46" t="s">
        <v>120</v>
      </c>
      <c r="U49" s="46">
        <v>0.57334570991756728</v>
      </c>
      <c r="V49" s="46" t="s">
        <v>120</v>
      </c>
      <c r="Y49" s="33">
        <v>48</v>
      </c>
      <c r="Z49" s="46">
        <v>24.413476017105619</v>
      </c>
      <c r="AA49" s="46">
        <v>20.51622835643759</v>
      </c>
      <c r="AB49" s="46">
        <v>28.881373977169602</v>
      </c>
      <c r="AC49" s="46">
        <v>25.655887009738109</v>
      </c>
    </row>
    <row r="50" spans="1:29" x14ac:dyDescent="0.25">
      <c r="A50" s="33">
        <v>47</v>
      </c>
      <c r="B50" s="46">
        <v>1.6996745790177969</v>
      </c>
      <c r="C50" s="46">
        <v>2.0003417429253569</v>
      </c>
      <c r="D50" s="46">
        <v>1.1564729430583658</v>
      </c>
      <c r="E50" s="46">
        <v>1.3363383231240373</v>
      </c>
      <c r="H50" s="33">
        <v>47</v>
      </c>
      <c r="I50" s="46">
        <v>1.2796679800457076</v>
      </c>
      <c r="J50" s="46">
        <v>1.8295723982450609</v>
      </c>
      <c r="K50" s="46">
        <v>0.28618077743569525</v>
      </c>
      <c r="L50" s="46">
        <v>0.61514509097685788</v>
      </c>
      <c r="M50" s="46">
        <v>1.5546201891453841</v>
      </c>
      <c r="N50" s="46" t="s">
        <v>119</v>
      </c>
      <c r="O50" s="46">
        <v>0.45066293420627657</v>
      </c>
      <c r="P50" s="46" t="s">
        <v>118</v>
      </c>
      <c r="Q50" s="46">
        <v>0.78292437874070142</v>
      </c>
      <c r="R50" s="46" t="s">
        <v>120</v>
      </c>
      <c r="S50" s="46">
        <v>1.2223587446109594</v>
      </c>
      <c r="T50" s="46" t="s">
        <v>119</v>
      </c>
      <c r="U50" s="46">
        <v>1.0026415616758304</v>
      </c>
      <c r="V50" s="46" t="s">
        <v>119</v>
      </c>
      <c r="Y50" s="33">
        <v>49</v>
      </c>
      <c r="Z50" s="46">
        <v>23.201124364654696</v>
      </c>
      <c r="AA50" s="46">
        <v>18.357525000024562</v>
      </c>
      <c r="AB50" s="46">
        <v>27.037143918369701</v>
      </c>
      <c r="AC50" s="46">
        <v>22.429098789634274</v>
      </c>
    </row>
    <row r="51" spans="1:29" x14ac:dyDescent="0.25">
      <c r="A51" s="33">
        <v>48</v>
      </c>
      <c r="B51" s="46">
        <v>1.3072654461273641</v>
      </c>
      <c r="C51" s="46">
        <v>1.5555926295296383</v>
      </c>
      <c r="D51" s="46">
        <v>1.1050337716706151</v>
      </c>
      <c r="E51" s="46">
        <v>1.243959860164159</v>
      </c>
      <c r="H51" s="33">
        <v>48</v>
      </c>
      <c r="I51" s="46">
        <v>0.57765903871944424</v>
      </c>
      <c r="J51" s="46">
        <v>1.0445141435157199</v>
      </c>
      <c r="K51" s="46">
        <v>0.19746349074075642</v>
      </c>
      <c r="L51" s="46">
        <v>0.4586445371086188</v>
      </c>
      <c r="M51" s="46">
        <v>0.81108659111758208</v>
      </c>
      <c r="N51" s="46" t="s">
        <v>120</v>
      </c>
      <c r="O51" s="46">
        <v>0.32805401392468758</v>
      </c>
      <c r="P51" s="46" t="s">
        <v>118</v>
      </c>
      <c r="Q51" s="46">
        <v>0.38756126473010033</v>
      </c>
      <c r="R51" s="46" t="s">
        <v>118</v>
      </c>
      <c r="S51" s="46">
        <v>0.75157934031216933</v>
      </c>
      <c r="T51" s="46" t="s">
        <v>120</v>
      </c>
      <c r="U51" s="46">
        <v>0.56957030252113483</v>
      </c>
      <c r="V51" s="46" t="s">
        <v>120</v>
      </c>
      <c r="Y51" s="33">
        <v>50</v>
      </c>
      <c r="Z51" s="46">
        <v>26.913268230359158</v>
      </c>
      <c r="AA51" s="46">
        <v>24.42157357679941</v>
      </c>
      <c r="AB51" s="46">
        <v>28.895294726560675</v>
      </c>
      <c r="AC51" s="46">
        <v>26.728540986726809</v>
      </c>
    </row>
    <row r="52" spans="1:29" x14ac:dyDescent="0.25">
      <c r="A52" s="33">
        <v>49</v>
      </c>
      <c r="B52" s="46">
        <v>1.4750242998721823</v>
      </c>
      <c r="C52" s="46">
        <v>1.8642067611062183</v>
      </c>
      <c r="D52" s="46">
        <v>1.2657484209702639</v>
      </c>
      <c r="E52" s="46">
        <v>1.5257956881458921</v>
      </c>
      <c r="H52" s="33">
        <v>49</v>
      </c>
      <c r="I52" s="46">
        <v>0.83283481146421579</v>
      </c>
      <c r="J52" s="46">
        <v>1.5151676980433697</v>
      </c>
      <c r="K52" s="46">
        <v>0.4659225562465667</v>
      </c>
      <c r="L52" s="46">
        <v>0.92184958311292775</v>
      </c>
      <c r="M52" s="46">
        <v>1.1740012547537928</v>
      </c>
      <c r="N52" s="46" t="s">
        <v>119</v>
      </c>
      <c r="O52" s="46">
        <v>0.6938860696797472</v>
      </c>
      <c r="P52" s="46" t="s">
        <v>120</v>
      </c>
      <c r="Q52" s="46">
        <v>0.64937868385539121</v>
      </c>
      <c r="R52" s="46" t="s">
        <v>120</v>
      </c>
      <c r="S52" s="46">
        <v>1.2185086405781487</v>
      </c>
      <c r="T52" s="46" t="s">
        <v>119</v>
      </c>
      <c r="U52" s="46">
        <v>0.93394366221676994</v>
      </c>
      <c r="V52" s="46" t="s">
        <v>120</v>
      </c>
      <c r="Y52" s="33">
        <v>51</v>
      </c>
      <c r="Z52" s="46">
        <v>29.664464468205388</v>
      </c>
      <c r="AA52" s="46">
        <v>27.663124580832864</v>
      </c>
      <c r="AB52" s="46">
        <v>33.371745134884421</v>
      </c>
      <c r="AC52" s="46">
        <v>30.273333775794526</v>
      </c>
    </row>
    <row r="53" spans="1:29" x14ac:dyDescent="0.25">
      <c r="A53" s="33">
        <v>50</v>
      </c>
      <c r="B53" s="46">
        <v>1.1924610188966882</v>
      </c>
      <c r="C53" s="46">
        <v>1.314125936843908</v>
      </c>
      <c r="D53" s="46">
        <v>1.1106660637835235</v>
      </c>
      <c r="E53" s="46">
        <v>1.2007023979255398</v>
      </c>
      <c r="H53" s="33">
        <v>50</v>
      </c>
      <c r="I53" s="46">
        <v>0.359818426632939</v>
      </c>
      <c r="J53" s="46">
        <v>0.58727892540382798</v>
      </c>
      <c r="K53" s="46">
        <v>0.20689742359528326</v>
      </c>
      <c r="L53" s="46">
        <v>0.37522622220861773</v>
      </c>
      <c r="M53" s="46">
        <v>0.47354867601838346</v>
      </c>
      <c r="N53" s="46" t="s">
        <v>118</v>
      </c>
      <c r="O53" s="46">
        <v>0.29106182290195048</v>
      </c>
      <c r="P53" s="46" t="s">
        <v>118</v>
      </c>
      <c r="Q53" s="46">
        <v>0.28335792511411112</v>
      </c>
      <c r="R53" s="46" t="s">
        <v>118</v>
      </c>
      <c r="S53" s="46">
        <v>0.48125257380622288</v>
      </c>
      <c r="T53" s="46" t="s">
        <v>118</v>
      </c>
      <c r="U53" s="46">
        <v>0.38230524946016697</v>
      </c>
      <c r="V53" s="46" t="s">
        <v>118</v>
      </c>
      <c r="Y53" s="33">
        <v>52</v>
      </c>
      <c r="Z53" s="46">
        <v>31.640027471165268</v>
      </c>
      <c r="AA53" s="46">
        <v>30.785378744359985</v>
      </c>
      <c r="AB53" s="46">
        <v>33.676639412058641</v>
      </c>
      <c r="AC53" s="46">
        <v>32.904105157876941</v>
      </c>
    </row>
    <row r="54" spans="1:29" x14ac:dyDescent="0.25">
      <c r="A54" s="33">
        <v>51</v>
      </c>
      <c r="B54" s="46">
        <v>1.2214535769759767</v>
      </c>
      <c r="C54" s="46">
        <v>1.3098218940485042</v>
      </c>
      <c r="D54" s="46">
        <v>1.0857618050034208</v>
      </c>
      <c r="E54" s="46">
        <v>1.1968872177116303</v>
      </c>
      <c r="H54" s="33">
        <v>51</v>
      </c>
      <c r="I54" s="46">
        <v>0.36670807370215486</v>
      </c>
      <c r="J54" s="46">
        <v>0.51303840519859845</v>
      </c>
      <c r="K54" s="46">
        <v>0.14201417172609457</v>
      </c>
      <c r="L54" s="46">
        <v>0.32602829599560279</v>
      </c>
      <c r="M54" s="46">
        <v>0.43987323945037665</v>
      </c>
      <c r="N54" s="46" t="s">
        <v>118</v>
      </c>
      <c r="O54" s="46">
        <v>0.23402123386084867</v>
      </c>
      <c r="P54" s="46" t="s">
        <v>118</v>
      </c>
      <c r="Q54" s="46">
        <v>0.2543611227141247</v>
      </c>
      <c r="R54" s="46" t="s">
        <v>118</v>
      </c>
      <c r="S54" s="46">
        <v>0.41953335059710062</v>
      </c>
      <c r="T54" s="46" t="s">
        <v>118</v>
      </c>
      <c r="U54" s="46">
        <v>0.33694723665561266</v>
      </c>
      <c r="V54" s="46" t="s">
        <v>118</v>
      </c>
      <c r="Y54" s="33">
        <v>53</v>
      </c>
      <c r="Z54" s="46">
        <v>23.88103465711772</v>
      </c>
      <c r="AA54" s="46">
        <v>22.185969777940691</v>
      </c>
      <c r="AB54" s="46">
        <v>26.386714657992087</v>
      </c>
      <c r="AC54" s="46">
        <v>24.262388372580631</v>
      </c>
    </row>
    <row r="55" spans="1:29" x14ac:dyDescent="0.25">
      <c r="A55" s="33">
        <v>52</v>
      </c>
      <c r="B55" s="46">
        <v>1.1516186892305755</v>
      </c>
      <c r="C55" s="46">
        <v>1.1835893677364036</v>
      </c>
      <c r="D55" s="46">
        <v>1.0819739617639998</v>
      </c>
      <c r="E55" s="46">
        <v>1.1073769302867671</v>
      </c>
      <c r="H55" s="33">
        <v>52</v>
      </c>
      <c r="I55" s="46">
        <v>0.24966544159968121</v>
      </c>
      <c r="J55" s="46">
        <v>0.30231049220594447</v>
      </c>
      <c r="K55" s="46">
        <v>0.1349837903713865</v>
      </c>
      <c r="L55" s="46">
        <v>0.17681401187220983</v>
      </c>
      <c r="M55" s="46">
        <v>0.27598796690281285</v>
      </c>
      <c r="N55" s="46" t="s">
        <v>118</v>
      </c>
      <c r="O55" s="46">
        <v>0.15589890112179816</v>
      </c>
      <c r="P55" s="46" t="s">
        <v>118</v>
      </c>
      <c r="Q55" s="46">
        <v>0.19232461598553385</v>
      </c>
      <c r="R55" s="46" t="s">
        <v>118</v>
      </c>
      <c r="S55" s="46">
        <v>0.23956225203907716</v>
      </c>
      <c r="T55" s="46" t="s">
        <v>118</v>
      </c>
      <c r="U55" s="46">
        <v>0.21594343401230551</v>
      </c>
      <c r="V55" s="46" t="s">
        <v>118</v>
      </c>
      <c r="Y55" s="33">
        <v>54</v>
      </c>
      <c r="Z55" s="46">
        <v>22.924769807139548</v>
      </c>
      <c r="AA55" s="46">
        <v>25.616928059265593</v>
      </c>
      <c r="AB55" s="46">
        <v>37.800810526057447</v>
      </c>
      <c r="AC55" s="46">
        <v>32.437551524133269</v>
      </c>
    </row>
    <row r="56" spans="1:29" x14ac:dyDescent="0.25">
      <c r="A56" s="33">
        <v>53</v>
      </c>
      <c r="B56" s="46">
        <v>1.2519395139603278</v>
      </c>
      <c r="C56" s="46">
        <v>1.3475908973439883</v>
      </c>
      <c r="D56" s="46">
        <v>1.1330554526781995</v>
      </c>
      <c r="E56" s="46">
        <v>1.2322616579367569</v>
      </c>
      <c r="H56" s="33">
        <v>53</v>
      </c>
      <c r="I56" s="46">
        <v>0.50560464102997293</v>
      </c>
      <c r="J56" s="46">
        <v>0.69756255425882607</v>
      </c>
      <c r="K56" s="46">
        <v>0.26702224407337277</v>
      </c>
      <c r="L56" s="46">
        <v>0.46611414914705329</v>
      </c>
      <c r="M56" s="46">
        <v>0.6015835976443995</v>
      </c>
      <c r="N56" s="46" t="s">
        <v>120</v>
      </c>
      <c r="O56" s="46">
        <v>0.366568196610213</v>
      </c>
      <c r="P56" s="46" t="s">
        <v>118</v>
      </c>
      <c r="Q56" s="46">
        <v>0.38631344255167288</v>
      </c>
      <c r="R56" s="46" t="s">
        <v>118</v>
      </c>
      <c r="S56" s="46">
        <v>0.58183835170293974</v>
      </c>
      <c r="T56" s="46" t="s">
        <v>120</v>
      </c>
      <c r="U56" s="46">
        <v>0.48407589712730625</v>
      </c>
      <c r="V56" s="46" t="s">
        <v>118</v>
      </c>
      <c r="Y56" s="33">
        <v>55</v>
      </c>
      <c r="Z56" s="46">
        <v>39.571176853113045</v>
      </c>
      <c r="AA56" s="46">
        <v>36.356096464979899</v>
      </c>
      <c r="AB56" s="46">
        <v>48.504734819413969</v>
      </c>
      <c r="AC56" s="46">
        <v>42.783602033386082</v>
      </c>
    </row>
    <row r="57" spans="1:29" x14ac:dyDescent="0.25">
      <c r="A57" s="33">
        <v>54</v>
      </c>
      <c r="B57" s="46">
        <v>1.8024501473560031</v>
      </c>
      <c r="C57" s="46">
        <v>1.6130253643756276</v>
      </c>
      <c r="D57" s="46">
        <v>1.0931182200047602</v>
      </c>
      <c r="E57" s="46">
        <v>1.2738555401211102</v>
      </c>
      <c r="H57" s="33">
        <v>54</v>
      </c>
      <c r="I57" s="46">
        <v>1.1652015838320047</v>
      </c>
      <c r="J57" s="46">
        <v>0.89014641950433615</v>
      </c>
      <c r="K57" s="46">
        <v>0.13521275781513142</v>
      </c>
      <c r="L57" s="46">
        <v>0.39765325003887253</v>
      </c>
      <c r="M57" s="46">
        <v>1.0276740016681705</v>
      </c>
      <c r="N57" s="46" t="s">
        <v>119</v>
      </c>
      <c r="O57" s="46">
        <v>0.26643300392700198</v>
      </c>
      <c r="P57" s="46" t="s">
        <v>118</v>
      </c>
      <c r="Q57" s="46">
        <v>0.65020717082356805</v>
      </c>
      <c r="R57" s="46" t="s">
        <v>120</v>
      </c>
      <c r="S57" s="46">
        <v>0.64389983477160428</v>
      </c>
      <c r="T57" s="46" t="s">
        <v>120</v>
      </c>
      <c r="U57" s="46">
        <v>0.64705350279758611</v>
      </c>
      <c r="V57" s="46" t="s">
        <v>120</v>
      </c>
      <c r="Y57" s="33">
        <v>56</v>
      </c>
      <c r="Z57" s="46">
        <v>19.737093757887379</v>
      </c>
      <c r="AA57" s="46">
        <v>16.32323409915913</v>
      </c>
      <c r="AB57" s="46">
        <v>27.325691829369344</v>
      </c>
      <c r="AC57" s="46">
        <v>21.318056118206989</v>
      </c>
    </row>
    <row r="58" spans="1:29" x14ac:dyDescent="0.25">
      <c r="A58" s="33">
        <v>55</v>
      </c>
      <c r="B58" s="46">
        <v>1.2996472563722998</v>
      </c>
      <c r="C58" s="46">
        <v>1.4145790233038391</v>
      </c>
      <c r="D58" s="46">
        <v>1.0602794061248468</v>
      </c>
      <c r="E58" s="46">
        <v>1.2020626825305469</v>
      </c>
      <c r="H58" s="33">
        <v>55</v>
      </c>
      <c r="I58" s="46">
        <v>0.34958846576768315</v>
      </c>
      <c r="J58" s="46">
        <v>0.48367552718781237</v>
      </c>
      <c r="K58" s="46">
        <v>7.0325973812321418E-2</v>
      </c>
      <c r="L58" s="46">
        <v>0.23573979628563801</v>
      </c>
      <c r="M58" s="46">
        <v>0.41663199647774773</v>
      </c>
      <c r="N58" s="46" t="s">
        <v>118</v>
      </c>
      <c r="O58" s="46">
        <v>0.15303288504897972</v>
      </c>
      <c r="P58" s="46" t="s">
        <v>118</v>
      </c>
      <c r="Q58" s="46">
        <v>0.20995721979000229</v>
      </c>
      <c r="R58" s="46" t="s">
        <v>118</v>
      </c>
      <c r="S58" s="46">
        <v>0.35970766173672519</v>
      </c>
      <c r="T58" s="46" t="s">
        <v>118</v>
      </c>
      <c r="U58" s="46">
        <v>0.28483244076336373</v>
      </c>
      <c r="V58" s="46" t="s">
        <v>118</v>
      </c>
      <c r="Y58" s="33">
        <v>57</v>
      </c>
      <c r="Z58" s="46">
        <v>23.235081263719774</v>
      </c>
      <c r="AA58" s="46">
        <v>18.623848351093997</v>
      </c>
      <c r="AB58" s="46">
        <v>27.665162665043699</v>
      </c>
      <c r="AC58" s="46">
        <v>24.510939080102457</v>
      </c>
    </row>
    <row r="59" spans="1:29" x14ac:dyDescent="0.25">
      <c r="A59" s="33">
        <v>56</v>
      </c>
      <c r="B59" s="46">
        <v>1.6394076683256482</v>
      </c>
      <c r="C59" s="46">
        <v>1.9822752440222426</v>
      </c>
      <c r="D59" s="46">
        <v>1.1841289530450521</v>
      </c>
      <c r="E59" s="46">
        <v>1.5178280176074674</v>
      </c>
      <c r="H59" s="33">
        <v>56</v>
      </c>
      <c r="I59" s="46">
        <v>1.1856566035177583</v>
      </c>
      <c r="J59" s="46">
        <v>1.8214375385842907</v>
      </c>
      <c r="K59" s="46">
        <v>0.34143117120936822</v>
      </c>
      <c r="L59" s="46">
        <v>0.9602108935767607</v>
      </c>
      <c r="M59" s="46">
        <v>1.5035470710510244</v>
      </c>
      <c r="N59" s="46" t="s">
        <v>119</v>
      </c>
      <c r="O59" s="46">
        <v>0.65082103239306444</v>
      </c>
      <c r="P59" s="46" t="s">
        <v>120</v>
      </c>
      <c r="Q59" s="46">
        <v>0.76354388736356327</v>
      </c>
      <c r="R59" s="46" t="s">
        <v>120</v>
      </c>
      <c r="S59" s="46">
        <v>1.3908242160805258</v>
      </c>
      <c r="T59" s="46" t="s">
        <v>119</v>
      </c>
      <c r="U59" s="46">
        <v>1.0771840517220443</v>
      </c>
      <c r="V59" s="46" t="s">
        <v>119</v>
      </c>
      <c r="Y59" s="33">
        <v>58</v>
      </c>
      <c r="Z59" s="46">
        <v>25.080936253675681</v>
      </c>
      <c r="AA59" s="46">
        <v>19.078244516928642</v>
      </c>
      <c r="AB59" s="46">
        <v>28.365995527730419</v>
      </c>
      <c r="AC59" s="46">
        <v>24.842277022572951</v>
      </c>
    </row>
    <row r="60" spans="1:29" x14ac:dyDescent="0.25">
      <c r="A60" s="33">
        <v>57</v>
      </c>
      <c r="B60" s="46">
        <v>1.3918791660269587</v>
      </c>
      <c r="C60" s="46">
        <v>1.7365060605218665</v>
      </c>
      <c r="D60" s="46">
        <v>1.1689945916269135</v>
      </c>
      <c r="E60" s="46">
        <v>1.3194282530842842</v>
      </c>
      <c r="H60" s="33">
        <v>57</v>
      </c>
      <c r="I60" s="46">
        <v>0.72703897907633142</v>
      </c>
      <c r="J60" s="46">
        <v>1.3664125596524099</v>
      </c>
      <c r="K60" s="46">
        <v>0.31352943972887914</v>
      </c>
      <c r="L60" s="46">
        <v>0.59262346953794831</v>
      </c>
      <c r="M60" s="46">
        <v>1.0467257693643708</v>
      </c>
      <c r="N60" s="46" t="s">
        <v>119</v>
      </c>
      <c r="O60" s="46">
        <v>0.45307645463341373</v>
      </c>
      <c r="P60" s="46" t="s">
        <v>118</v>
      </c>
      <c r="Q60" s="46">
        <v>0.52028420940260522</v>
      </c>
      <c r="R60" s="46" t="s">
        <v>120</v>
      </c>
      <c r="S60" s="46">
        <v>0.97951801459517918</v>
      </c>
      <c r="T60" s="46" t="s">
        <v>120</v>
      </c>
      <c r="U60" s="46">
        <v>0.7499011119988922</v>
      </c>
      <c r="V60" s="46" t="s">
        <v>120</v>
      </c>
      <c r="Y60" s="44"/>
      <c r="Z60" s="46">
        <v>27.789873060363103</v>
      </c>
      <c r="AA60" s="46">
        <v>23.823676621149126</v>
      </c>
      <c r="AB60" s="46">
        <v>33.010473761267356</v>
      </c>
      <c r="AC60" s="46">
        <v>29.194196934875592</v>
      </c>
    </row>
    <row r="61" spans="1:29" x14ac:dyDescent="0.25">
      <c r="A61" s="33">
        <v>58</v>
      </c>
      <c r="B61" s="46">
        <v>1.3144259302601415</v>
      </c>
      <c r="C61" s="46">
        <v>1.7279909028202478</v>
      </c>
      <c r="D61" s="46">
        <v>1.1622025722596128</v>
      </c>
      <c r="E61" s="46">
        <v>1.3270535924334734</v>
      </c>
      <c r="H61" s="33">
        <v>58</v>
      </c>
      <c r="I61" s="46">
        <v>0.57225519307345751</v>
      </c>
      <c r="J61" s="46">
        <v>1.3249434431328508</v>
      </c>
      <c r="K61" s="46">
        <v>0.2952086815124953</v>
      </c>
      <c r="L61" s="46">
        <v>0.59523753822892156</v>
      </c>
      <c r="M61" s="46">
        <v>0.94859931810315423</v>
      </c>
      <c r="N61" s="46" t="s">
        <v>120</v>
      </c>
      <c r="O61" s="46">
        <v>0.44522310987070846</v>
      </c>
      <c r="P61" s="46" t="s">
        <v>118</v>
      </c>
      <c r="Q61" s="46">
        <v>0.43373193729297643</v>
      </c>
      <c r="R61" s="46" t="s">
        <v>118</v>
      </c>
      <c r="S61" s="46">
        <v>0.96009049068088625</v>
      </c>
      <c r="T61" s="46" t="s">
        <v>120</v>
      </c>
      <c r="U61" s="46">
        <v>0.69691121398693134</v>
      </c>
      <c r="V61" s="46" t="s">
        <v>120</v>
      </c>
      <c r="Y61" s="42"/>
    </row>
    <row r="62" spans="1:29" x14ac:dyDescent="0.25">
      <c r="A62" s="44"/>
      <c r="B62" s="46">
        <v>1.3588761242526417</v>
      </c>
      <c r="C62" s="46">
        <v>1.5858564285093073</v>
      </c>
      <c r="D62" s="46">
        <v>1.121873574114592</v>
      </c>
      <c r="E62" s="46">
        <v>1.2776710479352213</v>
      </c>
      <c r="H62" s="44"/>
      <c r="I62" s="46">
        <v>0.60749387777828445</v>
      </c>
      <c r="J62" s="46">
        <v>0.99180526519361711</v>
      </c>
      <c r="K62" s="46">
        <v>0.20881553810469089</v>
      </c>
      <c r="L62" s="46">
        <v>0.4728789321646103</v>
      </c>
      <c r="M62" s="46">
        <v>0.79964957148595039</v>
      </c>
      <c r="N62" s="46" t="s">
        <v>120</v>
      </c>
      <c r="O62" s="46">
        <v>0.34084723513465065</v>
      </c>
      <c r="P62" s="46" t="s">
        <v>118</v>
      </c>
      <c r="Q62" s="46">
        <v>0.40815470794148773</v>
      </c>
      <c r="R62" s="46" t="s">
        <v>118</v>
      </c>
      <c r="S62" s="46">
        <v>0.73234209867911337</v>
      </c>
      <c r="T62" s="46" t="s">
        <v>120</v>
      </c>
      <c r="U62" s="46">
        <v>0.57024840331030069</v>
      </c>
      <c r="V62" s="46" t="s">
        <v>120</v>
      </c>
    </row>
    <row r="63" spans="1:29" x14ac:dyDescent="0.25">
      <c r="A63" s="42"/>
      <c r="H63" s="42"/>
    </row>
  </sheetData>
  <mergeCells count="11">
    <mergeCell ref="M2:V2"/>
    <mergeCell ref="M3:N3"/>
    <mergeCell ref="O3:P3"/>
    <mergeCell ref="A1:A3"/>
    <mergeCell ref="I1:V1"/>
    <mergeCell ref="I2:J2"/>
    <mergeCell ref="K2:L2"/>
    <mergeCell ref="Q3:R3"/>
    <mergeCell ref="S3:T3"/>
    <mergeCell ref="U3:V3"/>
    <mergeCell ref="B1:E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activeCell="E30" sqref="E30"/>
    </sheetView>
  </sheetViews>
  <sheetFormatPr defaultRowHeight="14.25" x14ac:dyDescent="0.2"/>
  <cols>
    <col min="1" max="1" width="8.42578125" style="59" customWidth="1"/>
    <col min="2" max="3" width="12.7109375" style="50" customWidth="1"/>
    <col min="4" max="5" width="40.28515625" style="58" customWidth="1"/>
    <col min="6" max="16384" width="9.140625" style="58"/>
  </cols>
  <sheetData>
    <row r="1" spans="1:5" s="57" customFormat="1" ht="15" x14ac:dyDescent="0.25">
      <c r="A1" s="51" t="s">
        <v>105</v>
      </c>
      <c r="B1" s="52" t="s">
        <v>104</v>
      </c>
      <c r="C1" s="53" t="s">
        <v>106</v>
      </c>
      <c r="D1" s="61" t="s">
        <v>103</v>
      </c>
      <c r="E1" s="61" t="s">
        <v>102</v>
      </c>
    </row>
    <row r="2" spans="1:5" x14ac:dyDescent="0.2">
      <c r="A2" s="54">
        <v>1</v>
      </c>
      <c r="B2" s="55">
        <v>1.53</v>
      </c>
      <c r="C2" s="56">
        <v>2.6</v>
      </c>
      <c r="D2" s="55" t="s">
        <v>6</v>
      </c>
      <c r="E2" s="55" t="s">
        <v>7</v>
      </c>
    </row>
    <row r="3" spans="1:5" x14ac:dyDescent="0.2">
      <c r="A3" s="54">
        <v>2</v>
      </c>
      <c r="B3" s="55">
        <v>1.57</v>
      </c>
      <c r="C3" s="56">
        <v>3.38</v>
      </c>
      <c r="D3" s="55" t="s">
        <v>7</v>
      </c>
      <c r="E3" s="55" t="s">
        <v>8</v>
      </c>
    </row>
    <row r="4" spans="1:5" x14ac:dyDescent="0.2">
      <c r="A4" s="54">
        <v>3</v>
      </c>
      <c r="B4" s="55">
        <v>1.5</v>
      </c>
      <c r="C4" s="56">
        <v>2.5499999999999998</v>
      </c>
      <c r="D4" s="55" t="s">
        <v>8</v>
      </c>
      <c r="E4" s="55" t="s">
        <v>9</v>
      </c>
    </row>
    <row r="5" spans="1:5" x14ac:dyDescent="0.2">
      <c r="A5" s="54">
        <v>4</v>
      </c>
      <c r="B5" s="55">
        <v>1.5</v>
      </c>
      <c r="C5" s="56">
        <v>2.2200000000000002</v>
      </c>
      <c r="D5" s="55" t="s">
        <v>9</v>
      </c>
      <c r="E5" s="55" t="s">
        <v>10</v>
      </c>
    </row>
    <row r="6" spans="1:5" x14ac:dyDescent="0.2">
      <c r="A6" s="54">
        <v>5</v>
      </c>
      <c r="B6" s="55">
        <v>1.52</v>
      </c>
      <c r="C6" s="56">
        <v>2.4300000000000002</v>
      </c>
      <c r="D6" s="55" t="s">
        <v>10</v>
      </c>
      <c r="E6" s="55" t="s">
        <v>11</v>
      </c>
    </row>
    <row r="7" spans="1:5" x14ac:dyDescent="0.2">
      <c r="A7" s="54">
        <v>6</v>
      </c>
      <c r="B7" s="55">
        <v>1.5</v>
      </c>
      <c r="C7" s="56">
        <v>2.1800000000000002</v>
      </c>
      <c r="D7" s="55" t="s">
        <v>11</v>
      </c>
      <c r="E7" s="55" t="s">
        <v>12</v>
      </c>
    </row>
    <row r="8" spans="1:5" x14ac:dyDescent="0.2">
      <c r="A8" s="54">
        <v>7</v>
      </c>
      <c r="B8" s="55">
        <v>1.54</v>
      </c>
      <c r="C8" s="56">
        <v>2.38</v>
      </c>
      <c r="D8" s="55" t="s">
        <v>12</v>
      </c>
      <c r="E8" s="55" t="s">
        <v>13</v>
      </c>
    </row>
    <row r="9" spans="1:5" x14ac:dyDescent="0.2">
      <c r="A9" s="54">
        <v>8</v>
      </c>
      <c r="B9" s="55">
        <v>1.54</v>
      </c>
      <c r="C9" s="56">
        <v>2.65</v>
      </c>
      <c r="D9" s="55" t="s">
        <v>13</v>
      </c>
      <c r="E9" s="55" t="s">
        <v>14</v>
      </c>
    </row>
    <row r="10" spans="1:5" x14ac:dyDescent="0.2">
      <c r="A10" s="54">
        <v>9</v>
      </c>
      <c r="B10" s="55">
        <v>1.52</v>
      </c>
      <c r="C10" s="56">
        <v>2.4500000000000002</v>
      </c>
      <c r="D10" s="55" t="s">
        <v>14</v>
      </c>
      <c r="E10" s="55" t="s">
        <v>15</v>
      </c>
    </row>
    <row r="11" spans="1:5" x14ac:dyDescent="0.2">
      <c r="A11" s="54">
        <v>10</v>
      </c>
      <c r="B11" s="55">
        <v>1.5</v>
      </c>
      <c r="C11" s="56">
        <v>2.5499999999999998</v>
      </c>
      <c r="D11" s="55" t="s">
        <v>15</v>
      </c>
      <c r="E11" s="55" t="s">
        <v>16</v>
      </c>
    </row>
    <row r="12" spans="1:5" x14ac:dyDescent="0.2">
      <c r="A12" s="54">
        <v>11</v>
      </c>
      <c r="B12" s="55">
        <v>1.48</v>
      </c>
      <c r="C12" s="56">
        <v>1.85</v>
      </c>
      <c r="D12" s="55" t="s">
        <v>16</v>
      </c>
      <c r="E12" s="55" t="s">
        <v>17</v>
      </c>
    </row>
    <row r="13" spans="1:5" x14ac:dyDescent="0.2">
      <c r="A13" s="54">
        <v>12</v>
      </c>
      <c r="B13" s="55">
        <v>1.46</v>
      </c>
      <c r="C13" s="56">
        <v>2.38</v>
      </c>
      <c r="D13" s="55" t="s">
        <v>17</v>
      </c>
      <c r="E13" s="55" t="s">
        <v>18</v>
      </c>
    </row>
    <row r="14" spans="1:5" x14ac:dyDescent="0.2">
      <c r="A14" s="54">
        <v>13</v>
      </c>
      <c r="B14" s="55">
        <v>1.52</v>
      </c>
      <c r="C14" s="56">
        <v>2.5299999999999998</v>
      </c>
      <c r="D14" s="55" t="s">
        <v>18</v>
      </c>
      <c r="E14" s="55" t="s">
        <v>19</v>
      </c>
    </row>
    <row r="15" spans="1:5" x14ac:dyDescent="0.2">
      <c r="A15" s="54">
        <v>14</v>
      </c>
      <c r="B15" s="55">
        <v>1.51</v>
      </c>
      <c r="C15" s="56">
        <v>2.52</v>
      </c>
      <c r="D15" s="55" t="s">
        <v>19</v>
      </c>
      <c r="E15" s="55" t="s">
        <v>20</v>
      </c>
    </row>
    <row r="16" spans="1:5" x14ac:dyDescent="0.2">
      <c r="A16" s="54">
        <v>15</v>
      </c>
      <c r="B16" s="55">
        <v>1.47</v>
      </c>
      <c r="C16" s="56">
        <v>1.85</v>
      </c>
      <c r="D16" s="55" t="s">
        <v>20</v>
      </c>
      <c r="E16" s="55" t="s">
        <v>21</v>
      </c>
    </row>
    <row r="17" spans="1:5" x14ac:dyDescent="0.2">
      <c r="A17" s="54">
        <v>16</v>
      </c>
      <c r="B17" s="55">
        <v>1.5</v>
      </c>
      <c r="C17" s="56">
        <v>1.67</v>
      </c>
      <c r="D17" s="55" t="s">
        <v>21</v>
      </c>
      <c r="E17" s="55" t="s">
        <v>22</v>
      </c>
    </row>
    <row r="18" spans="1:5" x14ac:dyDescent="0.2">
      <c r="A18" s="54">
        <v>17</v>
      </c>
      <c r="B18" s="55">
        <v>1.51</v>
      </c>
      <c r="C18" s="56">
        <v>2.1800000000000002</v>
      </c>
      <c r="D18" s="55" t="s">
        <v>22</v>
      </c>
      <c r="E18" s="55" t="s">
        <v>23</v>
      </c>
    </row>
    <row r="19" spans="1:5" x14ac:dyDescent="0.2">
      <c r="A19" s="54">
        <v>18</v>
      </c>
      <c r="B19" s="55">
        <v>1.51</v>
      </c>
      <c r="C19" s="56">
        <v>2.38</v>
      </c>
      <c r="D19" s="55" t="s">
        <v>23</v>
      </c>
      <c r="E19" s="55" t="s">
        <v>24</v>
      </c>
    </row>
    <row r="20" spans="1:5" x14ac:dyDescent="0.2">
      <c r="A20" s="54">
        <v>19</v>
      </c>
      <c r="B20" s="55">
        <v>1.5</v>
      </c>
      <c r="C20" s="56">
        <v>2.77</v>
      </c>
      <c r="D20" s="55" t="s">
        <v>25</v>
      </c>
      <c r="E20" s="55" t="s">
        <v>26</v>
      </c>
    </row>
    <row r="21" spans="1:5" x14ac:dyDescent="0.2">
      <c r="A21" s="54">
        <v>20</v>
      </c>
      <c r="B21" s="55">
        <v>1.48</v>
      </c>
      <c r="C21" s="56">
        <v>2.75</v>
      </c>
      <c r="D21" s="55" t="s">
        <v>26</v>
      </c>
      <c r="E21" s="55" t="s">
        <v>27</v>
      </c>
    </row>
    <row r="22" spans="1:5" x14ac:dyDescent="0.2">
      <c r="A22" s="54">
        <v>21</v>
      </c>
      <c r="B22" s="55">
        <v>1.51</v>
      </c>
      <c r="C22" s="56">
        <v>2.52</v>
      </c>
      <c r="D22" s="55" t="s">
        <v>27</v>
      </c>
      <c r="E22" s="55" t="s">
        <v>28</v>
      </c>
    </row>
    <row r="23" spans="1:5" x14ac:dyDescent="0.2">
      <c r="A23" s="54">
        <v>22</v>
      </c>
      <c r="B23" s="55">
        <v>1.57</v>
      </c>
      <c r="C23" s="56">
        <v>2.48</v>
      </c>
      <c r="D23" s="55" t="s">
        <v>28</v>
      </c>
      <c r="E23" s="55" t="s">
        <v>29</v>
      </c>
    </row>
    <row r="24" spans="1:5" x14ac:dyDescent="0.2">
      <c r="A24" s="54">
        <v>23</v>
      </c>
      <c r="B24" s="55">
        <v>1.43</v>
      </c>
      <c r="C24" s="56">
        <v>2.67</v>
      </c>
      <c r="D24" s="55" t="s">
        <v>29</v>
      </c>
      <c r="E24" s="55" t="s">
        <v>30</v>
      </c>
    </row>
    <row r="25" spans="1:5" x14ac:dyDescent="0.2">
      <c r="A25" s="54">
        <v>24</v>
      </c>
      <c r="B25" s="55">
        <v>1.52</v>
      </c>
      <c r="C25" s="56">
        <v>2.67</v>
      </c>
      <c r="D25" s="55" t="s">
        <v>30</v>
      </c>
      <c r="E25" s="55" t="s">
        <v>31</v>
      </c>
    </row>
    <row r="26" spans="1:5" x14ac:dyDescent="0.2">
      <c r="A26" s="54">
        <v>25</v>
      </c>
      <c r="B26" s="55">
        <v>1.52</v>
      </c>
      <c r="C26" s="56">
        <v>2.88</v>
      </c>
      <c r="D26" s="55" t="s">
        <v>31</v>
      </c>
      <c r="E26" s="55" t="s">
        <v>32</v>
      </c>
    </row>
    <row r="27" spans="1:5" x14ac:dyDescent="0.2">
      <c r="A27" s="54">
        <v>26</v>
      </c>
      <c r="B27" s="55">
        <v>1.49</v>
      </c>
      <c r="C27" s="56">
        <v>2.73</v>
      </c>
      <c r="D27" s="55" t="s">
        <v>32</v>
      </c>
      <c r="E27" s="55" t="s">
        <v>33</v>
      </c>
    </row>
    <row r="28" spans="1:5" x14ac:dyDescent="0.2">
      <c r="A28" s="54">
        <v>27</v>
      </c>
      <c r="B28" s="55">
        <v>1.53</v>
      </c>
      <c r="C28" s="56">
        <v>2.63</v>
      </c>
      <c r="D28" s="55" t="s">
        <v>33</v>
      </c>
      <c r="E28" s="55" t="s">
        <v>34</v>
      </c>
    </row>
    <row r="29" spans="1:5" x14ac:dyDescent="0.2">
      <c r="A29" s="54">
        <v>28</v>
      </c>
      <c r="B29" s="55">
        <v>1.51</v>
      </c>
      <c r="C29" s="56">
        <v>3</v>
      </c>
      <c r="D29" s="55" t="s">
        <v>34</v>
      </c>
      <c r="E29" s="55" t="s">
        <v>35</v>
      </c>
    </row>
    <row r="30" spans="1:5" x14ac:dyDescent="0.2">
      <c r="A30" s="54">
        <v>29</v>
      </c>
      <c r="B30" s="55">
        <v>1.57</v>
      </c>
      <c r="C30" s="56">
        <v>2.4500000000000002</v>
      </c>
      <c r="D30" s="55" t="s">
        <v>36</v>
      </c>
      <c r="E30" s="55" t="s">
        <v>37</v>
      </c>
    </row>
    <row r="31" spans="1:5" x14ac:dyDescent="0.2">
      <c r="A31" s="54">
        <v>30</v>
      </c>
      <c r="B31" s="55">
        <v>1.57</v>
      </c>
      <c r="C31" s="56">
        <v>2.65</v>
      </c>
      <c r="D31" s="55" t="s">
        <v>37</v>
      </c>
      <c r="E31" s="55" t="s">
        <v>38</v>
      </c>
    </row>
    <row r="32" spans="1:5" x14ac:dyDescent="0.2">
      <c r="A32" s="54">
        <v>31</v>
      </c>
      <c r="B32" s="55">
        <v>1.52</v>
      </c>
      <c r="C32" s="56">
        <v>2.3199999999999998</v>
      </c>
      <c r="D32" s="55" t="s">
        <v>38</v>
      </c>
      <c r="E32" s="55" t="s">
        <v>39</v>
      </c>
    </row>
    <row r="33" spans="1:5" x14ac:dyDescent="0.2">
      <c r="A33" s="54">
        <v>32</v>
      </c>
      <c r="B33" s="55">
        <v>1.5</v>
      </c>
      <c r="C33" s="56">
        <v>1.62</v>
      </c>
      <c r="D33" s="55" t="s">
        <v>39</v>
      </c>
      <c r="E33" s="55" t="s">
        <v>40</v>
      </c>
    </row>
    <row r="34" spans="1:5" x14ac:dyDescent="0.2">
      <c r="A34" s="54">
        <v>33</v>
      </c>
      <c r="B34" s="55">
        <v>1.51</v>
      </c>
      <c r="C34" s="56">
        <v>1.62</v>
      </c>
      <c r="D34" s="55" t="s">
        <v>40</v>
      </c>
      <c r="E34" s="55" t="s">
        <v>41</v>
      </c>
    </row>
    <row r="35" spans="1:5" x14ac:dyDescent="0.2">
      <c r="A35" s="54">
        <v>34</v>
      </c>
      <c r="B35" s="55">
        <v>1.5</v>
      </c>
      <c r="C35" s="56">
        <v>1.6</v>
      </c>
      <c r="D35" s="55" t="s">
        <v>41</v>
      </c>
      <c r="E35" s="55" t="s">
        <v>42</v>
      </c>
    </row>
    <row r="36" spans="1:5" x14ac:dyDescent="0.2">
      <c r="A36" s="54">
        <v>35</v>
      </c>
      <c r="B36" s="55">
        <v>1.55</v>
      </c>
      <c r="C36" s="56">
        <v>2.93</v>
      </c>
      <c r="D36" s="55" t="s">
        <v>43</v>
      </c>
      <c r="E36" s="55" t="s">
        <v>44</v>
      </c>
    </row>
    <row r="37" spans="1:5" x14ac:dyDescent="0.2">
      <c r="A37" s="54">
        <v>36</v>
      </c>
      <c r="B37" s="55">
        <v>1.5</v>
      </c>
      <c r="C37" s="56">
        <v>2.1800000000000002</v>
      </c>
      <c r="D37" s="55" t="s">
        <v>44</v>
      </c>
      <c r="E37" s="55" t="s">
        <v>45</v>
      </c>
    </row>
    <row r="38" spans="1:5" x14ac:dyDescent="0.2">
      <c r="A38" s="54">
        <v>37</v>
      </c>
      <c r="B38" s="55">
        <v>1.38</v>
      </c>
      <c r="C38" s="56">
        <v>2.72</v>
      </c>
      <c r="D38" s="55" t="s">
        <v>45</v>
      </c>
      <c r="E38" s="55" t="s">
        <v>46</v>
      </c>
    </row>
    <row r="39" spans="1:5" x14ac:dyDescent="0.2">
      <c r="A39" s="54">
        <v>38</v>
      </c>
      <c r="B39" s="55">
        <v>1.61</v>
      </c>
      <c r="C39" s="56">
        <v>3.18</v>
      </c>
      <c r="D39" s="55" t="s">
        <v>46</v>
      </c>
      <c r="E39" s="55" t="s">
        <v>47</v>
      </c>
    </row>
    <row r="40" spans="1:5" x14ac:dyDescent="0.2">
      <c r="A40" s="54">
        <v>39</v>
      </c>
      <c r="B40" s="55">
        <v>1.55</v>
      </c>
      <c r="C40" s="56">
        <v>2.85</v>
      </c>
      <c r="D40" s="55" t="s">
        <v>47</v>
      </c>
      <c r="E40" s="55" t="s">
        <v>48</v>
      </c>
    </row>
    <row r="41" spans="1:5" x14ac:dyDescent="0.2">
      <c r="A41" s="54">
        <v>40</v>
      </c>
      <c r="B41" s="55">
        <v>1.39</v>
      </c>
      <c r="C41" s="56">
        <v>2.4700000000000002</v>
      </c>
      <c r="D41" s="55" t="s">
        <v>48</v>
      </c>
      <c r="E41" s="55" t="s">
        <v>49</v>
      </c>
    </row>
    <row r="42" spans="1:5" x14ac:dyDescent="0.2">
      <c r="A42" s="54">
        <v>41</v>
      </c>
      <c r="B42" s="55">
        <v>1.56</v>
      </c>
      <c r="C42" s="56">
        <v>2.82</v>
      </c>
      <c r="D42" s="55" t="s">
        <v>50</v>
      </c>
      <c r="E42" s="55" t="s">
        <v>51</v>
      </c>
    </row>
    <row r="43" spans="1:5" x14ac:dyDescent="0.2">
      <c r="A43" s="54">
        <v>42</v>
      </c>
      <c r="B43" s="55">
        <v>1.56</v>
      </c>
      <c r="C43" s="56">
        <v>2.93</v>
      </c>
      <c r="D43" s="55" t="s">
        <v>51</v>
      </c>
      <c r="E43" s="55" t="s">
        <v>52</v>
      </c>
    </row>
    <row r="44" spans="1:5" x14ac:dyDescent="0.2">
      <c r="A44" s="54">
        <v>43</v>
      </c>
      <c r="B44" s="55">
        <v>1.51</v>
      </c>
      <c r="C44" s="56">
        <v>2.61</v>
      </c>
      <c r="D44" s="55" t="s">
        <v>52</v>
      </c>
      <c r="E44" s="55" t="s">
        <v>53</v>
      </c>
    </row>
    <row r="45" spans="1:5" x14ac:dyDescent="0.2">
      <c r="A45" s="54">
        <v>44</v>
      </c>
      <c r="B45" s="55">
        <v>1.51</v>
      </c>
      <c r="C45" s="56">
        <v>3.27</v>
      </c>
      <c r="D45" s="55" t="s">
        <v>54</v>
      </c>
      <c r="E45" s="55" t="s">
        <v>55</v>
      </c>
    </row>
    <row r="46" spans="1:5" x14ac:dyDescent="0.2">
      <c r="A46" s="54">
        <v>45</v>
      </c>
      <c r="B46" s="55">
        <v>1.49</v>
      </c>
      <c r="C46" s="56">
        <v>2.67</v>
      </c>
      <c r="D46" s="55" t="s">
        <v>55</v>
      </c>
      <c r="E46" s="55" t="s">
        <v>56</v>
      </c>
    </row>
    <row r="47" spans="1:5" x14ac:dyDescent="0.2">
      <c r="A47" s="54">
        <v>46</v>
      </c>
      <c r="B47" s="55">
        <v>1.52</v>
      </c>
      <c r="C47" s="56">
        <v>2.93</v>
      </c>
      <c r="D47" s="55" t="s">
        <v>56</v>
      </c>
      <c r="E47" s="55" t="s">
        <v>57</v>
      </c>
    </row>
    <row r="48" spans="1:5" x14ac:dyDescent="0.2">
      <c r="A48" s="54">
        <v>47</v>
      </c>
      <c r="B48" s="55">
        <v>1.52</v>
      </c>
      <c r="C48" s="56">
        <v>2.78</v>
      </c>
      <c r="D48" s="55" t="s">
        <v>58</v>
      </c>
      <c r="E48" s="55" t="s">
        <v>59</v>
      </c>
    </row>
    <row r="49" spans="1:5" x14ac:dyDescent="0.2">
      <c r="A49" s="54">
        <v>48</v>
      </c>
      <c r="B49" s="55">
        <v>1.5</v>
      </c>
      <c r="C49" s="56">
        <v>2.82</v>
      </c>
      <c r="D49" s="55" t="s">
        <v>59</v>
      </c>
      <c r="E49" s="55" t="s">
        <v>60</v>
      </c>
    </row>
    <row r="50" spans="1:5" x14ac:dyDescent="0.2">
      <c r="A50" s="54">
        <v>49</v>
      </c>
      <c r="B50" s="55">
        <v>1.54</v>
      </c>
      <c r="C50" s="56">
        <v>2.7</v>
      </c>
      <c r="D50" s="55" t="s">
        <v>60</v>
      </c>
      <c r="E50" s="55" t="s">
        <v>61</v>
      </c>
    </row>
    <row r="51" spans="1:5" x14ac:dyDescent="0.2">
      <c r="A51" s="54">
        <v>50</v>
      </c>
      <c r="B51" s="55">
        <v>1.38</v>
      </c>
      <c r="C51" s="56">
        <v>2.58</v>
      </c>
      <c r="D51" s="55" t="s">
        <v>62</v>
      </c>
      <c r="E51" s="55" t="s">
        <v>63</v>
      </c>
    </row>
    <row r="52" spans="1:5" x14ac:dyDescent="0.2">
      <c r="A52" s="54">
        <v>51</v>
      </c>
      <c r="B52" s="55">
        <v>2.79</v>
      </c>
      <c r="C52" s="56">
        <v>4.62</v>
      </c>
      <c r="D52" s="55" t="s">
        <v>63</v>
      </c>
      <c r="E52" s="55" t="s">
        <v>64</v>
      </c>
    </row>
    <row r="53" spans="1:5" x14ac:dyDescent="0.2">
      <c r="A53" s="54">
        <v>52</v>
      </c>
      <c r="B53" s="55">
        <v>1.5</v>
      </c>
      <c r="C53" s="56">
        <v>2.4700000000000002</v>
      </c>
      <c r="D53" s="55" t="s">
        <v>64</v>
      </c>
      <c r="E53" s="55" t="s">
        <v>65</v>
      </c>
    </row>
    <row r="54" spans="1:5" x14ac:dyDescent="0.2">
      <c r="A54" s="54">
        <v>53</v>
      </c>
      <c r="B54" s="55">
        <v>1.46</v>
      </c>
      <c r="C54" s="56">
        <v>2.93</v>
      </c>
      <c r="D54" s="55" t="s">
        <v>65</v>
      </c>
      <c r="E54" s="55" t="s">
        <v>66</v>
      </c>
    </row>
    <row r="55" spans="1:5" x14ac:dyDescent="0.2">
      <c r="A55" s="54">
        <v>54</v>
      </c>
      <c r="B55" s="55">
        <v>1.46</v>
      </c>
      <c r="C55" s="56">
        <v>2.12</v>
      </c>
      <c r="D55" s="55" t="s">
        <v>67</v>
      </c>
      <c r="E55" s="55" t="s">
        <v>68</v>
      </c>
    </row>
    <row r="56" spans="1:5" x14ac:dyDescent="0.2">
      <c r="A56" s="54">
        <v>55</v>
      </c>
      <c r="B56" s="55">
        <v>1.5</v>
      </c>
      <c r="C56" s="56">
        <v>1.75</v>
      </c>
      <c r="D56" s="55" t="s">
        <v>68</v>
      </c>
      <c r="E56" s="55" t="s">
        <v>69</v>
      </c>
    </row>
    <row r="57" spans="1:5" x14ac:dyDescent="0.2">
      <c r="A57" s="54">
        <v>56</v>
      </c>
      <c r="B57" s="55">
        <v>1.51</v>
      </c>
      <c r="C57" s="56">
        <v>2.8</v>
      </c>
      <c r="D57" s="55" t="s">
        <v>70</v>
      </c>
      <c r="E57" s="55" t="s">
        <v>71</v>
      </c>
    </row>
    <row r="58" spans="1:5" x14ac:dyDescent="0.2">
      <c r="A58" s="54">
        <v>57</v>
      </c>
      <c r="B58" s="55">
        <v>1.52</v>
      </c>
      <c r="C58" s="56">
        <v>2.82</v>
      </c>
      <c r="D58" s="55" t="s">
        <v>71</v>
      </c>
      <c r="E58" s="55" t="s">
        <v>72</v>
      </c>
    </row>
    <row r="59" spans="1:5" x14ac:dyDescent="0.2">
      <c r="A59" s="54">
        <v>58</v>
      </c>
      <c r="B59" s="55">
        <v>1.5</v>
      </c>
      <c r="C59" s="56">
        <v>2.73</v>
      </c>
      <c r="D59" s="55" t="s">
        <v>72</v>
      </c>
      <c r="E59" s="55" t="s">
        <v>73</v>
      </c>
    </row>
    <row r="60" spans="1:5" x14ac:dyDescent="0.2">
      <c r="B60" s="58"/>
      <c r="C60" s="58"/>
    </row>
    <row r="61" spans="1:5" x14ac:dyDescent="0.2">
      <c r="C61" s="60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Monday</vt:lpstr>
      <vt:lpstr>Tuesday</vt:lpstr>
      <vt:lpstr>Wednesday</vt:lpstr>
      <vt:lpstr>Thursday</vt:lpstr>
      <vt:lpstr>Friday</vt:lpstr>
      <vt:lpstr>Saturday</vt:lpstr>
      <vt:lpstr>Sunday</vt:lpstr>
      <vt:lpstr>TT</vt:lpstr>
      <vt:lpstr>TT_by_time_interval</vt:lpstr>
      <vt:lpstr>average_speed_per_time</vt:lpstr>
      <vt:lpstr>average_speed_per_route</vt:lpstr>
      <vt:lpstr>TT_TTI_Delay</vt:lpstr>
      <vt:lpstr>Plotter_charts</vt:lpstr>
      <vt:lpstr>Description of selected routes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dodik</dc:creator>
  <cp:lastModifiedBy>dodik</cp:lastModifiedBy>
  <dcterms:created xsi:type="dcterms:W3CDTF">2025-08-04T10:49:26Z</dcterms:created>
  <dcterms:modified xsi:type="dcterms:W3CDTF">2025-10-19T10:10:30Z</dcterms:modified>
</cp:coreProperties>
</file>